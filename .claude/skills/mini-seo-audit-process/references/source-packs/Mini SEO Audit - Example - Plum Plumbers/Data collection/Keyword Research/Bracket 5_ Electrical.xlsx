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terms" sheetId="1" r:id="rId5"/>
    <sheet state="visible" name="Overview" sheetId="2" r:id="rId6"/>
    <sheet state="visible" name="Matching" sheetId="3" r:id="rId7"/>
    <sheet state="visible" name="Questions" sheetId="4" r:id="rId8"/>
    <sheet state="visible" name="Related" sheetId="5" r:id="rId9"/>
  </sheets>
  <definedNames>
    <definedName hidden="1" localSheetId="1" name="_xlnm._FilterDatabase">Overview!$A$1:$Z$1000</definedName>
    <definedName hidden="1" localSheetId="2" name="_xlnm._FilterDatabase">Matching!$A$1:$Z$1000</definedName>
    <definedName hidden="1" localSheetId="3" name="_xlnm._FilterDatabase">Questions!$A$1:$Z$1000</definedName>
    <definedName hidden="1" localSheetId="4" name="_xlnm._FilterDatabase">Related!$A$1:$Z$1000</definedName>
  </definedNames>
  <calcPr/>
</workbook>
</file>

<file path=xl/sharedStrings.xml><?xml version="1.0" encoding="utf-8"?>
<sst xmlns="http://schemas.openxmlformats.org/spreadsheetml/2006/main" count="33590" uniqueCount="15568">
  <si>
    <t>#</t>
  </si>
  <si>
    <t>electrician cape town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</si>
  <si>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</si>
  <si>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</si>
  <si>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</si>
  <si>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</si>
  <si>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</si>
  <si>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</si>
  <si>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</si>
  <si>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</si>
  <si>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</si>
  <si>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</si>
  <si>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</si>
  <si>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</si>
  <si>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</si>
  <si>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</si>
  <si>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</si>
  <si>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SV trend (08-2024 - 07-2026)</t>
  </si>
  <si>
    <t>SV Forecasting trend (08-2026 - 08-2027)</t>
  </si>
  <si>
    <t>Category</t>
  </si>
  <si>
    <t>electrical services</t>
  </si>
  <si>
    <t>electrical repairs</t>
  </si>
  <si>
    <t>electrician jobs cape town</t>
  </si>
  <si>
    <t>za</t>
  </si>
  <si>
    <t>emergency electrician</t>
  </si>
  <si>
    <t>residential electrician</t>
  </si>
  <si>
    <t>commercial electrician</t>
  </si>
  <si>
    <t>electrical contractor</t>
  </si>
  <si>
    <t>electrical compliance certificate</t>
  </si>
  <si>
    <t>electrical installation</t>
  </si>
  <si>
    <t>electrical maintenance</t>
  </si>
  <si>
    <t>what is trunking in electrical installation</t>
  </si>
  <si>
    <t>Combined - base phrase + modifier</t>
  </si>
  <si>
    <t>Top ads,Paid sitelinks,People also ask</t>
  </si>
  <si>
    <t>Local pack,People also ask</t>
  </si>
  <si>
    <t>Informational,Non-branded,Local</t>
  </si>
  <si>
    <t>English</t>
  </si>
  <si>
    <t>583, 572, 470, 427, 363, 834, 603, 585, 570, 462, 372, 405, 333, 345, 386, 334, 277, 512, 405, 369, 341, 356, 349, 368</t>
  </si>
  <si>
    <t>375, 340, 331, 310, 281, 498, 394, 359, 332, 347, 340, 358</t>
  </si>
  <si>
    <t>Job</t>
  </si>
  <si>
    <t>Informational,Commercial,Transactional,Non-branded,Local</t>
  </si>
  <si>
    <t>14, 10, 21, 20, 2, 18, 12, 19, 15, 26, 12, 6, 16, 14, 14, 16, 19, 16, 21, 31, 14, 15, 22, 18</t>
  </si>
  <si>
    <t>238, 354, 261, 250, 219, 292, 278, 277, 239, 280, 281, 326, 259, 250, 250, 291, 305, 323, 297, 316, 280, 300, 283, 296</t>
  </si>
  <si>
    <t>283, 315, 299, 277, 271, 324, 297, 316, 280, 300, 283, 296</t>
  </si>
  <si>
    <t>Business services; Home improvement; Business</t>
  </si>
  <si>
    <t>what is electrical installation</t>
  </si>
  <si>
    <t>22, 14, 13, 4, 5, 20, 21, 12, 10, 14, 17, 30, 12, 12, 8, 11, 3, 16, 8, 21, 7, 12, 5, 9</t>
  </si>
  <si>
    <t>AI Overview,Thumbnail,People also ask</t>
  </si>
  <si>
    <t>what is an electrical contractor</t>
  </si>
  <si>
    <t>Informational,Non-branded,Non-local</t>
  </si>
  <si>
    <t>345, 244, 232, 231, 223, 474, 253, 258, 291, 273, 258, 269, 302, 294, 254, 209, 180, 287, 271, 267, 250, 266, 271, 269</t>
  </si>
  <si>
    <t>285, 252, 264, 245, 211, 287, 271, 268, 251, 266, 271</t>
  </si>
  <si>
    <t>Electrical</t>
  </si>
  <si>
    <t>19, 15, 8, 16, 10, 1, 8, 3, 8, 17, 9, 3, 3, 15, 4, 6, 11, 1, 2, 12, 4, 5, 9, 5</t>
  </si>
  <si>
    <t>how to register as an electrical contractor in south africa</t>
  </si>
  <si>
    <t>46, 20, 22, 23, 1, 2, 20, 18, 22, 4, 5, 28, 8, 1, 11, 10, 0, 0, 11, 21, 5, 0, 0, 3</t>
  </si>
  <si>
    <t>151, 553, 150, 127, 99, 305, 296, 261, 417, 166, 143, 182, 193, 211, 192, 139, 125, 180, 179, 185, 190, 167, 170, 167</t>
  </si>
  <si>
    <t>how to start a electrical contractor business</t>
  </si>
  <si>
    <t>177, 188, 151, 134, 123, 158, 158, 162, 166, 146, 148, 146</t>
  </si>
  <si>
    <t>Home improvement</t>
  </si>
  <si>
    <t>0, 0, 0, 0, 0, 0, 0, 0, 0, 0, 1, 0, 0, 0, 0, 0, 0, 0, 0, 0, 0, 0, 0, 1</t>
  </si>
  <si>
    <t>24 hour electrician near me</t>
  </si>
  <si>
    <t>what is domestic electrical installation</t>
  </si>
  <si>
    <t>AI Overview,Thumbnail,People also ask,Knowledge panel</t>
  </si>
  <si>
    <t>Combined - modifier + base phrase</t>
  </si>
  <si>
    <t>0, 0, 4, 6, 0, 0, 0, 0, 0, 0, 0, 0, 0, 0, 0, 0, 0, 0, 0, 0, 0, 0, 0, 1</t>
  </si>
  <si>
    <t>who can issue electrical installation certificate</t>
  </si>
  <si>
    <t>244, 132, 96, 468, 187, 129, 145, 158, 160, 126, 123, 164, 110, 152, 162, 142, 148, 144, 173, 178, 142, 120, 123, 188</t>
  </si>
  <si>
    <t>131, 152, 169, 162, 146, 147, 176, 181, 145, 123, 126, 191</t>
  </si>
  <si>
    <t>Security; Home improvement; Business</t>
  </si>
  <si>
    <t>electrical repairs near me</t>
  </si>
  <si>
    <t>0, 0, 1, 0, 0, 1, 1, 1, 1, 2, 0, 1, 1, 0, 0, 0, 0, 0, 0, 0, 0, 1, 2, 2</t>
  </si>
  <si>
    <t>appliance repairs</t>
  </si>
  <si>
    <t>what is a electrical installation technician</t>
  </si>
  <si>
    <t>0, 0, 1, 2, 0, 0, 1, 0, 0, 0, 1, 0, 0, 0, 0, 0, 0, 0, 0, 0, 0, 0, 0, 1</t>
  </si>
  <si>
    <t>Commercial,Transactional,Non-branded,Local</t>
  </si>
  <si>
    <t>modifier</t>
  </si>
  <si>
    <t>180, 133, 142, 144, 123, 145, 147, 127, 146, 155, 155, 111, 160, 147, 157, 166, 145, 167, 169, 157, 176, 179, 120, 94</t>
  </si>
  <si>
    <t>how to get electrical contractor license</t>
  </si>
  <si>
    <t>emergency electrician near me</t>
  </si>
  <si>
    <t>0, 0, 0, 0, 0, 0, 0, 0, 0, 0, 1, 2, 0, 3, 3, 2, 1, 1, 1, 2, 0, 0, 0, 1</t>
  </si>
  <si>
    <t>base phrase + modifier</t>
  </si>
  <si>
    <t>what is earthing in electrical installation</t>
  </si>
  <si>
    <t>1, 3, 0, 3, 0, 0, 0, 4, 0, 2, 2, 1, 0, 3, 0, 5, 1, 2, 2, 0, 1, 1, 0, 2</t>
  </si>
  <si>
    <t>91, 63, 87, 88, 110, 84, 86, 109, 121, 138, 162, 199, 151, 155, 124, 148, 169, 182, 144, 186, 165, 153, 91, 137</t>
  </si>
  <si>
    <t>what is commercial electrical installation</t>
  </si>
  <si>
    <t>0, 0, 0, 0, 0, 0, 0, 0, 0, 0, 0, 0, 0, 0, 0, 0, 0, 0, 0, 0, 0, 0, 0, 1</t>
  </si>
  <si>
    <t>what is inspection in electrical installation</t>
  </si>
  <si>
    <t>electronic repairs near me</t>
  </si>
  <si>
    <t>0, 0, 0, 0, 0, 0, 0, 0, 0, 1, 1, 0, 0, 0, 0, 0, 0, 0, 0, 0, 0, 0, 0, 1</t>
  </si>
  <si>
    <t>how to become a licensed electrical contractor</t>
  </si>
  <si>
    <t>Informational,Commercial,Non-branded,Local</t>
  </si>
  <si>
    <t>electrician in cape town</t>
  </si>
  <si>
    <t>93, 76, 78, 76, 72, 93, 77, 116, 107, 149, 127, 155, 136, 145, 124, 108, 99, 115, 124, 109, 100, 107, 38, 83</t>
  </si>
  <si>
    <t>0, 0, 0, 0, 0, 0, 0, 0, 0, 0, 0, 0, 1, 0, 0, 0, 0, 0, 0, 0, 0, 0, 0, 1</t>
  </si>
  <si>
    <t>how to become licensed electrical contractor</t>
  </si>
  <si>
    <t>electrical compliance certificate cost</t>
  </si>
  <si>
    <t>0, 0, 0, 0, 0, 0, 0, 0, 0, 0, 0, 3, 0, 0, 0, 0, 0, 0, 0, 0, 0, 0, 0, 1</t>
  </si>
  <si>
    <t>what is installation in electrical</t>
  </si>
  <si>
    <t>AI Overview,Thumbnail,People also ask,Sitelinks,Discussions</t>
  </si>
  <si>
    <t>46, 30, 34, 28, 19, 21, 25, 51, 23, 44, 43, 107, 107, 110, 130, 143, 132, 164, 106, 120, 141, 163, 77, 128</t>
  </si>
  <si>
    <t>2, 0, 0, 1, 0, 1, 1, 0, 0, 0, 0, 1, 3, 0, 0, 0, 0, 0, 0, 0, 0, 1, 1, 2</t>
  </si>
  <si>
    <t>Informational,Commercial,Non-branded,Non-local</t>
  </si>
  <si>
    <t>electrician jobs in cape town</t>
  </si>
  <si>
    <t>how to apply for electrical contractor license</t>
  </si>
  <si>
    <t>modifier + base phrase</t>
  </si>
  <si>
    <t>69, 56, 87, 85, 36, 55, 76, 73, 52, 65, 40, 71, 82, 68, 110, 88, 55, 118, 81, 112, 65, 83, 89, 80</t>
  </si>
  <si>
    <t>Measurement; Technical reference</t>
  </si>
  <si>
    <t>electrical services near me</t>
  </si>
  <si>
    <t>0, 0, 0, 0, 0, 0, 0, 0, 0, 0, 0, 0, 0, 0, 0, 0, 1, 0, 2, 2, 0, 0, 0, 1</t>
  </si>
  <si>
    <t>what is electrical services</t>
  </si>
  <si>
    <t>Bottom ads,Paid sitelinks</t>
  </si>
  <si>
    <t>24/7 electrician near me</t>
  </si>
  <si>
    <t>Local pack,People also ask,Video preview</t>
  </si>
  <si>
    <t>1, 0, 3, 2, 0, 1, 0, 1, 0, 0, 0, 0, 0, 0, 1, 0, 1, 1, 0, 0, 1, 0, 0, 1</t>
  </si>
  <si>
    <t>who is the biggest electrical contractor?</t>
  </si>
  <si>
    <t>165, 209, 242, 203, 95, 115, 156, 101, 174, 133, 208, 200, 163, 72, 98, 126, 93, 80, 112, 69, 59, 79, 77, 54</t>
  </si>
  <si>
    <t>59, 47, 45, 44, 47, 77, 59, 63, 64, 82, 61, 88, 55, 60, 78, 53, 59, 88, 63, 81, 61, 93, 31, 60</t>
  </si>
  <si>
    <t>0, 2, 0, 0, 0, 0, 0, 0, 0, 0, 0, 0, 0, 0, 0, 0, 0, 0, 0, 0, 0, 0, 0, 1</t>
  </si>
  <si>
    <t>auto electrical services</t>
  </si>
  <si>
    <t>what does electrical contractor do</t>
  </si>
  <si>
    <t>1, 0, 0, 0, 0, 1, 1, 1, 0, 0, 1, 0, 0, 2, 0, 2, 1, 2, 0, 1, 0, 3, 0, 2</t>
  </si>
  <si>
    <t>auto electrician durban</t>
  </si>
  <si>
    <t>eca</t>
  </si>
  <si>
    <t>how much does electrical installation cost</t>
  </si>
  <si>
    <t>near me</t>
  </si>
  <si>
    <t>0, 0, 0, 0, 0, 0, 0, 0, 2, 0, 0, 0, 0, 0, 0, 0, 0, 0, 0, 0, 0, 0, 0, 1</t>
  </si>
  <si>
    <t>what is bonding in electrical installation</t>
  </si>
  <si>
    <t>458, 183, 217, 316, 151, 136, 118, 144, 167, 102, 118, 92, 102, 76, 65, 64, 29, 67, 68, 64, 60, 50, 51, 57</t>
  </si>
  <si>
    <t>45, 42, 73, 29, 37, 34, 34, 25, 41, 37, 31, 181, 191, 240, 98, 96, 99, 89, 101, 97, 112, 94, 19, 76</t>
  </si>
  <si>
    <t>78, 52, 46, 49, 39, 56, 58, 55, 52, 44, 45, 51</t>
  </si>
  <si>
    <t>Maintenance</t>
  </si>
  <si>
    <t>Maintenance; Business</t>
  </si>
  <si>
    <t>2, 5, 0, 6, 0, 0, 2, 8, 2, 1, 1, 6, 0, 1, 0, 2, 0, 0, 0, 2, 1, 0, 2, 2</t>
  </si>
  <si>
    <t>electrical appliance repairs near me</t>
  </si>
  <si>
    <t>emergency electrician cape town</t>
  </si>
  <si>
    <t>when to call emergency electrician</t>
  </si>
  <si>
    <t>microwave repairs near me</t>
  </si>
  <si>
    <t>14, 9, 6, 6, 9, 16, 14, 22, 6, 10, 13, 99, 42, 30, 32, 41, 47, 51, 67, 79, 92, 89, 76, 87</t>
  </si>
  <si>
    <t>0, 0, 0, 0, 0, 1, 0, 0, 0, 0, 1, 0, 0, 0, 0, 0, 0, 0, 0, 0, 0, 0, 0, 1</t>
  </si>
  <si>
    <t>residential electrician near me</t>
  </si>
  <si>
    <t>what is an electrical installation certificate</t>
  </si>
  <si>
    <t>Discussions,Knowledge panel,People also ask</t>
  </si>
  <si>
    <t>0, 1, 0, 1, 0, 1, 0, 0, 0, 0, 0, 0, 0, 0, 0, 0, 0, 1, 1, 0, 0, 0, 0, 1</t>
  </si>
  <si>
    <t>77, 54, 78, 58, 68, 85, 84, 94, 72, 90, 89, 45, 52, 45, 81, 63, 49, 63, 55, 79, 75, 73, 45, 65</t>
  </si>
  <si>
    <t>103, 101, 92, 77, 78, 98, 99, 76, 103, 79, 67, 70, 134, 131, 92, 107, 132, 121, 127, 100, 77, 69, 36, 49</t>
  </si>
  <si>
    <t>Home appliances</t>
  </si>
  <si>
    <t>electrical compliance certificate near me</t>
  </si>
  <si>
    <t>ditsobotla electrical repairs debt</t>
  </si>
  <si>
    <t>17, 20, 13, 8, 18, 16, 13, 13, 30, 41, 34, 31, 43, 52, 95, 101, 102, 45, 54, 52, 47, 44, 33, 32</t>
  </si>
  <si>
    <t>electrical services cape town</t>
  </si>
  <si>
    <t>0, 0, 0, 0, 0, 0, 0, 0, 0, 0, 0, 0, 0, 0, 0, 0, 0, 1204, 12, 1, 1, 0, 0, 1</t>
  </si>
  <si>
    <t>2, 2, 2, 1, 10, 4, 6, 7, 5, 0, 5, 2, 49, 9, 30, 55, 41, 39, 59, 33, 53, 58, 73, 44</t>
  </si>
  <si>
    <t>Business services; Business</t>
  </si>
  <si>
    <t>how to start a small electrical contractor business</t>
  </si>
  <si>
    <t>electrical compliance certificate cape town</t>
  </si>
  <si>
    <t>2, 1, 0, 0, 1, 1, 0, 0, 1, 1, 1, 0, 0, 0, 1, 0, 1, 0, 0, 0, 0, 0, 0, 1</t>
  </si>
  <si>
    <t>what is space factor in electrical installation</t>
  </si>
  <si>
    <t>9, 21, 23, 20, 16, 7, 28, 19, 16, 12, 13, 10, 23, 14, 26, 13, 13, 7, 9, 13, 20, 12, 23, 15</t>
  </si>
  <si>
    <t>Electricity</t>
  </si>
  <si>
    <t>auto electrician cape town</t>
  </si>
  <si>
    <t>electrical installation service</t>
  </si>
  <si>
    <t>how much does an emergency electrician cost</t>
  </si>
  <si>
    <t>mobile auto electrician near me</t>
  </si>
  <si>
    <t>0, 0, 0, 0, 0, 0, 0, 0, 0, 1, 2, 1, 0, 0, 0, 0, 0, 0, 0, 0, 0, 0, 1, 1</t>
  </si>
  <si>
    <t>11, 13, 13, 22, 21, 23, 22, 19, 39, 24, 24, 37, 36, 42, 28, 4, 3, 2, 3, 3, 2, 20, 15, 11</t>
  </si>
  <si>
    <t>what is a fixed electrical installation</t>
  </si>
  <si>
    <t>electrical contractor near me</t>
  </si>
  <si>
    <t>130, 110, 100, 96, 103, 119, 95, 141, 142, 128, 112, 127, 104, 106, 127, 111, 115, 128, 128, 114, 108, 103, 119, 124</t>
  </si>
  <si>
    <t>120, 114, 109, 110, 117, 128, 128, 114, 108, 103, 119, 124</t>
  </si>
  <si>
    <t>what are the types of electrical installation</t>
  </si>
  <si>
    <t>electrical contractors</t>
  </si>
  <si>
    <t>repairs of electrical appliances</t>
  </si>
  <si>
    <t>how to get electrical contractor licence</t>
  </si>
  <si>
    <t>13, 20, 17, 31, 22, 26, 25, 49, 43, 34, 28, 23, 44, 23, 22, 17, 11, 10, 10, 43, 20, 23, 7, 17</t>
  </si>
  <si>
    <t>0, 0, 0, 0, 0, 0, 0, 0, 0, 0, 0, 0, 0, 0, 0, 0, 0, 0, 1, 0, 0, 0, 0, 1</t>
  </si>
  <si>
    <t>electrical contractor service</t>
  </si>
  <si>
    <t>what are types of electrical installation?</t>
  </si>
  <si>
    <t>21, 7, 14, 14, 15, 21, 15, 8, 2, 0, 0, 0, 0, 0, 0, 0, 0, 73, 255, 336, 249, 230, 179, 220</t>
  </si>
  <si>
    <t>wdt electrical solutions and solar services</t>
  </si>
  <si>
    <t>0, 0, 2, 1, 0, 1, 1, 1, 0, 4, 2, 39, 28, 30, 0, 1, 0, 0, 0, 0, 13, 14, 11, 14</t>
  </si>
  <si>
    <t>how to make quotation for electrical installation</t>
  </si>
  <si>
    <t>electrical maintenance service</t>
  </si>
  <si>
    <t>0, 0, 0, 0, 0, 0, 0, 0, 0, 0, 0, 0, 0, 0, 154, 69, 0, 0, 236, 186, 274, 193, 1, 149</t>
  </si>
  <si>
    <t>0, 4, 5, 3, 10, 1, 2, 2, 3, 4, 2, 2, 2, 3, 6, 5, 0, 0, 0, 1, 4, 0, 0, 1</t>
  </si>
  <si>
    <t>0, 1, 1, 2, 0, 3, 2, 4, 3, 3, 1, 8, 6, 7, 10, 6, 7, 6, 9, 6, 10, 10, 7, 2</t>
  </si>
  <si>
    <t>electrical drafting services in south africa</t>
  </si>
  <si>
    <t>how much does a electrical contractor make</t>
  </si>
  <si>
    <t>electrical installation company</t>
  </si>
  <si>
    <t>0, 0, 1, 0, 0, 0, 0, 0, 0, 0, 0, 0, 0, 0, 0, 0, 0, 0, 1, 1, 0, 0, 0, 1</t>
  </si>
  <si>
    <t>0, 0, 0, 0, 0, 0, 0, 0, 0, 0, 0, 0, 168, 130, 90, 139, 5, 17, 38, 21, 92, 201, 159, 105</t>
  </si>
  <si>
    <t>what does electrical installation deal with</t>
  </si>
  <si>
    <t>3, 5, 5, 6, 2, 6, 4, 7, 5, 4, 3, 33, 7, 3, 0, 1, 2, 2, 5, 1, 11, 12, 0, 9</t>
  </si>
  <si>
    <t>electrical maintenance near me</t>
  </si>
  <si>
    <t>0, 1, 0, 1, 0, 3, 1, 0, 0, 1, 1, 0, 0, 0, 3, 0, 0, 0, 0, 1, 0, 0, 0, 1</t>
  </si>
  <si>
    <t>what is level 3 electrical installation</t>
  </si>
  <si>
    <t>1, 0, 4, 2, 1, 4, 2, 3, 0, 4, 1, 6, 6, 12, 6, 10, 7, 11, 6, 10, 6, 7, 0, 5</t>
  </si>
  <si>
    <t>0, 1, 0, 0, 0, 1, 0, 0, 0, 0, 0, 0, 0, 0, 0, 0, 0, 0, 2, 0, 0, 0, 0, 1</t>
  </si>
  <si>
    <t>electrical services contractor</t>
  </si>
  <si>
    <t>what are electrical services</t>
  </si>
  <si>
    <t>0, 0, 0, 0, 0, 0, 0, 0, 0, 0, 0, 1, 0, 0, 0, 0, 0, 0, 0, 0, 0, 0, 0, 1</t>
  </si>
  <si>
    <t>0, 0, 0, 0, 0, 0, 0, 1, 1, 0, 1, 1, 0, 0, 0, 1, 0, 0, 0, 0, 0, 0, 0, 1</t>
  </si>
  <si>
    <t>electrical installation contractor</t>
  </si>
  <si>
    <t>what is electrical contractor</t>
  </si>
  <si>
    <t>electrical installation regulations</t>
  </si>
  <si>
    <t>1, 0, 0, 0, 0, 1, 0, 2, 3, 0, 3, 3, 2, 1, 0, 0, 0, 0, 5, 1, 1, 0, 0, 1</t>
  </si>
  <si>
    <t>electrical repairs service</t>
  </si>
  <si>
    <t>4, 10, 5, 5, 4, 8, 10, 7, 4, 4, 9, 6, 6, 4, 2, 6, 1, 4, 6, 8, 1, 4, 2, 3</t>
  </si>
  <si>
    <t>0, 0, 0, 0, 0, 0, 3, 2, 0, 1, 3, 1, 0, 0, 0, 0, 0, 0, 0, 0, 0, 1, 0, 1</t>
  </si>
  <si>
    <t>93, 91, 97, 95, 79, 81, 93, 94, 93, 92, 97, 91, 96, 93, 99, 98, 81, 83, 96, 96, 96, 94, 99, 94</t>
  </si>
  <si>
    <t>what are the 3 tests for electrical installation?</t>
  </si>
  <si>
    <t>electrical maintenance contractor</t>
  </si>
  <si>
    <t>98, 96, 102, 100, 83, 85, 98, 99, 98, 97, 102, 96</t>
  </si>
  <si>
    <t>Public policy; Technical reference; Technology</t>
  </si>
  <si>
    <t>home electrical repair services near me</t>
  </si>
  <si>
    <t>0, 1, 0, 0, 0, 0, 0, 2, 0, 0, 0, 0, 0, 1, 0, 0, 1, 0, 0, 0, 0, 0, 0, 1</t>
  </si>
  <si>
    <t>how long is level 3 electrical installation</t>
  </si>
  <si>
    <t>emergency electrician call out</t>
  </si>
  <si>
    <t>1, 3, 4, 6, 6, 5, 5, 10, 9, 7, 10, 6, 65, 62, 82, 84, 84, 94, 94, 83, 96, 87, 88, 47</t>
  </si>
  <si>
    <t>2, 0, 0, 0, 0, 0, 0, 0, 0, 0, 0, 0, 0, 1, 0, 0, 0, 0, 1, 0, 0, 0, 0, 1</t>
  </si>
  <si>
    <t>0, 0, 0, 0, 0, 0, 0, 1, 0, 0, 1, 0, 0, 0, 0, 3, 0, 1, 0, 1, 0, 0, 0, 1</t>
  </si>
  <si>
    <t>semi skilled electrician jobs cape town</t>
  </si>
  <si>
    <t>how to electrical installation</t>
  </si>
  <si>
    <t>commercial electrician contractor</t>
  </si>
  <si>
    <t>0, 0, 0, 0, 0, 0, 1, 0, 0, 1, 0, 0, 2, 0, 0, 0, 0, 0, 0, 0, 0, 0, 0, 1</t>
  </si>
  <si>
    <t>0, 0, 0, 0, 1, 1, 1, 0, 0, 0, 1, 0, 0, 0, 0, 0, 0, 0, 0, 0, 0, 0, 0, 1</t>
  </si>
  <si>
    <t>Transactional,Non-branded,Local</t>
  </si>
  <si>
    <t>13, 38, 34, 22, 29, 212, 148, 110, 135, 91, 72, 107, 79, 103, 50, 54, 32, 130, 151, 95, 87, 99, 16, 66</t>
  </si>
  <si>
    <t>electrical maintenance company</t>
  </si>
  <si>
    <t>how to test polarity in electrical installation</t>
  </si>
  <si>
    <t>1, 4, 7, 7, 5, 4, 1, 2, 1, 5, 4, 2, 1, 1, 0, 0, 0, 1, 1, 1, 2, 2, 0, 2</t>
  </si>
  <si>
    <t>0, 0, 0, 0, 0, 0, 0, 0, 0, 0, 0, 0, 0, 0, 0, 1, 0, 1, 0, 0, 2, 0, 0, 2</t>
  </si>
  <si>
    <t>electrical services company</t>
  </si>
  <si>
    <t>what is electrical installation condition report</t>
  </si>
  <si>
    <t>10, 9, 15, 21, 19, 21, 11, 7, 30, 55, 63, 3, 2, 2, 2, 1, 3, 6, 2, 2, 5, 3, 0, 4</t>
  </si>
  <si>
    <t>0, 0, 0, 0, 0, 0, 0, 0, 0, 0, 0, 0, 0, 1, 0, 0, 0, 0, 0, 0, 0, 0, 0, 1</t>
  </si>
  <si>
    <t>residential electrician company</t>
  </si>
  <si>
    <t>how to get an electrical installation certificate</t>
  </si>
  <si>
    <t>0, 2, 3, 1, 0, 0, 2, 1, 2, 2, 2, 0, 0, 0, 0, 0, 0, 0, 0, 0, 0, 0, 0, 1</t>
  </si>
  <si>
    <t>electrical repairs company</t>
  </si>
  <si>
    <t>0, 0, 0, 3, 0, 0, 0, 0, 0, 0, 0, 0, 0, 0, 1, 2, 0, 0, 1, 0, 1, 1, 0, 1</t>
  </si>
  <si>
    <t>0, 0, 0, 0, 0, 0, 0, 0, 1, 0, 4, 0, 0, 0, 0, 0, 0, 0, 0, 0, 0, 0, 0, 1</t>
  </si>
  <si>
    <t>how to become electrical contractor</t>
  </si>
  <si>
    <t>electrical installation near me</t>
  </si>
  <si>
    <t>10, 15, 9, 6, 8, 8, 8, 16, 9, 16, 19, 8, 6, 6, 2, 0, 2, 5, 1, 1, 0, 2, 0, 2</t>
  </si>
  <si>
    <t>0, 0, 2, 2, 1, 0, 0, 1, 0, 1, 0, 0, 3, 3, 0, 2, 0, 0, 1, 0, 0, 0, 0, 1</t>
  </si>
  <si>
    <t>electrical maintenance installation</t>
  </si>
  <si>
    <t>where to register as electrical contractor</t>
  </si>
  <si>
    <t>24 hour electrician cape town</t>
  </si>
  <si>
    <t>0, 1, 0, 1, 1, 0, 0, 0, 0, 1, 1, 0, 2, 0, 0, 0, 0, 0, 0, 1, 0, 0, 0, 1</t>
  </si>
  <si>
    <t>electrical installation repair</t>
  </si>
  <si>
    <t>how to apply electrical contractor license</t>
  </si>
  <si>
    <t>4, 15, 24, 10, 8, 12, 6, 5, 4, 4, 4, 109, 46, 54, 70, 55, 67, 60, 199, 56, 51, 47, 48, 48</t>
  </si>
  <si>
    <t>0, 0, 0, 0, 0, 0, 0, 1, 1, 1, 2, 0, 0, 0, 0, 1, 0, 0, 0, 0, 0, 0, 0, 1</t>
  </si>
  <si>
    <t>emergency electrician cost</t>
  </si>
  <si>
    <t>commercial electrical services</t>
  </si>
  <si>
    <t>0, 0, 0, 0, 0, 1, 0, 0, 0, 0, 0, 0, 2, 0, 0, 0, 0, 0, 0, 1, 0, 0, 0, 1</t>
  </si>
  <si>
    <t>0, 2, 2, 2, 1, 1, 3, 0, 1, 1, 2, 1, 0, 0, 0, 0, 0, 1, 0, 0, 0, 0, 0, 1</t>
  </si>
  <si>
    <t>electrical repairs cape town</t>
  </si>
  <si>
    <t>how to get electrical installation certificate</t>
  </si>
  <si>
    <t>25, 15, 37, 28, 40, 37, 52, 42, 64, 72, 109, 93, 78, 72, 66, 75, 71, 72, 69, 64, 50, 38, 35, 31</t>
  </si>
  <si>
    <t>0, 0, 0, 0, 0, 0, 0, 1, 4, 6, 2, 6, 0, 0, 0, 0, 0, 0, 0, 0, 0, 0, 0, 1</t>
  </si>
  <si>
    <t>emergency electrician pretoria</t>
  </si>
  <si>
    <t>0, 0, 0, 0, 0, 0, 0, 2, 0, 0, 0, 1, 0, 0, 0, 0, 1, 0, 1, 0, 0, 2, 0, 2</t>
  </si>
  <si>
    <t>residential electrician cost</t>
  </si>
  <si>
    <t>what does an electrical contractor do</t>
  </si>
  <si>
    <t>0, 0, 0, 0, 0, 23, 66, 63, 67, 61, 68, 131, 132, 81, 95, 90, 108, 87, 115, 22, 17, 9, 6, 11</t>
  </si>
  <si>
    <t>0, 0, 0, 0, 0, 0, 0, 2, 1, 0, 1, 0, 0, 0, 0, 0, 0, 0, 0, 0, 0, 0, 0, 1</t>
  </si>
  <si>
    <t>emergency electrician midrand</t>
  </si>
  <si>
    <t>electrical contractor cape town</t>
  </si>
  <si>
    <t>1, 0, 2, 2, 0, 3, 0, 0, 0, 2, 2, 2, 3, 1, 0, 0, 0, 1, 1, 1, 1, 3, 2, 3</t>
  </si>
  <si>
    <t>how to become a registered electrical contractor</t>
  </si>
  <si>
    <t>2, 0, 0, 1, 2, 1, 0, 3, 2, 0, 6, 0, 0, 0, 0, 0, 0, 0, 0, 0, 0, 16, 21, 18</t>
  </si>
  <si>
    <t>0, 0, 0, 0, 0, 26, 60, 63, 63, 63, 68, 73, 83, 79, 92, 105, 114, 105, 102, 9, 13, 7, 2, 8</t>
  </si>
  <si>
    <t>electrical services installation</t>
  </si>
  <si>
    <t>mobile auto electrical services</t>
  </si>
  <si>
    <t>cape town</t>
  </si>
  <si>
    <t>1, 0, 0, 1, 0, 0, 2, 1, 1, 4, 1, 0, 0, 0, 0, 0, 0, 1, 0, 0, 1, 0, 0, 1</t>
  </si>
  <si>
    <t>0, 18, 11, 4, 1, 2, 0, 3, 2, 7, 1, 66, 63, 69, 68, 63, 66, 72, 71, 70, 65, 71, 1, 45</t>
  </si>
  <si>
    <t>emergency electrician service</t>
  </si>
  <si>
    <t>how to renew electrical contractor licence</t>
  </si>
  <si>
    <t>electrical contractor johannesburg</t>
  </si>
  <si>
    <t>2, 1, 3, 3, 2, 6, 4, 5, 4, 2, 2, 2, 2, 3, 2, 0, 1, 0, 0, 0, 3, 0, 1, 2</t>
  </si>
  <si>
    <t>0, 1, 0, 0, 0, 0, 0, 0, 0, 0, 0, 0, 0, 0, 1, 0, 0, 0, 0, 0, 0, 0, 0, 1</t>
  </si>
  <si>
    <t>commercial electrician near me</t>
  </si>
  <si>
    <t>0, 0, 0, 0, 0, 0, 0, 0, 0, 0, 0, 0, 45, 33, 52, 132, 217, 114, 7, 23, 29, 19, 10, 2</t>
  </si>
  <si>
    <t>how to test electrical installation</t>
  </si>
  <si>
    <t>electrical installation randburg</t>
  </si>
  <si>
    <t>16, 24, 17, 16, 25, 21, 38, 47, 49, 41, 47, 2, 1, 0, 1, 0, 0, 1, 6, 1, 3, 15, 3, 8</t>
  </si>
  <si>
    <t>commercial electrician company</t>
  </si>
  <si>
    <t>0, 0, 0, 0, 0, 0, 0, 0, 0, 1, 0, 0, 1, 3, 0, 0, 0, 0, 0, 0, 0, 0, 0, 1</t>
  </si>
  <si>
    <t>0, 0, 0, 0, 0, 0, 24, 58, 65, 60, 62, 59, 67, 68, 66, 81, 88, 86, 87, 84, 0, 1, 0, 1</t>
  </si>
  <si>
    <t>1, 2, 1, 3, 1, 2, 1, 3, 0, 2, 2, 3, 0, 0, 0, 0, 0, 0, 0, 0, 0, 0, 0, 1</t>
  </si>
  <si>
    <t>what is electrical installation?</t>
  </si>
  <si>
    <t>electrical contractor cost</t>
  </si>
  <si>
    <t>0, 0, 0, 0, 0, 0, 0, 0, 0, 0, 0, 0, 0, 0, 1, 0, 0, 0, 0, 0, 0, 0, 0, 1</t>
  </si>
  <si>
    <t>0, 0, 1, 0, 0, 0, 0, 0, 1, 0, 0, 0, 0, 0, 0, 0, 0, 0, 0, 0, 0, 0, 1, 1</t>
  </si>
  <si>
    <t>residential electrician contractor</t>
  </si>
  <si>
    <t>what is electrical installation certificate</t>
  </si>
  <si>
    <t>electrical installation roodepoort</t>
  </si>
  <si>
    <t>0, 1, 0, 1, 0, 0, 0, 0, 1, 0, 0, 1, 0, 0, 0, 0, 0, 0, 0, 0, 0, 0, 0, 1</t>
  </si>
  <si>
    <t>electrical installation quote</t>
  </si>
  <si>
    <t>0, 0, 1, 0, 0, 0, 0, 0, 0, 0, 0, 0, 0, 0, 0, 1, 0, 0, 2, 0, 0, 3, 0, 2</t>
  </si>
  <si>
    <t>0, 0, 0, 0, 0, 0, 25, 57, 67, 62, 62, 73, 69, 69, 69, 84, 89, 88, 92, 93, 0, 0, 0, 1</t>
  </si>
  <si>
    <t>emergency electrician randburg</t>
  </si>
  <si>
    <t>what is termination in electrical installation</t>
  </si>
  <si>
    <t>0, 0, 0, 0, 0, 0, 0, 0, 0, 0, 0, 0, 0, 0, 0, 3, 0, 0, 2, 0, 0, 0, 0, 1</t>
  </si>
  <si>
    <t>electrical contractor company</t>
  </si>
  <si>
    <t>0, 0, 0, 0, 0, 28, 59, 71, 64, 62, 63, 59, 68, 71, 78, 97, 98, 95, 95, 2, 1, 0, 0, 1</t>
  </si>
  <si>
    <t>1, 0, 1, 0, 1, 0, 0, 0, 0, 0, 0, 1, 1, 1, 0, 2, 2, 0, 0, 0, 0, 1, 0, 3</t>
  </si>
  <si>
    <t>0, 0, 2, 2, 3, 5, 0, 2, 4, 0, 3, 0, 1, 0, 1, 0, 0, 2, 1, 0, 0, 0, 0, 1</t>
  </si>
  <si>
    <t>electrical installation midrand</t>
  </si>
  <si>
    <t>how to get an electrical contractor license</t>
  </si>
  <si>
    <t>electrical installation cape town</t>
  </si>
  <si>
    <t>0, 0, 0, 0, 0, 0, 0, 0, 0, 0, 2, 0, 10, 0, 0, 0, 0, 0, 0, 0, 0, 11, 16, 13</t>
  </si>
  <si>
    <t>0, 1, 0, 0, 0, 0, 0, 0, 1, 0, 0, 0, 0, 1, 0, 0, 1, 1, 0, 0, 0, 0, 0, 1</t>
  </si>
  <si>
    <t>0, 0, 0, 0, 0, 0, 25, 59, 68, 63, 69, 70, 65, 70, 66, 94, 91, 101, 87, 85, 0, 3, 0, 1</t>
  </si>
  <si>
    <t>commercial electrician service</t>
  </si>
  <si>
    <t>emergency electrician sandton</t>
  </si>
  <si>
    <t>how much for electrical installation</t>
  </si>
  <si>
    <t>1, 2, 1, 3, 2, 2, 4, 4, 4, 2, 3, 6, 4, 0, 0, 0, 0, 0, 2, 0, 0, 0, 1, 1</t>
  </si>
  <si>
    <t>0, 0, 0, 0, 0, 0, 1, 0, 0, 0, 1, 1, 1, 0, 0, 0, 0, 0, 0, 0, 0, 0, 0, 1</t>
  </si>
  <si>
    <t>1, 2, 2, 3, 0, 29, 59, 68, 66, 63, 72, 93, 95, 91, 90, 86, 101, 96, 98, 5, 4, 3, 0, 3</t>
  </si>
  <si>
    <t>residential electrician service</t>
  </si>
  <si>
    <t>what is level 2 electrical installation</t>
  </si>
  <si>
    <t>mobile auto electrical services jhb</t>
  </si>
  <si>
    <t>1, 0, 1, 1, 3, 1, 5, 1, 3, 1, 0, 2, 0, 0, 0, 0, 0, 0, 0, 0, 0, 0, 0, 1</t>
  </si>
  <si>
    <t>electrical installation inspection</t>
  </si>
  <si>
    <t>5, 7, 0, 0, 5, 1, 0, 1, 0, 0, 4, 60, 65, 61, 67, 59, 65, 68, 62, 66, 66, 67, 0, 44</t>
  </si>
  <si>
    <t>how to become an electrical contractor</t>
  </si>
  <si>
    <t>3, 1, 6, 9, 1, 2, 4, 3, 1, 3, 0, 2, 0, 1, 0, 2, 0, 0, 0, 0, 1, 4, 0, 3</t>
  </si>
  <si>
    <t>electrical contractor tenders</t>
  </si>
  <si>
    <t>electrical installation cost</t>
  </si>
  <si>
    <t>2, 0, 1, 4, 2, 2, 0, 0, 0, 3, 1, 1, 3, 3, 2, 1, 0, 0, 3, 0, 0, 0, 0, 1</t>
  </si>
  <si>
    <t>4, 2, 1, 0, 3, 3, 3, 0, 5, 3, 3, 2, 1, 2, 6, 7, 4, 2, 0, 2, 5, 1, 3, 4</t>
  </si>
  <si>
    <t>how to register as electrical contractor pdf</t>
  </si>
  <si>
    <t>3, 9, 5, 6, 18, 3, 5, 6, 3, 2, 2, 3, 63, 63, 63, 63, 53, 76, 78, 85, 85, 21, 7, 36</t>
  </si>
  <si>
    <t>electrical maintenance cape town</t>
  </si>
  <si>
    <t>auto electrical repairs</t>
  </si>
  <si>
    <t>0, 0, 0, 0, 0, 0, 0, 0, 0, 0, 1, 11, 0, 0, 0, 0, 0, 0, 0, 0, 0, 0, 0, 1</t>
  </si>
  <si>
    <t>commercial electrician affordable</t>
  </si>
  <si>
    <t>what is clean earth electrical installation</t>
  </si>
  <si>
    <t>12, 15, 11, 14, 12, 24, 19, 19, 18, 26, 16, 73, 74, 66, 55, 56, 53, 54, 57, 68, 50, 41, 36, 43</t>
  </si>
  <si>
    <t>4, 0, 0, 0, 1, 0, 0, 0, 0, 0, 0, 0, 0, 0, 1, 0, 0, 0, 0, 1, 0, 0, 0, 1</t>
  </si>
  <si>
    <t>emergency electrician centurion</t>
  </si>
  <si>
    <t>commercial electrician call out</t>
  </si>
  <si>
    <t>how to be a successful electrical contractor</t>
  </si>
  <si>
    <t>commercial electrician cape town</t>
  </si>
  <si>
    <t>0, 0, 0, 0, 0, 26, 65, 63, 65, 65, 74, 64, 68, 82, 93, 97, 106, 89, 99, 14, 12, 15, 12, 14</t>
  </si>
  <si>
    <t>how much does an electrical contractor make</t>
  </si>
  <si>
    <t>emergency electrician roodepoort</t>
  </si>
  <si>
    <t>commercial electrician coc</t>
  </si>
  <si>
    <t>1, 0, 0, 0, 0, 0, 0, 0, 1, 0, 0, 0, 0, 0, 0, 2, 0, 1, 0, 0, 0, 0, 0, 1</t>
  </si>
  <si>
    <t>commercial electrician cost</t>
  </si>
  <si>
    <t>0, 0, 0, 0, 0, 25, 60, 63, 59, 71, 63, 60, 64, 67, 87, 93, 86, 84, 94, 1, 1, 0, 0, 1</t>
  </si>
  <si>
    <t>how to be a electrical contractor</t>
  </si>
  <si>
    <t>same day</t>
  </si>
  <si>
    <t>electrical installation pretoria</t>
  </si>
  <si>
    <t>commercial electrician emergency</t>
  </si>
  <si>
    <t>0, 0, 2, 0, 0, 0, 0, 0, 0, 0, 0, 0, 0, 1, 0, 2, 0, 0, 0, 0, 0, 0, 0, 1</t>
  </si>
  <si>
    <t>0, 0, 0, 0, 0, 24, 54, 67, 62, 61, 72, 61, 62, 69, 90, 98, 88, 91, 87, 2, 4, 1, 0, 3</t>
  </si>
  <si>
    <t>what is polarity test in electrical installation</t>
  </si>
  <si>
    <t>electrical installation centurion</t>
  </si>
  <si>
    <t>commercial electrician inspection</t>
  </si>
  <si>
    <t>0, 0, 0, 0, 0, 0, 2, 0, 0, 2, 1, 1, 4, 0, 1, 0, 0, 0, 0, 0, 0, 0, 0, 1</t>
  </si>
  <si>
    <t>how much does electrical contractor make</t>
  </si>
  <si>
    <t>0, 0, 0, 0, 0, 26, 58, 70, 59, 67, 65, 64, 67, 67, 82, 91, 94, 89, 93, 0, 0, 0, 0, 1</t>
  </si>
  <si>
    <t>commercial electrician installation</t>
  </si>
  <si>
    <t>electrical installation sandton</t>
  </si>
  <si>
    <t>1, 0, 1, 0, 0, 0, 0, 0, 0, 0, 0, 0, 0, 0, 0, 0, 0, 0, 0, 0, 0, 0, 0, 1</t>
  </si>
  <si>
    <t>commercial electrician licensed</t>
  </si>
  <si>
    <t>how much for emergency electrician</t>
  </si>
  <si>
    <t>0, 0, 0, 0, 0, 21, 58, 67, 59, 66, 66, 62, 71, 68, 84, 84, 91, 80, 90, 1, 0, 0, 0, 1</t>
  </si>
  <si>
    <t>commercial electrician local</t>
  </si>
  <si>
    <t>electrical appliances repairs near me</t>
  </si>
  <si>
    <t>0, 0, 0, 0, 0, 0, 0, 0, 0, 1, 1, 0, 1, 0, 0, 0, 0, 0, 0, 0, 0, 0, 0, 1</t>
  </si>
  <si>
    <t>what are electrical services in buildings</t>
  </si>
  <si>
    <t>commercial electrician professional</t>
  </si>
  <si>
    <t>what is electrical installation work</t>
  </si>
  <si>
    <t>commercial electrician qualified</t>
  </si>
  <si>
    <t>1, 1, 0, 2, 3, 0, 1, 2, 0, 0, 1, 1, 2, 1, 0, 2, 2, 0, 2, 3, 0, 1, 0, 1</t>
  </si>
  <si>
    <t>75, 69, 61, 82, 63, 58, 84, 42, 44, 63, 32, 43, 68, 45, 48, 34, 51, 49, 50, 47, 50, 34, 28, 27</t>
  </si>
  <si>
    <t>commercial electrician quote</t>
  </si>
  <si>
    <t>how to get a electrical contractor license</t>
  </si>
  <si>
    <t>amj electrical services durban</t>
  </si>
  <si>
    <t>commercial electrician reliable</t>
  </si>
  <si>
    <t>0, 1, 0, 0, 0, 0, 0, 0, 0, 0, 0, 0, 0, 0, 0, 0, 0, 1, 0, 0, 0, 0, 0, 1</t>
  </si>
  <si>
    <t>commercial electrician repair</t>
  </si>
  <si>
    <t>1, 0, 0, 0, 0, 0, 67, 14, 15, 43, 53, 12, 18, 22, 58, 41, 23, 7, 11, 111, 68, 77, 41, 59</t>
  </si>
  <si>
    <t>what is the hourly rate for electrical contractor</t>
  </si>
  <si>
    <t>auto electrical repairs gezina</t>
  </si>
  <si>
    <t>commercial electrician same day</t>
  </si>
  <si>
    <t>0, 0, 0, 0, 5, 0, 0, 0, 0, 0, 0, 0, 0, 0, 0, 0, 0, 1, 1, 1, 0, 0, 0, 1</t>
  </si>
  <si>
    <t>how much is an emergency electrician</t>
  </si>
  <si>
    <t>0, 0, 0, 0, 0, 0, 0, 1, 1, 0, 1, 32, 36, 35, 38, 42, 47, 43, 42, 41, 35, 42, 38, 39</t>
  </si>
  <si>
    <t>electrical compliance certificate affordable</t>
  </si>
  <si>
    <t>price per point electrical installation south africa</t>
  </si>
  <si>
    <t>0, 0, 0, 0, 1, 1, 0, 1, 1, 0, 1, 1, 0, 0, 0, 0, 0, 0, 0, 0, 0, 0, 0, 1</t>
  </si>
  <si>
    <t>emergency electrician dee why</t>
  </si>
  <si>
    <t>electrical compliance certificate call out</t>
  </si>
  <si>
    <t>AI Overview,People also ask,Discussions,Sitelinks</t>
  </si>
  <si>
    <t>0, 0, 0, 0, 0, 0, 0, 1, 0, 0, 0, 0, 0, 0, 0, 0, 0, 0, 0, 0, 0, 0, 0, 1</t>
  </si>
  <si>
    <t>electrical compliance certificate coc</t>
  </si>
  <si>
    <t>someone who supplies or repairs electrical equipment</t>
  </si>
  <si>
    <t>electrical compliance certificate company</t>
  </si>
  <si>
    <t>69, 50, 71, 54, 81, 56, 67, 65, 71, 53, 54, 52, 54, 35, 54, 55, 48, 35, 29, 29, 22, 25, 5, 3</t>
  </si>
  <si>
    <t>32, 5, 1, 0, 0, 0, 0, 0, 0, 0, 0, 0, 0, 0, 0, 0, 0, 0, 0, 0, 0, 0, 0, 1</t>
  </si>
  <si>
    <t>how to do electrical installation</t>
  </si>
  <si>
    <t>emergency electrician durban</t>
  </si>
  <si>
    <t>electrical compliance certificate contractor</t>
  </si>
  <si>
    <t>0, 0, 0, 0, 0, 0, 0, 0, 0, 0, 0, 0, 21, 20, 32, 19, 20, 113, 81, 48, 65, 18, 20, 35</t>
  </si>
  <si>
    <t>0, 1, 1, 0, 0, 0, 0, 1, 1, 0, 0, 2, 1, 0, 1, 0, 0, 0, 1, 0, 1, 0, 0, 1</t>
  </si>
  <si>
    <t>electrical compliance certificate emergency</t>
  </si>
  <si>
    <t>how to be an electrical contractor</t>
  </si>
  <si>
    <t>auto electrical repairs pretoria</t>
  </si>
  <si>
    <t>electrical compliance certificate inspection</t>
  </si>
  <si>
    <t>1, 0, 1, 0, 3, 0, 0, 0, 0, 0, 0, 0, 0, 0, 0, 0, 1, 0, 2, 0, 1, 0, 0, 1</t>
  </si>
  <si>
    <t>0, 0, 0, 0, 0, 0, 0, 1, 1, 0, 0, 31, 43, 29, 37, 39, 47, 43, 43, 46, 35, 35, 35, 36</t>
  </si>
  <si>
    <t>how much is electrical installation</t>
  </si>
  <si>
    <t>electrical compliance certificate installation</t>
  </si>
  <si>
    <t>auto electrical repairs menlyn</t>
  </si>
  <si>
    <t>1, 1, 1, 2, 2, 0, 1, 0, 0, 0, 2, 0, 0, 0, 2, 0, 1, 0, 2, 1, 0, 1, 0, 1</t>
  </si>
  <si>
    <t>electrical compliance certificate licensed</t>
  </si>
  <si>
    <t>emergency</t>
  </si>
  <si>
    <t>how to make money as an electrical contractor</t>
  </si>
  <si>
    <t>0, 0, 0, 0, 0, 0, 0, 2, 0, 2, 1, 32, 34, 34, 44, 45, 45, 45, 41, 52, 48, 50, 34, 45</t>
  </si>
  <si>
    <t>0, 0, 0, 0, 0, 1, 0, 0, 0, 0, 0, 0, 0, 0, 0, 0, 0, 0, 0, 0, 0, 0, 0, 1</t>
  </si>
  <si>
    <t>electrical compliance certificate local</t>
  </si>
  <si>
    <t>what is electrical installation and maintenance</t>
  </si>
  <si>
    <t>electrical compliance certificate professional</t>
  </si>
  <si>
    <t>1, 2, 2, 0, 0, 0, 1, 1, 0, 1, 1, 0, 0, 1, 0, 0, 1, 1, 0, 1, 2, 0, 0, 2</t>
  </si>
  <si>
    <t>electrical compliance certificate qualified</t>
  </si>
  <si>
    <t>how much is electrical wiring installation</t>
  </si>
  <si>
    <t>electrical services services</t>
  </si>
  <si>
    <t>2, 2, 3, 4, 1, 2, 2, 0, 7, 1, 1, 1, 0, 2, 0, 3, 1, 0, 1, 3, 2, 0, 0, 1</t>
  </si>
  <si>
    <t>electrical compliance certificate quote</t>
  </si>
  <si>
    <t>0, 0, 0, 0, 0, 0, 0, 0, 0, 1, 1, 0, 39, 33, 34, 44, 36, 36, 37, 35, 43, 57, 49, 50</t>
  </si>
  <si>
    <t>who repairs electrical things</t>
  </si>
  <si>
    <t>electrical installation course</t>
  </si>
  <si>
    <t>electrical compliance certificate reliable</t>
  </si>
  <si>
    <t>electrical compliance certificate repair</t>
  </si>
  <si>
    <t>what is an electrical installation</t>
  </si>
  <si>
    <t>25, 23, 27, 44, 17, 54, 34, 36, 47, 38, 50, 38, 43, 62, 48, 38, 31, 63, 38, 36, 37, 48, 15, 33</t>
  </si>
  <si>
    <t>11, 16, 4, 4, 0, 4, 8, 7, 5, 5, 6, 4, 6, 4, 2, 6, 3, 4, 2, 7, 2, 3, 5, 4</t>
  </si>
  <si>
    <t>electrical engineering services</t>
  </si>
  <si>
    <t>electrical compliance certificate same day</t>
  </si>
  <si>
    <t>how to become a electrical contractor</t>
  </si>
  <si>
    <t>electrical compliance certificate service</t>
  </si>
  <si>
    <t>0, 0, 1, 1, 0, 0, 0, 0, 1, 1, 0, 0, 0, 0, 0, 0, 1, 1, 0, 0, 0, 0, 1, 1</t>
  </si>
  <si>
    <t>18, 21, 28, 26, 15, 15, 21, 17, 27, 39, 33, 101, 103, 69, 44, 28, 30, 32, 19, 22, 28, 37, 8, 25</t>
  </si>
  <si>
    <t>what is industrial electrical installation</t>
  </si>
  <si>
    <t>electrical contractor affordable</t>
  </si>
  <si>
    <t>electrical services provider</t>
  </si>
  <si>
    <t>electrical contractor call out</t>
  </si>
  <si>
    <t>what is nvq level 3 electrical installation</t>
  </si>
  <si>
    <t>electrical contractor coc</t>
  </si>
  <si>
    <t>5, 2, 2, 1, 2, 1, 4, 3, 1, 4, 2, 31, 33, 33, 40, 35, 34, 34, 37, 41, 50, 41, 10, 34</t>
  </si>
  <si>
    <t>electrical installation price list</t>
  </si>
  <si>
    <t>what is a contractor in electrical</t>
  </si>
  <si>
    <t>electrical contractor emergency</t>
  </si>
  <si>
    <t>0, 0, 1, 0, 1, 0, 0, 0, 1, 4, 3, 1, 1, 0, 0, 5, 0, 0, 4, 0, 3, 0, 1, 3</t>
  </si>
  <si>
    <t>electrical contractor inspection</t>
  </si>
  <si>
    <t>37, 26, 24, 16, 13, 13, 28, 25, 41, 33, 25, 31, 49, 50, 36, 44, 15, 21, 61, 62, 54, 19, 29, 32</t>
  </si>
  <si>
    <t>how to register as an electrical contractor</t>
  </si>
  <si>
    <t>electrician vacancies cape town</t>
  </si>
  <si>
    <t>electrical contractor installation</t>
  </si>
  <si>
    <t>electrical contractor licensed</t>
  </si>
  <si>
    <t>how to apply for electrical contractor licence</t>
  </si>
  <si>
    <t>0, 0, 0, 36, 38, 7, 0, 0, 0, 38, 1, 13, 4, 3, 11, 12, 9, 21, 74, 119, 25, 36, 36, 23</t>
  </si>
  <si>
    <t>electrical contractor local</t>
  </si>
  <si>
    <t>electrical certificate of compliance cost</t>
  </si>
  <si>
    <t>how much do electrical contractor owners make</t>
  </si>
  <si>
    <t>electrical contractor professional</t>
  </si>
  <si>
    <t>what is electrical contractor license</t>
  </si>
  <si>
    <t>37, 32, 22, 20, 13, 35, 25, 33, 33, 37, 29, 64, 48, 33, 43, 34, 14, 28, 26, 19, 13, 12, 15, 15</t>
  </si>
  <si>
    <t>electrical contractor qualified</t>
  </si>
  <si>
    <t>0, 2, 0, 0, 0, 0, 0, 0, 0, 0, 1, 0, 0, 0, 0, 0, 0, 0, 0, 0, 0, 0, 0, 1</t>
  </si>
  <si>
    <t>what is an electrical contractor license</t>
  </si>
  <si>
    <t>electrical contractor quote</t>
  </si>
  <si>
    <t>automotive electrician cape town</t>
  </si>
  <si>
    <t>2, 0, 0, 0, 0, 0, 2, 0, 0, 0, 0, 0, 0, 0, 0, 0, 0, 1, 0, 0, 0, 0, 0, 1</t>
  </si>
  <si>
    <t>electrical contractor reliable</t>
  </si>
  <si>
    <t>what insurance does an electrical contractor need</t>
  </si>
  <si>
    <t>0, 0, 0, 1, 0, 0, 1, 0, 0, 0, 0, 0, 27, 23, 22, 34, 28, 35, 28, 161, 0, 0, 0, 1</t>
  </si>
  <si>
    <t>auto electrician jobs cape town</t>
  </si>
  <si>
    <t>electrical contractor repair</t>
  </si>
  <si>
    <t>1, 0, 0, 0, 0, 1, 1, 1, 1, 1, 4, 0, 1, 0, 0, 0, 0, 0, 0, 0, 0, 0, 0, 1</t>
  </si>
  <si>
    <t>affordable</t>
  </si>
  <si>
    <t>what are the steps in electrical installation?</t>
  </si>
  <si>
    <t>auto electrician jobs</t>
  </si>
  <si>
    <t>electrical contractor same day</t>
  </si>
  <si>
    <t>0, 0, 0, 0, 1, 0, 0, 0, 0, 0, 0, 0, 0, 0, 0, 0, 0, 0, 0, 0, 0, 0, 0, 1</t>
  </si>
  <si>
    <t>what are the types of electrical installation?</t>
  </si>
  <si>
    <t>electrical installation affordable</t>
  </si>
  <si>
    <t>7, 18, 22, 30, 22, 24, 44, 66, 76, 35, 41, 40, 41, 27, 13, 23, 9, 12, 22, 54, 74, 37, 12, 39</t>
  </si>
  <si>
    <t>what is a electrical contractor</t>
  </si>
  <si>
    <t>industrial electrical services</t>
  </si>
  <si>
    <t>electrical installation call out</t>
  </si>
  <si>
    <t>8, 1, 3, 5, 4, 3, 1, 2, 1, 0, 5, 1, 1, 4, 3, 2, 0, 0, 1, 3, 2, 2, 0, 1</t>
  </si>
  <si>
    <t>electrical installation coc</t>
  </si>
  <si>
    <t>how to get electrical contractor work</t>
  </si>
  <si>
    <t>6, 12, 9, 5, 10, 14, 14, 18, 19, 21, 24, 77, 63, 39, 41, 33, 40, 37, 38, 11, 8, 1, 0, 4</t>
  </si>
  <si>
    <t>electrical installation emergency</t>
  </si>
  <si>
    <t>0, 0, 0, 0, 0, 0, 0, 2, 0, 0, 0, 0, 1, 0, 0, 0, 0, 1, 0, 0, 1, 0, 0, 1</t>
  </si>
  <si>
    <t>electrical fault repairs</t>
  </si>
  <si>
    <t>electrical installation licensed</t>
  </si>
  <si>
    <t>how to obtain electrical contractor license</t>
  </si>
  <si>
    <t>0, 0, 0, 0, 0, 0, 0, 0, 0, 0, 0, 98, 130, 92, 8, 0, 0, 0, 0, 3, 0, 0, 0, 1</t>
  </si>
  <si>
    <t>electrical installation local</t>
  </si>
  <si>
    <t>r2r auto electrical service &amp; repairs</t>
  </si>
  <si>
    <t>1, 0, 0, 0, 0, 0, 0, 0, 0, 0, 0, 0, 0, 0, 0, 0, 0, 0, 0, 1, 0, 0, 0, 1</t>
  </si>
  <si>
    <t>electrical installation professional</t>
  </si>
  <si>
    <t>what is ducting in electrical installation</t>
  </si>
  <si>
    <t>0, 1, 2, 0, 0, 0, 0, 0, 0, 0, 0, 0, 0, 0, 0, 0, 0, 0, 0, 0, 0, 0, 0, 1</t>
  </si>
  <si>
    <t>Informational,Commercial,Transactional,Branded,Local</t>
  </si>
  <si>
    <t>electrical installation qualified</t>
  </si>
  <si>
    <t>what is testing in electrical installation</t>
  </si>
  <si>
    <t>0, 0, 0, 0, 0, 0, 0, 14, 22, 19, 13, 26, 25, 28, 14, 26, 28, 20, 24, 21, 23, 27, 38, 29</t>
  </si>
  <si>
    <t>electrical installation reliable</t>
  </si>
  <si>
    <t>1, 0, 0, 0, 2, 0, 0, 0, 1, 0, 0, 0, 0, 0, 1, 0, 0, 0, 0, 0, 0, 0, 0, 1</t>
  </si>
  <si>
    <t>junior electrician jobs cape town</t>
  </si>
  <si>
    <t>what is electrical installation course</t>
  </si>
  <si>
    <t>electrical installation same day</t>
  </si>
  <si>
    <t>35, 43, 62, 45, 80, 149, 61, 101, 57, 30, 30, 34, 11, 13, 25, 34, 35, 62, 54, 10, 26, 3, 5, 12</t>
  </si>
  <si>
    <t>0, 0, 2, 0, 2, 2, 0, 2, 2, 0, 0, 0, 1, 1, 0, 1, 1, 5, 0, 1, 1, 0, 0, 1</t>
  </si>
  <si>
    <t>electrical maintenance affordable</t>
  </si>
  <si>
    <t>electrician courses cape town</t>
  </si>
  <si>
    <t>what is first fix in electrical installation</t>
  </si>
  <si>
    <t>electrical maintenance call out</t>
  </si>
  <si>
    <t>electrician courses</t>
  </si>
  <si>
    <t>Local pack</t>
  </si>
  <si>
    <t>electrical maintenance coc</t>
  </si>
  <si>
    <t>how much is electrical contractor insurance</t>
  </si>
  <si>
    <t>electrical maintenance cost</t>
  </si>
  <si>
    <t>0, 0, 0, 0, 0, 0, 0, 0, 0, 1, 1, 0, 1, 1, 0, 0, 0, 0, 0, 0, 0, 0, 0, 1</t>
  </si>
  <si>
    <t>10, 16, 5, 2, 3, 9, 6, 12, 13, 15, 13, 21, 43, 41, 51, 39, 34, 64, 27, 13, 14, 30, 3, 16</t>
  </si>
  <si>
    <t>what does a electrical contractor do</t>
  </si>
  <si>
    <t>Continuing education</t>
  </si>
  <si>
    <t>electrical maintenance emergency</t>
  </si>
  <si>
    <t>electrical wiring installation</t>
  </si>
  <si>
    <t>0, 0, 0, 1, 0, 1, 0, 0, 0, 0, 0, 0, 0, 0, 0, 0, 0, 0, 0, 0, 0, 0, 0, 1</t>
  </si>
  <si>
    <t>electrical maintenance inspection</t>
  </si>
  <si>
    <t>how to be electrical contractor</t>
  </si>
  <si>
    <t>electricity installation in a house</t>
  </si>
  <si>
    <t>electrical maintenance licensed</t>
  </si>
  <si>
    <t>AI Overview,Thumbnail,Image pack,People also ask,Local pack,Video preview</t>
  </si>
  <si>
    <t>0, 0, 1, 0, 0, 0, 0, 0, 0, 0, 0, 0, 0, 0, 0, 0, 0, 0, 0, 0, 0, 0, 0, 1</t>
  </si>
  <si>
    <t>what is discrimination in electrical installation</t>
  </si>
  <si>
    <t>electrical maintenance local</t>
  </si>
  <si>
    <t>66, 64, 13, 43, 38, 43, 23, 46, 65, 57, 32, 55, 43, 41, 42, 36, 29, 29, 32, 27, 27, 31, 8, 22</t>
  </si>
  <si>
    <t>electrical maintenance professional</t>
  </si>
  <si>
    <t>a person who repairs electrical equipment</t>
  </si>
  <si>
    <t>department of labour electrical contractor registration</t>
  </si>
  <si>
    <t>electrical maintenance qualified</t>
  </si>
  <si>
    <t>how to get work as an electrical contractor</t>
  </si>
  <si>
    <t>electrical maintenance quote</t>
  </si>
  <si>
    <t>People also ask,Sitelinks</t>
  </si>
  <si>
    <t>1, 2, 0, 1, 0, 0, 1, 0, 0, 0, 0, 0, 0, 2, 0, 0, 0, 0, 0, 0, 0, 0, 0, 1</t>
  </si>
  <si>
    <t>electrical maintenance reliable</t>
  </si>
  <si>
    <t>what is the importance of electrical installation</t>
  </si>
  <si>
    <t>Informational,Branded,Non-local</t>
  </si>
  <si>
    <t>electrical maintenance repair</t>
  </si>
  <si>
    <t>52, 88, 66, 36, 37, 34, 38, 59, 32, 18, 7, 16, 51, 13, 33, 49, 14, 2, 17, 22, 46, 27, 28, 23</t>
  </si>
  <si>
    <t>qualified</t>
  </si>
  <si>
    <t>Government</t>
  </si>
  <si>
    <t>what is contractor in electrical</t>
  </si>
  <si>
    <t>electrical maintenance same day</t>
  </si>
  <si>
    <t>mobile auto electrician cape town</t>
  </si>
  <si>
    <t>1, 0, 2, 0, 0, 1, 0, 1, 1, 1, 2, 1, 1, 2, 2, 2, 1, 6, 0, 0, 2, 0, 2, 1</t>
  </si>
  <si>
    <t>electrical repairs affordable</t>
  </si>
  <si>
    <t>how to register as electrical contractor</t>
  </si>
  <si>
    <t>9, 23, 18, 27, 40, 13, 16, 37, 38, 23, 15, 33, 33, 33, 33, 15, 15, 23, 33, 29, 19, 40, 26, 28</t>
  </si>
  <si>
    <t>electrical contractor software</t>
  </si>
  <si>
    <t>electrical repairs call out</t>
  </si>
  <si>
    <t>21, 14, 15, 0, 0, 0, 0, 0, 0, 0, 0, 3, 0, 0, 0, 0, 0, 0, 0, 0, 0, 0, 0, 1</t>
  </si>
  <si>
    <t>how to check electrical contractor license</t>
  </si>
  <si>
    <t>electrical repairs coc</t>
  </si>
  <si>
    <t>8, 13, 8, 7, 7, 8, 11, 8, 12, 9, 17, 32, 53, 36, 32, 31, 32, 31, 29, 28, 30, 31, 36, 33</t>
  </si>
  <si>
    <t>1, 4, 0, 0, 0, 0, 0, 0, 0, 0, 0, 0, 0, 1, 0, 0, 0, 0, 0, 0, 0, 0, 0, 1</t>
  </si>
  <si>
    <t>construction electrician jobs in cape town</t>
  </si>
  <si>
    <t>how to start electrical contractor business</t>
  </si>
  <si>
    <t>electrical repairs contractor</t>
  </si>
  <si>
    <t>electrical repairs cost</t>
  </si>
  <si>
    <t>3, 0, 1, 0, 1, 0, 0, 1, 0, 1, 0, 0, 1, 1, 0, 2, 0, 0, 1, 0, 1, 1, 0, 1</t>
  </si>
  <si>
    <t>electrical repairs emergency</t>
  </si>
  <si>
    <t>electrical repairs inspection</t>
  </si>
  <si>
    <t>75, 50, 55, 46, 17, 105, 72, 62, 91, 77, 75, 30, 44, 47, 43, 31, 23, 27, 50, 24, 9, 13, 1, 8</t>
  </si>
  <si>
    <t>electrical repairs installation</t>
  </si>
  <si>
    <t>electrical services sandton</t>
  </si>
  <si>
    <t>electrical repairs licensed</t>
  </si>
  <si>
    <t>0, 0, 0, 0, 0, 2, 0, 1, 1, 1, 2, 48, 43, 32, 8, 11, 5, 2, 7, 9, 6, 4, 0, 4</t>
  </si>
  <si>
    <t>electrical consulting services</t>
  </si>
  <si>
    <t>electrical repairs local</t>
  </si>
  <si>
    <t>electrical repairs professional</t>
  </si>
  <si>
    <t>0, 2, 4, 5, 5, 1, 0, 0, 0, 0, 0, 6, 6, 5, 6, 6, 5, 34, 41, 43, 48, 44, 32, 42</t>
  </si>
  <si>
    <t>electrical repairs qualified</t>
  </si>
  <si>
    <t>electrical repairs edenvale</t>
  </si>
  <si>
    <t>electrical repairs quote</t>
  </si>
  <si>
    <t>0, 0, 1, 3, 0, 0, 0, 2, 2, 3, 1, 30, 33, 33, 19, 21, 10, 8, 18, 16, 0, 0, 0, 1</t>
  </si>
  <si>
    <t>electrical repairs reliable</t>
  </si>
  <si>
    <t>electrician emergency</t>
  </si>
  <si>
    <t>electrical repairs same day</t>
  </si>
  <si>
    <t>electrical services affordable</t>
  </si>
  <si>
    <t>5, 9, 12, 13, 18, 12, 11, 13, 9, 20, 18, 41, 17, 12, 11, 9, 11, 10, 9, 22, 9, 18, 7, 12</t>
  </si>
  <si>
    <t>electrical motor repairs near me</t>
  </si>
  <si>
    <t>electrical services call out</t>
  </si>
  <si>
    <t>electrical services coc</t>
  </si>
  <si>
    <t>7, 5, 10, 14, 14, 13, 25, 26, 14, 17, 28, 17, 18, 7, 11, 10, 11, 12, 18, 21, 12, 22, 31, 24</t>
  </si>
  <si>
    <t>electrical services cost</t>
  </si>
  <si>
    <t>electrician apprenticeship cape town</t>
  </si>
  <si>
    <t>electrical services emergency</t>
  </si>
  <si>
    <t>30, 30, 56, 28, 7, 21, 10, 4, 9, 34, 20, 42, 21, 2, 8, 8, 24, 44, 50, 11, 4, 9, 2, 6</t>
  </si>
  <si>
    <t>electrical services inspection</t>
  </si>
  <si>
    <t>electrical repairs johannesburg</t>
  </si>
  <si>
    <t>electrical services licensed</t>
  </si>
  <si>
    <t>0, 0, 0, 0, 0, 0, 0, 2, 2, 1, 1, 30, 20, 27, 15, 15, 18, 23, 16, 22, 16, 18, 10, 15</t>
  </si>
  <si>
    <t>electrical services local</t>
  </si>
  <si>
    <t>emergency electrician johannesburg</t>
  </si>
  <si>
    <t>electrical services professional</t>
  </si>
  <si>
    <t>0, 0, 0, 0, 0, 0, 0, 0, 2, 0, 0, 1, 20, 20, 31, 19, 24, 24, 21, 23, 28, 26, 25, 27</t>
  </si>
  <si>
    <t>licensed</t>
  </si>
  <si>
    <t>department of labour electrical contractor</t>
  </si>
  <si>
    <t>electrical services qualified</t>
  </si>
  <si>
    <t>electrical services quote</t>
  </si>
  <si>
    <t>8, 2, 0, 1, 1, 8, 6, 12, 3, 5, 5, 7, 21, 12, 36, 24, 6, 4, 33, 29, 29, 20, 10, 20</t>
  </si>
  <si>
    <t>electrical services reliable</t>
  </si>
  <si>
    <t>og electrical services</t>
  </si>
  <si>
    <t>electrical services repair</t>
  </si>
  <si>
    <t>0, 0, 5, 17, 20, 15, 15, 0, 0, 1, 7, 7, 6, 18, 22, 10, 17, 33, 15, 24, 24, 20, 4, 17</t>
  </si>
  <si>
    <t>electrical installation tenders</t>
  </si>
  <si>
    <t>electrical services same day</t>
  </si>
  <si>
    <t>electrician cape town affordable</t>
  </si>
  <si>
    <t>6, 4, 0, 0, 1, 8, 3, 5, 1, 0, 3, 1, 41, 59, 60, 14, 0, 2, 0, 0, 0, 2, 0, 2</t>
  </si>
  <si>
    <t>electrical installation certificate</t>
  </si>
  <si>
    <t>electrician cape town call out</t>
  </si>
  <si>
    <t>electrician cape town coc</t>
  </si>
  <si>
    <t>5, 14, 17, 12, 5, 15, 25, 19, 16, 28, 24, 24, 20, 23, 44, 18, 18, 19, 11, 19, 14, 17, 5, 13</t>
  </si>
  <si>
    <t>electrician cape town company</t>
  </si>
  <si>
    <t>electrical installation south africa</t>
  </si>
  <si>
    <t>electrician cape town contractor</t>
  </si>
  <si>
    <t>electrician cape town cost</t>
  </si>
  <si>
    <t>0, 0, 0, 0, 0, 0, 0, 0, 0, 0, 0, 0, 0, 0, 0, 0, 0, 0, 27, 48, 50, 48, 44, 41</t>
  </si>
  <si>
    <t>electrical contractor pretoria</t>
  </si>
  <si>
    <t>electrician cape town emergency</t>
  </si>
  <si>
    <t>0, 0, 0, 0, 0, 0, 0, 1, 4, 2, 1, 2, 13, 16, 13, 14, 15, 20, 12, 18, 27, 18, 10, 19</t>
  </si>
  <si>
    <t>electrician cape town inspection</t>
  </si>
  <si>
    <t>city of cape town electrician jobs</t>
  </si>
  <si>
    <t>electrician cape town installation</t>
  </si>
  <si>
    <t>49, 34, 66, 57, 37, 71, 57, 47, 39, 48, 15, 19, 17, 36, 22, 25, 22, 29, 29, 24, 26, 10, 0, 13</t>
  </si>
  <si>
    <t>electrician cape town licensed</t>
  </si>
  <si>
    <t>electrician cape town local</t>
  </si>
  <si>
    <t>electrician cape town near me</t>
  </si>
  <si>
    <t>electrician cape town professional</t>
  </si>
  <si>
    <t>electrical contractor registration</t>
  </si>
  <si>
    <t>electrician cape town qualified</t>
  </si>
  <si>
    <t>Informational,Transactional,Non-branded,Non-local</t>
  </si>
  <si>
    <t>electrician cape town quote</t>
  </si>
  <si>
    <t>20, 1, 5, 3, 7, 8, 9, 11, 6, 4, 2, 37, 15, 15, 4, 12, 8, 16, 39, 46, 19, 19, 11, 17</t>
  </si>
  <si>
    <t>Certification; Templates</t>
  </si>
  <si>
    <t>electrician cape town reliable</t>
  </si>
  <si>
    <t>cost of electrical compliance certificate</t>
  </si>
  <si>
    <t>electrician cape town repair</t>
  </si>
  <si>
    <t>17, 22, 17, 24, 21, 8, 28, 11, 7, 5, 9, 22, 13, 23, 25, 22, 9, 15, 18, 20, 10, 13, 16, 3</t>
  </si>
  <si>
    <t>electrician cape town same day</t>
  </si>
  <si>
    <t>electrical appliance repairs</t>
  </si>
  <si>
    <t>electrician cape town service</t>
  </si>
  <si>
    <t>washing machine repairs</t>
  </si>
  <si>
    <t>emergency electrician affordable</t>
  </si>
  <si>
    <t>emergency electrician coc</t>
  </si>
  <si>
    <t>reliable</t>
  </si>
  <si>
    <t>emergency electrician company</t>
  </si>
  <si>
    <t>42, 40, 28, 27, 37, 45, 29, 31, 26, 27, 19, 15, 24, 17, 18, 13, 23, 36, 12, 17, 22, 17, 5, 15</t>
  </si>
  <si>
    <t>certificate of compliance for electrical installation</t>
  </si>
  <si>
    <t>emergency electrician contractor</t>
  </si>
  <si>
    <t>emergency electrician inspection</t>
  </si>
  <si>
    <t>10, 5, 2, 2, 11, 3, 7, 6, 16, 14, 10, 17, 31, 35, 27, 21, 13, 16, 29, 28, 24, 20, 15, 21</t>
  </si>
  <si>
    <t>electrical contractor sandton</t>
  </si>
  <si>
    <t>emergency electrician installation</t>
  </si>
  <si>
    <t>emergency electrician licensed</t>
  </si>
  <si>
    <t>1, 0, 0, 3, 0, 1, 0, 0, 3, 3, 3, 114, 117, 47, 4, 5, 0, 0, 0, 0, 0, 0, 0, 1</t>
  </si>
  <si>
    <t>electrical services pretoria</t>
  </si>
  <si>
    <t>emergency electrician local</t>
  </si>
  <si>
    <t>0, 0, 0, 0, 0, 0, 0, 0, 0, 2, 2, 74, 51, 18, 13, 9, 21, 19, 26, 23, 6, 8, 3, 7</t>
  </si>
  <si>
    <t>emergency electrician professional</t>
  </si>
  <si>
    <t>emergency electrician stellenbosch</t>
  </si>
  <si>
    <t>emergency electrician qualified</t>
  </si>
  <si>
    <t>0, 0, 0, 0, 0, 0, 0, 0, 0, 0, 0, 0, 0, 0, 0, 20, 36, 30, 29, 37, 36, 37, 24, 32</t>
  </si>
  <si>
    <t>emergency electrician quote</t>
  </si>
  <si>
    <t>emergency electrician reliable</t>
  </si>
  <si>
    <t>emergency electrician repair</t>
  </si>
  <si>
    <t>emergency electrician same day</t>
  </si>
  <si>
    <t>residential electrician affordable</t>
  </si>
  <si>
    <t>electrical wiring installation in house</t>
  </si>
  <si>
    <t>residential electrician call out</t>
  </si>
  <si>
    <t>residential electrician cape town</t>
  </si>
  <si>
    <t>AI Overview,Thumbnail,Top ads,Image pack,People also ask,Video preview,Top stories,Bottom ads,Paid sitelinks</t>
  </si>
  <si>
    <t>residential electrician coc</t>
  </si>
  <si>
    <t>residential electrician emergency</t>
  </si>
  <si>
    <t>42, 41, 44, 41, 46, 24, 21, 14, 29, 21, 19, 14, 27, 40, 39, 29, 13, 18, 11, 16, 20, 33, 23, 22</t>
  </si>
  <si>
    <t>residential electrician inspection</t>
  </si>
  <si>
    <t>emergency electrician near me stellenbosch</t>
  </si>
  <si>
    <t>residential electrician installation</t>
  </si>
  <si>
    <t>0, 0, 0, 0, 0, 0, 0, 0, 0, 0, 0, 0, 0, 0, 0, 15, 21, 25, 23, 26, 20, 32, 15, 23</t>
  </si>
  <si>
    <t>contractor electrical</t>
  </si>
  <si>
    <t>residential electrician licensed</t>
  </si>
  <si>
    <t>residential electrician local</t>
  </si>
  <si>
    <t>15, 9, 8, 14, 8, 11, 10, 11, 21, 15, 16, 9, 29, 19, 9, 36, 9, 7, 11, 7, 10, 14, 9, 12</t>
  </si>
  <si>
    <t>residential electrician professional</t>
  </si>
  <si>
    <t>cape town electrician</t>
  </si>
  <si>
    <t>residential electrician qualified</t>
  </si>
  <si>
    <t>residential electrician quote</t>
  </si>
  <si>
    <t>15, 15, 15, 11, 11, 4, 17, 13, 9, 12, 9, 17, 50, 27, 21, 17, 26, 24, 28, 16, 20, 10, 17, 11</t>
  </si>
  <si>
    <t>residential electrician reliable</t>
  </si>
  <si>
    <t>professional</t>
  </si>
  <si>
    <t>advanced electrical services</t>
  </si>
  <si>
    <t>residential electrician repair</t>
  </si>
  <si>
    <t>1, 0, 0, 2, 0, 0, 1, 0, 2, 0, 0, 0, 31, 32, 28, 33, 39, 37, 33, 35, 8, 0, 0, 1</t>
  </si>
  <si>
    <t>electrical installation and maintenance</t>
  </si>
  <si>
    <t>residential electrician same day</t>
  </si>
  <si>
    <t>22, 14, 12, 24, 15, 16, 12, 17, 17, 8, 20, 21, 17, 20, 27, 19, 26, 14, 27, 27, 32, 23, 15, 17</t>
  </si>
  <si>
    <t>coc for electrical installation</t>
  </si>
  <si>
    <t>26, 13, 17, 29, 15, 27, 37, 16, 18, 15, 9, 20, 30, 24, 34, 20, 11, 14, 6, 10, 7, 5, 10, 8</t>
  </si>
  <si>
    <t>domestic electrical installation</t>
  </si>
  <si>
    <t>29, 28, 50, 67, 15, 19, 20, 35, 30, 22, 20, 11, 35, 29, 35, 20, 16, 22, 17, 42, 20, 23, 14, 19</t>
  </si>
  <si>
    <t>electrician course cape town</t>
  </si>
  <si>
    <t>0, 0, 0, 0, 0, 0, 4, 5, 5, 5, 5, 8, 5, 6, 23, 19, 14, 14, 32, 28, 33, 20, 5, 14</t>
  </si>
  <si>
    <t>electrical installation risk assessment</t>
  </si>
  <si>
    <t>10, 6, 11, 7, 2, 9, 4, 7, 15, 14, 2, 1, 8, 5, 4, 9, 3, 8, 8, 4, 8, 2, 7, 7</t>
  </si>
  <si>
    <t>electrical installation regulations south africa</t>
  </si>
  <si>
    <t>7, 1, 17, 25, 8, 20, 13, 23, 30, 47, 31, 33, 33, 17, 3, 14, 6, 3, 3, 5, 1, 0, 0, 1</t>
  </si>
  <si>
    <t>Employment law</t>
  </si>
  <si>
    <t>electrical installations services</t>
  </si>
  <si>
    <t>0, 1, 0, 0, 0, 0, 0, 0, 0, 1, 0, 39, 31, 20, 0, 0, 0, 0, 0, 0, 16, 17, 6, 14</t>
  </si>
  <si>
    <t>electrical installation in building construction</t>
  </si>
  <si>
    <t>5, 2, 6, 1, 5, 8, 6, 5, 9, 4, 3, 7, 10, 12, 8, 9, 6, 11, 8, 10, 6, 10, 7, 8</t>
  </si>
  <si>
    <t>electrical installation services</t>
  </si>
  <si>
    <t>13, 9, 12, 9, 14, 14, 16, 21, 19, 10, 18, 40, 33, 19, 7, 4, 3, 8, 7, 7, 8, 5, 0, 5</t>
  </si>
  <si>
    <t>services electrical instrumentation</t>
  </si>
  <si>
    <t>1, 0, 0, 0, 0, 0, 0, 0, 0, 0, 0, 29, 5, 5, 1, 0, 0, 0, 0, 3, 7, 6, 2, 6</t>
  </si>
  <si>
    <t>local</t>
  </si>
  <si>
    <t>amj electrical services</t>
  </si>
  <si>
    <t>3, 2, 9, 8, 1, 8, 5, 4, 6, 9, 2, 17, 9, 8, 4, 5, 1, 0, 0, 11, 6, 24, 10, 14</t>
  </si>
  <si>
    <t>car electrical repairs</t>
  </si>
  <si>
    <t>2, 3, 5, 5, 3, 2, 2, 4, 3, 4, 4, 0, 5, 10, 46, 5, 1, 12, 1, 0, 19, 18, 17, 16</t>
  </si>
  <si>
    <t>electric electrical services</t>
  </si>
  <si>
    <t>0, 1, 1, 1, 0, 2, 1, 0, 1, 1, 3, 1, 40, 30, 11, 3, 4, 1, 1, 3, 2, 19, 19, 13</t>
  </si>
  <si>
    <t>tm specialised electrical services</t>
  </si>
  <si>
    <t>0, 0, 0, 0, 0, 0, 0, 0, 0, 0, 0, 0, 0, 0, 0, 0, 0, 0, 2, 0, 1, 1, 63, 22</t>
  </si>
  <si>
    <t>electrical contractor association</t>
  </si>
  <si>
    <t>17, 15, 20, 23, 7, 25, 19, 29, 15, 16, 21, 25, 13, 12, 11, 23, 8, 11, 15, 13, 15, 10, 11, 13</t>
  </si>
  <si>
    <t>registered electrical contractor</t>
  </si>
  <si>
    <t>0, 4, 1, 1, 1, 1, 1, 2, 2, 5, 3, 3, 2, 1, 13, 40, 7, 3, 4, 4, 9, 4, 5, 7</t>
  </si>
  <si>
    <t>electrical car repairs</t>
  </si>
  <si>
    <t>3, 0, 0, 1, 1, 1, 0, 1, 1, 1, 3, 5, 13, 52, 3, 5, 9, 3, 11, 4, 12, 7, 2, 8</t>
  </si>
  <si>
    <t>electrical services johannesburg</t>
  </si>
  <si>
    <t>0, 0, 0, 0, 0, 0, 0, 1, 0, 2, 4, 18, 11, 17, 11, 11, 9, 4, 4, 6, 10, 10, 0, 8</t>
  </si>
  <si>
    <t>engineering services electrical</t>
  </si>
  <si>
    <t>0, 1, 0, 1, 1, 0, 0, 1, 0, 0, 1, 28, 4, 4, 4, 2, 6, 2, 2, 7, 6, 11, 9, 9</t>
  </si>
  <si>
    <t>electrical appliances repairs</t>
  </si>
  <si>
    <t>3, 2, 10, 9, 1, 5, 6, 4, 6, 6, 3, 8, 16, 5, 13, 8, 5, 5, 5, 5, 1, 4, 1, 3</t>
  </si>
  <si>
    <t>industrial electrical installation</t>
  </si>
  <si>
    <t>8, 9, 12, 14, 7, 12, 8, 2, 8, 14, 8, 12, 14, 11, 10, 12, 11, 20, 9, 17, 12, 15, 11, 13</t>
  </si>
  <si>
    <t>24seven plumbing and electrical services</t>
  </si>
  <si>
    <t>2, 0, 12, 17, 12, 6, 13, 1, 1, 0, 13, 0, 17, 0, 0, 18, 11, 1, 9, 2, 4, 1, 0, 1</t>
  </si>
  <si>
    <t>electrician jobs in cape town gumtree</t>
  </si>
  <si>
    <t>call out</t>
  </si>
  <si>
    <t>People also ask</t>
  </si>
  <si>
    <t>35, 14, 0, 0, 0, 46, 20, 28, 10, 31, 50, 21, 27, 22, 1, 0, 0, 1, 2, 3, 14, 5, 1, 8</t>
  </si>
  <si>
    <t>electrical installation pdf</t>
  </si>
  <si>
    <t>0, 8, 9, 4, 7, 7, 10, 15, 16, 15, 8, 10, 8, 9, 11, 10, 2, 3, 3, 0, 1, 2, 0, 1</t>
  </si>
  <si>
    <t>emergency electrician johannesburg suburbs</t>
  </si>
  <si>
    <t>0, 0, 0, 0, 0, 0, 0, 0, 0, 0, 0, 0, 0, 0, 0, 3, 32, 26, 0, 0, 0, 0, 0, 1</t>
  </si>
  <si>
    <t>electrical installation courses</t>
  </si>
  <si>
    <t>0, 4, 3, 1, 0, 0, 1, 3, 3, 1, 2, 1, 1, 9, 25, 2, 3, 3, 4, 4, 2, 4, 0, 3</t>
  </si>
  <si>
    <t>electrical substation services</t>
  </si>
  <si>
    <t>5, 12, 23, 14, 8, 3, 9, 10, 5, 13, 7, 5, 9, 3, 5, 4, 1, 0, 10, 25, 4, 5, 1, 4</t>
  </si>
  <si>
    <t>electrical services midrand</t>
  </si>
  <si>
    <t>0, 0, 0, 0, 0, 0, 0, 0, 0, 0, 0, 0, 20, 6, 10, 6, 9, 7, 8, 8, 9, 6, 4, 2</t>
  </si>
  <si>
    <t>cost of electrical compliance certificate south africa</t>
  </si>
  <si>
    <t>20, 18, 19, 19, 1, 0, 13, 17, 12, 11, 7, 0, 0, 0, 9, 17, 9, 18, 6, 12, 2, 0, 0, 2</t>
  </si>
  <si>
    <t>Appraisals</t>
  </si>
  <si>
    <t>electrical wiring contractor</t>
  </si>
  <si>
    <t>1, 0, 0, 2, 2, 3, 3, 2, 3, 4, 4, 6, 28, 28, 23, 0, 0, 0, 0, 0, 1, 2, 0, 1</t>
  </si>
  <si>
    <t>electrical installation cost estimation pdf</t>
  </si>
  <si>
    <t>People also ask,Video preview</t>
  </si>
  <si>
    <t>14, 23, 18, 15, 10, 8, 6, 3, 1, 3, 2, 5, 3, 8, 6, 7, 4, 6, 3, 2, 6, 4, 3, 5</t>
  </si>
  <si>
    <t>Electronics reference; Technical reference; Technology</t>
  </si>
  <si>
    <t>types of electrical installation</t>
  </si>
  <si>
    <t>8, 11, 6, 4, 9, 2, 4, 9, 5, 9, 7, 12, 5, 11, 2, 0, 5, 6, 4, 6, 5, 1, 4, 6</t>
  </si>
  <si>
    <t>electrical contractor certificate</t>
  </si>
  <si>
    <t>5, 17, 9, 11, 13, 5, 3, 5, 3, 3, 6, 7, 7, 9, 15, 6, 13, 5, 7, 15, 13, 13, 14, 10</t>
  </si>
  <si>
    <t>residential electrical installation</t>
  </si>
  <si>
    <t>cost</t>
  </si>
  <si>
    <t>11, 3, 3, 5, 4, 3, 12, 6, 6, 7, 5, 7, 32, 33, 26, 1, 6, 4, 0, 1, 0, 0, 7, 3</t>
  </si>
  <si>
    <t>g4t electrical services durban</t>
  </si>
  <si>
    <t>0, 0, 0, 0, 0, 0, 0, 0, 0, 0, 0, 0, 0, 0, 55, 24, 1, 0, 4, 0, 0, 0, 0, 1</t>
  </si>
  <si>
    <t>ace auto electrical services photos</t>
  </si>
  <si>
    <t>0, 0, 19, 16, 8, 2, 2, 0, 15, 8, 0, 28, 16, 13, 0, 0, 0, 2, 0, 1, 0, 0, 1, 1</t>
  </si>
  <si>
    <t>electrical installation meaning</t>
  </si>
  <si>
    <t>13, 9, 5, 7, 0, 11, 4, 20, 12, 8, 6, 6, 6, 10, 4, 7, 4, 3, 11, 1, 4, 3, 5, 5</t>
  </si>
  <si>
    <t>electrical estimating services melbourne</t>
  </si>
  <si>
    <t>0, 0, 0, 0, 1, 0, 1, 0, 1, 0, 0, 36, 57, 22, 0, 0, 0, 0, 0, 0, 0, 0, 0, 1</t>
  </si>
  <si>
    <t>nes electrical services cc</t>
  </si>
  <si>
    <t>0, 0, 0, 0, 0, 29, 9, 0, 0, 0, 0, 0, 0, 0, 0, 0, 0, 13, 29, 6, 0, 6, 1, 3</t>
  </si>
  <si>
    <t>emergency electrician port elizabeth</t>
  </si>
  <si>
    <t>0, 0, 0, 0, 0, 0, 0, 1, 2, 1, 0, 20, 17, 16, 7, 12, 13, 13, 11, 12, 11, 12, 4, 10</t>
  </si>
  <si>
    <t>electrical maintenance services</t>
  </si>
  <si>
    <t>14, 14, 13, 13, 20, 17, 12, 17, 10, 13, 24, 10, 7, 6, 8, 1, 7, 1, 1, 2, 6, 5, 1, 5</t>
  </si>
  <si>
    <t>electrician cape town jobs</t>
  </si>
  <si>
    <t>0, 2, 1, 0, 1, 1, 1, 0, 0, 3, 3, 6, 22, 21, 21, 5, 6, 11, 7, 5, 6, 14, 8, 2</t>
  </si>
  <si>
    <t>auto electrician course cape town</t>
  </si>
  <si>
    <t>0, 0, 0, 0, 0, 0, 4, 19, 18, 10, 24, 24, 17, 20, 0, 0, 0, 0, 0, 2, 0, 0, 0, 1</t>
  </si>
  <si>
    <t>residential electrical services</t>
  </si>
  <si>
    <t>10, 14, 18, 21, 24, 28, 20, 40, 48, 53, 37, 19, 11, 7, 6, 1, 4, 2, 0, 7, 9, 7, 1, 7</t>
  </si>
  <si>
    <t>commercial electrical installation</t>
  </si>
  <si>
    <t>13, 8, 11, 3, 10, 6, 13, 12, 23, 18, 21, 20, 2, 3, 2, 4, 3, 3, 2, 11, 1, 3, 3, 4</t>
  </si>
  <si>
    <t>• electrical services johannesburg</t>
  </si>
  <si>
    <t>0, 0, 0, 0, 0, 0, 0, 0, 0, 0, 0, 0, 0, 0, 0, 0, 35, 24, 37, 23, 0, 0, 0, 1</t>
  </si>
  <si>
    <t>midrand emergency electrician</t>
  </si>
  <si>
    <t>0, 0, 0, 0, 0, 0, 0, 0, 0, 0, 0, 20, 16, 14, 8, 9, 7, 7, 7, 10, 7, 6, 1, 6</t>
  </si>
  <si>
    <t>types of trunking in electrical installation</t>
  </si>
  <si>
    <t>7, 4, 5, 7, 6, 5, 9, 15, 9, 3, 5, 8, 4, 6, 10, 13, 6, 5, 4, 5, 7, 1, 4, 5</t>
  </si>
  <si>
    <t>• emergency electrical repairs</t>
  </si>
  <si>
    <t>0, 0, 0, 0, 0, 0, 0, 0, 0, 0, 0, 0, 0, 0, 0, 0, 16, 19, 17, 15, 0, 0, 0, 1</t>
  </si>
  <si>
    <t>electrical and solar installation</t>
  </si>
  <si>
    <t>1, 2, 1, 6, 2, 9, 5, 12, 4, 4, 8, 5, 12, 6, 4, 2, 3, 3, 6, 3, 2, 8, 4, 6</t>
  </si>
  <si>
    <t>electrical repair services</t>
  </si>
  <si>
    <t>16, 17, 32, 21, 28, 38, 19, 28, 53, 86, 67, 14, 3, 6, 4, 4, 4, 5, 3, 4, 10, 6, 0, 6</t>
  </si>
  <si>
    <t>electrical contractor meaning</t>
  </si>
  <si>
    <t>quote</t>
  </si>
  <si>
    <t>10, 7, 21, 14, 1, 16, 17, 19, 20, 14, 3, 2, 8, 12, 3, 4, 2, 6, 9, 6, 5, 9, 0, 6</t>
  </si>
  <si>
    <t>electrical panel installation</t>
  </si>
  <si>
    <t>9, 13, 13, 8, 14, 25, 11, 31, 35, 34, 32, 5, 1, 3, 3, 0, 3, 1, 3, 5, 4, 11, 24, 14</t>
  </si>
  <si>
    <t>electrical appliance repairs cape town</t>
  </si>
  <si>
    <t>0, 0, 0, 0, 0, 0, 0, 0, 0, 0, 0, 0, 0, 4, 8, 6, 10, 6, 7, 6, 5, 5, 9, 7</t>
  </si>
  <si>
    <t>commercial electrical contractor</t>
  </si>
  <si>
    <t>3, 1, 11, 8, 10, 18, 16, 9, 19, 18, 21, 18, 59, 36, 1, 1, 0, 1, 1, 0, 0, 6, 6, 1</t>
  </si>
  <si>
    <t>electrical installation contractors</t>
  </si>
  <si>
    <t>0, 0, 4, 1, 4, 4, 2, 3, 1, 4, 7, 32, 29, 24, 0, 0, 0, 0, 0, 0, 8, 14, 6, 10</t>
  </si>
  <si>
    <t>electrical trunking installation</t>
  </si>
  <si>
    <t>4, 11, 12, 9, 8, 12, 5, 4, 6, 8, 3, 8, 7, 5, 4, 5, 2, 1, 6, 6, 3, 4, 4, 5</t>
  </si>
  <si>
    <t>raptor electrical services</t>
  </si>
  <si>
    <t>0, 3, 3, 4, 0, 0, 7, 9, 12, 3, 6, 3, 14, 3, 3, 4, 5, 2, 5, 6, 15, 4, 2, 8</t>
  </si>
  <si>
    <t>electrical repairs in port elizabeth</t>
  </si>
  <si>
    <t>electrician near me</t>
  </si>
  <si>
    <t>0, 0, 0, 0, 0, 0, 0, 0, 0, 1, 0, 6, 3, 4, 8, 5, 6, 6, 8, 7, 9, 8, 1, 7</t>
  </si>
  <si>
    <t>house electrical installation</t>
  </si>
  <si>
    <t>25, 20, 18, 28, 18, 9, 18, 15, 16, 15, 18, 14, 20, 18, 6, 12, 8, 14, 10, 10, 9, 4, 6, 1</t>
  </si>
  <si>
    <t>Home improvement; Technical reference</t>
  </si>
  <si>
    <t>2282, 2378, 2623, 2602, 2880, 2812, 2717, 2573, 2530, 2825, 2840, 2904, 2611, 2707, 2952, 2931, 3209, 3141, 3046, 2902, 2859, 3154, 3169, 3233</t>
  </si>
  <si>
    <t>2940, 3036, 3281, 3260, 3538, 3470, 3375, 3231, 3188, 3484, 3498</t>
  </si>
  <si>
    <t>electrical installation work</t>
  </si>
  <si>
    <t>6, 12, 0, 4, 6, 5, 9, 12, 6, 11, 11, 11, 4, 4, 4, 15, 5, 10, 12, 4, 7, 2, 0, 4</t>
  </si>
  <si>
    <t>washing machine repair near me</t>
  </si>
  <si>
    <t>electrician courses in cape town</t>
  </si>
  <si>
    <t>0, 0, 0, 0, 0, 0, 0, 0, 0, 0, 1, 0, 9, 12, 3, 0, 0, 31, 8, 4, 0, 0, 0, 1</t>
  </si>
  <si>
    <t>1188, 1181, 1309, 1063, 908, 1035, 831, 1036, 885, 1069, 1013, 1057, 911, 875, 824, 697, 861, 828, 769, 782, 806, 833, 861, 850</t>
  </si>
  <si>
    <t>893, 883, 849, 830, 818, 822, 764, 778, 802, 829, 857, 846</t>
  </si>
  <si>
    <t>installation testing electrical</t>
  </si>
  <si>
    <t>Dryers</t>
  </si>
  <si>
    <t>5, 4, 3, 7, 4, 2, 8, 3, 3, 1, 4, 6, 7, 10, 10, 6, 4, 7, 0, 1, 2, 0, 2, 2</t>
  </si>
  <si>
    <t>brooklyn electrical &amp; plumbing services</t>
  </si>
  <si>
    <t>AI Overview,People also ask,Knowledge panel,Video preview</t>
  </si>
  <si>
    <t>0, 0, 0, 0, 0, 0, 0, 0, 0, 0, 6, 13, 3, 19, 12, 3, 4, 18, 9, 10, 12, 6, 2, 8</t>
  </si>
  <si>
    <t>electrical appliance repairs pretoria</t>
  </si>
  <si>
    <t>918, 743, 755, 649, 644, 966, 777, 946, 961, 973, 801, 1012, 804, 646, 630, 620, 635, 630, 510, 644, 634, 660, 681, 712</t>
  </si>
  <si>
    <t>618, 565, 597, 579, 624, 665, 569, 592, 615, 642, 663, 693</t>
  </si>
  <si>
    <t>Major kitchen appliances</t>
  </si>
  <si>
    <t>0, 0, 0, 0, 0, 0, 0, 0, 0, 0, 0, 9, 9, 13, 6, 11, 12, 9, 10, 14, 11, 16, 10, 13</t>
  </si>
  <si>
    <t>licensed electrician cape town</t>
  </si>
  <si>
    <t>0, 0, 0, 0, 0, 0, 0, 0, 0, 0, 1, 30, 5, 4, 1, 0, 0, 0, 0, 6, 13, 12, 15, 14</t>
  </si>
  <si>
    <t>COC</t>
  </si>
  <si>
    <t>home electrical installation</t>
  </si>
  <si>
    <t>723, 682, 702, 725, 759, 817, 682, 589, 692, 791, 770, 806, 731, 689, 709, 733, 766, 825, 689, 595, 699, 799, 778, 815</t>
  </si>
  <si>
    <t>4, 4, 7, 4, 3, 8, 10, 7, 8, 5, 4, 4, 36, 38, 42, 4, 5, 4, 11, 7, 1, 4, 4, 6</t>
  </si>
  <si>
    <t>738, 696, 716, 740, 774, 834, 696, 601, 706, 807, 786</t>
  </si>
  <si>
    <t>kuyper electrical services</t>
  </si>
  <si>
    <t>certificate of compliance</t>
  </si>
  <si>
    <t>0, 0, 0, 0, 0, 0, 0, 17, 15, 16, 11, 16, 15, 7, 0, 0, 0, 66, 0, 0, 17, 15, 8, 14</t>
  </si>
  <si>
    <t>coc</t>
  </si>
  <si>
    <t>kent electrical services</t>
  </si>
  <si>
    <t>AI Overview,Thumbnail,Image pack,People also ask</t>
  </si>
  <si>
    <t>3, 1, 6, 1, 1, 1, 1, 3, 12, 27, 8, 12, 4, 9, 7, 4, 11, 5, 19, 8, 7, 10, 0, 7</t>
  </si>
  <si>
    <t>kingki electrical contractor</t>
  </si>
  <si>
    <t>834, 826, 832, 846, 587, 727, 712, 817, 716, 719, 705, 834, 827, 714, 723, 705, 401, 656, 719, 695, 636, 696, 707, 720</t>
  </si>
  <si>
    <t>747, 678, 686, 671, 535, 655, 718, 694, 635, 695, 706, 719</t>
  </si>
  <si>
    <t>Public policy; Technical reference</t>
  </si>
  <si>
    <t>washing machine repairs near me</t>
  </si>
  <si>
    <t>0, 0, 0, 0, 0, 0, 0, 0, 0, 0, 0, 0, 0, 4, 6, 11, 12, 7, 15, 17, 4, 9, 16, 1</t>
  </si>
  <si>
    <t>r&amp;r electrical services</t>
  </si>
  <si>
    <t>appliance repairs near me</t>
  </si>
  <si>
    <t>People also ask,Knowledge panel</t>
  </si>
  <si>
    <t>1, 0, 2, 3, 2, 2, 4, 3, 2, 6, 1, 1, 1, 3, 42, 2, 2, 12, 8, 7, 3, 7, 1, 5</t>
  </si>
  <si>
    <t>installation of electrical wiring</t>
  </si>
  <si>
    <t>623, 515, 494, 496, 602, 728, 701, 1249, 880, 653, 749, 781, 756, 940, 925, 644, 688, 719, 658, 724, 721, 693, 683, 713</t>
  </si>
  <si>
    <t>714, 675, 619, 606, 604, 620, 564, 629, 629, 601, 593, 623</t>
  </si>
  <si>
    <t>4, 1, 3, 6, 9, 1, 3, 1, 3, 4, 5, 5, 8, 4, 5, 8, 4, 6, 5, 5, 4, 10, 1, 2</t>
  </si>
  <si>
    <t>teuntin electrical services</t>
  </si>
  <si>
    <t>electricians near me</t>
  </si>
  <si>
    <t>0, 0, 0, 0, 0, 0, 0, 0, 0, 0, 0, 0, 0, 4, 3, 12, 8, 14, 9, 11, 3, 2, 0, 1</t>
  </si>
  <si>
    <t>electrical contractors services</t>
  </si>
  <si>
    <t>2, 3, 1, 0, 1, 1, 1, 0, 4, 3, 3, 30, 33, 25, 4, 0, 0, 0, 0, 0, 10, 15, 5, 11</t>
  </si>
  <si>
    <t>electrician salary cape town</t>
  </si>
  <si>
    <t>586, 494, 421, 487, 500, 1237, 712, 616, 612, 522, 527, 564, 566, 530, 542, 540, 527, 651, 550, 563, 515, 542, 539, 569</t>
  </si>
  <si>
    <t>549, 527, 553, 569, 565, 668, 567, 581, 533, 560, 557, 587</t>
  </si>
  <si>
    <t>0, 0, 0, 0, 0, 0, 0, 0, 0, 0, 11, 8, 13, 12, 13, 10, 11, 10, 12, 4, 3, 0, 0, 2</t>
  </si>
  <si>
    <t>Maintenance; Home improvement; Business</t>
  </si>
  <si>
    <t>electrical repairs midrand</t>
  </si>
  <si>
    <t>0, 0, 0, 0, 0, 0, 0, 0, 0, 0, 0, 0, 23, 6, 9, 8, 7, 8, 7, 8, 8, 11, 6, 8</t>
  </si>
  <si>
    <t>Local pack,People also ask,Discussions,Video preview</t>
  </si>
  <si>
    <t>industrial installation electrical</t>
  </si>
  <si>
    <t>2, 0, 3, 1, 0, 0, 1, 3, 0, 2, 1, 6, 7, 8, 6, 7, 6, 10, 8, 14, 6, 6, 6, 7</t>
  </si>
  <si>
    <t>581, 472, 486, 499, 585, 731, 558, 696, 553, 694, 800, 599, 640, 532, 515, 460, 605, 598, 513, 536, 514, 550, 573, 546</t>
  </si>
  <si>
    <t>548, 541, 561, 544, 582, 607, 521, 545, 523, 559, 582, 555</t>
  </si>
  <si>
    <t>contractor electrical services</t>
  </si>
  <si>
    <t>0, 1, 0, 0, 0, 0, 0, 0, 2, 1, 1, 41, 34, 25, 0, 0, 0, 0, 0, 0, 15, 13, 0, 10</t>
  </si>
  <si>
    <t>method statement for electrical installation</t>
  </si>
  <si>
    <t>clash of clans</t>
  </si>
  <si>
    <t>8, 15, 9, 12, 2, 14, 20, 8, 10, 9, 2, 12, 13, 7, 4, 2, 3, 3, 1, 12, 6, 4, 0, 4</t>
  </si>
  <si>
    <t>643, 615, 622, 615, 669, 600, 590, 612, 620, 694, 742, 687, 647, 619, 626, 619, 671, 603, 592, 615, 622, 696, 743, 688</t>
  </si>
  <si>
    <t>649, 620, 627, 620, 673, 604, 593, 616, 622, 697, 744, 689</t>
  </si>
  <si>
    <t>Strategy games; Add-ons</t>
  </si>
  <si>
    <t>electricians</t>
  </si>
  <si>
    <t>specialised electrical installation codes</t>
  </si>
  <si>
    <t>inspection</t>
  </si>
  <si>
    <t>2, 0, 0, 0, 2, 0, 0, 0, 1, 1, 0, 0, 2, 2, 1, 10, 17, 7, 3, 7, 28, 2, 0, 2</t>
  </si>
  <si>
    <t>Electricity; Electrical</t>
  </si>
  <si>
    <t>electrical installation quote stellenbosch</t>
  </si>
  <si>
    <t>709, 682, 491, 477, 399, 577, 469, 489, 430, 447, 365, 472, 540, 469, 449, 429, 364, 473, 423, 438, 398, 444, 386, 451</t>
  </si>
  <si>
    <t>498, 474, 436, 436, 372, 473, 423, 437, 397, 444, 385, 450</t>
  </si>
  <si>
    <t>0, 0, 0, 0, 0, 0, 0, 0, 0, 0, 0, 0, 0, 0, 0, 0, 12, 23, 21, 19, 22, 23, 28, 21</t>
  </si>
  <si>
    <t>electrical contractor services</t>
  </si>
  <si>
    <t>4, 5, 4, 2, 1, 2, 5, 4, 2, 5, 5, 7, 4, 23, 7, 7, 0, 1, 7, 2, 1, 3, 2, 1</t>
  </si>
  <si>
    <t>dico auto electrical services paarl</t>
  </si>
  <si>
    <t>1, 0, 1, 0, 0, 2, 0, 0, 0, 0, 0, 3, 8, 0, 0, 4, 39, 3, 3, 1, 2, 0, 0, 4</t>
  </si>
  <si>
    <t>electrical services poster</t>
  </si>
  <si>
    <t>electrical jobs</t>
  </si>
  <si>
    <t>1, 1, 5, 9, 3, 1, 7, 11, 8, 9, 2, 3, 2, 7, 4, 2, 2, 3, 12, 5, 5, 3, 7, 1</t>
  </si>
  <si>
    <t>electrical appliance repairs johannesburg</t>
  </si>
  <si>
    <t>electrical vacancies</t>
  </si>
  <si>
    <t>AI Overview</t>
  </si>
  <si>
    <t>0, 0, 0, 0, 0, 0, 0, 1, 0, 0, 0, 11, 10, 9, 10, 10, 7, 6, 6, 12, 7, 8, 7, 8</t>
  </si>
  <si>
    <t>local service electrical services</t>
  </si>
  <si>
    <t>926, 1085, 1092, 897, 260, 720, 579, 564, 736, 394, 323, 399, 374, 311, 272, 244, 224, 385, 416, 348, 342, 361, 346, 315</t>
  </si>
  <si>
    <t>315, 296, 272, 250, 221, 378, 409, 343, 337, 356, 341, 311</t>
  </si>
  <si>
    <t>0, 0, 0, 0, 0, 0, 0, 0, 1, 0, 0, 1, 44, 30, 25, 0, 0, 0, 0, 0, 0, 0, 0, 1</t>
  </si>
  <si>
    <t>electrician johannesburg</t>
  </si>
  <si>
    <t>ct air conditioning and electrical services</t>
  </si>
  <si>
    <t>electrician jobs johannesburg</t>
  </si>
  <si>
    <t>1, 0, 0, 1, 2, 9, 56, 25, 28, 7, 7, 9, 10, 10, 16, 21, 6, 14, 29, 15, 18, 3, 4, 2</t>
  </si>
  <si>
    <t>Local pack,People also ask,Thumbnail</t>
  </si>
  <si>
    <t>electrician call out fee cape town</t>
  </si>
  <si>
    <t>0, 0, 0, 15, 7, 0, 16, 17, 9, 0, 0, 6, 16, 23, 10, 2, 0, 0, 0, 0, 0, 0, 2, 1</t>
  </si>
  <si>
    <t>210, 336, 342, 282, 249, 395, 385, 339, 281, 401, 393, 436, 436, 314, 364, 285, 262, 392, 424, 462, 363, 376, 360, 379</t>
  </si>
  <si>
    <t>360, 347, 372, 406, 337, 374, 385, 348, 382, 356, 339, 359</t>
  </si>
  <si>
    <t>electrical installation companies</t>
  </si>
  <si>
    <t>coc electrical</t>
  </si>
  <si>
    <t>5, 2, 7, 1, 3, 6, 3, 9, 7, 8, 10, 44, 32, 16, 13, 3, 1, 1, 15, 6, 2, 3, 1, 3</t>
  </si>
  <si>
    <t>sans electrical installation regulations pdf</t>
  </si>
  <si>
    <t>233, 184, 275, 229, 151, 239, 275, 284, 238, 293, 285, 338, 288, 289, 302, 285, 185, 273, 274, 286, 266, 286, 282, 292</t>
  </si>
  <si>
    <t>285, 268, 288, 278, 252, 293, 295, 307, 287, 307, 303</t>
  </si>
  <si>
    <t>12, 10, 5, 9, 4, 2, 19, 19, 15, 22, 10, 14, 9, 26, 4, 14, 9, 19, 8, 4, 2, 20, 1, 10</t>
  </si>
  <si>
    <t>emergency electrician fourways</t>
  </si>
  <si>
    <t>electrical coc</t>
  </si>
  <si>
    <t>coc certificate</t>
  </si>
  <si>
    <t>AI Overview,Thumbnail,Image pack,People also ask,Video preview</t>
  </si>
  <si>
    <t>245, 203, 287, 246, 157, 246, 286, 288, 241, 289, 290, 335, 296, 294, 298, 279, 189, 271, 281, 281, 276, 283, 283, 295</t>
  </si>
  <si>
    <t>1, 0, 1, 0, 3, 1, 2, 1, 1, 1, 1, 0, 35, 6, 6, 3, 0, 0, 0, 0, 8, 15, 17, 10</t>
  </si>
  <si>
    <t>288, 272, 286, 285, 240, 288, 298, 298, 292, 300, 300, 311</t>
  </si>
  <si>
    <t>ca electrical services</t>
  </si>
  <si>
    <t>2, 0, 2, 6, 1, 5, 6, 15, 4, 5, 6, 12, 7, 19, 11, 8, 3, 2, 0, 7, 8, 2, 2, 5</t>
  </si>
  <si>
    <t>hb electrical services</t>
  </si>
  <si>
    <t>repair</t>
  </si>
  <si>
    <t>0, 0, 0, 0, 0, 1, 0, 0, 0, 0, 1, 0, 0, 1, 113, 3, 1, 1, 0, 1, 0, 0, 0, 1</t>
  </si>
  <si>
    <t>electrical installation johannesburg</t>
  </si>
  <si>
    <t>0, 0, 0, 0, 0, 0, 0, 0, 0, 0, 0, 0, 2, 9, 6, 6, 7, 7, 6, 13, 10, 7, 0, 7</t>
  </si>
  <si>
    <t>electrical services franschhoek</t>
  </si>
  <si>
    <t>0, 0, 0, 0, 0, 0, 0, 0, 0, 0, 0, 0, 0, 0, 0, 0, 9, 8, 11, 7, 6, 7, 14, 14</t>
  </si>
  <si>
    <t>electrical repairs and maintenance</t>
  </si>
  <si>
    <t>1, 1, 0, 1, 2, 6, 0, 1, 2, 2, 2, 69, 34, 7, 2, 0, 0, 5, 0, 0, 3, 0, 0, 2</t>
  </si>
  <si>
    <t>electrical and plumbing services</t>
  </si>
  <si>
    <t>10, 13, 3, 0, 1, 6, 9, 6, 7, 10, 16, 16, 4, 25, 24, 10, 6, 5, 3, 3, 2, 4, 3, 4</t>
  </si>
  <si>
    <t>professional electrical engineer services</t>
  </si>
  <si>
    <t>207, 167, 158, 161, 201, 239, 223, 396, 286, 212, 248, 292, 275, 315, 295, 224, 235, 248, 235, 258, 262, 250, 249, 260</t>
  </si>
  <si>
    <t>265, 245, 232, 234, 236, 239, 226, 250, 254, 242, 241</t>
  </si>
  <si>
    <t>0, 0, 0, 0, 0, 0, 0, 1, 0, 0, 1, 0, 24, 67, 43, 6, 5, 2, 0, 0, 0, 0, 0, 1</t>
  </si>
  <si>
    <t>dishwasher repairs near me</t>
  </si>
  <si>
    <t>plumbing and electrical services</t>
  </si>
  <si>
    <t>defy bloemfontein</t>
  </si>
  <si>
    <t>AI Overview,Thumbnail,People also ask,Discussions,Knowledge panel</t>
  </si>
  <si>
    <t>0, 3, 10, 4, 2, 5, 4, 3, 9, 8, 6, 9, 8, 5, 4, 0, 4, 1, 5, 5, 5, 4, 15, 9</t>
  </si>
  <si>
    <t>24/7 electrical services</t>
  </si>
  <si>
    <t>204, 146, 166, 176, 206, 207, 197, 254, 402, 397, 273, 279, 293, 299, 269, 197, 258, 253, 236, 251, 264, 268, 254, 257</t>
  </si>
  <si>
    <t>249, 243, 248, 235, 244, 248, 230, 245, 259, 263, 248</t>
  </si>
  <si>
    <t>0, 0, 1, 1, 1, 1, 1, 0, 3, 1, 6, 69, 34, 4, 2, 1, 0, 1, 3, 1, 4, 1, 0, 3</t>
  </si>
  <si>
    <t>auto electrical repairs near me</t>
  </si>
  <si>
    <t>electronics repair shop</t>
  </si>
  <si>
    <t>11, 14, 8, 15, 15, 11, 9, 11, 8, 6, 10, 8, 6, 9, 14, 10, 9, 4, 7, 9, 8, 6, 2, 6</t>
  </si>
  <si>
    <t>electrical and instrumentation project services</t>
  </si>
  <si>
    <t>366, 366, 374, 369, 374, 421, 361, 374, 362, 308, 249, 374, 269, 217, 264, 262, 256, 278, 241, 260, 248, 260, 246, 265</t>
  </si>
  <si>
    <t>266, 256, 263, 276, 265, 285, 248, 268, 255, 267, 253</t>
  </si>
  <si>
    <t>0, 0, 0, 0, 0, 0, 0, 1, 0, 0, 0, 26, 6, 6, 0, 0, 0, 0, 0, 2, 4, 4, 7, 6</t>
  </si>
  <si>
    <t>Consumer electronics</t>
  </si>
  <si>
    <t>ani electrical services</t>
  </si>
  <si>
    <t>electrician durban</t>
  </si>
  <si>
    <t>3, 0, 1, 0, 0, 0, 5, 3, 0, 4, 13, 4, 0, 3, 12, 4, 0, 0, 0, 10, 12, 5, 19, 2</t>
  </si>
  <si>
    <t>electrical repairs in centurion</t>
  </si>
  <si>
    <t>0, 0, 0, 0, 0, 0, 0, 0, 0, 0, 0, 0, 0, 0, 0, 3, 6, 12, 8, 9, 9, 9, 6, 9</t>
  </si>
  <si>
    <t>south africa construction and electrical services</t>
  </si>
  <si>
    <t>208, 255, 215, 254, 217, 257, 249, 252, 207, 220, 211, 227, 185, 225, 226, 183, 206, 257, 286, 288, 255, 309, 244, 295</t>
  </si>
  <si>
    <t>258, 259, 292, 278, 282, 261, 290, 293, 260, 313, 248, 299</t>
  </si>
  <si>
    <t>0, 0, 0, 0, 0, 0, 0, 0, 0, 0, 0, 0, 27, 5, 4, 1, 0, 0, 0, 0, 3, 4, 9, 8</t>
  </si>
  <si>
    <t>electrical appliance installation midrand</t>
  </si>
  <si>
    <t>installation</t>
  </si>
  <si>
    <t>0, 0, 0, 0, 0, 0, 0, 0, 0, 1, 0, 0, 0, 13, 13, 10, 11, 8, 11, 11, 8, 6, 5, 7</t>
  </si>
  <si>
    <t>AI Overview,Thumbnail,People also ask,Image pack</t>
  </si>
  <si>
    <t>business electrical services</t>
  </si>
  <si>
    <t>Informational,Commercial,Transactional,Non-branded,Non-local</t>
  </si>
  <si>
    <t>0, 1, 1, 0, 1, 0, 2, 0, 0, 2, 2, 30, 38, 16, 0, 1, 0, 0, 0, 0, 18, 13, 5, 13</t>
  </si>
  <si>
    <t>276, 248, 285, 285, 187, 270, 339, 343, 275, 235, 236, 268, 275, 262, 279, 238, 163, 258, 278, 283, 251, 260, 266, 273</t>
  </si>
  <si>
    <t>define electrical installation</t>
  </si>
  <si>
    <t>269, 272, 272, 257, 196, 257, 277, 282, 250, 259, 265, 272</t>
  </si>
  <si>
    <t>11, 4, 8, 2, 5, 6, 2, 5, 5, 6, 9, 14, 6, 8, 4, 6, 6, 2, 11, 7, 6, 2, 0, 4</t>
  </si>
  <si>
    <t>Measurement; Public policy; Technical reference; Technology</t>
  </si>
  <si>
    <t>electrical certificate of compliance</t>
  </si>
  <si>
    <t>nes electrical services</t>
  </si>
  <si>
    <t>21, 40, 21, 25, 1, 31, 35, 45, 6, 4, 2, 2, 17, 26, 7, 7, 3, 1, 5, 7, 1, 9, 2, 5</t>
  </si>
  <si>
    <t>temporary electrical installation</t>
  </si>
  <si>
    <t>1, 1, 2, 5, 2, 1, 7, 8, 5, 12, 7, 8, 6, 4, 3, 6, 1, 5, 4, 4, 5, 4, 6, 6</t>
  </si>
  <si>
    <t>226, 200, 236, 238, 140, 213, 237, 285, 199, 205, 206, 245, 252, 246, 246, 222, 196, 225, 228, 230, 205, 214, 221, 216</t>
  </si>
  <si>
    <t>emergency electrician brooklyn</t>
  </si>
  <si>
    <t>238, 246, 244, 228, 193, 223, 225, 227, 203, 211, 218, 214</t>
  </si>
  <si>
    <t>Measurement; Home improvement; Technical reference</t>
  </si>
  <si>
    <t>0, 0, 0, 0, 0, 0, 0, 0, 0, 0, 0, 8, 11, 6, 4, 5, 4, 4, 6, 5, 4, 6, 5, 6</t>
  </si>
  <si>
    <t>electrical services list</t>
  </si>
  <si>
    <t>22, 20, 24, 24, 8, 5, 15, 17, 15, 6, 6, 9, 15, 7, 20, 7, 15, 22, 11, 7, 9, 15, 16, 9</t>
  </si>
  <si>
    <t>industrial electrical equipment repairs</t>
  </si>
  <si>
    <t>0, 0, 0, 0, 0, 2, 1, 0, 1, 0, 0, 0, 0, 0, 0, 0, 0, 0, 0, 0, 0, 0, 0, 1</t>
  </si>
  <si>
    <t>electrician pretoria</t>
  </si>
  <si>
    <t>commercial electrical services marshall county</t>
  </si>
  <si>
    <t>electricians pretoria</t>
  </si>
  <si>
    <t>york electrical services</t>
  </si>
  <si>
    <t>0, 1, 0, 1, 0, 3, 0, 1, 1, 2, 1, 2, 0, 0, 0, 0, 0, 0, 0, 0, 0, 0, 0, 1</t>
  </si>
  <si>
    <t>best home electrical outlet installation</t>
  </si>
  <si>
    <t>269, 233, 249, 205, 213, 242, 237, 243, 207, 209, 279, 250, 179, 179, 190, 174, 220, 245, 238, 209, 197, 204, 218, 250</t>
  </si>
  <si>
    <t>219, 224, 237, 247, 218, 245, 238, 209, 197, 204, 218, 250</t>
  </si>
  <si>
    <t>ecb</t>
  </si>
  <si>
    <t>seattle electrical services</t>
  </si>
  <si>
    <t>0, 0, 0, 0, 0, 0, 0, 1, 0, 0, 1, 0, 0, 0, 0, 0, 0, 0, 0, 0, 0, 0, 0, 1</t>
  </si>
  <si>
    <t>Sitelinks,AI Overview,Thumbnail,People also ask,Image pack</t>
  </si>
  <si>
    <t>list of commercial electrical services</t>
  </si>
  <si>
    <t>0, 1, 0, 1, 0, 0, 1, 0, 0, 4, 0, 0, 0, 0, 0, 0, 0, 0, 0, 0, 1, 0, 0, 1</t>
  </si>
  <si>
    <t>218, 258, 311, 201, 180, 255, 246, 259, 252, 211, 288, 308, 220, 319, 245, 159, 139, 201, 211, 202, 201, 196, 274, 294</t>
  </si>
  <si>
    <t>216, 267, 237, 197, 181, 187, 193, 203, 179, 187, 262, 281</t>
  </si>
  <si>
    <t>Foreign exchange; Public policy; Financial markets news; Economics</t>
  </si>
  <si>
    <t>trunking electrical installation</t>
  </si>
  <si>
    <t>0, 4, 1, 0, 2, 0, 1, 2, 0, 3, 1, 3, 0, 1, 0, 2, 8, 1, 1, 7, 1, 1, 5, 4</t>
  </si>
  <si>
    <t>24 hour electricians</t>
  </si>
  <si>
    <t>AI Overview,Thumbnail,Local pack,People also ask</t>
  </si>
  <si>
    <t>electrical services nh</t>
  </si>
  <si>
    <t>99, 87, 87, 123, 113, 97, 91, 113, 95, 102, 112, 204, 175, 181, 174, 185, 213, 168, 416, 153, 189, 163, 95, 150</t>
  </si>
  <si>
    <t>electrical contractor belfast</t>
  </si>
  <si>
    <t>contractor</t>
  </si>
  <si>
    <t>electrical services putnam county</t>
  </si>
  <si>
    <t>dock electrical services mooresville, nc</t>
  </si>
  <si>
    <t>0, 0, 1, 0, 0, 0, 0, 0, 0, 0, 1, 0, 0, 0, 0, 0, 0, 0, 0, 0, 0, 0, 0, 1</t>
  </si>
  <si>
    <t>251, 246, 242, 243, 256, 248, 219, 254, 234, 269, 277, 259, 251, 231, 243, 238, 236, 217, 201, 121, 193, 39, 1, 75</t>
  </si>
  <si>
    <t>electrical services edmond</t>
  </si>
  <si>
    <t>dishwasher repair near me</t>
  </si>
  <si>
    <t>electrical power testing services</t>
  </si>
  <si>
    <t>0, 1, 0, 0, 0, 0, 0, 0, 0, 0, 0, 0, 0, 0, 0, 0, 0, 0, 0, 0, 0, 0, 0, 1</t>
  </si>
  <si>
    <t>murrells inlet electrical services</t>
  </si>
  <si>
    <t>47, 56, 47, 40, 76, 80, 62, 78, 78, 83, 65, 188, 233, 239, 249, 240, 288, 192, 373, 71, 71, 58, 44, 57</t>
  </si>
  <si>
    <t>0, 1, 0, 0, 0, 0, 0, 0, 0, 4, 1, 0, 0, 0, 0, 0, 0, 0, 0, 0, 0, 0, 0, 1</t>
  </si>
  <si>
    <t>appliance repair</t>
  </si>
  <si>
    <t>24 hour emergency electrician tampa</t>
  </si>
  <si>
    <t>appliance repair cape town</t>
  </si>
  <si>
    <t>electrical and plumbing services logo</t>
  </si>
  <si>
    <t>2, 0, 1, 0, 0, 0, 2, 3, 5, 2, 6, 4, 5, 2, 0, 0, 1, 0, 5, 3, 1, 0, 2, 2</t>
  </si>
  <si>
    <t>218, 185, 176, 170, 195, 203, 244, 255, 173, 178, 410, 242, 226, 212, 161, 151, 154, 169, 147, 147, 137, 197, 224, 198</t>
  </si>
  <si>
    <t>electrical services in pretoria</t>
  </si>
  <si>
    <t>173, 151, 173, 165, 143, 159, 139, 139, 129, 186, 211, 187</t>
  </si>
  <si>
    <t>0, 0, 0, 0, 0, 0, 0, 0, 0, 0, 0, 0, 0, 0, 1, 5, 1, 10, 3, 2, 0, 0, 0, 1</t>
  </si>
  <si>
    <t>freezer repairs</t>
  </si>
  <si>
    <t>electrical repairs sioux falls sd</t>
  </si>
  <si>
    <t>0, 0, 1, 1, 0, 1, 0, 0, 1, 1, 0, 0, 0, 0, 0, 0, 0, 0, 0, 0, 0, 0, 0, 1</t>
  </si>
  <si>
    <t>freezer repair</t>
  </si>
  <si>
    <t>emergency electrician oregon</t>
  </si>
  <si>
    <t>emergency electrician rhodes</t>
  </si>
  <si>
    <t>62, 58, 39, 52, 73, 92, 54, 45, 61, 45, 40, 41, 106, 62, 62, 57, 113, 314, 334, 300, 333, 260, 260, 223</t>
  </si>
  <si>
    <t>0, 0, 0, 1, 0, 1, 0, 0, 1, 0, 0, 0, 0, 0, 0, 0, 0, 0, 0, 0, 0, 0, 0, 1</t>
  </si>
  <si>
    <t>electrical installation condition report stoke</t>
  </si>
  <si>
    <t>Sitelinks,People also ask</t>
  </si>
  <si>
    <t>electrical contractor australia</t>
  </si>
  <si>
    <t>0, 0, 0, 0, 0, 0, 0, 0, 0, 0, 0, 0, 0, 0, 0, 0, 0, 0, 0, 0, 1, 0, 0, 1</t>
  </si>
  <si>
    <t>Informational,Navigational,Branded,Local</t>
  </si>
  <si>
    <t>211, 206, 207, 195, 135, 190, 210, 185, 230, 185, 199, 194, 208, 202, 204, 192, 133, 187, 207, 182, 227, 183, 196, 192</t>
  </si>
  <si>
    <t>206, 200, 201, 190, 131, 185, 205, 180, 224, 181, 194</t>
  </si>
  <si>
    <t>geewhiz electrical services</t>
  </si>
  <si>
    <t>Jobs and education; Business</t>
  </si>
  <si>
    <t>electrical jobs cape town</t>
  </si>
  <si>
    <t>solar and electrical installation</t>
  </si>
  <si>
    <t>electrical jobs in cape town</t>
  </si>
  <si>
    <t>0, 0, 0, 0, 0, 0, 0, 0, 0, 0, 3, 1, 6, 2, 0, 2, 1, 0, 1, 0, 0, 0, 0, 1</t>
  </si>
  <si>
    <t>electrical contractor quote template</t>
  </si>
  <si>
    <t>511, 390, 589, 419, 410, 366, 571, 569, 505, 550, 290, 228, 256, 191, 182, 195, 171, 136, 279, 173, 99, 113, 114, 71</t>
  </si>
  <si>
    <t>steve's electrical services</t>
  </si>
  <si>
    <t>plumbing coc</t>
  </si>
  <si>
    <t>electrical services in centurion, gauteng</t>
  </si>
  <si>
    <t>0, 0, 0, 0, 0, 0, 0, 0, 0, 0, 0, 0, 0, 0, 0, 0, 3, 3, 0, 0, 0, 0, 0, 1</t>
  </si>
  <si>
    <t>company</t>
  </si>
  <si>
    <t>general electrical contractor acworth ga</t>
  </si>
  <si>
    <t>235, 203, 180, 242, 181, 98, 187, 171, 156, 155, 139, 134, 200, 212, 205, 189, 167, 118, 175, 163, 192, 158, 194, 195</t>
  </si>
  <si>
    <t>Plumbing; Technical reference</t>
  </si>
  <si>
    <t>triec electrical services</t>
  </si>
  <si>
    <t>microwave repair near me</t>
  </si>
  <si>
    <t>1, 0, 0, 0, 0, 0, 0, 0, 0, 0, 0, 0, 0, 0, 0, 0, 0, 0, 0, 0, 0, 0, 0, 1</t>
  </si>
  <si>
    <t>skilled electrical services</t>
  </si>
  <si>
    <t>electrical installation and maintenance pdf</t>
  </si>
  <si>
    <t>121, 96, 110, 83, 74, 108, 130, 128, 107, 133, 91, 227, 209, 199, 263, 270, 224, 186, 131, 161, 167, 129, 83, 127</t>
  </si>
  <si>
    <t>0, 0, 0, 0, 0, 0, 0, 2, 0, 0, 0, 0, 0, 1, 0, 0, 0, 0, 0, 0, 0, 0, 0, 1</t>
  </si>
  <si>
    <t>electrician job</t>
  </si>
  <si>
    <t>pvc electrical conduit installation guide</t>
  </si>
  <si>
    <t>0, 0, 0, 0, 0, 0, 0, 0, 0, 0, 0, 0, 0, 0, 0, 1, 0, 0, 0, 0, 0, 0, 0, 1</t>
  </si>
  <si>
    <t>electrician jobs in south africa</t>
  </si>
  <si>
    <t>dan electrical services</t>
  </si>
  <si>
    <t>1, 1, 0, 0, 0, 0, 0, 0, 0, 0, 1, 0, 0, 0, 0, 0, 0, 1, 0, 0, 0, 0, 0, 1</t>
  </si>
  <si>
    <t>electrical and communication services</t>
  </si>
  <si>
    <t>120, 104, 294, 310, 80, 102, 224, 187, 203, 157, 126, 149, 171, 163, 190, 150, 203, 174, 255, 226, 259, 207, 125, 95</t>
  </si>
  <si>
    <t>florida unlimited electrical contractor license</t>
  </si>
  <si>
    <t>carnegie emergency electrician</t>
  </si>
  <si>
    <t>0, 0, 1, 1, 0, 0, 0, 0, 0, 0, 0, 0, 0, 0, 0, 0, 0, 0, 0, 0, 0, 0, 0, 1</t>
  </si>
  <si>
    <t>electrical safety inspection services hove</t>
  </si>
  <si>
    <t>electrical services in claremont, western cape</t>
  </si>
  <si>
    <t>oven repairs near me</t>
  </si>
  <si>
    <t>0, 0, 0, 0, 0, 0, 0, 0, 0, 0, 0, 0, 0, 0, 0, 0, 2, 3, 4, 0, 0, 0, 0, 1</t>
  </si>
  <si>
    <t>electrical repairing services</t>
  </si>
  <si>
    <t>2, 1, 1, 1, 1, 3, 1, 0, 1, 1, 2, 1, 0, 0, 0, 0, 0, 0, 0, 0, 1, 0, 0, 1</t>
  </si>
  <si>
    <t>home electrical services in epsom</t>
  </si>
  <si>
    <t>0, 0, 0, 0, 0, 0, 0, 0, 1, 1, 1, 1, 0, 0, 1, 0, 0, 0, 1, 0, 0, 0, 0, 2</t>
  </si>
  <si>
    <t>141, 116, 121, 132, 127, 148, 116, 125, 119, 103, 100, 130, 114, 94, 141, 150, 237, 176, 157, 166, 169, 176, 172, 173</t>
  </si>
  <si>
    <t>176, 173, 179, 184, 202, 191, 172, 181, 184, 191, 187, 188</t>
  </si>
  <si>
    <t>Dining</t>
  </si>
  <si>
    <t>outsource electrical design services in usa</t>
  </si>
  <si>
    <t>ecasa</t>
  </si>
  <si>
    <t>0, 1, 0, 0, 0, 0, 0, 1, 0, 1, 1, 0, 0, 0, 0, 0, 0, 0, 0, 0, 0, 0, 0, 1</t>
  </si>
  <si>
    <t>electrical contractor langford</t>
  </si>
  <si>
    <t>1, 1, 0, 3, 0, 1, 0, 1, 0, 0, 0, 0, 0, 0, 0, 0, 0, 0, 0, 0, 0, 0, 0, 1</t>
  </si>
  <si>
    <t>emergency electrician castlecrag</t>
  </si>
  <si>
    <t>53, 54, 54, 67, 45, 106, 113, 123, 117, 169, 136, 116, 58, 55, 272, 120, 122, 133, 146, 152, 146, 152, 144, 139</t>
  </si>
  <si>
    <t>144, 140, 164, 143, 123, 133, 146, 152, 146, 152, 144</t>
  </si>
  <si>
    <t>Maintenance; Residential; Residential sales</t>
  </si>
  <si>
    <t>alba electrical services ltd</t>
  </si>
  <si>
    <t>russell hobbs repairs near me</t>
  </si>
  <si>
    <t>russell hobbs replacement parts</t>
  </si>
  <si>
    <t>electrical outlet installation fort mill</t>
  </si>
  <si>
    <t>0, 0, 0, 1, 0, 0, 0, 0, 0, 0, 0, 0, 0, 0, 0, 0, 0, 0, 0, 0, 0, 0, 0, 1</t>
  </si>
  <si>
    <t>Commercial,Transactional,Branded,Local</t>
  </si>
  <si>
    <t>general electrical services huntsville</t>
  </si>
  <si>
    <t>209, 170, 245, 206, 283, 428, 238, 230, 167, 222, 201, 231, 231, 220, 207, 150, 144, 170, 107, 121, 104, 136, 58, 97</t>
  </si>
  <si>
    <t>Small kitchen appliances</t>
  </si>
  <si>
    <t>service</t>
  </si>
  <si>
    <t>certificate of compliance electrical</t>
  </si>
  <si>
    <t>lg electrical services</t>
  </si>
  <si>
    <t>1, 0, 1, 0, 1, 1, 1, 0, 0, 0, 0, 0, 0, 2, 0, 1, 0, 0, 0, 0, 1, 2, 0, 2</t>
  </si>
  <si>
    <t>mechanical and electrical services bolton</t>
  </si>
  <si>
    <t>People also ask,Image pack</t>
  </si>
  <si>
    <t>145, 144, 105, 148, 145, 87, 138, 161, 139, 93, 111, 107, 176, 183, 143, 157, 134, 75, 117, 151, 131, 112, 89, 110</t>
  </si>
  <si>
    <t>electrical services hobart</t>
  </si>
  <si>
    <t>1, 0, 0, 1, 3, 0, 1, 2, 2, 1, 2, 0, 0, 0, 0, 0, 0, 0, 0, 0, 0, 0, 0, 1</t>
  </si>
  <si>
    <t>sub circuit in electrical installation</t>
  </si>
  <si>
    <t>electrician nelspruit</t>
  </si>
  <si>
    <t>chuck electrical services inc</t>
  </si>
  <si>
    <t>850, 323, 396, 581, 272, 225, 191, 231, 285, 139, 140, 136, 164, 135, 140, 135, 69, 140, 168, 150, 149, 158, 152, 164</t>
  </si>
  <si>
    <t>225, 143, 145, 140, 116, 139, 166, 149, 148, 157, 151, 163</t>
  </si>
  <si>
    <t>eca electrical</t>
  </si>
  <si>
    <t>electrical contractor in orlando</t>
  </si>
  <si>
    <t>electrical services for workplace managers london</t>
  </si>
  <si>
    <t>electrical panel installation alaska</t>
  </si>
  <si>
    <t>Informational,Navigational,Branded,Non-local</t>
  </si>
  <si>
    <t>248, 281, 237, 227, 124, 320, 215, 211, 198, 239, 199, 217, 184, 144, 153, 147, 77, 150, 142, 131, 123, 131, 129, 122</t>
  </si>
  <si>
    <t>126, 143, 136, 123, 96, 147, 138, 127, 120, 128, 126, 119</t>
  </si>
  <si>
    <t>Certification</t>
  </si>
  <si>
    <t>electrical repairs and installations in centurion</t>
  </si>
  <si>
    <t>emergency electrician annandale</t>
  </si>
  <si>
    <t>commercial electrical contractor maui</t>
  </si>
  <si>
    <t>coc certificate price</t>
  </si>
  <si>
    <t>knipex pliers for electrical installation</t>
  </si>
  <si>
    <t>0, 0, 0, 0, 0, 0, 0, 0, 0, 0, 1, 0, 0, 1, 0, 0, 0, 0, 0, 2, 0, 1, 1, 2</t>
  </si>
  <si>
    <t>AI Overview,Thumbnail,People also ask,Sitelinks</t>
  </si>
  <si>
    <t>outdoor electrical socket installation</t>
  </si>
  <si>
    <t>0, 0, 0, 0, 0, 0, 2, 1, 1, 1, 0, 1, 0, 0, 0, 0, 0, 0, 1, 0, 0, 0, 0, 1</t>
  </si>
  <si>
    <t>161, 133, 169, 139, 45, 90, 136, 134, 109, 134, 131, 139, 205, 174, 204, 165, 92, 153, 172, 171, 163, 156, 149, 171</t>
  </si>
  <si>
    <t>ej electrical services</t>
  </si>
  <si>
    <t>174, 167, 174, 162, 138, 165, 184, 182, 174, 168, 161, 183</t>
  </si>
  <si>
    <t>Registration; Export</t>
  </si>
  <si>
    <t>repair shop near me</t>
  </si>
  <si>
    <t>mega electrical services</t>
  </si>
  <si>
    <t>iron repairs near me</t>
  </si>
  <si>
    <t>0, 0, 0, 0, 0, 2, 1, 0, 0, 0, 0, 0, 1, 0, 0, 0, 0, 0, 0, 0, 0, 0, 0, 1</t>
  </si>
  <si>
    <t>electrical handyman services near me</t>
  </si>
  <si>
    <t>0, 1, 0, 1, 1, 0, 1, 2, 1, 1, 2, 3, 0, 0, 0, 0, 0, 0, 0, 0, 0, 1, 0, 1</t>
  </si>
  <si>
    <t>97, 96, 115, 85, 82, 99, 162, 124, 130, 139, 129, 136, 215, 153, 155, 130, 103, 140, 120, 102, 108, 93, 70, 78</t>
  </si>
  <si>
    <t>ws electrical services</t>
  </si>
  <si>
    <t>electrical companies</t>
  </si>
  <si>
    <t>0, 0, 1, 0, 1, 1, 0, 0, 0, 2, 0, 2, 0, 0, 6, 0, 0, 2, 6, 0, 0, 1, 0, 1</t>
  </si>
  <si>
    <t>electrical repairs east london</t>
  </si>
  <si>
    <t>presto electrical</t>
  </si>
  <si>
    <t>2, 0, 0, 1, 1, 0, 1, 1, 0, 0, 0, 0, 0, 0, 0, 0, 0, 0, 0, 0, 0, 1, 0, 1</t>
  </si>
  <si>
    <t>best emergency electrician maui</t>
  </si>
  <si>
    <t>324, 271, 282, 100, 73, 413, 235, 412, 230, 172, 122, 124, 191, 154, 154, 115, 73, 175, 188, 170, 147, 149, 139, 148</t>
  </si>
  <si>
    <t>electrical repairs fort worth tx</t>
  </si>
  <si>
    <t>163, 149, 138, 110, 89, 165, 178, 159, 137, 139, 129</t>
  </si>
  <si>
    <t>Business</t>
  </si>
  <si>
    <t>electrical contractors near me</t>
  </si>
  <si>
    <t>electrician port elizabeth</t>
  </si>
  <si>
    <t>electrical maintenance services poole</t>
  </si>
  <si>
    <t>sutton electrical services</t>
  </si>
  <si>
    <t>0, 0, 0, 0, 0, 0, 0, 0, 0, 1, 0, 0, 0, 0, 0, 0, 0, 1, 0, 0, 0, 0, 0, 1</t>
  </si>
  <si>
    <t>106, 98, 100, 117, 73, 139, 101, 113, 129, 146, 120, 156, 153, 145, 156, 146, 127, 125, 233, 134, 104, 109, 45, 87</t>
  </si>
  <si>
    <t>emergency electrician north</t>
  </si>
  <si>
    <t>electrical repairs raleigh north carolina</t>
  </si>
  <si>
    <t>47, 44, 41, 48, 24, 72, 113, 117, 90, 112, 102, 162, 126, 150, 157, 188, 171, 171, 188, 70, 70, 70, 21, 52</t>
  </si>
  <si>
    <t>electrical contractor software free</t>
  </si>
  <si>
    <t>1, 0, 1, 0, 0, 0, 0, 1, 0, 1, 0, 0, 0, 0, 0, 0, 0, 0, 0, 0, 0, 0, 0, 1</t>
  </si>
  <si>
    <t>electrical repair and services</t>
  </si>
  <si>
    <t>1, 0, 0, 1, 0, 0, 1, 0, 0, 3, 3, 0, 0, 0, 0, 0, 0, 0, 0, 1, 2, 0, 0, 2</t>
  </si>
  <si>
    <t>electrical contractors pretoria</t>
  </si>
  <si>
    <t>electrical repair services singapore</t>
  </si>
  <si>
    <t>0, 0, 3, 1, 0, 0, 0, 0, 0, 0, 0, 0, 0, 0, 0, 0, 0, 0, 0, 0, 0, 0, 0, 1</t>
  </si>
  <si>
    <t>electrical companies pretoria</t>
  </si>
  <si>
    <t>electrical contractor website designs</t>
  </si>
  <si>
    <t>60, 68, 50, 49, 41, 26, 71, 114, 168, 121, 132, 134, 148, 139, 156, 178, 183, 171, 186, 303, 59, 48, 31, 35</t>
  </si>
  <si>
    <t>electrical contractor kansas city</t>
  </si>
  <si>
    <t>1, 0, 0, 1, 0, 1, 2, 1, 2, 3, 1, 0, 0, 0, 0, 0, 0, 0, 0, 0, 0, 0, 0, 1</t>
  </si>
  <si>
    <t>central electrical services</t>
  </si>
  <si>
    <t>0, 0, 0, 0, 0, 1, 0, 1, 0, 0, 1, 0, 0, 0, 0, 0, 0, 0, 0, 0, 0, 0, 0, 1</t>
  </si>
  <si>
    <t>emergency electrician artarmon</t>
  </si>
  <si>
    <t>microwave repairs</t>
  </si>
  <si>
    <t>types of wires used in electrical installation</t>
  </si>
  <si>
    <t>0, 0, 0, 0, 0, 2, 0, 0, 0, 0, 0, 3, 2, 0, 1, 1, 2, 2, 2, 0, 1, 6, 4, 5</t>
  </si>
  <si>
    <t>avondale commercial electrical contractor near me</t>
  </si>
  <si>
    <t>203, 202, 279, 194, 166, 204, 198, 201, 201, 170, 195, 203, 167, 164, 142, 141, 116, 151, 140, 150, 157, 166, 176, 182</t>
  </si>
  <si>
    <t>0, 0, 1, 0, 0, 1, 0, 0, 0, 0, 0, 1, 0, 0, 0, 0, 0, 0, 0, 0, 0, 0, 0, 1</t>
  </si>
  <si>
    <t>173, 146, 152, 139, 138, 149, 137, 148, 154, 163, 174, 180</t>
  </si>
  <si>
    <t>mechanical and electrical services edinburgh</t>
  </si>
  <si>
    <t>appliances repairs near me</t>
  </si>
  <si>
    <t>washing machine repairs randburg</t>
  </si>
  <si>
    <t>rjw electrical services</t>
  </si>
  <si>
    <t>0, 0, 0, 0, 0, 0, 1, 0, 0, 0, 0, 0, 0, 0, 0, 0, 0, 0, 0, 0, 0, 0, 0, 1</t>
  </si>
  <si>
    <t>commercial electrical services bedford tx</t>
  </si>
  <si>
    <t>101, 130, 92, 127, 123, 101, 133, 88, 128, 119, 129, 82, 92, 211, 168, 142, 70, 99, 104, 98, 124, 182, 208, 115</t>
  </si>
  <si>
    <t>emergency electricians</t>
  </si>
  <si>
    <t>electrical services lake macquarie</t>
  </si>
  <si>
    <t>types of electrical installation pdf</t>
  </si>
  <si>
    <t>138, 136, 134, 131, 128, 138, 137, 132, 134, 134, 145, 136, 132, 135, 117, 129, 126, 129, 115, 93, 134, 119, 35, 48</t>
  </si>
  <si>
    <t>3, 5, 2, 3, 0, 0, 2, 3, 6, 6, 1, 4, 4, 2, 2, 8, 0, 1, 1, 2, 3, 0, 0, 1</t>
  </si>
  <si>
    <t>oven repairs</t>
  </si>
  <si>
    <t>electrical services in london</t>
  </si>
  <si>
    <t>0, 2, 0, 0, 1, 0, 0, 0, 0, 1, 0, 0, 0, 0, 0, 0, 1, 2, 0, 0, 0, 0, 0, 1</t>
  </si>
  <si>
    <t>small electrical repairs near me prices</t>
  </si>
  <si>
    <t>0, 0, 1, 0, 0, 1, 0, 0, 0, 0, 0, 0, 0, 0, 0, 0, 2, 0, 0, 0, 0, 0, 0, 1</t>
  </si>
  <si>
    <t>52, 111, 169, 136, 64, 83, 76, 68, 65, 70, 94, 75, 101, 158, 101, 116, 145, 119, 112, 121, 114, 121, 126, 123</t>
  </si>
  <si>
    <t>120, 138, 132, 128, 118, 119, 111, 121, 113, 120, 126, 123</t>
  </si>
  <si>
    <t>georgia electrical contractor license</t>
  </si>
  <si>
    <t>cocs</t>
  </si>
  <si>
    <t>plumbing certificate</t>
  </si>
  <si>
    <t>1, 0, 0, 0, 1, 1, 0, 0, 0, 0, 2, 0, 0, 0, 0, 0, 0, 0, 0, 0, 0, 0, 0, 1</t>
  </si>
  <si>
    <t>advantage electrical services</t>
  </si>
  <si>
    <t>0, 0, 0, 0, 0, 0, 0, 0, 1, 0, 0, 0, 1, 2, 0, 0, 0, 0, 0, 0, 1, 0, 0, 1</t>
  </si>
  <si>
    <t>181, 138, 208, 396, 143, 179, 195, 226, 317, 146, 9, 14, 24, 18, 62, 179, 61, 75, 119, 108, 230, 171, 204, 126</t>
  </si>
  <si>
    <t>Measurement; Continuing education; Public policy; Technical reference</t>
  </si>
  <si>
    <t>oklahoma city electrical contractor</t>
  </si>
  <si>
    <t>cary home electrical repair services</t>
  </si>
  <si>
    <t>81, 73, 77, 42, 18, 97, 118, 132, 135, 132, 117, 151, 138, 148, 165, 147, 119, 148, 167, 78, 78, 69, 9, 51</t>
  </si>
  <si>
    <t>electrical and mechanical installation</t>
  </si>
  <si>
    <t>Electricity; Business</t>
  </si>
  <si>
    <t>0, 0, 0, 1, 0, 0, 0, 0, 1, 0, 0, 0, 0, 0, 0, 0, 0, 0, 0, 0, 0, 0, 0, 1</t>
  </si>
  <si>
    <t>general electrical contractor</t>
  </si>
  <si>
    <t>0, 0, 0, 0, 1, 0, 0, 0, 0, 0, 1, 0, 0, 0, 0, 0, 0, 0, 0, 0, 0, 0, 0, 1</t>
  </si>
  <si>
    <t>domestic electrical repairs</t>
  </si>
  <si>
    <t>2, 1, 5, 0, 3, 2, 0, 0, 10, 15, 9, 0, 0, 0, 0, 0, 0, 0, 0, 0, 0, 1, 0, 1</t>
  </si>
  <si>
    <t>electrical certificate</t>
  </si>
  <si>
    <t>in a typical home electrical panel installation</t>
  </si>
  <si>
    <t>electrical repairs townsville</t>
  </si>
  <si>
    <t>105, 130, 110, 106, 63, 116, 96, 120, 97, 91, 95, 107, 107, 131, 109, 103, 58, 83, 159, 117, 81, 87, 87, 89</t>
  </si>
  <si>
    <t>taurus electrical services</t>
  </si>
  <si>
    <t>98, 114, 119, 112, 72, 83, 159, 117, 81, 87, 87, 89</t>
  </si>
  <si>
    <t>Certification; Technical reference</t>
  </si>
  <si>
    <t>washing machine fixer near me</t>
  </si>
  <si>
    <t>one stop electrical services</t>
  </si>
  <si>
    <t>0, 0, 0, 0, 0, 0, 0, 0, 0, 0, 0, 0, 0, 0, 0, 0, 0, 0, 0, 0, 0, 10, 13, 9</t>
  </si>
  <si>
    <t>99, 63, 95, 94, 124, 141, 101, 144, 111, 125, 110, 140, 155, 114, 104, 100, 100, 119, 78, 129, 129, 117, 62, 104</t>
  </si>
  <si>
    <t>gggb electrical services</t>
  </si>
  <si>
    <t>electrician jobs western cape</t>
  </si>
  <si>
    <t>0, 0, 0, 0, 0, 0, 0, 0, 0, 0, 0, 0, 2, 0, 0, 0, 0, 0, 0, 0, 0, 0, 0, 1</t>
  </si>
  <si>
    <t>electrical testing services near me</t>
  </si>
  <si>
    <t>electrical jobs in western cape</t>
  </si>
  <si>
    <t>0, 0, 0, 0, 1, 0, 1, 0, 1, 0, 1, 0, 1, 0, 0, 0, 0, 0, 0, 0, 0, 0, 0, 1</t>
  </si>
  <si>
    <t>electrical contractor logo ideas</t>
  </si>
  <si>
    <t>177, 81, 90, 107, 116, 336, 171, 208, 249, 181, 164, 214, 100, 87, 96, 93, 97, 142, 78, 92, 133, 146, 54, 108</t>
  </si>
  <si>
    <t>1, 2, 0, 0, 0, 0, 0, 1, 1, 5, 0, 0, 1, 0, 1, 2, 0, 1, 1, 5, 0, 2, 2, 1</t>
  </si>
  <si>
    <t>electrical repairs westchase</t>
  </si>
  <si>
    <t>emergency electrician tarneit</t>
  </si>
  <si>
    <t>emergency electrical services near me</t>
  </si>
  <si>
    <t>fridge fixer near me</t>
  </si>
  <si>
    <t>1, 1, 2, 3, 2, 1, 1, 4, 4, 6, 4, 4, 0, 0, 0, 1, 0, 7, 0, 0, 1, 1, 2, 2</t>
  </si>
  <si>
    <t>refrigerator repair near me</t>
  </si>
  <si>
    <t>j &amp; j electrical services</t>
  </si>
  <si>
    <t>electrical contractor contracts fort mcdowell</t>
  </si>
  <si>
    <t>52, 58, 69, 77, 68, 96, 85, 66, 86, 57, 58, 40, 95, 127, 123, 119, 149, 132, 111, 88, 93, 60, 51, 56</t>
  </si>
  <si>
    <t>electrical companies near me</t>
  </si>
  <si>
    <t>emergency electrician salisbury</t>
  </si>
  <si>
    <t>residential electrical services boulder</t>
  </si>
  <si>
    <t>196, 98, 112, 137, 80, 218, 251, 195, 176, 185, 135, 111, 184, 145, 177, 79, 25, 130, 145, 127, 125, 105, 26, 82</t>
  </si>
  <si>
    <t>0, 0, 0, 1, 0, 0, 1, 1, 0, 1, 0, 0, 0, 0, 0, 0, 0, 0, 0, 0, 0, 0, 0, 1</t>
  </si>
  <si>
    <t>maritz</t>
  </si>
  <si>
    <t>lansdale electrical services</t>
  </si>
  <si>
    <t>maritz electrical vacancies</t>
  </si>
  <si>
    <t>0, 0, 1, 0, 0, 0, 0, 0, 0, 1, 3, 0, 0, 0, 0, 0, 0, 0, 1, 0, 0, 0, 0, 1</t>
  </si>
  <si>
    <t>Informational,Commercial,Branded,Local</t>
  </si>
  <si>
    <t>146, 151, 120, 160, 137, 110, 177, 129, 146, 86, 28, 39, 84, 92, 66, 57, 75, 112, 142, 115, 149, 112, 114, 99</t>
  </si>
  <si>
    <t>electrical contractor idaho</t>
  </si>
  <si>
    <t>Equipment; Electronic components; Business</t>
  </si>
  <si>
    <t>fridge technician near me</t>
  </si>
  <si>
    <t>electrical contractor insurance requirements</t>
  </si>
  <si>
    <t>2, 3, 0, 1, 7, 4, 4, 10, 8, 17, 5, 4, 3, 3, 0, 0, 0, 1, 0, 0, 0, 0, 0, 1</t>
  </si>
  <si>
    <t>electrical services ipswich ma</t>
  </si>
  <si>
    <t>42, 58, 46, 64, 90, 78, 57, 72, 53, 55, 40, 119, 110, 112, 130, 137, 135, 125, 101, 82, 65, 56, 26, 50</t>
  </si>
  <si>
    <t>find emergency electrician maui</t>
  </si>
  <si>
    <t>electrical pillar box installation</t>
  </si>
  <si>
    <t>2, 0, 0, 0, 0, 0, 0, 2, 0, 0, 1, 0, 0, 0, 0, 0, 0, 0, 0, 1, 3, 0, 0, 2</t>
  </si>
  <si>
    <t>electrical contractors cape town</t>
  </si>
  <si>
    <t>electrical contractor cabot</t>
  </si>
  <si>
    <t>0, 0, 0, 0, 0, 0, 0, 0, 0, 1, 1, 1, 1, 0, 0, 0, 0, 0, 0, 0, 0, 0, 0, 1</t>
  </si>
  <si>
    <t>electrical and airconditioning services</t>
  </si>
  <si>
    <t>9, 3, 7, 4, 7, 11, 20, 7, 9, 12, 23, 99, 75, 105, 80, 89, 94, 93, 170, 96, 97, 113, 43, 85</t>
  </si>
  <si>
    <t>coc certificate of compliance</t>
  </si>
  <si>
    <t>0, 0, 0, 0, 0, 0, 0, 0, 0, 0, 0, 0, 0, 0, 0, 0, 0, 0, 0, 1, 1, 1, 1, 2</t>
  </si>
  <si>
    <t>general electrical services evanston il</t>
  </si>
  <si>
    <t>Image pack,People also ask</t>
  </si>
  <si>
    <t>electrical services colleyville</t>
  </si>
  <si>
    <t>123, 52, 34, 37, 52, 37, 77, 96, 92, 90, 31, 22, 56, 66, 73, 91, 100, 49, 108, 128, 137, 131, 145, 132</t>
  </si>
  <si>
    <t>Tracking; Technical reference</t>
  </si>
  <si>
    <t>washing machine service near me</t>
  </si>
  <si>
    <t>security and electrical services</t>
  </si>
  <si>
    <t>electrical lighting contractor acworth ga</t>
  </si>
  <si>
    <t>92, 76, 74, 73, 70, 79, 71, 82, 73, 67, 86, 130, 161, 136, 117, 139, 97, 109, 87, 108, 73, 84, 44, 66</t>
  </si>
  <si>
    <t>emergency electrician slough</t>
  </si>
  <si>
    <t>electrical contractors association</t>
  </si>
  <si>
    <t>electrical panel installation seminole county</t>
  </si>
  <si>
    <t>133, 117, 133, 122, 83, 126, 143, 146, 128, 127, 114, 141, 130, 129, 129, 108, 91, 114, 123, 117, 121, 114, 109, 114</t>
  </si>
  <si>
    <t>110, 119, 120, 116, 89, 113, 122, 117, 120, 114, 109, 114</t>
  </si>
  <si>
    <t>coc electrical certificate price</t>
  </si>
  <si>
    <t>c10 electrical contractor salary</t>
  </si>
  <si>
    <t>electrical repairs and installations in germiston</t>
  </si>
  <si>
    <t>56, 79, 58, 72, 85, 71, 93, 58, 47, 50, 48, 94, 175, 171, 95, 69, 32, 37, 115, 70, 144, 117, 97, 96</t>
  </si>
  <si>
    <t>0, 0, 0, 0, 0, 0, 0, 0, 0, 0, 0, 0, 0, 0, 0, 0, 4, 6, 0, 0, 0, 0, 0, 1</t>
  </si>
  <si>
    <t>silvatech electrical services</t>
  </si>
  <si>
    <t>0, 0, 0, 0, 0, 0, 0, 3, 10, 7, 24, 23, 1, 1, 0, 0, 1, 0, 0, 1, 0, 0, 0, 1</t>
  </si>
  <si>
    <t>cbs electrical services</t>
  </si>
  <si>
    <t>200, 181, 146, 146, 121, 281, 186, 187, 193, 160, 134, 141, 119, 117, 134, 100, 80, 137, 116, 130, 142, 147, 126, 123</t>
  </si>
  <si>
    <t>169, 164, 137, 76, 57, 117, 96, 111, 122, 128, 107, 104</t>
  </si>
  <si>
    <t>3, 1, 1, 0, 1, 1, 1, 0, 1, 0, 0, 0, 4, 1, 2, 0, 0, 1, 1, 2, 0, 1, 0, 1</t>
  </si>
  <si>
    <t>office electrical contractor marietta ga</t>
  </si>
  <si>
    <t>4a electrical services</t>
  </si>
  <si>
    <t>0, 0, 0, 0, 0, 0, 3, 0, 0, 0, 0, 0, 0, 0, 0, 0, 1, 2, 0, 2, 0, 0, 0, 1</t>
  </si>
  <si>
    <t>three phase electrical services</t>
  </si>
  <si>
    <t>electricians cape town</t>
  </si>
  <si>
    <t>south bend electrical panel installation</t>
  </si>
  <si>
    <t>electrical services in thatchfield</t>
  </si>
  <si>
    <t>156, 105, 113, 119, 63, 79, 108, 132, 132, 140, 131, 175, 120, 122, 168, 102, 90, 115, 113, 126, 110, 110, 110, 120</t>
  </si>
  <si>
    <t>116, 110, 110, 107, 100, 108, 107, 119, 103, 103, 103, 113</t>
  </si>
  <si>
    <t>0, 0, 0, 0, 0, 0, 0, 0, 0, 0, 0, 0, 0, 0, 0, 0, 0, 0, 0, 0, 3, 10, 0, 5</t>
  </si>
  <si>
    <t>electronics repair near me</t>
  </si>
  <si>
    <t>electrical services in bangalore</t>
  </si>
  <si>
    <t>nottingham urgent electrical services</t>
  </si>
  <si>
    <t>96, 74, 85, 96, 117, 144, 105, 125, 140, 110, 100, 133, 104, 96, 112, 92, 113, 140, 114, 115, 93, 56, 23, 56</t>
  </si>
  <si>
    <t>electrical certificates</t>
  </si>
  <si>
    <t>los angeles electrical code compliance services</t>
  </si>
  <si>
    <t>electrical repairs clinton township</t>
  </si>
  <si>
    <t>0, 1, 1, 0, 0, 0, 0, 0, 1, 0, 0, 0, 0, 0, 0, 0, 0, 0, 0, 0, 0, 0, 0, 1</t>
  </si>
  <si>
    <t>electrical panel installation perkinston</t>
  </si>
  <si>
    <t>139, 133, 106, 91, 102, 118, 59, 12, 17, 6, 18, 83, 115, 127, 115, 136, 124, 98, 102, 66, 89, 102, 15, 48</t>
  </si>
  <si>
    <t>Electronics reference; Certification; Technical reference</t>
  </si>
  <si>
    <t>0, 0, 0, 1, 0, 1, 1, 2, 0, 2, 0, 0, 0, 0, 0, 0, 0, 0, 0, 0, 0, 0, 0, 1</t>
  </si>
  <si>
    <t>commercial electrical services kent</t>
  </si>
  <si>
    <t>0, 1, 1, 0, 1, 1, 0, 0, 1, 0, 0, 1, 0, 0, 0, 0, 0, 0, 0, 0, 0, 0, 0, 1</t>
  </si>
  <si>
    <t>st. petersburg fl electrical outlet installation</t>
  </si>
  <si>
    <t>electrical repairs allen park mi</t>
  </si>
  <si>
    <t>freezer repairs near me</t>
  </si>
  <si>
    <t>electrical contractor radnor</t>
  </si>
  <si>
    <t>70, 50, 74, 67, 87, 105, 125, 85, 129, 72, 70, 35, 65, 77, 67, 101, 135, 159, 161, 90, 93, 51, 49, 47</t>
  </si>
  <si>
    <t>electrical contractor baton rouge</t>
  </si>
  <si>
    <t>electrician kempton park</t>
  </si>
  <si>
    <t>0, 0, 0, 0, 0, 0, 1, 2, 1, 1, 1, 0, 0, 0, 0, 0, 0, 0, 0, 0, 0, 0, 0, 1</t>
  </si>
  <si>
    <t>core electrical services</t>
  </si>
  <si>
    <t>Local pack,Discussions</t>
  </si>
  <si>
    <t>148, 84, 88, 100, 117, 89, 63, 61, 34, 48, 53, 81, 97, 101, 103, 71, 118, 79, 191, 83, 68, 63, 1, 44</t>
  </si>
  <si>
    <t>hot tub electrical installation in pembroke</t>
  </si>
  <si>
    <t>electrician jobs near me</t>
  </si>
  <si>
    <t>0, 0, 0, 0, 0, 0, 0, 0, 0, 0, 0, 0, 1, 0, 0, 0, 2, 1, 0, 0, 0, 0, 0, 1</t>
  </si>
  <si>
    <t>electrical panel installation matthews, nc</t>
  </si>
  <si>
    <t>Informational,Transactional,Non-branded,Local</t>
  </si>
  <si>
    <t>0, 2, 0, 0, 0, 0, 0, 0, 1, 0, 0, 0, 0, 0, 0, 0, 0, 0, 0, 0, 0, 0, 0, 1</t>
  </si>
  <si>
    <t>92, 79, 130, 98, 75, 144, 125, 99, 84, 123, 101, 158, 99, 102, 97, 76, 71, 127, 82, 101, 65, 51, 20, 45</t>
  </si>
  <si>
    <t>niceville electrical services</t>
  </si>
  <si>
    <t>mastercare durban</t>
  </si>
  <si>
    <t>electrical outlet installation st louis park</t>
  </si>
  <si>
    <t>oven repair near me</t>
  </si>
  <si>
    <t>90, 94, 62, 97, 123, 159, 89, 117, 85, 90, 73, 91, 69, 85, 60, 69, 124, 113, 176, 164, 80, 31, 14, 41</t>
  </si>
  <si>
    <t>electrical contractor laramie wy</t>
  </si>
  <si>
    <t>Consumer electronics; Home appliances</t>
  </si>
  <si>
    <t>electricians in cape town</t>
  </si>
  <si>
    <t>electrical contractor enola</t>
  </si>
  <si>
    <t>0, 1, 0, 0, 0, 0, 0, 0, 2, 0, 0, 0, 0, 0, 0, 0, 0, 0, 0, 0, 0, 0, 0, 1</t>
  </si>
  <si>
    <t>wilson electrical services</t>
  </si>
  <si>
    <t>57, 69, 55, 38, 61, 85, 33, 102, 59, 53, 72, 147, 63, 113, 164, 122, 128, 137, 54, 55, 40, 41, 17, 32</t>
  </si>
  <si>
    <t>0, 0, 1, 1, 0, 0, 0, 0, 0, 1, 0, 0, 0, 0, 0, 0, 0, 0, 1, 0, 0, 0, 0, 1</t>
  </si>
  <si>
    <t>house electrical wiring</t>
  </si>
  <si>
    <t>electrical services walker county</t>
  </si>
  <si>
    <t>emergency residential electrical contractor</t>
  </si>
  <si>
    <t>vancouver electrical services</t>
  </si>
  <si>
    <t>113, 115, 92, 94, 74, 78, 91, 85, 79, 97, 96, 108, 107, 124, 98, 77, 78, 99, 89, 77, 70, 60, 75, 55</t>
  </si>
  <si>
    <t>Home improvement; Technical reference; Technology</t>
  </si>
  <si>
    <t>0, 0, 0, 0, 0, 0, 2, 1, 1, 0, 0, 0, 0, 0, 0, 0, 0, 0, 0, 0, 0, 0, 0, 1</t>
  </si>
  <si>
    <t>how long is a coc valid for</t>
  </si>
  <si>
    <t>installation electrical wiring &amp; control systems</t>
  </si>
  <si>
    <t>0, 0, 0, 0, 0, 0, 3, 0, 0, 0, 0, 0, 0, 0, 0, 0, 0, 0, 0, 0, 0, 0, 0, 1</t>
  </si>
  <si>
    <t>online electrical installation courses</t>
  </si>
  <si>
    <t>71, 84, 87, 117, 66, 113, 114, 151, 93, 119, 80, 110, 93, 78, 69, 72, 59, 103, 99, 64, 82, 63, 67, 72</t>
  </si>
  <si>
    <t>fentec electrical services</t>
  </si>
  <si>
    <t>Real estate services</t>
  </si>
  <si>
    <t>certified electrician near me</t>
  </si>
  <si>
    <t>electrical contractor st cloud</t>
  </si>
  <si>
    <t>little rock emergency electrician</t>
  </si>
  <si>
    <t>29, 37, 39, 28, 46, 38, 49, 65, 48, 69, 49, 173, 153, 92, 59, 62, 61, 49, 49, 70, 68, 69, 32, 57</t>
  </si>
  <si>
    <t>0, 0, 0, 0, 0, 0, 0, 0, 1, 0, 0, 0, 0, 0, 0, 0, 0, 0, 0, 0, 0, 0, 0, 1</t>
  </si>
  <si>
    <t>home appliance repair</t>
  </si>
  <si>
    <t>electrical installation perkinston</t>
  </si>
  <si>
    <t>0, 0, 0, 0, 0, 1, 2, 0, 0, 0, 0, 0, 0, 0, 0, 0, 0, 0, 0, 0, 0, 0, 0, 1</t>
  </si>
  <si>
    <t>electrical contractor website templates</t>
  </si>
  <si>
    <t>19, 21, 17, 15, 30, 32, 26, 29, 32, 32, 36, 32, 110, 86, 100, 112, 86, 68, 66, 58, 55, 53, 41, 43</t>
  </si>
  <si>
    <t>0, 0, 0, 0, 0, 0, 2, 0, 0, 0, 1, 0, 0, 1, 0, 0, 0, 0, 0, 0, 0, 0, 1, 1</t>
  </si>
  <si>
    <t>balcatta emergency electrician</t>
  </si>
  <si>
    <t>electronic repairs</t>
  </si>
  <si>
    <t>0, 0, 0, 0, 0, 3, 1, 0, 3, 0, 0, 0, 0, 0, 0, 0, 0, 0, 0, 0, 0, 0, 0, 1</t>
  </si>
  <si>
    <t>electrical contractor naics</t>
  </si>
  <si>
    <t>130, 128, 109, 76, 67, 96, 131, 99, 131, 93, 90, 93, 89, 93, 89, 89, 64, 73, 72, 64, 65, 59, 59, 66</t>
  </si>
  <si>
    <t>66, 60, 59, 57, 55, 62, 62, 54, 55, 49, 49</t>
  </si>
  <si>
    <t>electrical services springfield, il</t>
  </si>
  <si>
    <t>fridge repair cape town</t>
  </si>
  <si>
    <t>0, 0, 0, 0, 0, 0, 0, 0, 0, 1, 0, 1, 0, 1, 0, 0, 0, 1, 1, 0, 0, 0, 0, 1</t>
  </si>
  <si>
    <t>electrical services in dubai</t>
  </si>
  <si>
    <t>fridge repairs cape town</t>
  </si>
  <si>
    <t>2, 3, 1, 1, 4, 3, 2, 6, 3, 2, 2, 0, 2, 0, 0, 0, 0, 0, 0, 0, 0, 0, 0, 1</t>
  </si>
  <si>
    <t>house electrical contractor acworth ga</t>
  </si>
  <si>
    <t>460, 382, 514, 423, 272, 266, 154, 117, 244, 510, 233, 170, 132, 147, 92, 88, 102, 59, 40, 30, 47, 27, 8, 27</t>
  </si>
  <si>
    <t>home electrical services in pembroke</t>
  </si>
  <si>
    <t>registered electrician near me</t>
  </si>
  <si>
    <t>0, 0, 0, 0, 0, 0, 0, 0, 0, 0, 0, 0, 1, 0, 0, 1, 0, 0, 0, 1, 0, 1, 1, 2</t>
  </si>
  <si>
    <t>electrical contractor solutions</t>
  </si>
  <si>
    <t>0, 0, 0, 0, 0, 1, 0, 1, 0, 0, 0, 0, 0, 0, 0, 0, 0, 1, 0, 0, 0, 0, 0, 1</t>
  </si>
  <si>
    <t>mann electrical services</t>
  </si>
  <si>
    <t>117, 117, 99, 99, 60, 72, 55, 55, 34, 40, 31, 99, 110, 99, 95, 102, 108, 97, 87, 60, 40, 38, 22, 33</t>
  </si>
  <si>
    <t>air fryer repairs near me</t>
  </si>
  <si>
    <t>0, 0, 0, 0, 0, 0, 0, 0, 0, 1, 0, 0, 0, 0, 0, 0, 0, 0, 0, 0, 0, 0, 0, 1</t>
  </si>
  <si>
    <t>electrical services for hospitals</t>
  </si>
  <si>
    <t>1, 0, 0, 1, 0, 0, 0, 0, 0, 0, 0, 3, 0, 0, 0, 0, 1, 0, 0, 0, 0, 0, 0, 1</t>
  </si>
  <si>
    <t>62, 38, 41, 62, 68, 49, 58, 32, 64, 34, 80, 76, 109, 71, 79, 79, 85, 67, 79, 81, 86, 67, 50, 37</t>
  </si>
  <si>
    <t>letterhead for electrical contractor</t>
  </si>
  <si>
    <t>electrical work</t>
  </si>
  <si>
    <t>0, 0, 0, 0, 0, 0, 0, 0, 0, 0, 0, 0, 0, 0, 0, 0, 0, 0, 0, 0, 0, 1, 0, 1</t>
  </si>
  <si>
    <t>auto electrical services wantirna</t>
  </si>
  <si>
    <t>1, 0, 0, 0, 0, 1, 0, 0, 0, 0, 0, 0, 0, 0, 0, 0, 0, 0, 0, 0, 0, 0, 0, 1</t>
  </si>
  <si>
    <t>wire it electrical services</t>
  </si>
  <si>
    <t>136, 125, 115, 128, 96, 138, 93, 88, 64, 93, 90, 106, 110, 123, 104, 68, 60, 97, 83, 68, 58, 61, 41, 54</t>
  </si>
  <si>
    <t>0, 0, 0, 0, 0, 0, 0, 0, 0, 2, 1, 3, 0, 0, 0, 0, 1, 0, 0, 0, 0, 1, 0, 1</t>
  </si>
  <si>
    <t>Maintenance; Home improvement; Technical reference</t>
  </si>
  <si>
    <t>electrical courses prices</t>
  </si>
  <si>
    <t>electrical installation in bristol</t>
  </si>
  <si>
    <t>0, 0, 1, 0, 0, 0, 0, 0, 0, 0, 0, 1, 0, 0, 0, 0, 0, 0, 0, 0, 0, 0, 0, 1</t>
  </si>
  <si>
    <t>AI Overview,Thumbnail,People also ask,Discussions</t>
  </si>
  <si>
    <t>electrical building services</t>
  </si>
  <si>
    <t>2, 5, 1, 5, 3, 2, 2, 7, 3, 2, 4, 8, 0, 4, 4, 2, 1, 3, 0, 0, 0, 3, 0, 2</t>
  </si>
  <si>
    <t>13, 11, 11, 19, 11, 37, 30, 131, 121, 95, 114, 104, 114, 28, 43, 51, 32, 105, 62, 125, 81, 121, 40, 78</t>
  </si>
  <si>
    <t>commercial electrical services lancaster</t>
  </si>
  <si>
    <t>electrical coc requirements</t>
  </si>
  <si>
    <t>electrical panel installation west virginia</t>
  </si>
  <si>
    <t>AI Overview,Thumbnail,Top ads,People also ask,Bottom ads,Paid sitelinks</t>
  </si>
  <si>
    <t>bonita springs electrical services</t>
  </si>
  <si>
    <t>0, 2, 0, 1, 1, 0, 2, 1, 1, 2, 0, 0, 0, 0, 0, 0, 0, 0, 0, 0, 0, 0, 0, 1</t>
  </si>
  <si>
    <t>113, 96, 87, 111, 63, 30, 113, 97, 84, 60, 65, 65, 96, 80, 63, 86, 48, 42, 82, 76, 86, 68, 47, 63</t>
  </si>
  <si>
    <t>Certification; Public policy; Technical reference; Technology</t>
  </si>
  <si>
    <t>abb electrical installation guide 2020 pdf</t>
  </si>
  <si>
    <t>electrical contractors johannesburg</t>
  </si>
  <si>
    <t>electrical services taunton</t>
  </si>
  <si>
    <t>electrical outlet installation minneapolis</t>
  </si>
  <si>
    <t>65, 59, 55, 67, 67, 28, 84, 81, 71, 99, 62, 63, 113, 114, 114, 77, 67, 36, 41, 149, 26, 15, 12, 18</t>
  </si>
  <si>
    <t>about electrical installation</t>
  </si>
  <si>
    <t>electrical contractor trade shows</t>
  </si>
  <si>
    <t>emergency electrical services arlington</t>
  </si>
  <si>
    <t>24 hour electrician</t>
  </si>
  <si>
    <t>residential electrical services highlands ranch</t>
  </si>
  <si>
    <t>electrical contractor woodbridge</t>
  </si>
  <si>
    <t>0, 0, 0, 0, 0, 0, 1, 0, 0, 0, 3, 0, 0, 0, 0, 0, 0, 0, 0, 0, 0, 0, 0, 1</t>
  </si>
  <si>
    <t>60, 48, 50, 45, 65, 58, 73, 87, 75, 65, 55, 67, 60, 64, 70, 69, 76, 79, 66, 66, 79, 63, 58, 62</t>
  </si>
  <si>
    <t>59, 63, 72, 72, 80, 80, 67, 67, 80, 64, 59</t>
  </si>
  <si>
    <t>jackson electrical services</t>
  </si>
  <si>
    <t>mastercare centurion</t>
  </si>
  <si>
    <t>2, 0, 0, 0, 0, 0, 0, 0, 1, 0, 1, 0, 0, 0, 0, 0, 0, 0, 0, 0, 0, 0, 0, 1</t>
  </si>
  <si>
    <t>electrical contractor aylmer</t>
  </si>
  <si>
    <t>mastercare</t>
  </si>
  <si>
    <t>Local pack,Sitelinks,People also ask</t>
  </si>
  <si>
    <t>4, 1, 5, 2, 1, 0, 5, 1, 1, 0, 1, 0, 0, 1, 0, 0, 0, 0, 0, 0, 0, 0, 0, 1</t>
  </si>
  <si>
    <t>schneider electric electrical installation guide</t>
  </si>
  <si>
    <t>Informational,Branded,Local</t>
  </si>
  <si>
    <t>98, 77, 112, 168, 146, 143, 132, 179, 129, 147, 75, 117, 79, 79, 40, 55, 91, 95, 79, 73, 81, 19, 7, 38</t>
  </si>
  <si>
    <t>0, 0, 0, 0, 0, 0, 0, 0, 0, 0, 0, 2, 0, 0, 1, 0, 0, 0, 1, 0, 0, 0, 0, 1</t>
  </si>
  <si>
    <t>nearby electrician</t>
  </si>
  <si>
    <t>empire electrical services</t>
  </si>
  <si>
    <t>0, 0, 0, 0, 0, 0, 1, 1, 0, 0, 0, 0, 0, 0, 0, 0, 0, 0, 0, 0, 0, 0, 0, 1</t>
  </si>
  <si>
    <t>electrical services palmwoods</t>
  </si>
  <si>
    <t>Sitelinks,People also ask,Local pack</t>
  </si>
  <si>
    <t>emergency electrician birmingham al</t>
  </si>
  <si>
    <t>49, 40, 65, 63, 67, 43, 71, 43, 76, 67, 89, 86, 72, 95, 96, 89, 81, 80, 50, 43, 50, 39, 29, 29</t>
  </si>
  <si>
    <t>0, 0, 0, 0, 1, 0, 0, 2, 0, 1, 1, 0, 0, 0, 0, 0, 0, 0, 0, 0, 0, 0, 0, 1</t>
  </si>
  <si>
    <t>electrical contractor insurance arkansas</t>
  </si>
  <si>
    <t>0, 0, 1, 0, 0, 1, 1, 0, 0, 0, 0, 0, 0, 0, 0, 0, 0, 0, 0, 0, 0, 0, 0, 1</t>
  </si>
  <si>
    <t>electrical installation design guide pdf</t>
  </si>
  <si>
    <t>0, 0, 0, 0, 0, 0, 0, 0, 0, 0, 0, 1, 0, 0, 0, 0, 0, 0, 0, 0, 0, 1, 0, 1</t>
  </si>
  <si>
    <t>electrical repairs in shreveport</t>
  </si>
  <si>
    <t>electric company</t>
  </si>
  <si>
    <t>emergency electrician berala</t>
  </si>
  <si>
    <t>eskom</t>
  </si>
  <si>
    <t>crew electrical services</t>
  </si>
  <si>
    <t>23, 29, 29, 34, 24, 35, 24, 48, 48, 31, 40, 67, 82, 79, 77, 53, 61, 57, 74, 56, 74, 76, 30, 59</t>
  </si>
  <si>
    <t>0, 0, 1, 0, 1, 0, 0, 0, 1, 0, 0, 0, 1, 0, 0, 0, 0, 0, 0, 0, 0, 0, 0, 1</t>
  </si>
  <si>
    <t>maritz electrical</t>
  </si>
  <si>
    <t>Informational,Navigational,Commercial,Branded,Local</t>
  </si>
  <si>
    <t>215, 43, 43, 32, 21, 43, 43, 190, 38, 31, 38, 56, 233, 59, 44, 38, 25, 15, 15, 15, 16, 253, 70, 99</t>
  </si>
  <si>
    <t>104, 75, 72, 71, 81, 75, 84, 126, 101, 87, 88, 117</t>
  </si>
  <si>
    <t>electrician near me prices</t>
  </si>
  <si>
    <t>calista emergency electrician</t>
  </si>
  <si>
    <t>Local pack,People also ask,Discussions</t>
  </si>
  <si>
    <t>0, 0, 0, 0, 0, 0, 0, 0, 0, 1, 3, 0, 0, 0, 0, 0, 0, 0, 0, 0, 0, 0, 0, 1</t>
  </si>
  <si>
    <t>electrical installation weatherford</t>
  </si>
  <si>
    <t>53, 62, 64, 50, 56, 62, 45, 38, 45, 36, 45, 56, 52, 48, 48, 67, 85, 83, 97, 153, 65, 46, 42, 52</t>
  </si>
  <si>
    <t>tool repairs near me</t>
  </si>
  <si>
    <t>0, 0, 1, 1, 1, 0, 0, 0, 0, 0, 0, 0, 0, 0, 0, 0, 0, 0, 0, 0, 0, 0, 0, 1</t>
  </si>
  <si>
    <t>power tool services</t>
  </si>
  <si>
    <t>best electrical services in dubai</t>
  </si>
  <si>
    <t>1, 0, 1, 0, 0, 1, 1, 0, 0, 0, 1, 0, 0, 0, 0, 0, 0, 0, 0, 0, 0, 0, 0, 1</t>
  </si>
  <si>
    <t>68, 36, 78, 70, 41, 79, 60, 78, 54, 91, 65, 71, 90, 57, 70, 67, 50, 63, 61, 66, 56, 52, 15, 42</t>
  </si>
  <si>
    <t>Power</t>
  </si>
  <si>
    <t>electrical contractor card</t>
  </si>
  <si>
    <t>coc certificate south africa</t>
  </si>
  <si>
    <t>0, 0, 2, 0, 0, 0, 0, 0, 0, 0, 1, 0, 0, 0, 0, 0, 0, 0, 0, 0, 0, 0, 0, 1</t>
  </si>
  <si>
    <t>electrical outlet installation wilmington</t>
  </si>
  <si>
    <t>38, 52, 91, 52, 55, 75, 76, 73, 56, 70, 65, 79, 98, 95, 57, 48, 37, 44, 83, 37, 41, 65, 43, 51</t>
  </si>
  <si>
    <t>Certification; Public policy; Appraisals; Technical reference</t>
  </si>
  <si>
    <t>gas stove service near me</t>
  </si>
  <si>
    <t>0, 0, 0, 0, 2, 0, 0, 0, 0, 0, 0, 0, 0, 0, 0, 0, 0, 0, 0, 0, 0, 0, 0, 1</t>
  </si>
  <si>
    <t>remembrance electrical services</t>
  </si>
  <si>
    <t>gas stove repairs near me</t>
  </si>
  <si>
    <t>0, 0, 0, 0, 0, 0, 0, 0, 0, 0, 0, 1, 0, 0, 0, 0, 0, 1, 0, 0, 0, 9, 0, 4</t>
  </si>
  <si>
    <t>discrimination in electrical installation</t>
  </si>
  <si>
    <t>39, 31, 53, 25, 32, 39, 41, 36, 40, 50, 41, 93, 88, 76, 107, 60, 69, 59, 28, 38, 30, 49, 23, 34</t>
  </si>
  <si>
    <t>1, 0, 1, 1, 0, 0, 0, 0, 0, 0, 5, 5, 0, 0, 0, 0, 0, 0, 0, 0, 0, 0, 0, 1</t>
  </si>
  <si>
    <t>electrical wiring services brooksville fl</t>
  </si>
  <si>
    <t>0, 0, 2, 1, 0, 1, 0, 1, 1, 1, 0, 0, 0, 0, 0, 0, 0, 0, 0, 0, 0, 0, 0, 1</t>
  </si>
  <si>
    <t>san antonio electrical panel installation</t>
  </si>
  <si>
    <t>65, 70, 87, 90, 84, 100, 120, 94, 143, 160, 204, 192, 45, 36, 49, 61, 36, 47, 59, 39, 44, 36, 18, 23</t>
  </si>
  <si>
    <t>Home improvement; Business</t>
  </si>
  <si>
    <t>emergency electrician wolverhampton</t>
  </si>
  <si>
    <t>electronics repairs near me</t>
  </si>
  <si>
    <t>0, 1, 0, 0, 0, 0, 0, 1, 0, 0, 1, 0, 0, 0, 0, 0, 0, 0, 0, 0, 0, 0, 0, 1</t>
  </si>
  <si>
    <t>commercial electrical subpanel installation</t>
  </si>
  <si>
    <t>44, 38, 52, 62, 50, 62, 53, 69, 65, 101, 56, 76, 73, 56, 76, 74, 65, 63, 68, 65, 60, 54, 11, 41</t>
  </si>
  <si>
    <t>domestic installation</t>
  </si>
  <si>
    <t>0, 0, 0, 0, 0, 0, 0, 0, 1, 1, 2, 0, 0, 0, 0, 0, 0, 0, 0, 0, 0, 0, 0, 1</t>
  </si>
  <si>
    <t>Image pack,People also ask,Video preview</t>
  </si>
  <si>
    <t>arrow electrical services</t>
  </si>
  <si>
    <t>19, 75, 65, 148, 13, 22, 23, 22, 17, 33, 43, 46, 93, 99, 123, 135, 13, 52, 29, 20, 15, 52, 24, 30</t>
  </si>
  <si>
    <t>emergency electrician las vegas nv</t>
  </si>
  <si>
    <t>Home improvement; Continuing education; Technical reference</t>
  </si>
  <si>
    <t>electrical coc cost</t>
  </si>
  <si>
    <t>0, 1, 2, 1, 0, 0, 0, 2, 2, 2, 0, 0, 0, 0, 0, 0, 0, 0, 0, 0, 0, 0, 0, 1</t>
  </si>
  <si>
    <t>beck electrical services</t>
  </si>
  <si>
    <t>54, 51, 55, 54, 36, 71, 41, 65, 60, 55, 67, 82, 58, 78, 86, 48, 28, 53, 51, 60, 51, 43, 55, 51</t>
  </si>
  <si>
    <t>emergency electrician purley</t>
  </si>
  <si>
    <t>electrician vacancies western cape</t>
  </si>
  <si>
    <t>72, 32, 6, 29, 38, 82, 135, 178, 186, 116, 147, 231, 126, 54, 89, 38, 24, 40, 22, 19, 48, 17, 5, 24</t>
  </si>
  <si>
    <t>electronic repair shop near me</t>
  </si>
  <si>
    <t>pro tech electrical services</t>
  </si>
  <si>
    <t>2, 0, 0, 0, 0, 0, 1, 0, 0, 0, 0, 0, 0, 0, 1, 0, 0, 0, 0, 0, 0, 0, 0, 1</t>
  </si>
  <si>
    <t>baatshuma electrical and water services polokwane</t>
  </si>
  <si>
    <t>76, 66, 78, 58, 86, 73, 76, 79, 83, 53, 67, 81, 114, 65, 74, 59, 70, 84, 42, 64, 73, 31, 15, 39</t>
  </si>
  <si>
    <t>Consumer electronics; Business</t>
  </si>
  <si>
    <t>electrical company</t>
  </si>
  <si>
    <t>toledo emergency electrician</t>
  </si>
  <si>
    <t>actom</t>
  </si>
  <si>
    <t>Local pack,People also ask,Image pack</t>
  </si>
  <si>
    <t>emergency electrician barrie</t>
  </si>
  <si>
    <t>60, 143, 97, 104, 80, 66, 94, 93, 148, 70, 90, 82, 81, 111, 59, 47, 34, 38, 72, 49, 48, 53, 34, 31</t>
  </si>
  <si>
    <t>0, 0, 0, 0, 0, 0, 0, 0, 0, 1, 0, 1, 0, 0, 0, 0, 0, 0, 0, 0, 0, 0, 0, 1</t>
  </si>
  <si>
    <t>fix fridge near me</t>
  </si>
  <si>
    <t>melbourne electrical services</t>
  </si>
  <si>
    <t>0, 0, 0, 1, 0, 0, 1, 2, 2, 7, 2, 5, 0, 0, 0, 0, 0, 0, 0, 0, 0, 0, 1, 1</t>
  </si>
  <si>
    <t>32, 37, 38, 42, 35, 18, 29, 53, 33, 30, 24, 46, 73, 82, 77, 97, 77, 73, 60, 53, 38, 22, 15, 25</t>
  </si>
  <si>
    <t>home electrical repairs nw arkansas</t>
  </si>
  <si>
    <t>1, 0, 0, 0, 0, 0, 2, 0, 0, 0, 0, 0, 0, 0, 0, 0, 0, 0, 0, 0, 0, 0, 0, 1</t>
  </si>
  <si>
    <t>electrical apparatus installation</t>
  </si>
  <si>
    <t>0, 2, 0, 0, 0, 0, 2, 0, 0, 1, 0, 0, 0, 0, 0, 0, 1, 0, 0, 0, 0, 0, 0, 1</t>
  </si>
  <si>
    <t>electrician boksburg</t>
  </si>
  <si>
    <t>electrical repairs on cars</t>
  </si>
  <si>
    <t>electrician company near me</t>
  </si>
  <si>
    <t>0, 0, 0, 0, 0, 0, 0, 2, 1, 1, 0, 0, 0, 0, 0, 0, 0, 1, 0, 0, 0, 0, 0, 1</t>
  </si>
  <si>
    <t>s&amp;s electrical services</t>
  </si>
  <si>
    <t>70, 50, 56, 49, 51, 34, 39, 66, 78, 41, 68, 54, 102, 70, 35, 51, 43, 64, 69, 63, 52, 44, 53, 55</t>
  </si>
  <si>
    <t>54, 47, 61, 58, 51, 61, 67, 60, 50, 42, 51, 52</t>
  </si>
  <si>
    <t>0, 0, 0, 0, 0, 0, 0, 1, 0, 4, 0, 0, 0, 0, 0, 0, 0, 0, 0, 0, 0, 0, 0, 1</t>
  </si>
  <si>
    <t>electrian</t>
  </si>
  <si>
    <t>emergency electrician colorado springs</t>
  </si>
  <si>
    <t>electrician</t>
  </si>
  <si>
    <t>2, 0, 0, 0, 1, 1, 0, 1, 0, 1, 1, 1, 0, 0, 0, 0, 0, 0, 0, 0, 0, 0, 0, 1</t>
  </si>
  <si>
    <t>emergency electrician charleston</t>
  </si>
  <si>
    <t>84, 69, 63, 67, 42, 66, 90, 68, 70, 41, 51, 55, 60, 86, 70, 72, 69, 46, 72, 53, 46, 45, 49, 43</t>
  </si>
  <si>
    <t>Planning; Job; Educational</t>
  </si>
  <si>
    <t>electrician services</t>
  </si>
  <si>
    <t>0, 0, 0, 1, 0, 1, 0, 0, 0, 3, 2, 0, 0, 0, 0, 0, 0, 0, 0, 0, 0, 0, 0, 1</t>
  </si>
  <si>
    <t>emergency electrician blackpool</t>
  </si>
  <si>
    <t>0, 0, 0, 0, 0, 0, 0, 0, 0, 0, 1, 0, 1, 0, 0, 0, 0, 0, 0, 0, 0, 0, 0, 1</t>
  </si>
  <si>
    <t>electrical contractor lead generation</t>
  </si>
  <si>
    <t>89, 98, 92, 94, 93, 98, 98, 65, 94, 117, 149, 141, 69, 86, 80, 37, 34, 44, 45, 45, 48, 42, 46, 30</t>
  </si>
  <si>
    <t>0, 0, 0, 0, 0, 0, 0, 0, 0, 2, 2, 0, 0, 0, 0, 0, 0, 0, 0, 0, 0, 0, 0, 1</t>
  </si>
  <si>
    <t>electrical construction</t>
  </si>
  <si>
    <t>electrical installation condition reports cost</t>
  </si>
  <si>
    <t>0, 0, 2, 0, 1, 2, 0, 0, 1, 0, 0, 0, 0, 0, 0, 0, 0, 0, 0, 0, 0, 0, 0, 1</t>
  </si>
  <si>
    <t>electrical installation design course</t>
  </si>
  <si>
    <t>75, 66, 62, 43, 24, 95, 77, 54, 52, 53, 38, 78, 48, 66, 50, 43, 35, 78, 68, 63, 60, 59, 61, 63</t>
  </si>
  <si>
    <t>0, 0, 0, 0, 0, 0, 0, 0, 0, 0, 0, 4, 0, 0, 0, 0, 1, 0, 0, 0, 0, 0, 0, 1</t>
  </si>
  <si>
    <t>63, 65, 54, 51, 48, 75, 64, 60, 57, 56, 58</t>
  </si>
  <si>
    <t>Civil engineering; Technical reference; Technology</t>
  </si>
  <si>
    <t>atom electrical services</t>
  </si>
  <si>
    <t>appliance repair centre</t>
  </si>
  <si>
    <t>0, 0, 0, 0, 0, 0, 0, 0, 0, 0, 0, 0, 0, 0, 0, 0, 0, 0, 0, 0, 2, 0, 0, 1</t>
  </si>
  <si>
    <t>electrical installation guide schneider</t>
  </si>
  <si>
    <t>appliance repairs bellville</t>
  </si>
  <si>
    <t>1, 2, 1, 0, 0, 0, 0, 0, 0, 1, 0, 1, 0, 0, 0, 0, 0, 0, 0, 1, 0, 0, 0, 1</t>
  </si>
  <si>
    <t>residential electrical services inc</t>
  </si>
  <si>
    <t>66, 76, 71, 69, 61, 63, 88, 53, 51, 46, 62, 72, 129, 80, 57, 46, 80, 39, 45, 47, 47, 36, 24, 40</t>
  </si>
  <si>
    <t>0, 1, 0, 0, 0, 0, 0, 3, 0, 1, 1, 0, 0, 0, 0, 0, 0, 0, 0, 0, 0, 0, 0, 1</t>
  </si>
  <si>
    <t>small appliance repairs near me</t>
  </si>
  <si>
    <t>emergency electrician montgomery county</t>
  </si>
  <si>
    <t>fridge repairs near me</t>
  </si>
  <si>
    <t>0, 0, 0, 0, 0, 0, 0, 0, 0, 1, 0, 0, 0, 0, 0, 0, 0, 0, 0, 1, 0, 0, 0, 1</t>
  </si>
  <si>
    <t>electrical services companies</t>
  </si>
  <si>
    <t>157, 121, 125, 130, 107, 148, 94, 107, 94, 83, 57, 94, 97, 69, 77, 58, 57, 83, 64, 62, 50, 42, 12, 36</t>
  </si>
  <si>
    <t>1, 0, 0, 1, 3, 1, 2, 2, 5, 1, 0, 6, 1, 0, 0, 1, 0, 0, 1, 0, 0, 2, 1, 1</t>
  </si>
  <si>
    <t>Utilities</t>
  </si>
  <si>
    <t>electronics repair</t>
  </si>
  <si>
    <t>electrical supply services</t>
  </si>
  <si>
    <t>0, 0, 0, 0, 0, 1, 0, 3, 0, 0, 0, 0, 1, 0, 0, 0, 0, 0, 0, 0, 0, 0, 0, 1</t>
  </si>
  <si>
    <t>emergency electrician eveleigh</t>
  </si>
  <si>
    <t>66, 67, 59, 61, 60, 42, 70, 62, 64, 56, 50, 52, 47, 48, 71, 75, 70, 87, 72, 65, 63, 52, 27, 37</t>
  </si>
  <si>
    <t>electrical building services engineer jobs</t>
  </si>
  <si>
    <t>how long is an electrical coc valid for</t>
  </si>
  <si>
    <t>0, 0, 0, 0, 0, 0, 0, 1, 0, 2, 2, 0, 0, 0, 0, 0, 0, 0, 0, 0, 0, 0, 0, 1</t>
  </si>
  <si>
    <t>electrical repairs durban</t>
  </si>
  <si>
    <t>0, 0, 0, 0, 0, 0, 0, 0, 0, 0, 0, 0, 0, 0, 0, 0, 0, 24, 22, 2, 1, 0, 0, 1</t>
  </si>
  <si>
    <t>emergency electrician bowral</t>
  </si>
  <si>
    <t>78, 70, 74, 83, 31, 73, 66, 63, 72, 72, 64, 85, 60, 68, 77, 54, 29, 70, 84, 61, 59, 38, 59, 53</t>
  </si>
  <si>
    <t>Measurement; Technical reference; Technology</t>
  </si>
  <si>
    <t>microwave fixer near me</t>
  </si>
  <si>
    <t>0, 0, 0, 1, 0, 0, 0, 0, 0, 1, 0, 0, 0, 0, 0, 0, 0, 0, 0, 0, 0, 0, 0, 1</t>
  </si>
  <si>
    <t>electrical installation company near me</t>
  </si>
  <si>
    <t>77, 62, 64, 57, 58, 75, 46, 40, 64, 58, 43, 74, 67, 75, 72, 78, 53, 45, 32, 42, 19, 29, 14, 21</t>
  </si>
  <si>
    <t>1, 1, 1, 1, 0, 0, 2, 0, 2, 4, 2, 27, 2, 1, 1, 0, 0, 0, 0, 0, 0, 1, 0, 1</t>
  </si>
  <si>
    <t>emergency electrician central coast</t>
  </si>
  <si>
    <t>electrician around me</t>
  </si>
  <si>
    <t>0, 0, 3, 0, 0, 3, 0, 3, 0, 2, 4, 0, 0, 0, 0, 0, 0, 0, 0, 0, 0, 0, 0, 1</t>
  </si>
  <si>
    <t>electrical contractor ewell</t>
  </si>
  <si>
    <t>maui electrical services</t>
  </si>
  <si>
    <t>21, 25, 23, 31, 30, 50, 43, 40, 46, 43, 31, 55, 48, 62, 58, 56, 61, 48, 31, 47, 29, 33, 13, 25</t>
  </si>
  <si>
    <t>emmanuel electrical services</t>
  </si>
  <si>
    <t>become an electrical contractor</t>
  </si>
  <si>
    <t>0, 0, 0, 0, 0, 0, 0, 0, 0, 2, 0, 0, 0, 0, 0, 0, 0, 0, 1, 0, 0, 0, 0, 1</t>
  </si>
  <si>
    <t>94, 119, 112, 68, 58, 49, 35, 39, 48, 46, 52, 52, 58, 87, 42, 32, 38, 31, 43, 47, 38, 51, 34, 42</t>
  </si>
  <si>
    <t>palm beach electrical services</t>
  </si>
  <si>
    <t>electrical installations</t>
  </si>
  <si>
    <t>electrical service contractor rancho santa fe</t>
  </si>
  <si>
    <t>gympie commercial electrical contractor</t>
  </si>
  <si>
    <t>45, 50, 57, 41, 36, 58, 38, 81, 58, 72, 55, 82, 60, 62, 66, 40, 36, 41, 61, 60, 43, 46, 22, 36</t>
  </si>
  <si>
    <t>gumtree electrician jobs cape town</t>
  </si>
  <si>
    <t>ecb electrical</t>
  </si>
  <si>
    <t>materials used for electrical installation</t>
  </si>
  <si>
    <t>0, 1, 0, 0, 0, 0, 0, 0, 0, 3, 0, 2, 0, 0, 0, 0, 0, 0, 0, 0, 0, 0, 0, 1</t>
  </si>
  <si>
    <t>Sitelinks,People also ask,Knowledge panel</t>
  </si>
  <si>
    <t>electrical installation in hospitals</t>
  </si>
  <si>
    <t>85, 18, 13, 22, 9, 43, 24, 73, 29, 88, 68, 43, 47, 44, 55, 37, 12, 54, 56, 77, 57, 28, 66, 50</t>
  </si>
  <si>
    <t>facilities management electrical services</t>
  </si>
  <si>
    <t>mastercare repairs</t>
  </si>
  <si>
    <t>0, 1, 2, 0, 0, 0, 0, 1, 0, 1, 0, 0, 0, 0, 0, 0, 0, 0, 0, 0, 0, 0, 0, 1</t>
  </si>
  <si>
    <t>hirst electrical services</t>
  </si>
  <si>
    <t>Knowledge panel,People also ask</t>
  </si>
  <si>
    <t>electrical panel installation smyrna</t>
  </si>
  <si>
    <t>28, 16, 24, 30, 29, 56, 13, 45, 31, 31, 33, 57, 90, 79, 30, 25, 65, 37, 34, 65, 61, 15, 8, 28</t>
  </si>
  <si>
    <t>0, 0, 0, 0, 0, 0, 0, 1, 3, 0, 0, 1, 0, 0, 0, 0, 0, 0, 0, 0, 0, 0, 0, 1</t>
  </si>
  <si>
    <t>24/7 electrician</t>
  </si>
  <si>
    <t>electrical contractor houston tx</t>
  </si>
  <si>
    <t>0, 0, 0, 0, 1, 0, 1, 0, 0, 0, 0, 0, 0, 0, 0, 0, 0, 0, 0, 0, 0, 0, 0, 1</t>
  </si>
  <si>
    <t>commercial electrical installation sydney</t>
  </si>
  <si>
    <t>0, 0, 0, 0, 0, 1, 0, 0, 0, 0, 0, 1, 0, 0, 0, 0, 0, 0, 0, 0, 0, 0, 0, 1</t>
  </si>
  <si>
    <t>32, 46, 35, 48, 55, 41, 35, 75, 48, 51, 62, 60, 58, 85, 130, 43, 31, 28, 19, 21, 20, 52, 13, 29</t>
  </si>
  <si>
    <t>electrical services in citrus park</t>
  </si>
  <si>
    <t>samsung fridge repairs near me</t>
  </si>
  <si>
    <t>samsung fridge repairs</t>
  </si>
  <si>
    <t>electrical panel installation brown county</t>
  </si>
  <si>
    <t>Top ads,Paid sitelinks,Local pack,People also ask,Bottom ads,Thumbnail</t>
  </si>
  <si>
    <t>electrical panel services</t>
  </si>
  <si>
    <t>0, 1, 0, 0, 2, 1, 1, 6, 2, 4, 3, 0, 0, 0, 0, 1, 0, 2, 0, 0, 0, 0, 0, 1</t>
  </si>
  <si>
    <t>29, 27, 35, 22, 31, 57, 36, 45, 45, 33, 14, 38, 41, 35, 57, 47, 43, 46, 41, 64, 46, 49, 44, 47</t>
  </si>
  <si>
    <t>electrical goods repairs near me</t>
  </si>
  <si>
    <t>electrical companies johannesburg</t>
  </si>
  <si>
    <t>0, 0, 0, 1, 0, 1, 0, 0, 1, 0, 0, 2, 1, 0, 0, 0, 0, 0, 0, 1, 1, 0, 0, 1</t>
  </si>
  <si>
    <t>electrical contractor south east</t>
  </si>
  <si>
    <t>0, 0, 1, 0, 1, 0, 0, 0, 0, 0, 0, 0, 0, 0, 0, 0, 0, 0, 0, 0, 0, 0, 0, 1</t>
  </si>
  <si>
    <t>stafford commercial electrical contractor</t>
  </si>
  <si>
    <t>99, 73, 83, 86, 43, 140, 108, 106, 72, 96, 98, 135, 82, 153, 63, 29, 9, 26, 15, 23, 25, 33, 3, 21</t>
  </si>
  <si>
    <t>0, 0, 0, 0, 0, 0, 0, 1, 2, 0, 0, 2, 0, 0, 0, 0, 0, 0, 0, 0, 0, 0, 0, 1</t>
  </si>
  <si>
    <t>electricity compliance certificate</t>
  </si>
  <si>
    <t>exterior electrical box installation</t>
  </si>
  <si>
    <t>electrical panel installation olive branch</t>
  </si>
  <si>
    <t>0, 0, 0, 0, 2, 1, 0, 0, 0, 0, 0, 0, 0, 0, 0, 0, 0, 0, 0, 0, 0, 0, 0, 1</t>
  </si>
  <si>
    <t>electrical contractor rochford</t>
  </si>
  <si>
    <t>electrical contractor water valley</t>
  </si>
  <si>
    <t>34, 43, 43, 42, 51, 23, 40, 36, 23, 22, 24, 31, 53, 63, 55, 63, 59, 21, 40, 35, 49, 37, 59, 49</t>
  </si>
  <si>
    <t>Measurement; Public policy; Technical reference</t>
  </si>
  <si>
    <t>0, 0, 0, 0, 0, 2, 0, 0, 0, 0, 2, 0, 0, 0, 0, 0, 0, 0, 0, 0, 0, 0, 0, 1</t>
  </si>
  <si>
    <t>emergency electrician ringwood</t>
  </si>
  <si>
    <t>0, 0, 0, 0, 0, 0, 1, 0, 0, 0, 2, 1, 0, 0, 0, 0, 0, 0, 0, 0, 0, 0, 0, 1</t>
  </si>
  <si>
    <t>prompt electrical services</t>
  </si>
  <si>
    <t>Sitelinks,People also ask,Image pack</t>
  </si>
  <si>
    <t>0, 0, 1, 0, 0, 0, 2, 0, 0, 0, 0, 0, 0, 0, 0, 0, 0, 0, 0, 0, 0, 0, 0, 1</t>
  </si>
  <si>
    <t>emergency electrician sheffield</t>
  </si>
  <si>
    <t>65, 43, 50, 43, 28, 59, 59, 318, 47, 51, 45, 47, 48, 48, 56, 35, 25, 21, 21, 21, 21, 230, 25, 15</t>
  </si>
  <si>
    <t>16, 11, 9, 56, 60, 75, 229, 50, 23, 19, 20, 7</t>
  </si>
  <si>
    <t>0, 1, 0, 0, 0, 0, 0, 0, 0, 1, 2, 2, 0, 0, 0, 0, 0, 0, 0, 0, 0, 0, 0, 1</t>
  </si>
  <si>
    <t>emergency electricians near me</t>
  </si>
  <si>
    <t>electrical services everett, wa</t>
  </si>
  <si>
    <t>0, 0, 0, 0, 0, 0, 0, 0, 1, 0, 0, 2, 0, 1, 0, 0, 0, 0, 0, 0, 0, 0, 0, 1</t>
  </si>
  <si>
    <t>car repairs electrical</t>
  </si>
  <si>
    <t>42, 37, 38, 43, 93, 49, 43, 56, 73, 39, 39, 59, 52, 33, 47, 38, 86, 52, 40, 48, 54, 46, 21, 39</t>
  </si>
  <si>
    <t>electrical installation college</t>
  </si>
  <si>
    <t>fridge freezer repairs near me</t>
  </si>
  <si>
    <t>0, 0, 0, 0, 0, 0, 1, 0, 0, 0, 0, 0, 0, 1, 0, 0, 0, 0, 0, 0, 0, 0, 0, 1</t>
  </si>
  <si>
    <t>electrical contractor dayton oh</t>
  </si>
  <si>
    <t>bergens</t>
  </si>
  <si>
    <t>jacuzzi bath electrical installation</t>
  </si>
  <si>
    <t>14, 32, 34, 31, 35, 33, 27, 124, 28, 20, 14, 86, 70, 63, 77, 47, 42, 49, 28, 28, 21, 23, 12, 19</t>
  </si>
  <si>
    <t>0, 0, 0, 0, 1, 0, 0, 0, 0, 0, 0, 0, 0, 0, 0, 0, 2, 0, 0, 0, 0, 0, 0, 1</t>
  </si>
  <si>
    <t>electrical services in east london, south africa</t>
  </si>
  <si>
    <t>0, 0, 0, 0, 0, 0, 0, 0, 0, 0, 0, 0, 0, 0, 0, 2, 2, 0, 0, 0, 0, 0, 0, 1</t>
  </si>
  <si>
    <t>electrical companies in johannesburg</t>
  </si>
  <si>
    <t>24 hour electrical services dickson</t>
  </si>
  <si>
    <t>charlotte electrical services</t>
  </si>
  <si>
    <t>electrical installation contract</t>
  </si>
  <si>
    <t>56, 57, 47, 55, 25, 69, 58, 70, 60, 49, 57, 72, 79, 75, 69, 37, 20, 51, 52, 45, 47, 46, 53, 52</t>
  </si>
  <si>
    <t>58, 52, 43, 39, 26, 48, 49, 42, 44, 43, 50, 49</t>
  </si>
  <si>
    <t>24-hour emergency electrician</t>
  </si>
  <si>
    <t>electrical compliance certificate south africa</t>
  </si>
  <si>
    <t>0, 1, 1, 0, 0, 0, 2, 2, 0, 0, 0, 0, 0, 0, 0, 0, 0, 0, 0, 0, 0, 0, 0, 1</t>
  </si>
  <si>
    <t>commercial electrical services anderson county</t>
  </si>
  <si>
    <t>electrical outlet installation north dakota</t>
  </si>
  <si>
    <t>31, 12, 22, 27, 20, 17, 48, 40, 76, 63, 71, 67, 49, 41, 54, 54, 45, 13, 39, 41, 31, 45, 30, 39</t>
  </si>
  <si>
    <t>electrical contractor images</t>
  </si>
  <si>
    <t>plumbing coc price</t>
  </si>
  <si>
    <t>4, 0, 1, 1, 2, 4, 2, 2, 9, 5, 3, 4, 0, 1, 0, 4, 1, 1, 3, 5, 0, 1, 0, 1</t>
  </si>
  <si>
    <t>electrical contractor riverview</t>
  </si>
  <si>
    <t>0, 0, 0, 2, 2, 0, 0, 1, 0, 2, 0, 0, 0, 0, 0, 0, 0, 0, 0, 0, 0, 0, 0, 1</t>
  </si>
  <si>
    <t>fm electrical services</t>
  </si>
  <si>
    <t>52, 71, 80, 59, 22, 54, 40, 45, 39, 38, 46, 38, 41, 31, 61, 32, 28, 25, 38, 47, 37, 39, 48, 42</t>
  </si>
  <si>
    <t>Plumbing; Public policy; Technical reference</t>
  </si>
  <si>
    <t>electrician in pretoria</t>
  </si>
  <si>
    <t>1, 0, 0, 0, 0, 0, 0, 0, 0, 0, 0, 0, 0, 1, 0, 0, 0, 0, 0, 0, 0, 0, 0, 1</t>
  </si>
  <si>
    <t>domestic electrical installation courses</t>
  </si>
  <si>
    <t>0, 0, 1, 0, 0, 0, 0, 0, 0, 0, 0, 1, 0, 0, 1, 0, 0, 0, 0, 0, 0, 0, 0, 1</t>
  </si>
  <si>
    <t>electrical repairs norwich</t>
  </si>
  <si>
    <t>12, 11, 17, 14, 19, 14, 11, 12, 17, 17, 20, 44, 35, 34, 45, 32, 36, 63, 53, 46, 28, 28, 20, 25</t>
  </si>
  <si>
    <t>0, 0, 0, 0, 0, 0, 0, 0, 0, 0, 0, 0, 0, 0, 0, 0, 0, 0, 0, 1, 0, 0, 0, 1</t>
  </si>
  <si>
    <t>electrical contractor name</t>
  </si>
  <si>
    <t>electric fence coc price</t>
  </si>
  <si>
    <t>emergency electrician austin</t>
  </si>
  <si>
    <t>Informational,Commercial,Transactional,Branded,Non-local</t>
  </si>
  <si>
    <t>sm electrical services</t>
  </si>
  <si>
    <t>35, 32, 50, 48, 32, 37, 43, 53, 45, 33, 41, 61, 64, 41, 44, 50, 19, 19, 41, 22, 31, 34, 5, 23</t>
  </si>
  <si>
    <t>Government; Technical reference; Shopping</t>
  </si>
  <si>
    <t>24 hour electricians in cape town</t>
  </si>
  <si>
    <t>0, 0, 0, 1, 0, 0, 0, 1, 0, 2, 0, 1, 0, 2, 3, 1, 3, 0, 1, 0, 0, 0, 0, 1</t>
  </si>
  <si>
    <t>s &amp; e electrical services</t>
  </si>
  <si>
    <t>0, 0, 0, 0, 0, 0, 0, 0, 0, 0, 0, 0, 0, 0, 0, 0, 1, 0, 0, 0, 0, 0, 0, 1</t>
  </si>
  <si>
    <t>electrical services lake buena vista</t>
  </si>
  <si>
    <t>91, 49, 90, 45, 42, 51, 22, 61, 72, 56, 75, 40, 55, 42, 46, 36, 36, 75, 55, 51, 26, 23, 24, 26</t>
  </si>
  <si>
    <t>riverdale electrical services</t>
  </si>
  <si>
    <t>electrical places near me</t>
  </si>
  <si>
    <t>voltex</t>
  </si>
  <si>
    <t>sb electrical services</t>
  </si>
  <si>
    <t>4, 0, 0, 0, 0, 0, 1, 0, 1, 1, 1, 0, 0, 0, 0, 0, 0, 0, 0, 0, 0, 0, 0, 1</t>
  </si>
  <si>
    <t>60, 61, 54, 56, 39, 55, 51, 41, 45, 63, 49, 45, 40, 39, 42, 39, 37, 58, 40, 45, 26, 26, 32, 26</t>
  </si>
  <si>
    <t>toledo electrical services</t>
  </si>
  <si>
    <t>Technology; Electronic components; Shopping</t>
  </si>
  <si>
    <t>list of electrical companies in gauteng</t>
  </si>
  <si>
    <t>menifee electrical services</t>
  </si>
  <si>
    <t>0, 0, 0, 1, 1, 0, 0, 0, 1, 0, 0, 0, 0, 0, 0, 0, 0, 0, 0, 0, 0, 0, 0, 1</t>
  </si>
  <si>
    <t>emergency electrical services melbourne</t>
  </si>
  <si>
    <t>47, 29, 25, 38, 25, 54, 49, 51, 54, 46, 39, 52, 43, 53, 48, 18, 19, 74, 39, 44, 53, 49, 0, 34</t>
  </si>
  <si>
    <t>0, 1, 1, 2, 5, 4, 4, 4, 3, 5, 1, 0, 0, 0, 0, 0, 0, 0, 0, 0, 0, 0, 0, 1</t>
  </si>
  <si>
    <t>real estate electrical repairs</t>
  </si>
  <si>
    <t>how to wire a house</t>
  </si>
  <si>
    <t>emergency electrician petts wood</t>
  </si>
  <si>
    <t>house wiring</t>
  </si>
  <si>
    <t>People also ask,AI Overview,Thumbnail,Image pack</t>
  </si>
  <si>
    <t>0, 1, 0, 0, 0, 0, 0, 0, 0, 0, 1, 0, 0, 0, 0, 0, 0, 0, 0, 0, 0, 0, 0, 1</t>
  </si>
  <si>
    <t>all pro electrical services</t>
  </si>
  <si>
    <t>73, 40, 42, 61, 67, 51, 42, 53, 54, 57, 69, 58, 65, 45, 30, 32, 41, 41, 37, 34, 28, 19, 18, 22</t>
  </si>
  <si>
    <t>0, 0, 0, 0, 0, 0, 1, 0, 0, 0, 0, 0, 0, 0, 1, 1, 0, 1, 1, 0, 0, 0, 0, 1</t>
  </si>
  <si>
    <t>electronic repair</t>
  </si>
  <si>
    <t>emergency electrician strathfield</t>
  </si>
  <si>
    <t>emergency electrician chandler</t>
  </si>
  <si>
    <t>49, 48, 49, 51, 43, 34, 42, 51, 57, 62, 47, 33, 80, 48, 39, 23, 43, 27, 39, 39, 37, 41, 34, 29</t>
  </si>
  <si>
    <t>electrical panel installation philadelphia</t>
  </si>
  <si>
    <t>Electronic components; Continuing education; Technical reference</t>
  </si>
  <si>
    <t>gas coc cost</t>
  </si>
  <si>
    <t>jps electrical services</t>
  </si>
  <si>
    <t>gas certificate of compliance cost</t>
  </si>
  <si>
    <t>electrical services glendale</t>
  </si>
  <si>
    <t>41, 32, 36, 25, 15, 18, 16, 40, 40, 42, 54, 65, 51, 63, 54, 50, 42, 47, 59, 25, 19, 27, 18, 22</t>
  </si>
  <si>
    <t>0, 0, 0, 0, 0, 0, 0, 0, 0, 1, 0, 0, 1, 0, 0, 0, 1, 0, 2, 1, 0, 0, 0, 1</t>
  </si>
  <si>
    <t>electrical and plumbing</t>
  </si>
  <si>
    <t>toronto electrical services</t>
  </si>
  <si>
    <t>plumbing and electrical</t>
  </si>
  <si>
    <t>Local pack,Image pack,People also ask</t>
  </si>
  <si>
    <t>emergency electrician highland park calgary</t>
  </si>
  <si>
    <t>26, 12, 13, 22, 20, 33, 20, 26, 24, 18, 7, 98, 122, 28, 17, 18, 13, 28, 19, 20, 33, 29, 13, 25</t>
  </si>
  <si>
    <t>Plumbing</t>
  </si>
  <si>
    <t>emergency electrician wirral</t>
  </si>
  <si>
    <t>electrical companies cape town</t>
  </si>
  <si>
    <t>1, 0, 0, 0, 1, 0, 0, 0, 1, 0, 1, 0, 1, 0, 0, 0, 0, 0, 0, 0, 0, 0, 0, 1</t>
  </si>
  <si>
    <t>san antonio electrical services</t>
  </si>
  <si>
    <t>0, 0, 1, 0, 0, 1, 0, 0, 1, 1, 0, 0, 0, 0, 0, 0, 0, 0, 0, 0, 0, 0, 0, 1</t>
  </si>
  <si>
    <t>electrical contractor borne ma</t>
  </si>
  <si>
    <t>18, 8, 4, 4, 6, 4, 18, 21, 8, 10, 20, 18, 72, 57, 89, 76, 36, 12, 25, 20, 16, 24, 32, 20</t>
  </si>
  <si>
    <t>0, 0, 0, 0, 0, 0, 1, 0, 1, 1, 1, 0, 0, 0, 0, 0, 0, 0, 0, 0, 0, 0, 0, 1</t>
  </si>
  <si>
    <t>electricians durban</t>
  </si>
  <si>
    <t>emergency electrician in london</t>
  </si>
  <si>
    <t>Local pack,People also ask,Discussions,Bottom ads</t>
  </si>
  <si>
    <t>0, 0, 0, 0, 0, 0, 0, 0, 0, 1, 0, 0, 0, 0, 1, 0, 0, 0, 0, 0, 0, 0, 0, 1</t>
  </si>
  <si>
    <t>electrical services kallangur</t>
  </si>
  <si>
    <t>39, 29, 35, 33, 32, 33, 46, 30, 38, 42, 16, 24, 45, 37, 51, 41, 39, 53, 55, 57, 58, 38, 29, 6</t>
  </si>
  <si>
    <t>electrical systems and services</t>
  </si>
  <si>
    <t>electrician near me open now</t>
  </si>
  <si>
    <t>dte electrical services</t>
  </si>
  <si>
    <t>52, 63, 46, 36, 48, 42, 64, 51, 34, 62, 36, 53, 47, 58, 67, 47, 48, 34, 33, 38, 23, 23, 3, 17</t>
  </si>
  <si>
    <t>electrical socket and switch installation</t>
  </si>
  <si>
    <t>0, 0, 0, 0, 0, 0, 0, 0, 0, 0, 3, 0, 1, 0, 2, 0, 0, 0, 0, 0, 0, 0, 0, 1</t>
  </si>
  <si>
    <t>commercial electrical contractor north jersey</t>
  </si>
  <si>
    <t>0, 0, 1, 0, 1, 0, 0, 1, 1, 0, 0, 0, 0, 0, 0, 0, 0, 0, 0, 0, 0, 0, 0, 1</t>
  </si>
  <si>
    <t>all day electrical services</t>
  </si>
  <si>
    <t>42, 32, 36, 50, 115, 37, 42, 68, 96, 19, 15, 14, 33, 29, 43, 82, 21, 19, 35, 15, 14, 66, 45, 4</t>
  </si>
  <si>
    <t>electrical contractor washington dc</t>
  </si>
  <si>
    <t>electrical company near me</t>
  </si>
  <si>
    <t>level 2 electrical installation evening course</t>
  </si>
  <si>
    <t>0, 0, 1, 0, 0, 0, 0, 2, 1, 2, 0, 0, 1, 0, 0, 0, 0, 0, 0, 1, 0, 0, 0, 1</t>
  </si>
  <si>
    <t>electrical wiring car services</t>
  </si>
  <si>
    <t>70, 57, 52, 58, 38, 96, 75, 74, 58, 74, 69, 56, 43, 46, 49, 42, 15, 35, 41, 34, 30, 24, 14, 24</t>
  </si>
  <si>
    <t>1, 3, 1, 0, 0, 4, 4, 1, 0, 0, 0, 1, 0, 0, 0, 0, 0, 0, 1, 0, 1, 0, 0, 1</t>
  </si>
  <si>
    <t>electricity certificate of compliance</t>
  </si>
  <si>
    <t>commercial electrical contractor chicago</t>
  </si>
  <si>
    <t>0, 0, 0, 0, 0, 1, 2, 1, 0, 1, 0, 0, 0, 0, 0, 0, 0, 0, 0, 0, 0, 0, 0, 1</t>
  </si>
  <si>
    <t>electrical tech services houston</t>
  </si>
  <si>
    <t>47, 49, 41, 56, 55, 37, 42, 44, 30, 35, 36, 32, 35, 33, 15, 44, 64, 25, 38, 23, 50, 43, 31, 33</t>
  </si>
  <si>
    <t>Electricity; Public policy; Technical reference</t>
  </si>
  <si>
    <t>eal level 3 electrical installation</t>
  </si>
  <si>
    <t>compliance certificate south africa</t>
  </si>
  <si>
    <t>0, 0, 0, 0, 1, 1, 1, 1, 0, 1, 0, 1, 0, 0, 0, 0, 0, 0, 0, 0, 0, 0, 0, 1</t>
  </si>
  <si>
    <t>compliance officer</t>
  </si>
  <si>
    <t>electrical services in nunawading vic</t>
  </si>
  <si>
    <t>requirements of electrical installation</t>
  </si>
  <si>
    <t>65, 67, 65, 80, 70, 32, 39, 56, 44, 43, 11, 40, 38, 40, 22, 40, 22, 33, 38, 48, 40, 36, 23, 34</t>
  </si>
  <si>
    <t>Certification; Educational</t>
  </si>
  <si>
    <t>0, 0, 0, 0, 0, 1, 0, 0, 1, 0, 0, 0, 0, 1, 0, 0, 0, 0, 0, 0, 0, 0, 0, 1</t>
  </si>
  <si>
    <t>electric appliance repair near me</t>
  </si>
  <si>
    <t>emergency electrician battersea</t>
  </si>
  <si>
    <t>lynnwood domestic services</t>
  </si>
  <si>
    <t>0, 0, 0, 0, 0, 0, 0, 1, 0, 1, 0, 0, 0, 0, 0, 0, 0, 0, 0, 0, 0, 0, 0, 1</t>
  </si>
  <si>
    <t>electrical repairs cheltenham</t>
  </si>
  <si>
    <t>77, 62, 59, 50, 65, 68, 50, 45, 50, 55, 62, 67, 66, 41, 28, 41, 43, 33, 36, 36, 32, 31, 18, 27</t>
  </si>
  <si>
    <t>electrical repairs raleigh nc</t>
  </si>
  <si>
    <t>appliance repairs centre</t>
  </si>
  <si>
    <t>best electrical contractor near me</t>
  </si>
  <si>
    <t>0, 0, 0, 0, 0, 1, 0, 0, 0, 1, 0, 0, 0, 0, 0, 0, 0, 1, 0, 0, 2, 2, 3, 3</t>
  </si>
  <si>
    <t>emergency electrician redhill</t>
  </si>
  <si>
    <t>31, 23, 30, 21, 20, 29, 30, 31, 21, 15, 24, 29, 86, 58, 87, 89, 69, 48, 13, 6, 10, 6, 5, 9</t>
  </si>
  <si>
    <t>0, 0, 1, 0, 0, 0, 0, 1, 0, 0, 3, 0, 0, 0, 0, 0, 0, 0, 0, 0, 0, 0, 0, 1</t>
  </si>
  <si>
    <t>electrical house wiring</t>
  </si>
  <si>
    <t>nash electrical services</t>
  </si>
  <si>
    <t>0, 0, 0, 0, 0, 0, 0, 0, 0, 0, 0, 1, 0, 0, 0, 0, 0, 0, 1, 0, 1, 0, 1, 1</t>
  </si>
  <si>
    <t>AI Overview,Thumbnail,People also ask,Video preview,Sitelinks</t>
  </si>
  <si>
    <t>electrical engineering services ma</t>
  </si>
  <si>
    <t>duluth electrical installation</t>
  </si>
  <si>
    <t>0, 1, 0, 0, 1, 2, 0, 0, 0, 0, 0, 0, 0, 0, 0, 0, 0, 0, 0, 0, 0, 0, 0, 1</t>
  </si>
  <si>
    <t>21, 31, 39, 35, 23, 39, 36, 31, 40, 26, 26, 33, 52, 42, 27, 27, 22, 34, 48, 36, 39, 35, 34, 29</t>
  </si>
  <si>
    <t>electrical installation background</t>
  </si>
  <si>
    <t>electrical repair</t>
  </si>
  <si>
    <t>0, 0, 0, 0, 3, 0, 0, 0, 0, 0, 0, 0, 0, 0, 0, 0, 0, 0, 0, 0, 0, 0, 0, 1</t>
  </si>
  <si>
    <t>electrical contractor durant ok</t>
  </si>
  <si>
    <t>1, 0, 0, 0, 0, 1, 0, 0, 0, 0, 1, 1, 0, 0, 0, 0, 0, 0, 0, 0, 0, 0, 0, 1</t>
  </si>
  <si>
    <t>electrical contractor in enfield ct</t>
  </si>
  <si>
    <t>46, 64, 70, 68, 75, 97, 75, 127, 145, 200, 200, 53, 52, 40, 32, 20, 23, 29, 19, 19, 24, 28, 10, 22</t>
  </si>
  <si>
    <t>fix microwave near me</t>
  </si>
  <si>
    <t>call out electrical services</t>
  </si>
  <si>
    <t>0, 1, 1, 0, 2, 0, 1, 0, 0, 0, 0, 0, 0, 0, 0, 0, 0, 0, 0, 0, 0, 0, 0, 1</t>
  </si>
  <si>
    <t>electrical wiring contractor singapore</t>
  </si>
  <si>
    <t>electrical services in rustenburg</t>
  </si>
  <si>
    <t>66, 40, 49, 49, 34, 31, 53, 38, 34, 43, 45, 34, 42, 34, 32, 30, 27, 35, 33, 22, 26, 49, 17, 34</t>
  </si>
  <si>
    <t>0, 0, 0, 0, 0, 0, 0, 0, 0, 0, 0, 0, 0, 0, 0, 0, 2, 3, 0, 0, 0, 0, 0, 1</t>
  </si>
  <si>
    <t>residential electricians near me</t>
  </si>
  <si>
    <t>electrical installation company pflugerville</t>
  </si>
  <si>
    <t>ada's elite electrical contractor</t>
  </si>
  <si>
    <t>42, 51, 51, 43, 44, 69, 58, 57, 53, 39, 39, 50, 34, 51, 35, 21, 30, 19, 16, 17, 25, 21, 14, 20</t>
  </si>
  <si>
    <t>residential electrical services melbourne fl</t>
  </si>
  <si>
    <t>electrician training</t>
  </si>
  <si>
    <t>electrical repairs des moines</t>
  </si>
  <si>
    <t>electrical courses</t>
  </si>
  <si>
    <t>0, 0, 0, 0, 2, 0, 0, 2, 0, 0, 0, 0, 0, 0, 0, 0, 0, 0, 0, 0, 0, 0, 0, 1</t>
  </si>
  <si>
    <t>burwood emergency electrician</t>
  </si>
  <si>
    <t>14, 13, 11, 13, 12, 27, 23, 26, 42, 27, 41, 28, 30, 17, 25, 26, 20, 45, 40, 30, 38, 30, 5, 25</t>
  </si>
  <si>
    <t>1, 0, 1, 2, 1, 0, 1, 3, 0, 0, 0, 0, 0, 0, 0, 0, 0, 0, 0, 0, 0, 0, 0, 1</t>
  </si>
  <si>
    <t>electrician jobs in western cape</t>
  </si>
  <si>
    <t>emergency electrician botany</t>
  </si>
  <si>
    <t>arm electrical services</t>
  </si>
  <si>
    <t>26, 46, 29, 20, 28, 24, 45, 27, 14, 34, 30, 28, 27, 22, 27, 55, 23, 38, 7, 22, 62, 43, 7, 38</t>
  </si>
  <si>
    <t>electrical services lincoln</t>
  </si>
  <si>
    <t>kansas city emergency electrician</t>
  </si>
  <si>
    <t>electrical installation condition report guide</t>
  </si>
  <si>
    <t>22, 23, 32, 33, 40, 34, 40, 38, 52, 25, 36, 58, 50, 33, 26, 11, 15, 19, 26, 18, 16, 31, 8, 19</t>
  </si>
  <si>
    <t>0, 1, 0, 0, 0, 0, 1, 1, 0, 1, 0, 0, 0, 0, 0, 0, 0, 0, 0, 0, 0, 0, 0, 1</t>
  </si>
  <si>
    <t>what is a certificate of compliance</t>
  </si>
  <si>
    <t>positive services electrical ltd</t>
  </si>
  <si>
    <t>1, 0, 1, 0, 0, 0, 0, 0, 0, 0, 1, 0, 0, 0, 0, 0, 0, 0, 0, 0, 0, 0, 0, 1</t>
  </si>
  <si>
    <t>emergency electrician seattle</t>
  </si>
  <si>
    <t>26, 25, 35, 33, 19, 21, 30, 40, 43, 22, 32, 28, 32, 21, 26, 26, 25, 41, 32, 28, 30, 36, 37, 34</t>
  </si>
  <si>
    <t>Business operations; Legal</t>
  </si>
  <si>
    <t>0, 0, 1, 0, 0, 1, 0, 1, 1, 0, 0, 0, 0, 0, 0, 0, 0, 0, 0, 0, 0, 0, 0, 1</t>
  </si>
  <si>
    <t>electricians in durban</t>
  </si>
  <si>
    <t>auto electrical services donvale</t>
  </si>
  <si>
    <t>residential electrical services fort myers fl</t>
  </si>
  <si>
    <t>0, 1, 0, 0, 0, 0, 0, 0, 0, 1, 2, 0, 0, 0, 0, 0, 0, 0, 0, 0, 0, 0, 0, 1</t>
  </si>
  <si>
    <t>electrical contractor midrand</t>
  </si>
  <si>
    <t>28, 36, 29, 34, 29, 35, 36, 40, 28, 30, 30, 31, 26, 33, 32, 25, 24, 29, 25, 23, 21, 32, 23, 31</t>
  </si>
  <si>
    <t>20, 17, 22, 25, 26, 24, 20, 19, 16, 26, 18</t>
  </si>
  <si>
    <t>0, 0, 0, 0, 0, 0, 0, 0, 0, 0, 0, 0, 0, 0, 6, 7, 6, 6, 6, 7, 10, 5, 1, 6</t>
  </si>
  <si>
    <t>electronics repair shop near me</t>
  </si>
  <si>
    <t>lmr electrical services</t>
  </si>
  <si>
    <t>electrical installation netherlands</t>
  </si>
  <si>
    <t>electrical outlet installation and repair durham</t>
  </si>
  <si>
    <t>28, 33, 27, 29, 22, 22, 24, 25, 30, 15, 30, 15, 34, 28, 46, 25, 28, 23, 35, 30, 28, 26, 14, 17</t>
  </si>
  <si>
    <t>what is a compliance certificate</t>
  </si>
  <si>
    <t>0, 2, 0, 0, 0, 0, 0, 1, 0, 0, 0, 0, 0, 0, 0, 0, 0, 0, 0, 0, 0, 0, 0, 1</t>
  </si>
  <si>
    <t>emergency electrician coppell tx</t>
  </si>
  <si>
    <t>electrical services tauranga</t>
  </si>
  <si>
    <t>0, 0, 0, 1, 0, 0, 1, 0, 0, 0, 2, 0, 0, 0, 0, 0, 0, 0, 0, 0, 0, 0, 0, 1</t>
  </si>
  <si>
    <t>24, 26, 14, 16, 22, 11, 18, 20, 27, 13, 14, 22, 23, 24, 33, 29, 33, 22, 31, 22, 23, 28, 30, 36</t>
  </si>
  <si>
    <t>Real estate law; Property</t>
  </si>
  <si>
    <t>electrical services in port elizabeth</t>
  </si>
  <si>
    <t>certificate of compliance south africa</t>
  </si>
  <si>
    <t>0, 0, 0, 0, 0, 0, 0, 0, 0, 0, 0, 0, 0, 0, 0, 3, 3, 2, 0, 0, 0, 0, 0, 1</t>
  </si>
  <si>
    <t>smalls electrical services</t>
  </si>
  <si>
    <t>kansas city electrical installation service</t>
  </si>
  <si>
    <t>74, 57, 39, 52, 64, 24, 62, 50, 47, 24, 36, 32, 45, 37, 41, 54, 39, 27, 30, 28, 28, 16, 22, 22</t>
  </si>
  <si>
    <t>electrical vacancies in cape town</t>
  </si>
  <si>
    <t>electrical panel installation procedure</t>
  </si>
  <si>
    <t>0, 0, 2, 0, 3, 0, 0, 1, 0, 4, 0, 0, 0, 0, 0, 1, 0, 0, 1, 0, 0, 0, 0, 1</t>
  </si>
  <si>
    <t>electrical installation - notes pdf</t>
  </si>
  <si>
    <t>0, 0, 0, 5, 4, 4, 8, 1, 1, 5, 6, 10, 5, 5, 6, 0, 0, 0, 0, 0, 0, 0, 0, 1</t>
  </si>
  <si>
    <t>87, 42, 81, 63, 65, 42, 264, 96, 68, 134, 89, 79, 51, 43, 36, 12, 23, 13, 39, 19, 7, 7, 33, 2</t>
  </si>
  <si>
    <t>electrical contractor galveston</t>
  </si>
  <si>
    <t>electrical services palm city</t>
  </si>
  <si>
    <t>electrical contractor orange county</t>
  </si>
  <si>
    <t>1, 0, 0, 0, 0, 0, 0, 0, 1, 1, 1, 0, 0, 0, 0, 0, 0, 0, 0, 0, 0, 0, 0, 1</t>
  </si>
  <si>
    <t>ct electrical</t>
  </si>
  <si>
    <t>murphy electrical services</t>
  </si>
  <si>
    <t>AI Overview,Thumbnail,People also ask,Sitelinks,Image pack</t>
  </si>
  <si>
    <t>quantum electrical services</t>
  </si>
  <si>
    <t>0, 0, 1, 1, 28, 1, 2, 1, 3, 1, 0, 1, 0, 7, 1, 0, 0, 0, 0, 0, 0, 1, 0, 1</t>
  </si>
  <si>
    <t>12, 6, 12, 8, 3, 6, 9, 5, 4, 6, 6, 23, 23, 22, 33, 44, 23, 39, 46, 32, 37, 36, 36, 27</t>
  </si>
  <si>
    <t>champion electrical services</t>
  </si>
  <si>
    <t>pretoria electricians</t>
  </si>
  <si>
    <t>0, 0, 0, 0, 0, 0, 0, 0, 0, 0, 1, 0, 0, 0, 0, 0, 0, 1, 0, 0, 0, 1, 0, 1</t>
  </si>
  <si>
    <t>electrical installation industrial</t>
  </si>
  <si>
    <t>0, 0, 0, 0, 0, 0, 0, 0, 1, 0, 1, 0, 0, 0, 0, 0, 0, 0, 0, 0, 0, 0, 0, 1</t>
  </si>
  <si>
    <t>electrical contractor insurance alabama</t>
  </si>
  <si>
    <t>99, 58, 23, 17, 19, 14, 18, 28, 20, 18, 29, 43, 23, 22, 12, 20, 18, 41, 26, 38, 39, 33, 9, 27</t>
  </si>
  <si>
    <t>electronic repair near me</t>
  </si>
  <si>
    <t>electrical installation png</t>
  </si>
  <si>
    <t>1, 0, 0, 2, 0, 2, 0, 0, 0, 0, 0, 0, 0, 0, 0, 0, 0, 0, 0, 1, 0, 0, 0, 1</t>
  </si>
  <si>
    <t>20, 25, 22, 29, 41, 28, 19, 27, 19, 17, 25, 33, 26, 20, 27, 19, 35, 36, 31, 18, 26, 15, 10, 18</t>
  </si>
  <si>
    <t>electrical wiring contractor lucedale</t>
  </si>
  <si>
    <t>0, 0, 0, 1, 1, 0, 1, 0, 1, 0, 0, 0, 0, 0, 0, 0, 0, 0, 0, 0, 0, 0, 0, 1</t>
  </si>
  <si>
    <t>general electrical installation checklist</t>
  </si>
  <si>
    <t>deer park electrical services</t>
  </si>
  <si>
    <t>inline plumbing &amp; electrical services</t>
  </si>
  <si>
    <t>mastercare tv repairs</t>
  </si>
  <si>
    <t>0, 0, 0, 0, 0, 0, 0, 3, 0, 0, 0, 1, 0, 0, 0, 0, 0, 0, 0, 0, 0, 0, 0, 1</t>
  </si>
  <si>
    <t>electrical contractor kent</t>
  </si>
  <si>
    <t>Local pack,Sitelinks,People also ask,Video preview</t>
  </si>
  <si>
    <t>1, 1, 0, 0, 3, 2, 1, 0, 2, 1, 0, 0, 1, 0, 0, 0, 0, 0, 0, 0, 0, 0, 0, 1</t>
  </si>
  <si>
    <t>Informational,Navigational,Commercial,Transactional,Branded,Local</t>
  </si>
  <si>
    <t>types of joints in electrical installation</t>
  </si>
  <si>
    <t>0, 27, 30, 46, 48, 53, 27, 15, 32, 25, 31, 11, 5, 0, 28, 24, 50, 53, 43, 46, 29, 6, 0, 12</t>
  </si>
  <si>
    <t>Video</t>
  </si>
  <si>
    <t>2, 1, 0, 1, 0, 0, 0, 0, 1, 4, 2, 3, 2, 2, 5, 6, 4, 4, 6, 3, 4, 3, 3, 4</t>
  </si>
  <si>
    <t>how to apply for coc certificate</t>
  </si>
  <si>
    <t>electrical services jupiter fl</t>
  </si>
  <si>
    <t>electrical coc certificate</t>
  </si>
  <si>
    <t>0, 0, 0, 0, 0, 1, 1, 0, 0, 1, 1, 0, 0, 0, 0, 0, 0, 0, 0, 0, 0, 0, 0, 1</t>
  </si>
  <si>
    <t>electrical wiring contractor d'iberville</t>
  </si>
  <si>
    <t>0, 1, 1, 2, 1, 1, 0, 1, 1, 0, 0, 0, 0, 0, 0, 0, 0, 0, 0, 0, 0, 0, 0, 1</t>
  </si>
  <si>
    <t>45, 31, 37, 27, 18, 23, 15, 29, 28, 36, 38, 43, 32, 54, 43, 25, 14, 13, 39, 31, 16, 6, 10, 12</t>
  </si>
  <si>
    <t>emergency electrician gwelup</t>
  </si>
  <si>
    <t>electrical coc test kit for sale</t>
  </si>
  <si>
    <t>0, 0, 0, 0, 0, 0, 0, 0, 2, 1, 1, 0, 0, 0, 0, 0, 0, 0, 0, 0, 0, 0, 0, 1</t>
  </si>
  <si>
    <t>look up electrical contractor license</t>
  </si>
  <si>
    <t>coc test kit</t>
  </si>
  <si>
    <t>electrical pat testing services moorlands</t>
  </si>
  <si>
    <t>Commercial,Transactional,Non-branded,Non-local</t>
  </si>
  <si>
    <t>17, 1, 0, 0, 2, 0, 0, 0, 0, 0, 0, 14, 26, 14, 28, 22, 38, 50, 37, 34, 21, 26, 11, 20</t>
  </si>
  <si>
    <t>Control; Measurement</t>
  </si>
  <si>
    <t>electrical wire repairs</t>
  </si>
  <si>
    <t>electricity installation</t>
  </si>
  <si>
    <t>0, 0, 0, 0, 1, 0, 1, 0, 0, 1, 0, 0, 0, 1, 0, 0, 0, 0, 0, 0, 0, 0, 0, 1</t>
  </si>
  <si>
    <t>eskom application online</t>
  </si>
  <si>
    <t>emergency electrician stockwell</t>
  </si>
  <si>
    <t>0, 0, 0, 0, 3, 2, 0, 0, 0, 1, 1, 0, 0, 0, 0, 0, 0, 0, 0, 0, 0, 0, 0, 1</t>
  </si>
  <si>
    <t>electrical installation lighting circuits</t>
  </si>
  <si>
    <t>173, 79, 45, 35, 37, 24, 24, 26, 37, 38, 38, 59, 49, 37, 55, 36, 27, 18, 31, 40, 27, 19, 16, 21</t>
  </si>
  <si>
    <t>Electricity; Home improvement; Technical reference</t>
  </si>
  <si>
    <t>electrical jobs western cape</t>
  </si>
  <si>
    <t>0, 0, 0, 0, 0, 0, 0, 0, 2, 0, 0, 1, 0, 0, 0, 0, 0, 0, 0, 0, 0, 0, 0, 1</t>
  </si>
  <si>
    <t>electrical appliance repairs &amp; parts edinburgh</t>
  </si>
  <si>
    <t>best small electrical repairs near me</t>
  </si>
  <si>
    <t>56, 36, 25, 5, 20, 49, 17, 25, 20, 19, 14, 25, 25, 5, 15, 9, 13, 19, 10, 33, 39, 2, 0, 14</t>
  </si>
  <si>
    <t>0, 0, 0, 1, 0, 0, 2, 1, 1, 0, 0, 0, 3, 0, 0, 0, 0, 0, 0, 0, 0, 0, 0, 1</t>
  </si>
  <si>
    <t>electrical companies in south africa</t>
  </si>
  <si>
    <t>electrical installation greensboro</t>
  </si>
  <si>
    <t>emergency electrician lalor park</t>
  </si>
  <si>
    <t>kawuleza electrical services</t>
  </si>
  <si>
    <t>7, 4, 1, 3, 1, 6, 12, 5, 7, 4, 4, 20, 14, 21, 16, 22, 16, 28, 46, 43, 14, 24, 13, 18</t>
  </si>
  <si>
    <t>electrical companies in gauteng</t>
  </si>
  <si>
    <t>industrial and electrical services white house tn</t>
  </si>
  <si>
    <t>termination in electrical installation</t>
  </si>
  <si>
    <t>0, 0, 0, 0, 0, 0, 0, 1, 0, 0, 0, 0, 2, 4, 1, 2, 0, 0, 2, 0, 0, 0, 0, 1</t>
  </si>
  <si>
    <t>15, 22, 42, 24, 13, 32, 24, 11, 15, 16, 13, 16, 13, 31, 19, 4, 2, 14, 17, 22, 67, 32, 0, 33</t>
  </si>
  <si>
    <t>california electrical contractor</t>
  </si>
  <si>
    <t>ace auto electrical services</t>
  </si>
  <si>
    <t>8, 0, 13, 8, 3, 0, 0, 0, 0, 0, 0, 0, 0, 0, 1, 2, 1, 3, 0, 4, 1, 1, 0, 2</t>
  </si>
  <si>
    <t>emergency electrician in marbella</t>
  </si>
  <si>
    <t>6, 14, 9, 10, 9, 18, 20, 19, 23, 11, 10, 21, 18, 22, 12, 14, 16, 13, 25, 17, 13, 13, 10, 13</t>
  </si>
  <si>
    <t>commercial electrical services jefferson county</t>
  </si>
  <si>
    <t>electrical companies in cape town</t>
  </si>
  <si>
    <t>electrical wiring contractor mesa</t>
  </si>
  <si>
    <t>cpt electrical services</t>
  </si>
  <si>
    <t>17, 14, 13, 13, 18, 19, 21, 16, 16, 16, 16, 16, 17, 14, 13, 12, 17, 18, 20, 16, 15, 16, 16, 16</t>
  </si>
  <si>
    <t>16, 14, 12, 12, 17, 18, 20, 16, 15, 15, 16, 15</t>
  </si>
  <si>
    <t>0, 0, 0, 0, 2, 0, 0, 0, 2, 0, 0, 0, 2, 2, 1, 0, 2, 1, 1, 2, 0, 0, 0, 1</t>
  </si>
  <si>
    <t>Electricity; Jobs and education; Business</t>
  </si>
  <si>
    <t>suburban electrical services</t>
  </si>
  <si>
    <t>eskom application form pdf</t>
  </si>
  <si>
    <t>AI Overview,Thumbnail,People also ask,Video preview</t>
  </si>
  <si>
    <t>bellingham electrical installation</t>
  </si>
  <si>
    <t>0, 0, 0, 0, 0, 1, 0, 0, 4, 3, 0, 2, 0, 0, 0, 0, 0, 0, 0, 0, 0, 0, 0, 1</t>
  </si>
  <si>
    <t>electrical contractor marketing plan</t>
  </si>
  <si>
    <t>26, 21, 15, 14, 15, 17, 30, 21, 20, 23, 15, 20, 19, 6, 27, 15, 17, 21, 12, 14, 22, 18, 11, 18</t>
  </si>
  <si>
    <t>electrician in durban</t>
  </si>
  <si>
    <t>0, 1, 0, 1, 0, 2, 0, 0, 0, 0, 0, 0, 0, 0, 0, 0, 0, 0, 0, 0, 0, 0, 0, 1</t>
  </si>
  <si>
    <t>emergency electrician london 365</t>
  </si>
  <si>
    <t>0, 0, 0, 2, 0, 1, 0, 0, 0, 3, 0, 0, 0, 0, 0, 0, 0, 0, 0, 0, 0, 0, 0, 1</t>
  </si>
  <si>
    <t>emergency electrician cranbourne</t>
  </si>
  <si>
    <t>19, 12, 22, 32, 25, 28, 19, 21, 17, 22, 21, 30, 18, 27, 30, 21, 28, 18, 22, 22, 13, 18, 3, 12</t>
  </si>
  <si>
    <t>brighton emergency electrician near me</t>
  </si>
  <si>
    <t>eca south africa</t>
  </si>
  <si>
    <t>0, 1, 0, 0, 0, 1, 0, 3, 0, 0, 0, 0, 0, 0, 0, 0, 0, 0, 0, 0, 0, 0, 0, 1</t>
  </si>
  <si>
    <t>peter nolan auto electrical repairs</t>
  </si>
  <si>
    <t>lighthouse point electrical services</t>
  </si>
  <si>
    <t>0, 0, 0, 1, 1, 1, 3, 3, 2, 3, 1, 0, 0, 0, 0, 0, 0, 0, 0, 0, 0, 0, 0, 1</t>
  </si>
  <si>
    <t>emergency electrician gold coast</t>
  </si>
  <si>
    <t>40, 32, 47, 44, 45, 16, 14, 16, 19, 38, 46, 36, 55, 40, 31, 42, 46, 9, 4, 2, 3, 5, 1, 1</t>
  </si>
  <si>
    <t>fixing fridge near me</t>
  </si>
  <si>
    <t>0, 0, 0, 7, 2, 3, 0, 2, 2, 1, 4, 3, 1, 0, 0, 0, 0, 0, 0, 0, 0, 0, 0, 1</t>
  </si>
  <si>
    <t>electrical services elizabethtown</t>
  </si>
  <si>
    <t>24 hour electrical services cookeville</t>
  </si>
  <si>
    <t>28, 31, 29, 28, 27, 35, 31, 31, 21, 23, 10, 12, 20, 12, 25, 29, 41, 64, 13, 5, 21, 11, 11, 15</t>
  </si>
  <si>
    <t>electrical outlet installation near me</t>
  </si>
  <si>
    <t>electronics repairs</t>
  </si>
  <si>
    <t>0, 1, 1, 0, 0, 0, 3, 3, 2, 3, 2, 1, 1, 0, 0, 0, 1, 0, 0, 0, 1, 1, 1, 1</t>
  </si>
  <si>
    <t>lightspeed electrical services</t>
  </si>
  <si>
    <t>electrical engineering consultancy services</t>
  </si>
  <si>
    <t>27, 21, 17, 17, 10, 18, 13, 14, 23, 25, 12, 10, 26, 17, 18, 18, 30, 14, 17, 28, 8, 11, 5, 9</t>
  </si>
  <si>
    <t>0, 0, 1, 0, 0, 0, 0, 1, 2, 0, 0, 0, 0, 0, 0, 0, 0, 0, 0, 0, 0, 0, 0, 1</t>
  </si>
  <si>
    <t>electrical contractors association of south africa</t>
  </si>
  <si>
    <t>lakeside electrical services</t>
  </si>
  <si>
    <t>0, 0, 0, 0, 0, 0, 0, 0, 0, 0, 0, 0, 0, 0, 0, 1, 0, 0, 0, 0, 0, 0, 2, 1</t>
  </si>
  <si>
    <t>electrical installation course near me</t>
  </si>
  <si>
    <t>25, 15, 9, 22, 49, 27, 64, 67, 42, 22, 26, 42, 50, 16, 4, 13, 7, 4, 7, 8, 10, 11, 8, 11</t>
  </si>
  <si>
    <t>0, 0, 0, 0, 0, 0, 0, 0, 8, 2, 5, 6, 16, 0, 2, 7, 3, 2, 3, 2, 0, 1, 0, 1</t>
  </si>
  <si>
    <t>installing electricity in a house</t>
  </si>
  <si>
    <t>electrical services jackson county</t>
  </si>
  <si>
    <t>halls electrical services</t>
  </si>
  <si>
    <t>AI Overview,Thumbnail,Video preview,People also ask,Discussions</t>
  </si>
  <si>
    <t>1, 0, 0, 0, 0, 0, 0, 1, 0, 0, 0, 0, 0, 0, 0, 0, 0, 0, 2, 0, 0, 0, 0, 1</t>
  </si>
  <si>
    <t>emergency electrician silverwater</t>
  </si>
  <si>
    <t>24, 18, 11, 13, 24, 7, 17, 9, 17, 13, 22, 18, 17, 18, 14, 18, 17, 22, 15, 23, 21, 13, 16, 12</t>
  </si>
  <si>
    <t>what is certificate of compliance</t>
  </si>
  <si>
    <t>emergency electrician dulwich</t>
  </si>
  <si>
    <t>0, 1, 0, 0, 1, 0, 0, 1, 0, 0, 2, 0, 0, 0, 0, 0, 0, 0, 0, 0, 0, 0, 0, 1</t>
  </si>
  <si>
    <t>winward electrical services</t>
  </si>
  <si>
    <t>1, 0, 0, 0, 0, 0, 0, 0, 2, 0, 0, 0, 0, 0, 0, 0, 0, 0, 0, 0, 0, 0, 0, 1</t>
  </si>
  <si>
    <t>jpr electrical services</t>
  </si>
  <si>
    <t>34, 21, 17, 45, 19, 24, 20, 18, 26, 19, 24, 26, 19, 27, 17, 15, 8, 24, 21, 13, 13, 12, 8, 12</t>
  </si>
  <si>
    <t>lg repairs near me</t>
  </si>
  <si>
    <t>electrical services menomonee falls wi</t>
  </si>
  <si>
    <t>lg repair centre near me</t>
  </si>
  <si>
    <t>diamond electrical services</t>
  </si>
  <si>
    <t>18, 34, 19, 9, 8, 27, 16, 19, 34, 13, 7, 35, 20, 19, 14, 8, 15, 13, 23, 16, 41, 29, 15, 21</t>
  </si>
  <si>
    <t>0, 0, 0, 0, 0, 0, 0, 0, 1, 0, 0, 0, 0, 1, 0, 0, 0, 0, 0, 0, 0, 0, 0, 1</t>
  </si>
  <si>
    <t>rix electrical services</t>
  </si>
  <si>
    <t>0, 0, 0, 0, 0, 0, 0, 0, 1, 1, 0, 0, 0, 0, 1, 0, 1, 0, 2, 0, 0, 0, 0, 1</t>
  </si>
  <si>
    <t>busy bee electrical services</t>
  </si>
  <si>
    <t>electrical services residential</t>
  </si>
  <si>
    <t>electric company near me</t>
  </si>
  <si>
    <t>city power</t>
  </si>
  <si>
    <t>1, 4, 3, 4, 7, 4, 7, 5, 11, 10, 7, 0, 0, 0, 0, 3, 0, 0, 0, 0, 0, 1, 3, 2</t>
  </si>
  <si>
    <t>21, 34, 29, 31, 17, 41, 56, 40, 46, 39, 40, 15, 23, 17, 17, 20, 14, 21, 17, 16, 19, 38, 11, 23</t>
  </si>
  <si>
    <t>robert electrical services</t>
  </si>
  <si>
    <t>tv repair shops near me</t>
  </si>
  <si>
    <t>0, 0, 0, 1, 0, 1, 1, 0, 1, 0, 0, 0, 0, 0, 0, 0, 0, 0, 1, 0, 0, 0, 0, 1</t>
  </si>
  <si>
    <t>electrical contractor nashville</t>
  </si>
  <si>
    <t>1, 1, 0, 0, 1, 0, 0, 1, 0, 0, 1, 0, 0, 0, 0, 0, 0, 0, 0, 0, 0, 0, 0, 1</t>
  </si>
  <si>
    <t>22, 19, 31, 20, 45, 31, 20, 29, 35, 20, 13, 11, 12, 20, 22, 12, 14, 19, 28, 30, 12, 12, 12, 13</t>
  </si>
  <si>
    <t>louw electrical services</t>
  </si>
  <si>
    <t>electrical contractors in gauteng</t>
  </si>
  <si>
    <t>hashtag electrical services</t>
  </si>
  <si>
    <t>0, 0, 0, 3, 0, 0, 0, 0, 0, 0, 0, 0, 0, 0, 0, 0, 0, 0, 0, 0, 0, 0, 0, 1</t>
  </si>
  <si>
    <t>business plan electrical contractor</t>
  </si>
  <si>
    <t>3, 2, 0, 1, 2, 0, 3, 4, 8, 8, 11, 0, 80, 72, 23, 2, 3, 5, 4, 3, 9, 20, 10, 2</t>
  </si>
  <si>
    <t>xtreme electrical services</t>
  </si>
  <si>
    <t>emergency electrician broken arrow</t>
  </si>
  <si>
    <t>apprenticeships electrical installation</t>
  </si>
  <si>
    <t>0, 0, 0, 0, 0, 0, 0, 1, 2, 3, 1, 0, 0, 0, 0, 0, 0, 0, 0, 0, 0, 0, 0, 1</t>
  </si>
  <si>
    <t>emergency electrician greythorn</t>
  </si>
  <si>
    <t>0, 0, 0, 0, 2, 2, 0, 0, 1, 0, 0, 0, 0, 0, 0, 0, 0, 0, 0, 0, 0, 0, 0, 1</t>
  </si>
  <si>
    <t>emergency electrician birchgrove</t>
  </si>
  <si>
    <t>master care durban</t>
  </si>
  <si>
    <t>naics for electrical contractor</t>
  </si>
  <si>
    <t>Sitelinks,People also ask,Video preview</t>
  </si>
  <si>
    <t>14, 11, 9, 23, 41, 34, 16, 13, 25, 2, 21, 21, 21, 21, 9, 0, 7, 48, 36, 68, 28, 5, 1, 12</t>
  </si>
  <si>
    <t>commercial electrical services pelzer</t>
  </si>
  <si>
    <t>electrician post</t>
  </si>
  <si>
    <t>electrician vacancies</t>
  </si>
  <si>
    <t>electrical installation condition report (eicr)</t>
  </si>
  <si>
    <t>1, 1, 0, 0, 0, 0, 0, 0, 0, 0, 0, 1, 3, 2, 0, 2, 0, 0, 2, 1, 0, 1, 0, 1</t>
  </si>
  <si>
    <t>45, 30, 7, 28, 25, 26, 13, 6, 15, 18, 7, 8, 11, 5, 8, 11, 8, 16, 10, 2, 3, 4, 0, 3</t>
  </si>
  <si>
    <t>electrical panel services natchitoches</t>
  </si>
  <si>
    <t>house electrical wiring south africa</t>
  </si>
  <si>
    <t>plug wiring</t>
  </si>
  <si>
    <t>electrical services northwich</t>
  </si>
  <si>
    <t>Image pack,AI Overview,Thumbnail,People also ask</t>
  </si>
  <si>
    <t>electrical installation brisbane</t>
  </si>
  <si>
    <t>23, 21, 16, 15, 22, 32, 23, 20, 22, 15, 19, 21, 22, 22, 17, 10, 18, 4, 5, 8, 9, 11, 0, 8</t>
  </si>
  <si>
    <t>wiring a house</t>
  </si>
  <si>
    <t>0, 0, 0, 0, 0, 2, 1, 0, 0, 0, 1, 0, 0, 0, 0, 0, 0, 0, 0, 0, 0, 0, 0, 1</t>
  </si>
  <si>
    <t>electrical installation cables</t>
  </si>
  <si>
    <t>0, 0, 0, 0, 0, 0, 0, 0, 0, 1, 0, 0, 0, 0, 0, 0, 0, 0, 0, 0, 0, 1, 1, 1</t>
  </si>
  <si>
    <t>30, 23, 24, 21, 11, 16, 17, 9, 15, 20, 9, 15, 13, 14, 10, 22, 9, 21, 11, 5, 13, 8, 7, 8</t>
  </si>
  <si>
    <t>electrical and alarm services</t>
  </si>
  <si>
    <t>cape repairs</t>
  </si>
  <si>
    <t>Sitelinks,Knowledge panel</t>
  </si>
  <si>
    <t>30, 38, 44, 45, 18, 35, 11, 10, 23, 20, 8, 16, 7, 9, 9, 11, 7, 5, 21, 10, 16, 15, 14, 16</t>
  </si>
  <si>
    <t>electrician near me contact number</t>
  </si>
  <si>
    <t>residential electrical services mullica hill nj</t>
  </si>
  <si>
    <t>electricians in port elizabeth</t>
  </si>
  <si>
    <t>0, 0, 0, 0, 0, 0, 2, 0, 0, 2, 0, 0, 0, 0, 0, 0, 0, 0, 0, 0, 0, 0, 0, 1</t>
  </si>
  <si>
    <t>electrical outlet installation west virginia</t>
  </si>
  <si>
    <t>27, 32, 42, 26, 21, 22, 11, 17, 18, 16, 16, 20, 27, 13, 16, 13, 18, 4, 12, 8, 11, 11, 6, 10</t>
  </si>
  <si>
    <t>electrical compliance certificate requirements</t>
  </si>
  <si>
    <t>clockwise electrical services</t>
  </si>
  <si>
    <t>0, 0, 0, 0, 0, 0, 1, 0, 0, 0, 0, 0, 0, 1, 0, 0, 0, 0, 2, 0, 0, 0, 0, 1</t>
  </si>
  <si>
    <t>electrical services in kraaifontein</t>
  </si>
  <si>
    <t>21, 30, 28, 34, 10, 23, 6, 10, 6, 6, 4, 11, 7, 10, 17, 7, 8, 9, 7, 8, 24, 17, 13, 19</t>
  </si>
  <si>
    <t>0, 0, 0, 0, 0, 0, 0, 0, 0, 0, 0, 0, 0, 0, 0, 0, 2, 6, 3, 0, 0, 0, 0, 1</t>
  </si>
  <si>
    <t>electric place near me</t>
  </si>
  <si>
    <t>electrical services petaluma ca</t>
  </si>
  <si>
    <t>1, 0, 0, 0, 0, 0, 0, 0, 0, 2, 0, 0, 0, 0, 0, 0, 0, 0, 0, 0, 0, 0, 0, 1</t>
  </si>
  <si>
    <t>23, 18, 22, 6, 13, 8, 16, 19, 11, 16, 4, 13, 11, 14, 12, 4, 1, 8, 13, 10, 17, 11, 4, 11</t>
  </si>
  <si>
    <t>eca cape town</t>
  </si>
  <si>
    <t>j d electrical services</t>
  </si>
  <si>
    <t>7, 3, 2, 6, 4, 8, 1, 4, 18, 7, 9, 6, 3, 15, 10, 1, 7, 6, 19, 6, 5, 6, 1, 1</t>
  </si>
  <si>
    <t>Certification; Business</t>
  </si>
  <si>
    <t>electrical contractor in evanston</t>
  </si>
  <si>
    <t>eca price list</t>
  </si>
  <si>
    <t>ocean electrical services</t>
  </si>
  <si>
    <t>Informational,Commercial,Branded,Non-local</t>
  </si>
  <si>
    <t>12, 7, 8, 3, 4, 9, 8, 11, 2, 9, 14, 9, 3, 3, 11, 20, 16, 30, 10, 3, 3, 2, 0, 3</t>
  </si>
  <si>
    <t>electrical contractor agreement</t>
  </si>
  <si>
    <t>Templates</t>
  </si>
  <si>
    <t>black and decker service center near me</t>
  </si>
  <si>
    <t>2, 4, 1, 0, 0, 0, 0, 0, 0, 2, 0, 0, 0, 0, 0, 0, 0, 0, 0, 1, 0, 0, 0, 1</t>
  </si>
  <si>
    <t>black and decker</t>
  </si>
  <si>
    <t>temporary electrical installation inspector</t>
  </si>
  <si>
    <t>People also ask,Local pack</t>
  </si>
  <si>
    <t>4, 0, 22, 3, 12, 6, 39, 13, 1, 1, 3, 5, 3, 31, 9, 10, 2, 3, 3, 14, 17, 28, 20, 23</t>
  </si>
  <si>
    <t>Power; Business</t>
  </si>
  <si>
    <t>emergency electrician lennox head</t>
  </si>
  <si>
    <t>electric companies</t>
  </si>
  <si>
    <t>electrical installation material</t>
  </si>
  <si>
    <t>2, 1, 0, 0, 0, 0, 1, 0, 0, 0, 1, 0, 0, 0, 1, 0, 5, 0, 0, 0, 0, 0, 0, 1</t>
  </si>
  <si>
    <t>coconut creek electrical services</t>
  </si>
  <si>
    <t>19, 30, 36, 31, 28, 24, 14, 29, 20, 30, 15, 8, 9, 10, 5, 4, 7, 9, 9, 8, 3, 1, 3, 3</t>
  </si>
  <si>
    <t>0, 0, 0, 1, 0, 0, 1, 0, 3, 1, 5, 3, 0, 0, 0, 0, 0, 0, 0, 0, 0, 0, 0, 1</t>
  </si>
  <si>
    <t>fridge repairs near me no call out fee</t>
  </si>
  <si>
    <t>construction electrical services</t>
  </si>
  <si>
    <t>AI Overview,Thumbnail,Knowledge card,Knowledge panel,People also ask</t>
  </si>
  <si>
    <t>10, 11, 8, 10, 18, 12, 11, 9, 4, 7, 4, 8, 7, 5, 10, 5, 7, 9, 6, 3, 7, 8, 9, 9</t>
  </si>
  <si>
    <t>electronic repair shops near me</t>
  </si>
  <si>
    <t>1, 0, 0, 1, 0, 1, 0, 1, 0, 0, 0, 0, 0, 0, 0, 0, 2, 1, 0, 0, 0, 0, 0, 1</t>
  </si>
  <si>
    <t>licensed electrical contractor media</t>
  </si>
  <si>
    <t>Commercial,Non-branded,Local</t>
  </si>
  <si>
    <t>reliable and trustworthy electrical services</t>
  </si>
  <si>
    <t>6, 9, 4, 5, 5, 12, 9, 3, 10, 11, 7, 7, 22, 7, 15, 10, 9, 14, 4, 6, 6, 3, 7, 1</t>
  </si>
  <si>
    <t>wasmasjien repairs</t>
  </si>
  <si>
    <t>electrical contractor exam prep</t>
  </si>
  <si>
    <t>Afrikaans</t>
  </si>
  <si>
    <t>36, 41, 42, 34, 10, 8, 18, 17, 29, 43, 33, 33, 52, 22, 14, 11, 16, 9, 9, 0, 0, 0, 0, 1</t>
  </si>
  <si>
    <t>wiring electrical installation</t>
  </si>
  <si>
    <t>c&amp;a electrical</t>
  </si>
  <si>
    <t>electrical panel installation iowa</t>
  </si>
  <si>
    <t>residential electrical services perth</t>
  </si>
  <si>
    <t>0, 0, 0, 0, 1, 0, 0, 0, 2, 0, 1, 0, 0, 0, 0, 0, 0, 0, 0, 0, 0, 0, 0, 1</t>
  </si>
  <si>
    <t>2, 6, 28, 18, 0, 0, 0, 0, 0, 0, 1, 2, 2, 5, 1, 0, 0, 0, 0, 0, 15, 39, 28, 27</t>
  </si>
  <si>
    <t>Maintenance; Home improvement</t>
  </si>
  <si>
    <t>peters electrical services</t>
  </si>
  <si>
    <t>gwasa electrical</t>
  </si>
  <si>
    <t>residential electrical installation merrimack nh</t>
  </si>
  <si>
    <t>0, 0, 0, 0, 0, 0, 0, 0, 0, 0, 0, 0, 0, 0, 2, 0, 1, 0, 2, 0, 0, 0, 0, 1</t>
  </si>
  <si>
    <t>54, 52, 46, 29, 11, 72, 54, 45, 34, 35, 31, 47, 5, 3, 1, 1, 11, 5, 4, 11, 12, 11, 1, 9</t>
  </si>
  <si>
    <t>bradford electrical services</t>
  </si>
  <si>
    <t>electrical contractors in south africa</t>
  </si>
  <si>
    <t>0, 0, 0, 0, 0, 0, 0, 0, 2, 0, 0, 2, 0, 0, 0, 0, 0, 0, 0, 0, 0, 0, 0, 1</t>
  </si>
  <si>
    <t>langley emergency electrician</t>
  </si>
  <si>
    <t>0, 0, 1, 0, 1, 4, 0, 1, 1, 1, 1, 0, 0, 0, 0, 0, 0, 0, 0, 0, 0, 0, 0, 1</t>
  </si>
  <si>
    <t>electrical contractor job management software</t>
  </si>
  <si>
    <t>0, 1, 1, 1, 1, 0, 1, 1, 0, 3, 2, 2, 0, 0, 0, 1, 0, 0, 0, 0, 0, 0, 0, 1</t>
  </si>
  <si>
    <t>2, 1, 2, 1, 0, 3, 1, 8, 2, 1, 1, 2, 7, 4, 5, 7, 2, 4, 4, 15, 5, 10, 2, 7</t>
  </si>
  <si>
    <t>electrical panel installation montana</t>
  </si>
  <si>
    <t>tv repairs kimberley</t>
  </si>
  <si>
    <t>paul's electrical services</t>
  </si>
  <si>
    <t>Local pack,People also ask,Sitelinks</t>
  </si>
  <si>
    <t>o toole electrical services</t>
  </si>
  <si>
    <t>42, 43, 38, 43, 45, 51, 44, 63, 58, 23, 11, 3, 6, 1, 9, 17, 3, 2, 5, 14, 15, 6, 22, 15</t>
  </si>
  <si>
    <t>certificate of compliance requirements</t>
  </si>
  <si>
    <t>electrical services for businesses in epsom</t>
  </si>
  <si>
    <t>0, 0, 0, 0, 0, 0, 0, 0, 0, 0, 3, 0, 0, 0, 1, 0, 0, 1, 1, 1, 0, 0, 0, 1</t>
  </si>
  <si>
    <t>commercial electrical contractor richfield ut</t>
  </si>
  <si>
    <t>interstate electrical services</t>
  </si>
  <si>
    <t>23, 29, 15, 20, 8, 20, 22, 13, 16, 12, 11, 11, 13, 15, 7, 12, 3, 9, 10, 2, 8, 4, 7, 7</t>
  </si>
  <si>
    <t>marietta commercial electrical services</t>
  </si>
  <si>
    <t>coc testing kit</t>
  </si>
  <si>
    <t>new york electrical contractor</t>
  </si>
  <si>
    <t>0, 0, 0, 0, 0, 1, 0, 0, 1, 1, 0, 0, 0, 0, 0, 0, 0, 0, 0, 0, 0, 0, 0, 1</t>
  </si>
  <si>
    <t>21, 11, 0, 0, 16, 9, 14, 20, 35, 21, 14, 20, 25, 23, 3, 2, 1, 1, 7, 13, 15, 14, 20, 2</t>
  </si>
  <si>
    <t>electrical contractor management software</t>
  </si>
  <si>
    <t>24 hours electrician near me</t>
  </si>
  <si>
    <t>2, 0, 0, 1, 2, 2, 0, 3, 1, 2, 5, 3, 0, 0, 0, 0, 0, 2, 0, 0, 0, 0, 0, 1</t>
  </si>
  <si>
    <t>emergency electrician surrey hills</t>
  </si>
  <si>
    <t>0, 0, 0, 0, 1, 0, 0, 0, 0, 1, 0, 0, 0, 0, 0, 0, 0, 0, 0, 0, 0, 0, 0, 1</t>
  </si>
  <si>
    <t>electrical contractor in idaho</t>
  </si>
  <si>
    <t>7, 4, 4, 14, 15, 6, 11, 6, 6, 7, 13, 15, 6, 3, 3, 4, 8, 5, 7, 6, 9, 12, 7, 10</t>
  </si>
  <si>
    <t>electricians vacancies</t>
  </si>
  <si>
    <t>braeside electrical services</t>
  </si>
  <si>
    <t>apollo electrical services</t>
  </si>
  <si>
    <t>109, 80, 105, 127, 38, 5, 28, 46, 74, 29, 29, 18, 11, 19, 23, 17, 4, 5, 12, 2, 14, 13, 1, 2</t>
  </si>
  <si>
    <t>electrical technician jobs cape town</t>
  </si>
  <si>
    <t>home electrical repairs south dakota</t>
  </si>
  <si>
    <t>electrical technician</t>
  </si>
  <si>
    <t>new construction electrical services</t>
  </si>
  <si>
    <t>0, 0, 0, 0, 0, 1, 1, 1, 0, 2, 0, 0, 0, 0, 0, 0, 0, 0, 0, 0, 0, 0, 0, 1</t>
  </si>
  <si>
    <t>6, 11, 17, 15, 10, 6, 11, 9, 16, 22, 13, 7, 12, 12, 4, 7, 5, 10, 9, 12, 2, 17, 13, 2</t>
  </si>
  <si>
    <t>electrical contractor sunshine coast</t>
  </si>
  <si>
    <t>electrician looking for work</t>
  </si>
  <si>
    <t>0, 0, 0, 1, 1, 1, 1, 0, 0, 1, 2, 1, 0, 0, 0, 0, 0, 0, 0, 0, 0, 0, 0, 1</t>
  </si>
  <si>
    <t>ps electrical services</t>
  </si>
  <si>
    <t>0, 0, 0, 0, 0, 0, 0, 0, 0, 0, 0, 0, 3, 0, 0, 0, 0, 0, 1, 0, 0, 0, 0, 1</t>
  </si>
  <si>
    <t>thomas electrical services</t>
  </si>
  <si>
    <t>11, 5, 11, 7, 5, 9, 31, 6, 2, 0, 1, 9, 4, 0, 4, 0, 0, 3, 5, 0, 2, 0, 0, 2</t>
  </si>
  <si>
    <t>eca port elizabeth</t>
  </si>
  <si>
    <t>electrical services bethany, mo</t>
  </si>
  <si>
    <t>electrical companies in port elizabeth</t>
  </si>
  <si>
    <t>0, 0, 0, 0, 0, 0, 0, 0, 2, 0, 0, 2, 0, 2, 0, 0, 0, 0, 0, 0, 0, 0, 0, 1</t>
  </si>
  <si>
    <t>schneider electrical installation guide 2024 pdf</t>
  </si>
  <si>
    <t>1, 4, 1, 2, 2, 0, 1, 0, 0, 0, 0, 1, 1, 0, 0, 0, 0, 0, 0, 3, 0, 0, 0, 1</t>
  </si>
  <si>
    <t>0, 0, 1, 0, 0, 1, 2, 3, 0, 1, 1, 1, 3, 4, 1, 1, 0, 1, 0, 0, 0, 0, 0, 1</t>
  </si>
  <si>
    <t>industrial electrical contractor near me</t>
  </si>
  <si>
    <t>0, 0, 0, 0, 0, 0, 0, 0, 0, 1, 0, 0, 0, 0, 0, 0, 0, 0, 0, 0, 1, 0, 0, 1</t>
  </si>
  <si>
    <t>pmb electrical services</t>
  </si>
  <si>
    <t>16, 6, 1, 0, 0, 2, 1, 6, 0, 0, 4, 1, 14, 0, 0, 2, 0, 0, 5, 0, 1, 4, 1, 1</t>
  </si>
  <si>
    <t>electrical installation service london</t>
  </si>
  <si>
    <t>electrical construction companies</t>
  </si>
  <si>
    <t>0, 0, 0, 0, 0, 0, 1, 1, 1, 0, 0, 0, 0, 0, 0, 0, 0, 0, 0, 0, 0, 0, 0, 1</t>
  </si>
  <si>
    <t>dmr electrical services</t>
  </si>
  <si>
    <t>specialized electrical installation codes paper 1</t>
  </si>
  <si>
    <t>11, 11, 3, 1, 3, 6, 4, 7, 4, 8, 5, 6, 5, 1, 1, 4, 1, 9, 3, 5, 3, 4, 1, 4</t>
  </si>
  <si>
    <t>electrical contractor philadelphia</t>
  </si>
  <si>
    <t>eca pretoria</t>
  </si>
  <si>
    <t>0, 0, 0, 0, 1, 0, 0, 1, 0, 0, 1, 0, 0, 0, 0, 0, 0, 0, 0, 0, 0, 0, 0, 1</t>
  </si>
  <si>
    <t>Thumbnail,People also ask</t>
  </si>
  <si>
    <t>electrical installation, examples</t>
  </si>
  <si>
    <t>0, 0, 0, 1, 0, 4, 1, 0, 0, 3, 0, 0, 0, 0, 0, 0, 0, 0, 0, 0, 0, 0, 0, 1</t>
  </si>
  <si>
    <t>2, 2, 3, 1, 0, 2, 1, 1, 1, 2, 1, 1, 3, 2, 1, 1, 1, 1, 3, 0, 2, 2, 1, 1</t>
  </si>
  <si>
    <t>24 hour electrical services columbia</t>
  </si>
  <si>
    <t>installation rules textbook pdf download</t>
  </si>
  <si>
    <t>electrical services albuquerque</t>
  </si>
  <si>
    <t>0, 0, 1, 0, 0, 1, 2, 1, 1, 0, 0, 0, 0, 0, 0, 0, 0, 0, 0, 0, 0, 0, 0, 1</t>
  </si>
  <si>
    <t>electrical rewind services</t>
  </si>
  <si>
    <t>88, 112, 21, 68, 26, 134, 57, 63, 20, 39, 20, 2, 7, 2, 1, 3, 3, 10, 2, 1, 1, 3, 0, 2</t>
  </si>
  <si>
    <t>0, 0, 0, 0, 0, 1, 0, 0, 1, 0, 0, 0, 1, 0, 0, 0, 0, 0, 0, 1, 0, 0, 1, 1</t>
  </si>
  <si>
    <t>Continuing education; Technical reference</t>
  </si>
  <si>
    <t>electrical vehicle charger installation boone, nc</t>
  </si>
  <si>
    <t>0, 0, 0, 0, 0, 0, 0, 0, 0, 0, 0, 1, 0, 1, 0, 0, 0, 0, 0, 0, 0, 2, 0, 2</t>
  </si>
  <si>
    <t>emergency electrical repairs denton tx</t>
  </si>
  <si>
    <t>electrical building services course</t>
  </si>
  <si>
    <t>dave's electrical services</t>
  </si>
  <si>
    <t>pinnacle electrical services</t>
  </si>
  <si>
    <t>0, 0, 0, 0, 0, 0, 0, 0, 0, 0, 0, 0, 0, 0, 0, 0, 0, 0, 0, 0, 0, 2, 0, 1</t>
  </si>
  <si>
    <t>emergency electrical repairs frisco tx</t>
  </si>
  <si>
    <t>jerome electrical services</t>
  </si>
  <si>
    <t>ah electrical services manchester google account</t>
  </si>
  <si>
    <t>electrical contractor license requirements</t>
  </si>
  <si>
    <t>0, 0, 0, 0, 0, 0, 0, 0, 0, 0, 1, 0, 2, 2, 1, 0, 0, 0, 0, 1, 1, 0, 0, 1</t>
  </si>
  <si>
    <t>electrical service installation</t>
  </si>
  <si>
    <t>5, 3, 3, 3, 5, 9, 5, 2, 14, 5, 5, 3, 0, 0, 0, 0, 0, 0, 0, 0, 1, 0, 0, 1</t>
  </si>
  <si>
    <t>commercial electrical contractor colorado</t>
  </si>
  <si>
    <t>electrical panel installation houston</t>
  </si>
  <si>
    <t>gemini electrical and communication contractor</t>
  </si>
  <si>
    <t>electrical sub contractor work</t>
  </si>
  <si>
    <t>electrical installation books free download</t>
  </si>
  <si>
    <t>rrc electrical contractor and construction</t>
  </si>
  <si>
    <t>emergency electrician dubbo</t>
  </si>
  <si>
    <t>electrical services central london</t>
  </si>
  <si>
    <t>electrical installation leawood</t>
  </si>
  <si>
    <t>0, 0, 0, 0, 0, 0, 1, 0, 1, 2, 0, 0, 0, 0, 0, 0, 0, 0, 0, 0, 0, 0, 0, 1</t>
  </si>
  <si>
    <t>domestic electrical installation regulations</t>
  </si>
  <si>
    <t>0, 0, 0, 0, 0, 0, 0, 0, 1, 1, 0, 0, 0, 0, 0, 0, 0, 0, 0, 0, 0, 0, 0, 1</t>
  </si>
  <si>
    <t>rpm electrical motor &amp; pump services</t>
  </si>
  <si>
    <t>electrical services arkansas</t>
  </si>
  <si>
    <t>emergency electrician randwick</t>
  </si>
  <si>
    <t>emergency electrician penrith</t>
  </si>
  <si>
    <t>0, 0, 0, 1, 2, 0, 0, 3, 2, 1, 1, 0, 0, 0, 0, 0, 0, 0, 0, 0, 0, 0, 0, 1</t>
  </si>
  <si>
    <t>electrical services sunrise hills</t>
  </si>
  <si>
    <t>a b electrical services</t>
  </si>
  <si>
    <t>0, 0, 0, 0, 0, 0, 0, 0, 0, 0, 0, 1, 0, 0, 0, 0, 0, 0, 1, 1, 0, 0, 0, 1</t>
  </si>
  <si>
    <t>emergency electrician riverview fl</t>
  </si>
  <si>
    <t>0, 0, 1, 0, 0, 1, 0, 0, 0, 0, 0, 0, 0, 0, 0, 0, 0, 0, 0, 0, 0, 0, 0, 1</t>
  </si>
  <si>
    <t>ac electrical services</t>
  </si>
  <si>
    <t>0, 0, 0, 2, 0, 0, 0, 1, 0, 0, 1, 1, 0, 1, 2, 1, 2, 2, 0, 0, 0, 2, 3, 3</t>
  </si>
  <si>
    <t>electrical contractor business for sale</t>
  </si>
  <si>
    <t>4, 2, 0, 0, 3, 5, 0, 1, 1, 0, 1, 3, 1, 2, 0, 0, 0, 0, 1, 0, 1, 3, 0, 2</t>
  </si>
  <si>
    <t>general electrical services bakersfield</t>
  </si>
  <si>
    <t>nashville electrical contractor</t>
  </si>
  <si>
    <t>0, 1, 0, 0, 0, 0, 1, 0, 0, 0, 0, 0, 0, 0, 0, 0, 0, 0, 0, 0, 0, 0, 0, 1</t>
  </si>
  <si>
    <t>electrical repairs broken arrow ok</t>
  </si>
  <si>
    <t>security electrical services hull</t>
  </si>
  <si>
    <t>basic electrical services</t>
  </si>
  <si>
    <t>0, 0, 0, 2, 0, 1, 0, 0, 0, 1, 1, 0, 0, 0, 1, 0, 0, 2, 1, 0, 0, 0, 0, 1</t>
  </si>
  <si>
    <t>moffat electrical services</t>
  </si>
  <si>
    <t>1, 1, 0, 0, 1, 1, 0, 0, 0, 0, 0, 0, 1, 0, 0, 0, 0, 0, 0, 0, 0, 0, 0, 1</t>
  </si>
  <si>
    <t>electrical installation report pdf</t>
  </si>
  <si>
    <t>0, 0, 1, 4, 2, 2, 3, 4, 0, 4, 1, 3, 1, 1, 0, 4, 1, 2, 0, 4, 1, 0, 5, 3</t>
  </si>
  <si>
    <t>electrical appliance installation johannesburg</t>
  </si>
  <si>
    <t>0, 0, 0, 0, 0, 0, 0, 0, 0, 0, 0, 0, 0, 0, 0, 2, 8, 10, 9, 5, 9, 5, 3, 5</t>
  </si>
  <si>
    <t>commercial electrical services michigan</t>
  </si>
  <si>
    <t>0, 0, 0, 0, 0, 0, 0, 1, 1, 0, 0, 1, 0, 0, 0, 0, 0, 0, 0, 0, 0, 0, 0, 1</t>
  </si>
  <si>
    <t>electrical contractor birmingham</t>
  </si>
  <si>
    <t>0, 0, 0, 0, 0, 1, 1, 0, 0, 0, 1, 0, 0, 0, 0, 0, 0, 0, 0, 0, 0, 0, 0, 1</t>
  </si>
  <si>
    <t>electrical installation project</t>
  </si>
  <si>
    <t>3, 0, 2, 2, 0, 0, 0, 1, 0, 1, 1, 1, 1, 0, 0, 0, 2, 1, 2, 0, 0, 0, 0, 1</t>
  </si>
  <si>
    <t>johnson electrical services</t>
  </si>
  <si>
    <t>0, 1, 2, 0, 0, 0, 0, 2, 1, 0, 0, 0, 0, 0, 1, 0, 0, 0, 1, 0, 0, 0, 1, 2</t>
  </si>
  <si>
    <t>electrical contractor oakleigh</t>
  </si>
  <si>
    <t>0, 0, 0, 0, 0, 1, 0, 2, 0, 0, 1, 0, 0, 0, 0, 0, 0, 0, 0, 0, 0, 0, 0, 1</t>
  </si>
  <si>
    <t>emergency electrician caringbah south</t>
  </si>
  <si>
    <t>0, 0, 0, 0, 0, 0, 0, 0, 0, 1, 0, 0, 1, 0, 1, 0, 0, 0, 0, 0, 0, 0, 0, 1</t>
  </si>
  <si>
    <t>electrical maintenance services bournemouth</t>
  </si>
  <si>
    <t>electrical repairs houston</t>
  </si>
  <si>
    <t>0, 0, 1, 0, 0, 0, 1, 0, 1, 0, 0, 0, 0, 0, 0, 0, 0, 0, 0, 0, 0, 0, 0, 1</t>
  </si>
  <si>
    <t>electrical services ballito</t>
  </si>
  <si>
    <t>0, 1, 0, 0, 0, 0, 1, 1, 0, 0, 0, 1, 1, 0, 0, 0, 0, 0, 0, 0, 0, 0, 0, 1</t>
  </si>
  <si>
    <t>ontime electrical services</t>
  </si>
  <si>
    <t>lindsay electrical services</t>
  </si>
  <si>
    <t>0, 0, 0, 2, 0, 0, 0, 0, 0, 0, 0, 0, 0, 0, 0, 0, 0, 0, 0, 0, 0, 0, 0, 1</t>
  </si>
  <si>
    <t>reasons for earthing electrical installation</t>
  </si>
  <si>
    <t>0, 1, 0, 0, 0, 0, 0, 0, 0, 0, 0, 1, 0, 0, 0, 0, 0, 0, 0, 0, 0, 0, 0, 1</t>
  </si>
  <si>
    <t>core trade electrical wiring installation</t>
  </si>
  <si>
    <t>electrical services agreement</t>
  </si>
  <si>
    <t>0, 0, 0, 0, 1, 0, 0, 0, 2, 0, 0, 0, 0, 0, 0, 0, 0, 0, 0, 6, 0, 0, 0, 1</t>
  </si>
  <si>
    <t>commercial electrical installation services</t>
  </si>
  <si>
    <t>0, 0, 0, 1, 0, 2, 3, 2, 2, 6, 5, 8, 1, 1, 0, 0, 0, 0, 0, 0, 0, 2, 0, 1</t>
  </si>
  <si>
    <t>tofft electrical services</t>
  </si>
  <si>
    <t>0, 0, 0, 0, 0, 0, 0, 0, 7, 0, 0, 0, 0, 0, 4, 0, 0, 0, 0, 0, 0, 0, 0, 1</t>
  </si>
  <si>
    <t>electrical contractor company woodstock ct</t>
  </si>
  <si>
    <t>solar electrical services</t>
  </si>
  <si>
    <t>0, 0, 0, 0, 1, 2, 0, 0, 1, 0, 1, 0, 0, 0, 0, 0, 0, 0, 0, 0, 0, 0, 0, 1</t>
  </si>
  <si>
    <t>emergency electrician in polokwane south africa</t>
  </si>
  <si>
    <t>leeming emergency electrician</t>
  </si>
  <si>
    <t>0, 0, 0, 0, 0, 0, 0, 0, 0, 1, 1, 2, 0, 0, 0, 0, 0, 0, 0, 0, 0, 0, 0, 1</t>
  </si>
  <si>
    <t>electrical industrial installation</t>
  </si>
  <si>
    <t>1, 0, 1, 0, 0, 1, 1, 2, 0, 0, 2, 0, 2, 1, 0, 0, 0, 0, 0, 0, 0, 0, 0, 1</t>
  </si>
  <si>
    <t>emergency electrician middle park</t>
  </si>
  <si>
    <t>0, 0, 0, 4, 0, 0, 0, 0, 0, 0, 0, 0, 0, 0, 0, 0, 0, 0, 0, 0, 0, 0, 0, 1</t>
  </si>
  <si>
    <t>electrical repairs dale city virginia</t>
  </si>
  <si>
    <t>emergency electrician tulse hill</t>
  </si>
  <si>
    <t>1, 0, 0, 0, 1, 0, 1, 0, 1, 0, 1, 0, 0, 0, 0, 0, 0, 0, 0, 0, 0, 0, 0, 1</t>
  </si>
  <si>
    <t>electrical installation testing guide pdf</t>
  </si>
  <si>
    <t>southfield auto electrical services cc cape town</t>
  </si>
  <si>
    <t>what's an electrical contractor</t>
  </si>
  <si>
    <t>0, 0, 0, 0, 0, 0, 0, 0, 0, 1, 0, 0, 0, 0, 0, 1, 0, 0, 0, 0, 0, 0, 0, 1</t>
  </si>
  <si>
    <t>unlimited electrical contractor</t>
  </si>
  <si>
    <t>0, 0, 1, 1, 0, 1, 0, 0, 0, 0, 0, 0, 0, 0, 0, 0, 0, 0, 0, 0, 0, 0, 0, 1</t>
  </si>
  <si>
    <t>electrical contractor mckinney tx</t>
  </si>
  <si>
    <t>cary electrical outlet installation</t>
  </si>
  <si>
    <t>jett electrical services</t>
  </si>
  <si>
    <t>electrical conduit installation estimating</t>
  </si>
  <si>
    <t>emergency electrician idaho</t>
  </si>
  <si>
    <t>electrical contracting services plymouth</t>
  </si>
  <si>
    <t>emergency electrician highgate</t>
  </si>
  <si>
    <t>0, 0, 0, 0, 0, 0, 1, 1, 0, 0, 2, 0, 0, 0, 0, 0, 0, 0, 0, 0, 0, 0, 0, 1</t>
  </si>
  <si>
    <t>emergency electrician south east london</t>
  </si>
  <si>
    <t>malvern emergency electrician</t>
  </si>
  <si>
    <t>0, 0, 0, 0, 1, 0, 0, 0, 1, 0, 0, 0, 0, 0, 0, 0, 0, 0, 0, 0, 0, 0, 0, 1</t>
  </si>
  <si>
    <t>24 hour electrical services lebanon</t>
  </si>
  <si>
    <t>emergency electrical services perth</t>
  </si>
  <si>
    <t>0, 0, 0, 0, 0, 0, 1, 1, 0, 1, 1, 0, 0, 0, 0, 0, 0, 0, 0, 0, 0, 0, 0, 1</t>
  </si>
  <si>
    <t>emergency electrician alton</t>
  </si>
  <si>
    <t>electrical installation icon</t>
  </si>
  <si>
    <t>0, 0, 0, 1, 0, 0, 0, 1, 0, 2, 0, 0, 0, 0, 0, 0, 0, 0, 0, 0, 0, 0, 0, 1</t>
  </si>
  <si>
    <t>new gees electrical services</t>
  </si>
  <si>
    <t>6, 2, 0, 0, 0, 0, 0, 0, 1, 1, 4, 0, 0, 0, 0, 0, 0, 0, 0, 0, 0, 0, 0, 1</t>
  </si>
  <si>
    <t>licensed electrical contractor gilbert</t>
  </si>
  <si>
    <t>michaels electrical contractor</t>
  </si>
  <si>
    <t>mont albert emergency electrician</t>
  </si>
  <si>
    <t>emergency electrician oxley</t>
  </si>
  <si>
    <t>electrical services winchester</t>
  </si>
  <si>
    <t>household electrical installation</t>
  </si>
  <si>
    <t>0, 0, 0, 1, 0, 0, 0, 0, 2, 0, 0, 0, 1, 0, 0, 0, 0, 0, 1, 3, 1, 0, 3, 1</t>
  </si>
  <si>
    <t>bl electrical services</t>
  </si>
  <si>
    <t>m&amp;l electrical services</t>
  </si>
  <si>
    <t>warrior electrical services</t>
  </si>
  <si>
    <t>0, 0, 0, 0, 0, 0, 0, 0, 4, 0, 0, 0, 0, 0, 0, 2, 0, 0, 0, 0, 0, 0, 0, 1</t>
  </si>
  <si>
    <t>horizon electrical services</t>
  </si>
  <si>
    <t>residential electrical services mn</t>
  </si>
  <si>
    <t>0, 0, 0, 1, 0, 0, 0, 2, 1, 1, 0, 0, 0, 0, 0, 0, 0, 0, 0, 0, 0, 0, 0, 1</t>
  </si>
  <si>
    <t>new construction electrical contractor pa</t>
  </si>
  <si>
    <t>emergency electrician king of prussia</t>
  </si>
  <si>
    <t>0, 0, 2, 0, 1, 0, 0, 0, 0, 1, 1, 0, 0, 0, 0, 0, 0, 0, 0, 0, 0, 0, 0, 1</t>
  </si>
  <si>
    <t>piping in electrical installation</t>
  </si>
  <si>
    <t>0, 0, 0, 0, 0, 0, 0, 0, 0, 0, 0, 0, 0, 0, 0, 0, 0, 0, 0, 0, 2, 0, 0, 2</t>
  </si>
  <si>
    <t>electrical contractor clacton on sea</t>
  </si>
  <si>
    <t>electrical installation home</t>
  </si>
  <si>
    <t>0, 0, 0, 0, 0, 0, 0, 3, 0, 0, 0, 1, 0, 0, 0, 0, 0, 0, 0, 0, 0, 1, 0, 1</t>
  </si>
  <si>
    <t>power support electrical services</t>
  </si>
  <si>
    <t>emergency electrician newington</t>
  </si>
  <si>
    <t>electrical contractor in springfield missouri</t>
  </si>
  <si>
    <t>electrical engineering products design services</t>
  </si>
  <si>
    <t>0, 0, 0, 0, 1, 0, 0, 1, 0, 1, 1, 0, 0, 0, 0, 0, 0, 0, 0, 0, 0, 0, 0, 1</t>
  </si>
  <si>
    <t>advanced electrical services ltd</t>
  </si>
  <si>
    <t>electrical services florida</t>
  </si>
  <si>
    <t>0, 1, 1, 1, 1, 1, 1, 0, 2, 1, 4, 0, 0, 0, 0, 0, 0, 0, 0, 0, 0, 0, 0, 1</t>
  </si>
  <si>
    <t>altek electrical services</t>
  </si>
  <si>
    <t>domestic electrical services</t>
  </si>
  <si>
    <t>3, 5, 11, 4, 7, 8, 7, 7, 7, 10, 7, 2, 2, 1, 0, 0, 1, 0, 0, 2, 0, 1, 1, 2</t>
  </si>
  <si>
    <t>electrical services clearwater fl</t>
  </si>
  <si>
    <t>electrical contractor in california</t>
  </si>
  <si>
    <t>1, 0, 0, 0, 0, 0, 1, 0, 0, 0, 0, 0, 0, 0, 0, 0, 0, 0, 0, 0, 0, 0, 0, 1</t>
  </si>
  <si>
    <t>reilly electrical services</t>
  </si>
  <si>
    <t>0, 0, 0, 0, 1, 0, 0, 1, 0, 0, 0, 0, 0, 0, 0, 0, 0, 0, 0, 0, 0, 0, 0, 1</t>
  </si>
  <si>
    <t>electrical contractor naples fl</t>
  </si>
  <si>
    <t>0, 0, 0, 0, 0, 0, 1, 0, 0, 1, 0, 0, 0, 1, 0, 0, 0, 0, 0, 0, 0, 0, 0, 1</t>
  </si>
  <si>
    <t>advertise electrical services</t>
  </si>
  <si>
    <t>1, 1, 2, 0, 0, 0, 1, 0, 0, 0, 0, 1, 0, 0, 2, 0, 0, 0, 2, 0, 0, 0, 0, 1</t>
  </si>
  <si>
    <t>electrician electrical services</t>
  </si>
  <si>
    <t>3, 0, 1, 0, 1, 2, 2, 0, 2, 0, 0, 0, 2, 0, 4, 0, 2, 0, 1, 0, 0, 0, 0, 1</t>
  </si>
  <si>
    <t>1st call electrical services</t>
  </si>
  <si>
    <t>electrical services fall river</t>
  </si>
  <si>
    <t>a a auto electrical services</t>
  </si>
  <si>
    <t>electrical services ilfracombe</t>
  </si>
  <si>
    <t>types of cables in electrical installation</t>
  </si>
  <si>
    <t>0, 2, 1, 0, 0, 0, 2, 2, 0, 2, 0, 0, 0, 1, 1, 8, 8, 9, 4, 3, 6, 6, 3, 6</t>
  </si>
  <si>
    <t>electrical panel installation sacramento</t>
  </si>
  <si>
    <t>0, 0, 0, 0, 0, 1, 2, 1, 0, 0, 0, 0, 0, 0, 0, 0, 0, 0, 0, 0, 0, 0, 0, 1</t>
  </si>
  <si>
    <t>electrical contractor in richmond va</t>
  </si>
  <si>
    <t>residential electrical services huntsville</t>
  </si>
  <si>
    <t>electrical contractor cannock</t>
  </si>
  <si>
    <t>commercial electrical services nashville tn</t>
  </si>
  <si>
    <t>electrical outlet installation madison county</t>
  </si>
  <si>
    <t>electrical installation certificate book</t>
  </si>
  <si>
    <t>doel electrical contractor registration</t>
  </si>
  <si>
    <t>0, 0, 0, 0, 0, 0, 0, 0, 0, 0, 0, 0, 0, 0, 0, 0, 1, 0, 0, 0, 0, 0, 5, 3</t>
  </si>
  <si>
    <t>electrical services orlando fl</t>
  </si>
  <si>
    <t>electrical contractor baltimore</t>
  </si>
  <si>
    <t>marmion emergency electrician</t>
  </si>
  <si>
    <t>0, 0, 0, 0, 0, 1, 0, 5, 0, 2, 1, 0, 0, 0, 0, 0, 0, 0, 0, 0, 0, 0, 0, 1</t>
  </si>
  <si>
    <t>electrical contractor accreditation</t>
  </si>
  <si>
    <t>0, 0, 1, 0, 0, 0, 0, 0, 0, 0, 0, 0, 0, 0, 0, 0, 0, 0, 0, 1, 0, 0, 0, 1</t>
  </si>
  <si>
    <t>plumbing and electrical contractor</t>
  </si>
  <si>
    <t>0, 0, 0, 0, 0, 0, 0, 2, 0, 0, 2, 0, 0, 0, 0, 0, 0, 2, 0, 0, 0, 0, 0, 1</t>
  </si>
  <si>
    <t>pn electrical services</t>
  </si>
  <si>
    <t>0, 0, 0, 0, 0, 1, 0, 0, 0, 0, 0, 1, 0, 1, 2, 0, 0, 0, 0, 0, 0, 0, 0, 1</t>
  </si>
  <si>
    <t>bay electrical services</t>
  </si>
  <si>
    <t>lc electrical services</t>
  </si>
  <si>
    <t>0, 0, 0, 0, 0, 0, 1, 0, 0, 0, 0, 0, 1, 1, 2, 0, 0, 0, 0, 0, 0, 0, 0, 1</t>
  </si>
  <si>
    <t>electrical services in east london, eastern cape</t>
  </si>
  <si>
    <t>0, 0, 0, 0, 0, 0, 0, 0, 0, 0, 0, 0, 0, 0, 0, 0, 0, 2, 4, 0, 0, 0, 0, 1</t>
  </si>
  <si>
    <t>electrical repairs sea point</t>
  </si>
  <si>
    <t>electrical earthing services</t>
  </si>
  <si>
    <t>0, 0, 0, 0, 1, 0, 0, 0, 1, 0, 0, 0, 0, 0, 1, 0, 0, 0, 0, 0, 0, 0, 0, 1</t>
  </si>
  <si>
    <t>skm electrical services</t>
  </si>
  <si>
    <t>electrical thermal scan contractor</t>
  </si>
  <si>
    <t>0, 0, 0, 0, 0, 0, 1, 0, 1, 1, 0, 0, 0, 0, 0, 0, 0, 0, 0, 0, 0, 0, 0, 1</t>
  </si>
  <si>
    <t>perform electrical installation</t>
  </si>
  <si>
    <t>0, 0, 2, 0, 0, 0, 0, 1, 1, 0, 0, 0, 0, 0, 0, 0, 0, 0, 0, 0, 0, 0, 0, 1</t>
  </si>
  <si>
    <t>electrical services pittsburgh</t>
  </si>
  <si>
    <t>0, 1, 0, 1, 0, 0, 0, 0, 0, 0, 0, 0, 0, 0, 0, 0, 0, 0, 0, 0, 0, 0, 0, 1</t>
  </si>
  <si>
    <t>electrical service box installation</t>
  </si>
  <si>
    <t>stiles electrical services</t>
  </si>
  <si>
    <t>emergency electrician galston</t>
  </si>
  <si>
    <t>electrical appliance repairs &amp; parts glasgow</t>
  </si>
  <si>
    <t>aaa repairs and electrical</t>
  </si>
  <si>
    <t>0, 0, 0, 0, 0, 0, 0, 0, 0, 0, 0, 2, 1, 0, 0, 0, 0, 0, 0, 0, 0, 0, 4, 2</t>
  </si>
  <si>
    <t>commercial electrical services adelaide</t>
  </si>
  <si>
    <t>0, 0, 0, 0, 0, 0, 0, 0, 2, 0, 1, 0, 0, 0, 0, 0, 0, 0, 0, 0, 0, 0, 0, 1</t>
  </si>
  <si>
    <t>air conditioning &amp; electrical services</t>
  </si>
  <si>
    <t>0, 0, 3, 0, 0, 1, 2, 1, 2, 1, 1, 0, 0, 0, 0, 0, 0, 0, 1, 0, 0, 0, 0, 1</t>
  </si>
  <si>
    <t>electrical repairs palm springs ca</t>
  </si>
  <si>
    <t>1, 0, 1, 0, 0, 0, 0, 1, 0, 0, 0, 0, 0, 0, 0, 0, 0, 0, 0, 0, 0, 0, 0, 1</t>
  </si>
  <si>
    <t>electrical services birmingham</t>
  </si>
  <si>
    <t>0, 0, 0, 0, 0, 1, 0, 0, 2, 1, 0, 0, 0, 0, 0, 0, 0, 0, 0, 0, 0, 0, 0, 1</t>
  </si>
  <si>
    <t>electrical contractor clearwater fl</t>
  </si>
  <si>
    <t>0, 0, 1, 0, 0, 0, 0, 2, 0, 0, 0, 0, 0, 1, 0, 0, 0, 0, 0, 1, 0, 0, 0, 1</t>
  </si>
  <si>
    <t>trailer electrical repairs near me</t>
  </si>
  <si>
    <t>0, 0, 0, 1, 0, 1, 0, 0, 0, 0, 0, 1, 0, 0, 0, 0, 0, 0, 0, 0, 0, 0, 0, 1</t>
  </si>
  <si>
    <t>cab electrical services</t>
  </si>
  <si>
    <t>0, 0, 0, 1, 0, 0, 1, 0, 0, 0, 0, 0, 0, 0, 0, 0, 0, 0, 1, 0, 1, 0, 0, 1</t>
  </si>
  <si>
    <t>emergency electrician carluke</t>
  </si>
  <si>
    <t>hvac and electrical contractor odessa tx</t>
  </si>
  <si>
    <t>lauderdale by the sea electrical services</t>
  </si>
  <si>
    <t>0, 0, 0, 1, 1, 0, 1, 2, 3, 4, 0, 0, 0, 0, 0, 0, 0, 0, 0, 0, 0, 0, 0, 1</t>
  </si>
  <si>
    <t>electrical outlet installation in charlotte</t>
  </si>
  <si>
    <t>electrical installation ipswich</t>
  </si>
  <si>
    <t>0, 0, 0, 0, 0, 1, 0, 0, 0, 2, 2, 0, 0, 0, 0, 0, 0, 0, 0, 0, 0, 0, 0, 1</t>
  </si>
  <si>
    <t>electrical contractor business</t>
  </si>
  <si>
    <t>1, 6, 0, 0, 1, 0, 0, 5, 1, 1, 4, 0, 0, 0, 0, 1, 0, 0, 3, 0, 0, 2, 1, 2</t>
  </si>
  <si>
    <t>emergency electrician louisville ky</t>
  </si>
  <si>
    <t>beacon electrical services reviews</t>
  </si>
  <si>
    <t>0, 0, 0, 0, 0, 0, 0, 2, 0, 0, 0, 0, 0, 0, 0, 0, 0, 0, 0, 0, 0, 0, 0, 1</t>
  </si>
  <si>
    <t>electrical power pole installation</t>
  </si>
  <si>
    <t>3, 1, 4, 9, 0, 4, 2, 3, 4, 0, 3, 2, 0, 5, 4, 5, 2, 0, 1, 1, 12, 0, 1, 2</t>
  </si>
  <si>
    <t>electrical and security services</t>
  </si>
  <si>
    <t>0, 1, 0, 1, 0, 0, 1, 0, 3, 1, 0, 0, 0, 0, 0, 0, 0, 0, 0, 0, 0, 0, 0, 1</t>
  </si>
  <si>
    <t>crm electrical services</t>
  </si>
  <si>
    <t>0, 0, 0, 0, 0, 0, 0, 0, 0, 1, 1, 0, 0, 1, 0, 0, 0, 0, 0, 0, 0, 0, 0, 2</t>
  </si>
  <si>
    <t>industrial electrical services in fort erie</t>
  </si>
  <si>
    <t>0, 0, 1, 0, 3, 0, 0, 1, 0, 0, 0, 0, 0, 0, 0, 0, 0, 0, 0, 0, 0, 0, 0, 1</t>
  </si>
  <si>
    <t>basic electrical repairs</t>
  </si>
  <si>
    <t>0, 0, 0, 1, 0, 0, 0, 1, 0, 0, 0, 0, 0, 0, 0, 0, 0, 0, 0, 0, 0, 0, 0, 1</t>
  </si>
  <si>
    <t>little rock home electrical repair services</t>
  </si>
  <si>
    <t>electrical services woodinville, wa</t>
  </si>
  <si>
    <t>0, 0, 0, 0, 0, 0, 0, 0, 0, 2, 1, 1, 1, 0, 0, 0, 0, 0, 0, 0, 0, 0, 0, 1</t>
  </si>
  <si>
    <t>electrical contractor magazines</t>
  </si>
  <si>
    <t>0, 0, 0, 2, 0, 0, 0, 0, 1, 0, 1, 0, 0, 0, 0, 0, 0, 0, 0, 0, 0, 0, 0, 1</t>
  </si>
  <si>
    <t>churchville electrical services</t>
  </si>
  <si>
    <t>commercial electrical installation mint hill, nc</t>
  </si>
  <si>
    <t>emergency electrical repairs grapevine tx</t>
  </si>
  <si>
    <t>electrical repairs in lake fern</t>
  </si>
  <si>
    <t>electrical services waltham ma</t>
  </si>
  <si>
    <t>emergency electrician hampton</t>
  </si>
  <si>
    <t>0, 0, 1, 0, 1, 0, 0, 1, 1, 1, 1, 0, 0, 0, 0, 0, 0, 0, 0, 0, 0, 0, 0, 1</t>
  </si>
  <si>
    <t>electrical maintenance services salt lake city</t>
  </si>
  <si>
    <t>mechanical &amp; electrical installation</t>
  </si>
  <si>
    <t>0, 0, 1, 0, 0, 0, 1, 0, 1, 1, 0, 0, 0, 0, 0, 0, 0, 0, 0, 0, 0, 0, 0, 1</t>
  </si>
  <si>
    <t>emergency electrical services sandwich ma</t>
  </si>
  <si>
    <t>electrical contractor knoxville tn</t>
  </si>
  <si>
    <t>0, 0, 0, 1, 2, 0, 0, 1, 2, 1, 0, 2, 0, 0, 0, 0, 0, 0, 0, 0, 0, 0, 0, 1</t>
  </si>
  <si>
    <t>emergency electrician wamberal</t>
  </si>
  <si>
    <t>j a electrical services</t>
  </si>
  <si>
    <t>0, 1, 1, 0, 0, 0, 0, 0, 0, 0, 0, 0, 0, 0, 0, 0, 0, 0, 0, 0, 0, 0, 0, 1</t>
  </si>
  <si>
    <t>emergency electrical repairs colleyville tx</t>
  </si>
  <si>
    <t>residential electrical services near me</t>
  </si>
  <si>
    <t>4, 2, 3, 2, 3, 6, 5, 6, 3, 4, 6, 0, 0, 0, 0, 0, 2, 1, 3, 1, 2, 1, 0, 2</t>
  </si>
  <si>
    <t>oldbury emergency electrician</t>
  </si>
  <si>
    <t>0, 0, 0, 1, 1, 0, 0, 1, 1, 0, 1, 0, 0, 0, 0, 0, 0, 0, 0, 0, 0, 0, 0, 1</t>
  </si>
  <si>
    <t>electrical services baltimore md</t>
  </si>
  <si>
    <t>24 hr electrical services</t>
  </si>
  <si>
    <t>0, 1, 0, 4, 1, 1, 0, 0, 1, 2, 5, 4, 1, 0, 0, 0, 1, 0, 0, 0, 0, 1, 0, 2</t>
  </si>
  <si>
    <t>tyler electrical services</t>
  </si>
  <si>
    <t>0, 0, 1, 0, 1, 1, 0, 0, 0, 0, 0, 0, 0, 0, 0, 0, 0, 0, 0, 0, 0, 0, 0, 1</t>
  </si>
  <si>
    <t>electrical contractor safety manual</t>
  </si>
  <si>
    <t>electrician emergency services</t>
  </si>
  <si>
    <t>0, 0, 0, 0, 0, 0, 0, 3, 1, 1, 3, 0, 0, 0, 0, 0, 2, 0, 0, 0, 0, 0, 0, 1</t>
  </si>
  <si>
    <t>wade electrical services</t>
  </si>
  <si>
    <t>duncraig emergency electrician</t>
  </si>
  <si>
    <t>0, 0, 0, 0, 2, 1, 0, 0, 0, 2, 1, 0, 0, 0, 0, 0, 0, 0, 0, 0, 0, 0, 0, 1</t>
  </si>
  <si>
    <t>electrical installation service austin tx</t>
  </si>
  <si>
    <t>electrical services arlington ma</t>
  </si>
  <si>
    <t>electrical services williamsburg, va</t>
  </si>
  <si>
    <t>0, 0, 0, 0, 0, 0, 0, 0, 0, 0, 1, 0, 1, 1, 1, 0, 0, 0, 0, 0, 0, 0, 0, 1</t>
  </si>
  <si>
    <t>cjm electrical services</t>
  </si>
  <si>
    <t>0, 0, 0, 0, 0, 0, 0, 0, 0, 0, 0, 2, 2, 0, 0, 0, 0, 0, 0, 0, 0, 0, 0, 1</t>
  </si>
  <si>
    <t>electrical services townsville</t>
  </si>
  <si>
    <t>electrical installation past questions</t>
  </si>
  <si>
    <t>florence, sc emergency electrician</t>
  </si>
  <si>
    <t>1, 0, 0, 0, 0, 0, 1, 0, 2, 0, 2, 0, 0, 0, 0, 0, 0, 0, 0, 0, 1, 0, 0, 1</t>
  </si>
  <si>
    <t>cloverdale emergency electrician</t>
  </si>
  <si>
    <t>0, 0, 0, 0, 0, 1, 1, 1, 1, 0, 2, 0, 0, 0, 0, 0, 0, 0, 0, 0, 0, 0, 0, 1</t>
  </si>
  <si>
    <t>level 2 electrical installation jobs</t>
  </si>
  <si>
    <t>website for electrical contractor</t>
  </si>
  <si>
    <t>0, 2, 0, 0, 0, 2, 5, 0, 0, 1, 0, 1, 0, 0, 0, 0, 0, 0, 0, 0, 0, 0, 0, 1</t>
  </si>
  <si>
    <t>orlando electrical services</t>
  </si>
  <si>
    <t>air and electrical services</t>
  </si>
  <si>
    <t>0, 0, 0, 0, 0, 0, 0, 0, 1, 0, 0, 1, 0, 2, 0, 0, 0, 0, 0, 0, 0, 0, 0, 1</t>
  </si>
  <si>
    <t>electrical services in pittsfield</t>
  </si>
  <si>
    <t>0, 0, 0, 0, 0, 0, 0, 0, 0, 1, 1, 0, 0, 0, 1, 0, 0, 0, 2, 0, 0, 2, 0, 1</t>
  </si>
  <si>
    <t>electrical contractor bendigo</t>
  </si>
  <si>
    <t>0, 1, 0, 0, 0, 0, 0, 1, 1, 0, 0, 0, 0, 0, 0, 0, 0, 0, 0, 0, 0, 0, 0, 1</t>
  </si>
  <si>
    <t>emergency electrician knoxfield</t>
  </si>
  <si>
    <t>0, 1, 0, 4, 0, 0, 1, 0, 1, 0, 1, 0, 0, 0, 0, 0, 0, 0, 0, 0, 0, 0, 0, 1</t>
  </si>
  <si>
    <t>knipex 5-in-1 electrical installation pliers</t>
  </si>
  <si>
    <t>florida electrical contractor license</t>
  </si>
  <si>
    <t>0, 0, 0, 0, 0, 1, 0, 2, 1, 0, 0, 0, 0, 0, 0, 1, 0, 0, 0, 0, 0, 0, 0, 1</t>
  </si>
  <si>
    <t>white plains electrical services</t>
  </si>
  <si>
    <t>commercial installation electrical</t>
  </si>
  <si>
    <t>0, 0, 0, 0, 0, 0, 0, 0, 3, 1, 1, 0, 0, 0, 0, 0, 0, 0, 0, 3, 0, 0, 0, 1</t>
  </si>
  <si>
    <t>commercial electrical services murrieta ca</t>
  </si>
  <si>
    <t>0, 0, 0, 1, 1, 2, 0, 1, 0, 0, 0, 0, 0, 0, 0, 0, 0, 0, 0, 0, 0, 0, 0, 1</t>
  </si>
  <si>
    <t>parker electrical services</t>
  </si>
  <si>
    <t>0, 0, 0, 0, 0, 0, 0, 0, 0, 1, 0, 1, 1, 0, 0, 0, 1, 1, 2, 0, 0, 0, 0, 1</t>
  </si>
  <si>
    <t>electrical inspection services fl</t>
  </si>
  <si>
    <t>0, 0, 0, 0, 1, 0, 1, 0, 0, 1, 2, 0, 0, 0, 0, 0, 0, 0, 0, 0, 0, 0, 0, 1</t>
  </si>
  <si>
    <t>steadfast electrical services</t>
  </si>
  <si>
    <t>electrical repairs and installations in soweto</t>
  </si>
  <si>
    <t>0, 0, 0, 0, 0, 0, 0, 0, 0, 0, 0, 0, 0, 0, 0, 3, 3, 5, 0, 0, 0, 0, 0, 1</t>
  </si>
  <si>
    <t>level 1 electrical installation book pdf</t>
  </si>
  <si>
    <t>electrical services dayton</t>
  </si>
  <si>
    <t>0, 0, 0, 0, 1, 1, 0, 0, 1, 1, 0, 0, 0, 0, 0, 0, 0, 0, 0, 0, 0, 0, 0, 1</t>
  </si>
  <si>
    <t>electrical installation bli bli</t>
  </si>
  <si>
    <t>georgetown electrical wiring services</t>
  </si>
  <si>
    <t>emergency electrician wilmington</t>
  </si>
  <si>
    <t>1, 1, 0, 0, 0, 0, 0, 1, 2, 7, 2, 1, 0, 0, 0, 0, 0, 0, 0, 0, 0, 0, 0, 1</t>
  </si>
  <si>
    <t>emergency electrician middle cove</t>
  </si>
  <si>
    <t>accurate electrical services</t>
  </si>
  <si>
    <t>0, 2, 0, 0, 0, 0, 1, 0, 0, 0, 0, 0, 0, 0, 0, 0, 0, 0, 0, 0, 0, 0, 0, 1</t>
  </si>
  <si>
    <t>sun electrical services</t>
  </si>
  <si>
    <t>electrical contractor continuing education</t>
  </si>
  <si>
    <t>0, 0, 0, 0, 1, 1, 1, 0, 0, 0, 0, 0, 0, 0, 0, 0, 0, 0, 0, 0, 0, 0, 0, 1</t>
  </si>
  <si>
    <t>maax electrical services inc</t>
  </si>
  <si>
    <t>0, 0, 0, 0, 1, 0, 0, 0, 0, 0, 1, 0, 1, 0, 0, 0, 0, 0, 0, 0, 0, 0, 0, 1</t>
  </si>
  <si>
    <t>electrical installation residential</t>
  </si>
  <si>
    <t>0, 1, 0, 0, 0, 0, 1, 1, 0, 0, 1, 0, 0, 0, 0, 0, 0, 0, 0, 0, 0, 1, 0, 1</t>
  </si>
  <si>
    <t>electrical backup services</t>
  </si>
  <si>
    <t>maxi power electrical services inc</t>
  </si>
  <si>
    <t>largest electrical contractor</t>
  </si>
  <si>
    <t>yelp electrical contractor</t>
  </si>
  <si>
    <t>oliver electrical services</t>
  </si>
  <si>
    <t>0, 0, 0, 0, 0, 0, 0, 0, 0, 0, 1, 0, 0, 0, 0, 0, 0, 0, 0, 2, 0, 0, 0, 1</t>
  </si>
  <si>
    <t>electrical contractor philippines</t>
  </si>
  <si>
    <t>0, 0, 0, 0, 0, 2, 1, 1, 0, 0, 0, 0, 0, 0, 0, 0, 0, 0, 0, 0, 0, 0, 0, 1</t>
  </si>
  <si>
    <t>electrical contractor booking software</t>
  </si>
  <si>
    <t>1, 0, 0, 0, 0, 0, 0, 1, 0, 0, 0, 0, 0, 0, 0, 0, 0, 0, 0, 0, 0, 0, 0, 1</t>
  </si>
  <si>
    <t>electrical contractor friendswood</t>
  </si>
  <si>
    <t>0, 1, 0, 1, 0, 1, 0, 0, 0, 0, 0, 0, 0, 0, 0, 0, 0, 0, 0, 0, 0, 0, 0, 1</t>
  </si>
  <si>
    <t>electrical plug installation</t>
  </si>
  <si>
    <t>0, 1, 0, 1, 2, 6, 0, 1, 3, 2, 8, 5, 3, 2, 1, 2, 1, 3, 2, 1, 0, 2, 0, 2</t>
  </si>
  <si>
    <t>electrical contractor sumner wa</t>
  </si>
  <si>
    <t>bothwell electrical services</t>
  </si>
  <si>
    <t>electrical installation times guide</t>
  </si>
  <si>
    <t>0, 0, 0, 0, 0, 0, 1, 0, 1, 1, 0, 1, 0, 0, 0, 0, 0, 0, 0, 0, 0, 0, 0, 1</t>
  </si>
  <si>
    <t>commercial building electrical installation</t>
  </si>
  <si>
    <t>0, 0, 0, 0, 0, 0, 0, 0, 0, 0, 0, 0, 0, 0, 0, 0, 0, 1, 0, 1, 0, 1, 14, 6</t>
  </si>
  <si>
    <t>electrical services zanesville ohio</t>
  </si>
  <si>
    <t>0, 0, 0, 1, 0, 0, 0, 1, 1, 0, 0, 0, 0, 0, 0, 0, 0, 0, 0, 0, 0, 0, 0, 1</t>
  </si>
  <si>
    <t>xtreme auto electrical services</t>
  </si>
  <si>
    <t>emergency electrical services edmonton</t>
  </si>
  <si>
    <t>0, 0, 0, 0, 0, 0, 1, 0, 1, 0, 0, 0, 0, 0, 0, 0, 0, 0, 0, 0, 0, 0, 0, 1</t>
  </si>
  <si>
    <t>residential electrical services hurst tx</t>
  </si>
  <si>
    <t>electrical services australia</t>
  </si>
  <si>
    <t>1, 1, 0, 0, 0, 0, 1, 1, 0, 1, 0, 0, 0, 0, 0, 0, 0, 0, 0, 0, 0, 0, 0, 1</t>
  </si>
  <si>
    <t>electrical distribution field services</t>
  </si>
  <si>
    <t>0, 0, 0, 2, 0, 0, 0, 1, 0, 0, 0, 0, 0, 0, 0, 0, 0, 0, 0, 0, 0, 0, 0, 1</t>
  </si>
  <si>
    <t>electrical installation risk assessment template</t>
  </si>
  <si>
    <t>5, 0, 0, 0, 0, 2, 1, 3, 1, 3, 0, 0, 0, 0, 0, 0, 0, 0, 0, 0, 0, 0, 0, 1</t>
  </si>
  <si>
    <t>bakers electrical services</t>
  </si>
  <si>
    <t>0, 1, 0, 0, 0, 0, 0, 0, 0, 0, 0, 1, 0, 1, 0, 0, 0, 0, 0, 0, 0, 0, 0, 1</t>
  </si>
  <si>
    <t>huntsville emergency electrician</t>
  </si>
  <si>
    <t>electrical installation in south africa</t>
  </si>
  <si>
    <t>emergency electrical repairs bedford tx</t>
  </si>
  <si>
    <t>electrical generator installation</t>
  </si>
  <si>
    <t>2, 0, 0, 0, 2, 4, 3, 1, 0, 1, 0, 0, 0, 1, 0, 0, 0, 0, 0, 0, 0, 0, 0, 1</t>
  </si>
  <si>
    <t>electrical contractor pricing</t>
  </si>
  <si>
    <t>electrical contractor search</t>
  </si>
  <si>
    <t>0, 0, 0, 0, 0, 0, 2, 0, 0, 1, 1, 2, 0, 0, 0, 0, 0, 0, 0, 0, 0, 0, 0, 1</t>
  </si>
  <si>
    <t>creative electrical services</t>
  </si>
  <si>
    <t>fredericksburg electrical contractor</t>
  </si>
  <si>
    <t>0, 1, 0, 1, 0, 0, 0, 2, 1, 0, 0, 0, 0, 0, 0, 0, 0, 0, 0, 0, 0, 0, 0, 1</t>
  </si>
  <si>
    <t>lysterfield emergency electrician</t>
  </si>
  <si>
    <t>0, 0, 0, 0, 1, 1, 0, 1, 1, 0, 0, 0, 0, 0, 0, 0, 0, 0, 0, 0, 0, 0, 0, 1</t>
  </si>
  <si>
    <t>diversity factor in electrical installation</t>
  </si>
  <si>
    <t>0, 4, 0, 0, 1, 0, 0, 0, 1, 0, 1, 0, 0, 0, 0, 0, 0, 0, 0, 0, 0, 0, 0, 1</t>
  </si>
  <si>
    <t>+redlynch +valley +electrical +contractor</t>
  </si>
  <si>
    <t>electrical services lowell ma</t>
  </si>
  <si>
    <t>electrical services in boksburg, gauteng</t>
  </si>
  <si>
    <t>0, 0, 0, 0, 0, 0, 0, 0, 0, 0, 0, 0, 0, 0, 0, 3, 2, 5, 0, 0, 0, 0, 0, 1</t>
  </si>
  <si>
    <t>electrical contractor insurance hawaii</t>
  </si>
  <si>
    <t>0, 0, 0, 0, 0, 0, 1, 0, 0, 0, 1, 0, 0, 0, 0, 0, 0, 0, 0, 0, 0, 0, 0, 1</t>
  </si>
  <si>
    <t>amped electrical services</t>
  </si>
  <si>
    <t>0, 0, 0, 0, 0, 0, 0, 0, 0, 0, 0, 3, 1, 3, 1, 0, 1, 0, 0, 1, 1, 0, 0, 1</t>
  </si>
  <si>
    <t>electrical outlet installation missouri</t>
  </si>
  <si>
    <t>electrical sub panel installation purvis</t>
  </si>
  <si>
    <t>0, 0, 0, 1, 1, 1, 0, 3, 0, 0, 0, 0, 0, 0, 0, 0, 0, 0, 0, 0, 0, 0, 0, 1</t>
  </si>
  <si>
    <t>emergency electrician eastern suburbs sydney</t>
  </si>
  <si>
    <t>0, 0, 0, 0, 0, 1, 1, 0, 0, 0, 0, 0, 0, 0, 0, 0, 0, 0, 0, 0, 0, 0, 0, 1</t>
  </si>
  <si>
    <t>eni electrical services</t>
  </si>
  <si>
    <t>fayetteville emergency electrician</t>
  </si>
  <si>
    <t>electrical installation white house</t>
  </si>
  <si>
    <t>0, 0, 0, 0, 2, 0, 1, 1, 2, 0, 0, 0, 0, 0, 0, 0, 0, 0, 0, 0, 0, 0, 0, 1</t>
  </si>
  <si>
    <t>emergency electrician northern beaches</t>
  </si>
  <si>
    <t>0, 2, 0, 2, 5, 0, 3, 3, 0, 1, 1, 1, 0, 0, 0, 0, 0, 0, 0, 0, 0, 0, 0, 1</t>
  </si>
  <si>
    <t>electrical outlet installation asheville</t>
  </si>
  <si>
    <t>1, 1, 1, 0, 0, 0, 0, 0, 0, 0, 0, 0, 0, 0, 0, 0, 0, 0, 0, 0, 0, 0, 0, 1</t>
  </si>
  <si>
    <t>electrical contractor ct near me</t>
  </si>
  <si>
    <t>electrical services in durban</t>
  </si>
  <si>
    <t>0, 0, 0, 0, 0, 0, 0, 0, 0, 0, 0, 0, 0, 0, 0, 5, 2, 6, 1, 0, 0, 0, 0, 1</t>
  </si>
  <si>
    <t>electrical technical services</t>
  </si>
  <si>
    <t>electrical installation handbook</t>
  </si>
  <si>
    <t>0, 0, 0, 0, 0, 1, 2, 0, 0, 0, 0, 0, 0, 0, 0, 0, 0, 1, 0, 0, 0, 0, 0, 1</t>
  </si>
  <si>
    <t>agricultural electrical services peace river</t>
  </si>
  <si>
    <t>electrical contractor rates per hour</t>
  </si>
  <si>
    <t>3, 2, 9, 2, 6, 5, 3, 3, 4, 6, 2, 5, 2, 1, 2, 1, 1, 2, 2, 1, 5, 3, 4, 5</t>
  </si>
  <si>
    <t>emergency electrician reigate</t>
  </si>
  <si>
    <t>emergency electrician clark county</t>
  </si>
  <si>
    <t>emergency electrician widemere</t>
  </si>
  <si>
    <t>electrical contractor salary per month</t>
  </si>
  <si>
    <t>0, 1, 3, 1, 3, 0, 0, 1, 2, 0, 0, 0, 0, 0, 1, 0, 0, 0, 0, 0, 0, 1, 0, 2</t>
  </si>
  <si>
    <t>manheim electrical services</t>
  </si>
  <si>
    <t>industrial electrical contractor</t>
  </si>
  <si>
    <t>4, 5, 4, 8, 6, 4, 10, 13, 15, 17, 13, 0, 0, 0, 0, 1, 0, 0, 0, 0, 3, 0, 0, 2</t>
  </si>
  <si>
    <t>electrical piping installation</t>
  </si>
  <si>
    <t>0, 3, 3, 1, 2, 2, 0, 2, 0, 1, 2, 1, 1, 1, 3, 4, 0, 1, 2, 2, 2, 4, 0, 3</t>
  </si>
  <si>
    <t>hmw electrical services</t>
  </si>
  <si>
    <t>conduits for electrical installation</t>
  </si>
  <si>
    <t>0, 0, 0, 0, 0, 0, 0, 0, 0, 0, 0, 0, 0, 0, 0, 0, 0, 0, 0, 0, 2, 0, 2, 3</t>
  </si>
  <si>
    <t>emergency electrician putnam county</t>
  </si>
  <si>
    <t>electrical panel installation westchester</t>
  </si>
  <si>
    <t>0, 1, 0, 0, 0, 0, 0, 0, 0, 1, 0, 0, 0, 0, 0, 0, 0, 0, 0, 0, 0, 0, 0, 1</t>
  </si>
  <si>
    <t>electrical installation pricing guide</t>
  </si>
  <si>
    <t>emergency electrician st helens</t>
  </si>
  <si>
    <t>arnold construction &amp; electrical services</t>
  </si>
  <si>
    <t>kuhlman electrical services</t>
  </si>
  <si>
    <t>electrical wiring installation houston</t>
  </si>
  <si>
    <t>0, 0, 0, 0, 0, 0, 0, 0, 0, 0, 3, 0, 0, 0, 0, 0, 0, 0, 0, 0, 0, 0, 0, 1</t>
  </si>
  <si>
    <t>electrical panel installation cost</t>
  </si>
  <si>
    <t>0, 0, 0, 0, 0, 0, 0, 0, 1, 1, 1, 0, 0, 2, 0, 0, 0, 1, 0, 0, 0, 0, 0, 1</t>
  </si>
  <si>
    <t>electrical contractor books</t>
  </si>
  <si>
    <t>electrical services for landlords london</t>
  </si>
  <si>
    <t>0, 0, 1, 0, 0, 0, 1, 0, 0, 0, 0, 0, 0, 0, 0, 0, 0, 0, 0, 0, 0, 0, 0, 1</t>
  </si>
  <si>
    <t>electrical installation testing and inspection</t>
  </si>
  <si>
    <t>0, 0, 0, 0, 0, 0, 0, 0, 2, 0, 0, 0, 0, 0, 0, 0, 0, 0, 0, 1, 0, 0, 0, 1</t>
  </si>
  <si>
    <t>vib auto electrical services</t>
  </si>
  <si>
    <t>phoenix az electrical contractor</t>
  </si>
  <si>
    <t>domestic electrical services corsham</t>
  </si>
  <si>
    <t>0, 0, 4, 0, 0, 1, 1, 0, 0, 0, 0, 0, 0, 0, 0, 0, 0, 0, 0, 0, 0, 0, 0, 1</t>
  </si>
  <si>
    <t>best electrical services in montreal</t>
  </si>
  <si>
    <t>0, 0, 0, 0, 1, 1, 0, 0, 0, 1, 0, 0, 0, 0, 0, 0, 0, 0, 0, 0, 0, 0, 0, 1</t>
  </si>
  <si>
    <t>emergency electrician manly</t>
  </si>
  <si>
    <t>1, 1, 1, 2, 1, 0, 0, 1, 0, 1, 0, 0, 0, 0, 0, 0, 0, 0, 0, 0, 0, 0, 1, 1</t>
  </si>
  <si>
    <t>emergency electrician tempe</t>
  </si>
  <si>
    <t>0, 0, 0, 0, 0, 0, 0, 0, 0, 0, 2, 0, 0, 0, 0, 0, 0, 0, 0, 0, 0, 0, 0, 1</t>
  </si>
  <si>
    <t>power on electrical services</t>
  </si>
  <si>
    <t>2, 1, 0, 0, 0, 0, 0, 0, 0, 0, 0, 0, 0, 0, 0, 0, 0, 0, 0, 0, 0, 0, 0, 1</t>
  </si>
  <si>
    <t>emergency electrician wilmington, nc</t>
  </si>
  <si>
    <t>1, 0, 0, 2, 0, 1, 2, 0, 0, 4, 4, 1, 0, 0, 0, 0, 0, 0, 0, 0, 0, 0, 0, 1</t>
  </si>
  <si>
    <t>electrical installation level 2</t>
  </si>
  <si>
    <t>3, 1, 2, 1, 3, 0, 1, 3, 1, 1, 0, 3, 1, 3, 0, 2, 0, 0, 0, 0, 0, 0, 0, 1</t>
  </si>
  <si>
    <t>electrical services in durban, south africa</t>
  </si>
  <si>
    <t>0, 0, 0, 0, 0, 0, 0, 0, 0, 0, 0, 0, 0, 0, 0, 2, 0, 5, 0, 0, 0, 0, 0, 1</t>
  </si>
  <si>
    <t>emergency electrician watkinsville ga</t>
  </si>
  <si>
    <t>1, 0, 1, 2, 0, 0, 0, 0, 0, 0, 0, 0, 0, 0, 0, 0, 0, 0, 0, 0, 0, 0, 0, 1</t>
  </si>
  <si>
    <t>dm electrical services</t>
  </si>
  <si>
    <t>0, 0, 0, 2, 0, 0, 0, 1, 0, 0, 0, 0, 0, 0, 0, 0, 1, 2, 0, 0, 0, 0, 0, 1</t>
  </si>
  <si>
    <t>ripple electrical services</t>
  </si>
  <si>
    <t>emergency electrician westmead</t>
  </si>
  <si>
    <t>electrical panel installation cookeville</t>
  </si>
  <si>
    <t>hot tub electrical installation bellingham</t>
  </si>
  <si>
    <t>belmont emergency electrician</t>
  </si>
  <si>
    <t>bk electrical services</t>
  </si>
  <si>
    <t>electrical repairs calgary</t>
  </si>
  <si>
    <t>0, 2, 0, 3, 1, 0, 0, 0, 0, 1, 1, 0, 0, 0, 0, 0, 0, 0, 0, 0, 0, 0, 0, 1</t>
  </si>
  <si>
    <t>reece electrical services</t>
  </si>
  <si>
    <t>0, 0, 0, 0, 0, 0, 0, 0, 0, 0, 0, 1, 0, 0, 0, 0, 0, 1, 0, 0, 0, 1, 0, 2</t>
  </si>
  <si>
    <t>abm electrical services</t>
  </si>
  <si>
    <t>0, 0, 0, 0, 0, 0, 0, 0, 1, 0, 0, 0, 0, 0, 0, 0, 0, 0, 0, 1, 0, 0, 0, 1</t>
  </si>
  <si>
    <t>electrical contractor insurance florida</t>
  </si>
  <si>
    <t>0, 0, 0, 0, 1, 0, 0, 0, 0, 0, 0, 1, 0, 0, 0, 0, 0, 0, 0, 0, 0, 0, 0, 1</t>
  </si>
  <si>
    <t>electrical system repairs lutz</t>
  </si>
  <si>
    <t>top electrical panel installation</t>
  </si>
  <si>
    <t>emergency electrician west london</t>
  </si>
  <si>
    <t>0, 2, 0, 0, 0, 2, 1, 0, 3, 4, 0, 1, 0, 0, 0, 0, 0, 0, 0, 0, 0, 0, 0, 1</t>
  </si>
  <si>
    <t>electrical services buderim</t>
  </si>
  <si>
    <t>electrical contractor scottsdale</t>
  </si>
  <si>
    <t>0, 0, 0, 0, 0, 0, 0, 0, 2, 2, 0, 0, 0, 0, 0, 0, 0, 0, 0, 0, 0, 0, 0, 1</t>
  </si>
  <si>
    <t>electrical repairs new castle</t>
  </si>
  <si>
    <t>0, 0, 1, 0, 0, 0, 0, 0, 0, 0, 2, 1, 0, 0, 0, 0, 0, 0, 0, 0, 0, 0, 0, 1</t>
  </si>
  <si>
    <t>city lights electrical contractor</t>
  </si>
  <si>
    <t>turner electrical services</t>
  </si>
  <si>
    <t>brooks electrical services</t>
  </si>
  <si>
    <t>0, 0, 1, 1, 0, 0, 0, 0, 0, 0, 0, 1, 1, 0, 3, 0, 1, 0, 0, 0, 0, 0, 0, 1</t>
  </si>
  <si>
    <t>electrical installation diagrams</t>
  </si>
  <si>
    <t>bradley electrical services</t>
  </si>
  <si>
    <t>2, 0, 0, 0, 0, 0, 1, 0, 1, 1, 0, 0, 0, 0, 0, 0, 0, 0, 0, 0, 0, 0, 0, 1</t>
  </si>
  <si>
    <t>premier electrical services inc</t>
  </si>
  <si>
    <t>0, 0, 0, 0, 1, 0, 1, 1, 0, 0, 0, 0, 0, 0, 0, 0, 0, 0, 0, 0, 0, 0, 0, 1</t>
  </si>
  <si>
    <t>electrical troubleshooting services near me</t>
  </si>
  <si>
    <t>0, 0, 0, 0, 0, 0, 0, 1, 1, 0, 2, 0, 0, 0, 0, 0, 0, 0, 0, 0, 0, 0, 0, 1</t>
  </si>
  <si>
    <t>commercial electrical contractor colchester</t>
  </si>
  <si>
    <t>emergency electrician uk</t>
  </si>
  <si>
    <t>0, 0, 0, 0, 0, 0, 0, 1, 3, 0, 0, 0, 0, 0, 0, 0, 0, 0, 2, 0, 0, 0, 0, 1</t>
  </si>
  <si>
    <t>poor electrical installation</t>
  </si>
  <si>
    <t>electrical handyman services red deer</t>
  </si>
  <si>
    <t>electrical contractor philadelphia pa</t>
  </si>
  <si>
    <t>abtech electrical services</t>
  </si>
  <si>
    <t>palm coast electrical services</t>
  </si>
  <si>
    <t>emergency electrician mile end</t>
  </si>
  <si>
    <t>materials of electrical installation</t>
  </si>
  <si>
    <t>electrical installation service penrith</t>
  </si>
  <si>
    <t>emergency electrician maroubra</t>
  </si>
  <si>
    <t>0, 0, 2, 1, 1, 1, 0, 1, 1, 0, 1, 0, 0, 0, 0, 0, 0, 0, 0, 0, 0, 0, 0, 1</t>
  </si>
  <si>
    <t>emergency electrician auckland</t>
  </si>
  <si>
    <t>0, 0, 2, 0, 0, 0, 1, 1, 0, 5, 0, 0, 1, 0, 0, 0, 0, 1, 0, 0, 0, 0, 0, 1</t>
  </si>
  <si>
    <t>electrical panel installation morgan county</t>
  </si>
  <si>
    <t>electrical contractor in newcastle</t>
  </si>
  <si>
    <t>0, 0, 0, 2, 3, 0, 0, 0, 0, 0, 0, 0, 0, 0, 0, 0, 0, 0, 0, 0, 0, 0, 0, 1</t>
  </si>
  <si>
    <t>electrical contractor swindon</t>
  </si>
  <si>
    <t>ardross emergency electrician</t>
  </si>
  <si>
    <t>0, 0, 0, 1, 0, 0, 1, 0, 0, 5, 0, 0, 0, 0, 0, 0, 0, 0, 0, 0, 0, 0, 0, 1</t>
  </si>
  <si>
    <t>commercial electrical services charlotte, nc</t>
  </si>
  <si>
    <t>electrical outlet installation seminole county</t>
  </si>
  <si>
    <t>electrical services mitchells plain</t>
  </si>
  <si>
    <t>0, 0, 0, 0, 0, 0, 0, 0, 0, 0, 0, 0, 0, 0, 20, 14, 0, 0, 0, 0, 0, 0, 0, 1</t>
  </si>
  <si>
    <t>jfk electrical services</t>
  </si>
  <si>
    <t>1, 0, 0, 0, 0, 0, 0, 0, 0, 0, 0, 1, 1, 0, 0, 1, 1, 0, 0, 0, 0, 0, 0, 1</t>
  </si>
  <si>
    <t>m and r electrical services</t>
  </si>
  <si>
    <t>0, 0, 0, 0, 0, 0, 0, 0, 0, 0, 2, 1, 0, 0, 0, 0, 0, 0, 0, 0, 0, 0, 0, 1</t>
  </si>
  <si>
    <t>electrical services in granite city, il</t>
  </si>
  <si>
    <t>electrical oven repairs</t>
  </si>
  <si>
    <t>0, 0, 0, 1, 0, 1, 0, 0, 0, 0, 1, 0, 0, 2, 0, 0, 1, 0, 0, 0, 0, 0, 0, 1</t>
  </si>
  <si>
    <t>commercial electrical services westbank</t>
  </si>
  <si>
    <t>0, 0, 0, 0, 0, 0, 0, 0, 2, 1, 2, 2, 0, 0, 0, 0, 0, 0, 0, 0, 0, 0, 0, 1</t>
  </si>
  <si>
    <t>ene electrical services</t>
  </si>
  <si>
    <t>0, 0, 0, 1, 1, 0, 0, 0, 0, 0, 0, 0, 0, 0, 0, 0, 0, 0, 0, 0, 0, 0, 0, 1</t>
  </si>
  <si>
    <t>registration of electrical contractor</t>
  </si>
  <si>
    <t>9, 7, 8, 5, 4, 0, 1, 6, 1, 1, 1, 0, 3, 7, 1, 2, 0, 1, 5, 7, 1, 0, 0, 1</t>
  </si>
  <si>
    <t>electrical appliance repairs &amp; parts manchester</t>
  </si>
  <si>
    <t>emergency electrician green valley</t>
  </si>
  <si>
    <t>woodbridge electrical contractor</t>
  </si>
  <si>
    <t>electrical installation tools</t>
  </si>
  <si>
    <t>6, 7, 4, 4, 3, 0, 4, 2, 7, 4, 2, 3, 4, 1, 2, 11, 2, 2, 3, 5, 3, 4, 5, 6</t>
  </si>
  <si>
    <t>licensed electrical contractor scottsdale</t>
  </si>
  <si>
    <t>solares electrical services inc</t>
  </si>
  <si>
    <t>0, 0, 0, 0, 0, 0, 0, 0, 1, 0, 0, 1, 0, 0, 0, 0, 0, 0, 0, 0, 0, 0, 0, 1</t>
  </si>
  <si>
    <t>special installation in electrical</t>
  </si>
  <si>
    <t>emergency electrician panania</t>
  </si>
  <si>
    <t>electrical outlet installation kent</t>
  </si>
  <si>
    <t>dj electrical services</t>
  </si>
  <si>
    <t>electrical installation apprenticeships near me</t>
  </si>
  <si>
    <t>electrical contractor duluth mn</t>
  </si>
  <si>
    <t>0, 0, 1, 1, 1, 0, 1, 0, 1, 0, 0, 0, 0, 0, 0, 0, 0, 0, 0, 0, 0, 0, 0, 1</t>
  </si>
  <si>
    <t>emergency electrician royse city</t>
  </si>
  <si>
    <t>bellevue electrical repairs</t>
  </si>
  <si>
    <t>1, 0, 0, 0, 1, 0, 0, 0, 0, 0, 0, 1, 0, 0, 0, 0, 0, 0, 0, 0, 0, 0, 0, 1</t>
  </si>
  <si>
    <t>b&amp;r electrical services</t>
  </si>
  <si>
    <t>0, 0, 0, 0, 0, 0, 2, 0, 1, 1, 0, 1, 0, 0, 0, 0, 0, 0, 0, 0, 0, 0, 0, 1</t>
  </si>
  <si>
    <t>electrical contractor flyer</t>
  </si>
  <si>
    <t>0, 0, 3, 0, 0, 1, 1, 2, 1, 0, 1, 0, 0, 0, 0, 0, 0, 0, 0, 1, 0, 0, 1, 1</t>
  </si>
  <si>
    <t>electrical panel installation richmond</t>
  </si>
  <si>
    <t>emergency electrician clovelly</t>
  </si>
  <si>
    <t>new electrical installation cost</t>
  </si>
  <si>
    <t>1, 0, 0, 0, 0, 0, 0, 0, 0, 1, 0, 1, 1, 2, 2, 0, 0, 0, 1, 0, 0, 0, 0, 1</t>
  </si>
  <si>
    <t>electrical repairs and upgrades</t>
  </si>
  <si>
    <t>importance of electrical services in buildings</t>
  </si>
  <si>
    <t>request letter for electrical installation</t>
  </si>
  <si>
    <t>0, 0, 2, 0, 3, 0, 1, 0, 0, 1, 0, 0, 0, 0, 0, 0, 0, 0, 0, 0, 0, 0, 0, 1</t>
  </si>
  <si>
    <t>emergency electrician caroline springs</t>
  </si>
  <si>
    <t>1, 1, 0, 0, 0, 0, 0, 0, 0, 1, 0, 0, 0, 0, 0, 0, 0, 0, 0, 0, 0, 0, 0, 1</t>
  </si>
  <si>
    <t>florence electrical services</t>
  </si>
  <si>
    <t>0, 0, 1, 0, 0, 0, 0, 0, 0, 2, 0, 0, 0, 0, 0, 0, 1, 1, 0, 0, 0, 0, 0, 1</t>
  </si>
  <si>
    <t>emergency electrician sutherland</t>
  </si>
  <si>
    <t>1, 1, 0, 0, 1, 0, 0, 0, 0, 0, 0, 0, 2, 1, 0, 0, 0, 0, 0, 0, 0, 0, 0, 1</t>
  </si>
  <si>
    <t>thornton electrical services</t>
  </si>
  <si>
    <t>0, 0, 0, 0, 0, 0, 1, 1, 0, 0, 1, 1, 0, 0, 0, 0, 0, 0, 0, 1, 0, 0, 0, 1</t>
  </si>
  <si>
    <t>electrical installation apollo beach</t>
  </si>
  <si>
    <t>emergency electrician scottsdale</t>
  </si>
  <si>
    <t>0, 0, 0, 0, 0, 0, 0, 0, 1, 0, 0, 0, 1, 0, 0, 0, 0, 0, 0, 0, 0, 0, 0, 1</t>
  </si>
  <si>
    <t>electrical rewiring services in milton keynes</t>
  </si>
  <si>
    <t>electrical wiring installation near me</t>
  </si>
  <si>
    <t>0, 0, 0, 0, 0, 0, 0, 0, 0, 2, 1, 0, 0, 1, 0, 0, 1, 0, 1, 0, 0, 0, 0, 1</t>
  </si>
  <si>
    <t>auto electrical &amp; starter repairs cape town</t>
  </si>
  <si>
    <t>0, 0, 0, 0, 0, 4, 0, 0, 0, 0, 0, 0, 0, 0, 0, 0, 0, 0, 0, 0, 0, 0, 0, 1</t>
  </si>
  <si>
    <t>emergency electrician university park tx</t>
  </si>
  <si>
    <t>electrical installation company in bangladesh</t>
  </si>
  <si>
    <t>bolton electrical services</t>
  </si>
  <si>
    <t>0, 0, 0, 0, 1, 0, 0, 0, 0, 0, 0, 1, 1, 0, 0, 0, 0, 1, 0, 0, 0, 0, 0, 1</t>
  </si>
  <si>
    <t>electrical services dublin</t>
  </si>
  <si>
    <t>emergency electrician cobham</t>
  </si>
  <si>
    <t>electrical contractor alvin</t>
  </si>
  <si>
    <t>0, 0, 0, 1, 0, 0, 1, 0, 1, 0, 1, 0, 0, 0, 0, 0, 0, 0, 0, 0, 0, 0, 0, 1</t>
  </si>
  <si>
    <t>electrical installation online course</t>
  </si>
  <si>
    <t>0, 1, 0, 0, 1, 0, 0, 1, 1, 0, 0, 0, 0, 1, 2, 0, 0, 0, 1, 0, 0, 0, 0, 1</t>
  </si>
  <si>
    <t>electrical repairs nashville</t>
  </si>
  <si>
    <t>electrical car repairs near me</t>
  </si>
  <si>
    <t>2, 0, 1, 1, 1, 0, 2, 0, 1, 1, 1, 2, 0, 2, 0, 0, 0, 4, 1, 1, 1, 1, 0, 2</t>
  </si>
  <si>
    <t>electrical contractor texas city</t>
  </si>
  <si>
    <t>electrical contractor coffs harbour</t>
  </si>
  <si>
    <t>1, 0, 0, 1, 0, 0, 0, 0, 2, 0, 1, 0, 0, 0, 0, 0, 0, 0, 0, 0, 0, 0, 0, 1</t>
  </si>
  <si>
    <t>emergency electrician mansfield</t>
  </si>
  <si>
    <t>industrial electrical services blacksville wv</t>
  </si>
  <si>
    <t>0, 0, 1, 2, 0, 0, 0, 0, 0, 0, 1, 0, 0, 0, 0, 0, 0, 0, 0, 0, 0, 0, 0, 1</t>
  </si>
  <si>
    <t>emergency electrician aberdare</t>
  </si>
  <si>
    <t>emergency electrician crawford county</t>
  </si>
  <si>
    <t>electrical services parker</t>
  </si>
  <si>
    <t>electrical services belmont, nc</t>
  </si>
  <si>
    <t>0, 0, 2, 0, 0, 0, 0, 0, 0, 0, 0, 0, 0, 0, 0, 0, 0, 0, 0, 0, 0, 0, 0, 1</t>
  </si>
  <si>
    <t>commercial electrical installation goldsboro, nc</t>
  </si>
  <si>
    <t>subiaco emergency electrician</t>
  </si>
  <si>
    <t>0, 0, 0, 0, 0, 0, 0, 1, 1, 1, 1, 1, 0, 0, 0, 0, 0, 0, 0, 0, 0, 0, 0, 1</t>
  </si>
  <si>
    <t>electrical contractors insurance services ltd</t>
  </si>
  <si>
    <t>0, 0, 0, 0, 0, 0, 1, 1, 1, 1, 0, 0, 0, 0, 1, 0, 0, 0, 0, 0, 0, 0, 0, 1</t>
  </si>
  <si>
    <t>electrical contractor medicine hat</t>
  </si>
  <si>
    <t>thabile faith electrical services</t>
  </si>
  <si>
    <t>1, 0, 0, 2, 3, 0, 3, 29, 44, 19, 35, 21, 17, 2, 0, 0, 0, 0, 0, 0, 0, 0, 0, 1</t>
  </si>
  <si>
    <t>class 1 electrical contractor license</t>
  </si>
  <si>
    <t>electrical contractor louisville</t>
  </si>
  <si>
    <t>0, 1, 0, 1, 1, 0, 3, 0, 1, 0, 0, 0, 0, 0, 0, 0, 0, 0, 0, 0, 0, 0, 0, 1</t>
  </si>
  <si>
    <t>electrical services nambour</t>
  </si>
  <si>
    <t>industrial electrical services dallas</t>
  </si>
  <si>
    <t>0, 0, 0, 0, 0, 0, 0, 0, 2, 0, 0, 0, 1, 0, 0, 0, 0, 0, 0, 0, 0, 0, 0, 1</t>
  </si>
  <si>
    <t>electrical repairs missoula</t>
  </si>
  <si>
    <t>0, 0, 0, 0, 0, 1, 0, 0, 2, 1, 1, 4, 0, 0, 0, 0, 0, 0, 0, 0, 0, 0, 0, 1</t>
  </si>
  <si>
    <t>asset electrical services</t>
  </si>
  <si>
    <t>0, 0, 0, 0, 0, 2, 0, 2, 3, 1, 1, 1, 0, 0, 0, 0, 0, 0, 0, 0, 0, 0, 0, 1</t>
  </si>
  <si>
    <t>24 hour emergency electrician in randwick</t>
  </si>
  <si>
    <t>cookeville emergency electrician</t>
  </si>
  <si>
    <t>electrical contractor winnetka il</t>
  </si>
  <si>
    <t>force electrical services</t>
  </si>
  <si>
    <t>cost estimation electrical installation pdf</t>
  </si>
  <si>
    <t>commercial electrical services fort worth</t>
  </si>
  <si>
    <t>electrical contractor winnipeg</t>
  </si>
  <si>
    <t>abs electrical services</t>
  </si>
  <si>
    <t>0, 0, 0, 0, 0, 0, 0, 0, 0, 0, 0, 0, 0, 0, 0, 0, 0, 0, 0, 1, 1, 2, 0, 2</t>
  </si>
  <si>
    <t>times electrical services</t>
  </si>
  <si>
    <t>0, 0, 1, 1, 0, 0, 0, 1, 0, 0, 0, 0, 0, 0, 0, 0, 0, 0, 0, 0, 0, 0, 0, 1</t>
  </si>
  <si>
    <t>electrical contractor riverside oh</t>
  </si>
  <si>
    <t>0, 0, 0, 0, 0, 0, 0, 0, 2, 2, 0, 2, 0, 0, 0, 0, 0, 0, 0, 0, 0, 0, 0, 1</t>
  </si>
  <si>
    <t>church electrical services</t>
  </si>
  <si>
    <t>electrical outlet installation louisiana</t>
  </si>
  <si>
    <t>electrical outlet installation texas</t>
  </si>
  <si>
    <t>emergency electrical repairs lewisville tx</t>
  </si>
  <si>
    <t>electrician salary in cape town</t>
  </si>
  <si>
    <t>0, 0, 0, 0, 0, 0, 0, 0, 0, 0, 0, 0, 0, 0, 3, 0, 0, 0, 3, 8, 4, 1, 0, 1</t>
  </si>
  <si>
    <t>electrical services odessa tx</t>
  </si>
  <si>
    <t>artisan certificate in electrical installation</t>
  </si>
  <si>
    <t>0, 0, 0, 0, 0, 0, 2, 0, 2, 3, 1, 1, 3, 0, 0, 0, 0, 0, 0, 0, 0, 0, 0, 1</t>
  </si>
  <si>
    <t>ka electrical services</t>
  </si>
  <si>
    <t>0, 0, 0, 0, 0, 0, 0, 0, 0, 0, 0, 0, 0, 0, 0, 0, 0, 0, 2, 0, 1, 1, 0, 2</t>
  </si>
  <si>
    <t>attadale emergency electrician</t>
  </si>
  <si>
    <t>0, 0, 0, 0, 0, 0, 0, 0, 1, 0, 3, 0, 0, 0, 0, 0, 0, 0, 0, 0, 0, 0, 0, 1</t>
  </si>
  <si>
    <t>electrical installation safety certificate</t>
  </si>
  <si>
    <t>0, 0, 1, 1, 0, 0, 0, 0, 1, 0, 0, 0, 0, 0, 0, 0, 0, 0, 0, 0, 0, 0, 0, 1</t>
  </si>
  <si>
    <t>electrical repairs olympia</t>
  </si>
  <si>
    <t>liability insurance for electrical contractor</t>
  </si>
  <si>
    <t>0, 1, 0, 0, 1, 1, 1, 0, 9, 3, 9, 3, 2, 1, 0, 1, 1, 0, 0, 0, 0, 0, 2, 2</t>
  </si>
  <si>
    <t>michigan electrical contractor exam prep</t>
  </si>
  <si>
    <t>ces electrical services</t>
  </si>
  <si>
    <t>electrical panel installation kingston</t>
  </si>
  <si>
    <t>0, 0, 0, 0, 0, 0, 0, 2, 2, 0, 0, 0, 0, 0, 0, 0, 0, 0, 0, 0, 0, 0, 0, 1</t>
  </si>
  <si>
    <t>rs electrical services</t>
  </si>
  <si>
    <t>0, 0, 0, 0, 0, 0, 0, 0, 0, 0, 0, 0, 0, 0, 0, 0, 0, 0, 0, 0, 2, 1, 0, 2</t>
  </si>
  <si>
    <t>electrical contractor nottingham</t>
  </si>
  <si>
    <t>0, 0, 0, 0, 2, 0, 1, 0, 0, 0, 0, 2, 0, 0, 0, 0, 0, 0, 0, 0, 0, 0, 0, 1</t>
  </si>
  <si>
    <t>electrical contractor needed</t>
  </si>
  <si>
    <t>2, 0, 0, 0, 0, 0, 1, 0, 0, 0, 0, 0, 0, 0, 0, 0, 0, 0, 0, 0, 0, 0, 0, 1</t>
  </si>
  <si>
    <t>low voltage electrical installation</t>
  </si>
  <si>
    <t>0, 1, 0, 3, 0, 0, 0, 0, 0, 1, 0, 0, 0, 2, 0, 0, 0, 0, 1, 1, 0, 0, 0, 1</t>
  </si>
  <si>
    <t>valencia emergency electrician</t>
  </si>
  <si>
    <t>dc electrical services</t>
  </si>
  <si>
    <t>0, 0, 0, 0, 1, 1, 1, 1, 0, 0, 0, 0, 0, 0, 0, 0, 0, 0, 0, 0, 0, 0, 0, 1</t>
  </si>
  <si>
    <t>residential electrical contractor ct near me</t>
  </si>
  <si>
    <t>rem electrical services</t>
  </si>
  <si>
    <t>0, 0, 0, 0, 0, 0, 0, 0, 0, 2, 0, 0, 0, 2, 5, 1, 2, 0, 0, 0, 0, 0, 0, 1</t>
  </si>
  <si>
    <t>commericial emergency electrician</t>
  </si>
  <si>
    <t>0, 0, 0, 2, 1, 1, 0, 0, 2, 0, 1, 0, 0, 0, 0, 0, 0, 0, 0, 0, 0, 0, 0, 1</t>
  </si>
  <si>
    <t>emergency electrician hopeland</t>
  </si>
  <si>
    <t>0, 0, 0, 0, 0, 2, 1, 0, 0, 1, 2, 0, 0, 0, 0, 0, 0, 0, 0, 0, 0, 0, 0, 1</t>
  </si>
  <si>
    <t>home electrical services in bow</t>
  </si>
  <si>
    <t>0, 0, 0, 0, 0, 0, 0, 0, 0, 1, 1, 0, 0, 1, 0, 0, 0, 0, 0, 0, 0, 1, 0, 1</t>
  </si>
  <si>
    <t>electrical installation chicago</t>
  </si>
  <si>
    <t>0, 0, 0, 0, 0, 0, 1, 2, 0, 0, 0, 0, 1, 1, 0, 0, 0, 0, 0, 0, 0, 0, 0, 1</t>
  </si>
  <si>
    <t>electrical services charlotte</t>
  </si>
  <si>
    <t>0, 1, 1, 0, 0, 1, 0, 2, 0, 1, 1, 0, 0, 0, 0, 0, 0, 0, 0, 0, 0, 0, 0, 1</t>
  </si>
  <si>
    <t>semi skilled electrician jobs in cape town</t>
  </si>
  <si>
    <t>24 hour electrical services bucks county</t>
  </si>
  <si>
    <t>general electrical installation</t>
  </si>
  <si>
    <t>0, 3, 2, 3, 2, 0, 0, 2, 0, 0, 0, 0, 0, 0, 0, 0, 0, 0, 0, 0, 0, 0, 0, 1</t>
  </si>
  <si>
    <t>electrician woodstock cape town</t>
  </si>
  <si>
    <t>electrical contractor calabasas</t>
  </si>
  <si>
    <t>1, 0, 1, 0, 1, 0, 1, 1, 1, 0, 0, 0, 0, 0, 0, 0, 0, 0, 0, 0, 0, 0, 0, 1</t>
  </si>
  <si>
    <t>spa electrical installation cost</t>
  </si>
  <si>
    <t>electrical contractor yarm</t>
  </si>
  <si>
    <t>electricians &amp; electrical services dorset</t>
  </si>
  <si>
    <t>emergency electrician northside</t>
  </si>
  <si>
    <t>sydney electrical services</t>
  </si>
  <si>
    <t>0, 0, 2, 0, 0, 4, 0, 2, 3, 1, 0, 0, 2, 0, 0, 0, 0, 0, 0, 0, 0, 0, 0, 1</t>
  </si>
  <si>
    <t>repairs electrical appliances</t>
  </si>
  <si>
    <t>3, 1, 5, 1, 2, 2, 2, 3, 1, 1, 3, 3, 8, 1, 1, 2, 0, 0, 1, 0, 0, 0, 0, 1</t>
  </si>
  <si>
    <t>emergency electrician in my area</t>
  </si>
  <si>
    <t>2, 0, 0, 2, 0, 1, 4, 1, 5, 1, 0, 1, 2, 0, 0, 1, 0, 0, 1, 0, 0, 0, 0, 1</t>
  </si>
  <si>
    <t>mather electrical services</t>
  </si>
  <si>
    <t>0, 0, 0, 0, 0, 0, 0, 0, 2, 9, 5, 0, 4, 7, 2, 1, 2, 0, 0, 0, 0, 0, 0, 1</t>
  </si>
  <si>
    <t>certification of electrical installation</t>
  </si>
  <si>
    <t>0, 0, 0, 0, 0, 0, 0, 0, 0, 0, 0, 1, 0, 1, 0, 0, 0, 1, 0, 1, 0, 0, 0, 1</t>
  </si>
  <si>
    <t>electrical services kellyville</t>
  </si>
  <si>
    <t>hi electrical services</t>
  </si>
  <si>
    <t>home electrical contractor</t>
  </si>
  <si>
    <t>0, 2, 1, 1, 0, 0, 1, 0, 0, 0, 0, 2, 0, 0, 0, 1, 0, 0, 0, 0, 0, 0, 0, 1</t>
  </si>
  <si>
    <t>emergency electrician oval</t>
  </si>
  <si>
    <t>electrical services flaxton</t>
  </si>
  <si>
    <t>brian scaddan electrical installation work</t>
  </si>
  <si>
    <t>0, 0, 0, 0, 0, 0, 0, 0, 0, 0, 0, 0, 0, 0, 0, 0, 2, 0, 0, 1, 0, 0, 0, 1</t>
  </si>
  <si>
    <t>electrical services virginia</t>
  </si>
  <si>
    <t>electrical contractor licence search</t>
  </si>
  <si>
    <t>all electrical &amp; refrigeration services</t>
  </si>
  <si>
    <t>0, 0, 0, 0, 0, 0, 0, 1, 0, 0, 1, 0, 0, 0, 1, 0, 0, 0, 0, 0, 0, 0, 0, 1</t>
  </si>
  <si>
    <t>wireman electrical services</t>
  </si>
  <si>
    <t>0, 0, 0, 0, 0, 0, 0, 1, 0, 2, 0, 0, 3, 0, 2, 0, 0, 0, 0, 0, 0, 0, 0, 1</t>
  </si>
  <si>
    <t>electrical contractor training program</t>
  </si>
  <si>
    <t>0, 0, 0, 0, 0, 0, 0, 0, 0, 0, 0, 0, 0, 0, 0, 0, 0, 1, 0, 0, 0, 0, 0, 1</t>
  </si>
  <si>
    <t>electrical installation condition report cost uk</t>
  </si>
  <si>
    <t>0, 0, 0, 0, 0, 0, 0, 0, 0, 1, 0, 0, 0, 0, 0, 0, 3, 0, 0, 0, 0, 0, 0, 1</t>
  </si>
  <si>
    <t>little rock electrical services</t>
  </si>
  <si>
    <t>terry electrical services</t>
  </si>
  <si>
    <t>metal conduit electrical installation</t>
  </si>
  <si>
    <t>0, 0, 0, 0, 0, 0, 0, 0, 0, 0, 0, 0, 0, 0, 0, 0, 0, 0, 0, 1, 1, 1, 2, 1</t>
  </si>
  <si>
    <t>diesel electrical services (pty) ltd johannesburg</t>
  </si>
  <si>
    <t>electrical repairs edinburgh</t>
  </si>
  <si>
    <t>0, 0, 0, 0, 0, 0, 2, 0, 0, 0, 1, 0, 0, 0, 0, 0, 0, 1, 0, 0, 0, 0, 0, 1</t>
  </si>
  <si>
    <t>electrical rewiring services</t>
  </si>
  <si>
    <t>0, 0, 0, 2, 4, 2, 1, 4, 0, 4, 8, 0, 2, 0, 1, 0, 0, 0, 1, 0, 0, 1, 1, 2</t>
  </si>
  <si>
    <t>av electrical services</t>
  </si>
  <si>
    <t>0, 0, 0, 0, 0, 0, 0, 0, 0, 0, 1, 1, 0, 0, 0, 0, 0, 0, 0, 0, 0, 0, 0, 1</t>
  </si>
  <si>
    <t>industrial electrical contractor newtown ct</t>
  </si>
  <si>
    <t>electrical contractor milton keynes</t>
  </si>
  <si>
    <t>0, 0, 0, 1, 2, 2, 2, 0, 0, 3, 3, 0, 0, 0, 0, 0, 0, 0, 0, 0, 0, 0, 0, 1</t>
  </si>
  <si>
    <t>electrical panel installation minneapolis</t>
  </si>
  <si>
    <t>0, 0, 0, 0, 0, 0, 1, 0, 0, 1, 0, 0, 0, 0, 0, 0, 0, 0, 0, 0, 0, 0, 0, 1</t>
  </si>
  <si>
    <t>electrical wiring installation melbourne</t>
  </si>
  <si>
    <t>0, 0, 0, 0, 0, 0, 0, 0, 0, 2, 1, 0, 0, 0, 0, 0, 0, 0, 0, 0, 0, 0, 0, 1</t>
  </si>
  <si>
    <t>electrical installation regulations 2014</t>
  </si>
  <si>
    <t>auto electrical repairs sunshine north</t>
  </si>
  <si>
    <t>0, 0, 0, 2, 0, 0, 0, 0, 0, 1, 3, 1, 0, 0, 0, 0, 0, 0, 0, 0, 0, 0, 0, 1</t>
  </si>
  <si>
    <t>electrical services boone, nc</t>
  </si>
  <si>
    <t>basic electrical installation work</t>
  </si>
  <si>
    <t>0, 1, 0, 0, 2, 0, 0, 0, 1, 0, 0, 0, 0, 0, 1, 0, 2, 1, 0, 4, 1, 2, 0, 1</t>
  </si>
  <si>
    <t>electrical repairs and installations in polokwane</t>
  </si>
  <si>
    <t>0, 0, 0, 0, 0, 0, 0, 0, 0, 0, 0, 0, 0, 0, 0, 0, 5, 3, 0, 0, 0, 0, 0, 1</t>
  </si>
  <si>
    <t>electrical contractor profile word</t>
  </si>
  <si>
    <t>0, 2, 5, 1, 0, 0, 2, 3, 0, 0, 0, 0, 0, 0, 0, 0, 0, 0, 0, 0, 0, 0, 0, 1</t>
  </si>
  <si>
    <t>commercial electrical services midlothian tx</t>
  </si>
  <si>
    <t>electrical panel installation champaign</t>
  </si>
  <si>
    <t>electrical repairs auckland</t>
  </si>
  <si>
    <t>0, 2, 0, 1, 3, 0, 3, 5, 10, 6, 9, 0, 0, 0, 0, 0, 0, 0, 0, 0, 0, 0, 0, 1</t>
  </si>
  <si>
    <t>electrical repairs howell mi</t>
  </si>
  <si>
    <t>electrical fault repairs woody point</t>
  </si>
  <si>
    <t>emergency electrician manchester</t>
  </si>
  <si>
    <t>1, 0, 0, 1, 0, 2, 1, 3, 3, 2, 1, 0, 0, 0, 0, 0, 0, 0, 0, 0, 0, 0, 0, 1</t>
  </si>
  <si>
    <t>cost of electrical outlet installation</t>
  </si>
  <si>
    <t>0, 0, 0, 0, 0, 0, 0, 0, 0, 0, 0, 0, 2, 0, 0, 0, 0, 0, 0, 0, 0, 1, 0, 1</t>
  </si>
  <si>
    <t>emergency electrician eastern suburbs</t>
  </si>
  <si>
    <t>0, 1, 0, 1, 0, 0, 0, 2, 0, 1, 2, 0, 0, 0, 0, 0, 0, 0, 0, 0, 0, 0, 0, 1</t>
  </si>
  <si>
    <t>jgm electrical services ltd</t>
  </si>
  <si>
    <t>commercial electrical contractor wyoming</t>
  </si>
  <si>
    <t>phoenix electrical contractor</t>
  </si>
  <si>
    <t>0, 2, 0, 0, 0, 0, 0, 1, 2, 0, 0, 0, 0, 0, 0, 0, 0, 0, 0, 0, 0, 0, 0, 1</t>
  </si>
  <si>
    <t>event electrical services</t>
  </si>
  <si>
    <t>jvr electrical services ltd</t>
  </si>
  <si>
    <t>pearla plumbing &amp; electrical services</t>
  </si>
  <si>
    <t>0, 0, 0, 0, 0, 0, 0, 0, 0, 0, 0, 0, 0, 0, 0, 1, 1, 0, 1, 1, 1, 0, 0, 1</t>
  </si>
  <si>
    <t>underground electrical services adelaide</t>
  </si>
  <si>
    <t>design &amp; build electrical contractor essex</t>
  </si>
  <si>
    <t>emergency electrician sans souci</t>
  </si>
  <si>
    <t>electrical services in milnerton, south africa</t>
  </si>
  <si>
    <t>0, 0, 0, 0, 0, 0, 0, 0, 0, 0, 0, 0, 0, 0, 0, 0, 3, 2, 0, 0, 0, 0, 0, 1</t>
  </si>
  <si>
    <t>electrical wiring installation fort smith</t>
  </si>
  <si>
    <t>dbe electrical services</t>
  </si>
  <si>
    <t>0, 0, 0, 0, 0, 0, 0, 0, 0, 0, 0, 0, 1, 0, 1, 0, 0, 0, 0, 0, 0, 1, 0, 1</t>
  </si>
  <si>
    <t>cr electrical services</t>
  </si>
  <si>
    <t>0, 0, 0, 0, 0, 2, 0, 0, 0, 0, 0, 0, 0, 0, 0, 0, 0, 0, 0, 0, 0, 0, 0, 1</t>
  </si>
  <si>
    <t>electrical remodeling services fresno</t>
  </si>
  <si>
    <t>0, 0, 0, 1, 0, 0, 0, 1, 2, 4, 2, 1, 0, 0, 0, 0, 0, 0, 0, 0, 0, 0, 0, 1</t>
  </si>
  <si>
    <t>boston emergency electrical services</t>
  </si>
  <si>
    <t>electrical services ithaca, ny</t>
  </si>
  <si>
    <t>0, 0, 0, 0, 0, 0, 0, 0, 1, 0, 1, 2, 1, 0, 1, 0, 0, 0, 0, 0, 0, 0, 0, 1</t>
  </si>
  <si>
    <t>park electrical services belfast</t>
  </si>
  <si>
    <t>0, 0, 0, 0, 0, 0, 2, 0, 0, 0, 0, 0, 0, 0, 0, 0, 0, 0, 0, 0, 0, 0, 0, 1</t>
  </si>
  <si>
    <t>za electrical &amp; general contractor ltd</t>
  </si>
  <si>
    <t>emergency electrician west ryde</t>
  </si>
  <si>
    <t>electrical repairs terrell</t>
  </si>
  <si>
    <t>0, 0, 0, 1, 0, 0, 0, 0, 0, 1, 1, 0, 0, 0, 0, 0, 0, 0, 0, 0, 0, 0, 0, 1</t>
  </si>
  <si>
    <t>john lewis electrical repairs</t>
  </si>
  <si>
    <t>0, 0, 0, 1, 1, 0, 2, 0, 0, 0, 0, 0, 0, 0, 0, 0, 0, 0, 0, 1, 0, 0, 0, 1</t>
  </si>
  <si>
    <t>electrical contractor mayfield</t>
  </si>
  <si>
    <t>electrical services league city tx</t>
  </si>
  <si>
    <t>electrical outlet installation clay county</t>
  </si>
  <si>
    <t>electrical services sutherland shire</t>
  </si>
  <si>
    <t>electrical repairs boksburg</t>
  </si>
  <si>
    <t>electrical contractor registration agency</t>
  </si>
  <si>
    <t>emergency electrician north dakota</t>
  </si>
  <si>
    <t>electrical wiring installation sandwich ma</t>
  </si>
  <si>
    <t>electrical installation companies in luton</t>
  </si>
  <si>
    <t>lanseria electrical services</t>
  </si>
  <si>
    <t>allied electrical services</t>
  </si>
  <si>
    <t>c r electrical services</t>
  </si>
  <si>
    <t>0, 0, 0, 0, 1, 0, 0, 0, 3, 0, 0, 0, 0, 0, 0, 0, 0, 0, 0, 0, 0, 0, 0, 1</t>
  </si>
  <si>
    <t>bge home electrical services</t>
  </si>
  <si>
    <t>electrical installation sydney</t>
  </si>
  <si>
    <t>0, 1, 0, 0, 1, 0, 1, 1, 0, 0, 0, 1, 0, 0, 0, 0, 0, 0, 0, 0, 0, 0, 0, 1</t>
  </si>
  <si>
    <t>residential electrical services hicksville ny</t>
  </si>
  <si>
    <t>electrical installation service ottawa</t>
  </si>
  <si>
    <t>emergency 24 hour electrician</t>
  </si>
  <si>
    <t>1, 2, 0, 5, 5, 0, 4, 2, 1, 0, 1, 1, 1, 2, 0, 0, 1, 0, 0, 0, 0, 0, 0, 1</t>
  </si>
  <si>
    <t>pwp electrical services</t>
  </si>
  <si>
    <t>all sparks electrical services</t>
  </si>
  <si>
    <t>first power electrical services and trading corp</t>
  </si>
  <si>
    <t>electrical installation birmingham al</t>
  </si>
  <si>
    <t>adt electrical services</t>
  </si>
  <si>
    <t>0, 0, 0, 0, 0, 3, 2, 2, 1, 0, 1, 0, 0, 0, 0, 0, 0, 0, 0, 0, 0, 0, 0, 1</t>
  </si>
  <si>
    <t>tesla electrical services nj</t>
  </si>
  <si>
    <t>1, 1, 1, 1, 1, 1, 0, 0, 1, 1, 0, 1, 0, 0, 0, 0, 0, 0, 0, 0, 0, 0, 0, 1</t>
  </si>
  <si>
    <t>vehicle electrical repairs</t>
  </si>
  <si>
    <t>0, 1, 4, 4, 1, 0, 6, 3, 0, 1, 1, 0, 1, 2, 0, 0, 3, 0, 0, 0, 1, 1, 6, 1</t>
  </si>
  <si>
    <t>emergency electrician perth airport</t>
  </si>
  <si>
    <t>0, 0, 0, 0, 0, 1, 1, 1, 0, 0, 0, 0, 0, 0, 0, 0, 0, 0, 0, 0, 0, 0, 0, 1</t>
  </si>
  <si>
    <t>electrical installation newton ma</t>
  </si>
  <si>
    <t>0, 0, 0, 1, 1, 0, 0, 1, 0, 0, 0, 1, 0, 0, 0, 0, 0, 0, 0, 0, 0, 0, 0, 1</t>
  </si>
  <si>
    <t>emergency electrician grant county</t>
  </si>
  <si>
    <t>electrical contractor milwaukee</t>
  </si>
  <si>
    <t>general electrical repairs</t>
  </si>
  <si>
    <t>1, 1, 2, 3, 3, 3, 2, 1, 5, 2, 1, 0, 2, 0, 0, 0, 0, 0, 0, 1, 0, 0, 0, 1</t>
  </si>
  <si>
    <t>electrical wiring installation guide</t>
  </si>
  <si>
    <t>0, 1, 0, 2, 0, 0, 0, 0, 0, 0, 0, 1, 1, 1, 3, 2, 1, 3, 1, 1, 1, 3, 0, 2</t>
  </si>
  <si>
    <t>missouri city electrical outlet installation</t>
  </si>
  <si>
    <t>a&amp;g electrical services</t>
  </si>
  <si>
    <t>0, 0, 0, 0, 0, 0, 0, 0, 0, 0, 0, 0, 0, 0, 0, 1, 0, 0, 0, 0, 2, 0, 0, 1</t>
  </si>
  <si>
    <t>cs electrical services</t>
  </si>
  <si>
    <t>0, 0, 0, 0, 3, 0, 0, 0, 0, 0, 0, 0, 0, 0, 0, 0, 0, 0, 2, 0, 0, 0, 0, 1</t>
  </si>
  <si>
    <t>office electrical services</t>
  </si>
  <si>
    <t>electrical socket installation</t>
  </si>
  <si>
    <t>0, 1, 0, 0, 1, 0, 2, 0, 2, 3, 1, 1, 1, 1, 0, 1, 2, 3, 0, 0, 0, 3, 0, 2</t>
  </si>
  <si>
    <t>electrical contractor agreement template</t>
  </si>
  <si>
    <t>0, 0, 0, 0, 0, 0, 0, 0, 0, 0, 0, 0, 0, 0, 0, 0, 0, 0, 0, 0, 0, 0, 1, 1</t>
  </si>
  <si>
    <t>electrical services clifton heights</t>
  </si>
  <si>
    <t>tr electrical installation and maintenance</t>
  </si>
  <si>
    <t>r&amp;b electrical services</t>
  </si>
  <si>
    <t>0, 0, 1, 0, 0, 0, 0, 0, 0, 0, 0, 0, 1, 0, 0, 1, 0, 0, 0, 0, 0, 0, 0, 1</t>
  </si>
  <si>
    <t>freelance electrical cad drawing services</t>
  </si>
  <si>
    <t>school electrical contractor</t>
  </si>
  <si>
    <t>0, 0, 0, 1, 0, 1, 0, 2, 0, 1, 2, 0, 0, 0, 0, 0, 0, 0, 0, 0, 0, 0, 0, 1</t>
  </si>
  <si>
    <t>price electrical services</t>
  </si>
  <si>
    <t>2, 1, 0, 1, 0, 0, 0, 0, 0, 0, 0, 0, 2, 0, 0, 0, 0, 0, 0, 0, 0, 0, 0, 1</t>
  </si>
  <si>
    <t>electrical contractor knickerbocker</t>
  </si>
  <si>
    <t>0, 0, 0, 0, 0, 0, 0, 1, 0, 0, 3, 0, 0, 0, 0, 0, 0, 0, 0, 0, 0, 0, 0, 1</t>
  </si>
  <si>
    <t>electrical contractor livonia mi</t>
  </si>
  <si>
    <t>0, 0, 0, 1, 0, 0, 1, 0, 2, 0, 0, 0, 0, 0, 0, 0, 0, 0, 0, 0, 0, 0, 0, 1</t>
  </si>
  <si>
    <t>warren electrical services</t>
  </si>
  <si>
    <t>0, 0, 1, 0, 0, 0, 0, 0, 1, 2, 0, 0, 0, 0, 0, 0, 0, 0, 0, 0, 0, 0, 0, 1</t>
  </si>
  <si>
    <t>electrical outlets installation</t>
  </si>
  <si>
    <t>0, 0, 0, 0, 0, 0, 0, 0, 0, 1, 0, 0, 0, 1, 0, 0, 0, 0, 0, 0, 0, 0, 0, 1</t>
  </si>
  <si>
    <t>electrical panel installation cleveland county</t>
  </si>
  <si>
    <t>emergency electrician alfords point</t>
  </si>
  <si>
    <t>0, 0, 0, 1, 0, 1, 0, 0, 0, 0, 0, 2, 0, 0, 0, 0, 0, 0, 0, 0, 0, 0, 0, 1</t>
  </si>
  <si>
    <t>rm electrical contractor</t>
  </si>
  <si>
    <t>24h emergency electrician</t>
  </si>
  <si>
    <t>0, 0, 0, 1, 0, 0, 0, 0, 0, 0, 1, 0, 0, 0, 0, 0, 0, 0, 0, 0, 0, 0, 0, 1</t>
  </si>
  <si>
    <t>smart home electrical installation</t>
  </si>
  <si>
    <t>0, 2, 2, 2, 1, 2, 0, 0, 2, 1, 2, 9, 0, 0, 0, 0, 0, 1, 0, 0, 0, 4, 2, 4</t>
  </si>
  <si>
    <t>australian professional electrical services</t>
  </si>
  <si>
    <t>electrical services contract</t>
  </si>
  <si>
    <t>0, 0, 0, 0, 0, 0, 0, 0, 0, 0, 2, 0, 1, 0, 0, 0, 0, 0, 0, 0, 0, 0, 0, 1</t>
  </si>
  <si>
    <t>dial electrical services</t>
  </si>
  <si>
    <t>electrical contractor tarzana</t>
  </si>
  <si>
    <t>emergency electrician glebe</t>
  </si>
  <si>
    <t>contractor electrical symbol</t>
  </si>
  <si>
    <t>1, 0, 0, 0, 0, 0, 0, 0, 0, 0, 1, 0, 0, 0, 0, 0, 0, 0, 0, 0, 0, 0, 0, 1</t>
  </si>
  <si>
    <t>gansbaai electrical repairs</t>
  </si>
  <si>
    <t>electrical vehicle charger installation near me</t>
  </si>
  <si>
    <t>electrical services in selaqui</t>
  </si>
  <si>
    <t>dps electrical services</t>
  </si>
  <si>
    <t>1, 0, 0, 0, 0, 0, 0, 1, 0, 0, 0, 0, 0, 0, 0, 0, 0, 0, 0, 1, 0, 0, 2, 2</t>
  </si>
  <si>
    <t>ohms and watts electrical services</t>
  </si>
  <si>
    <t>0, 1, 0, 0, 1, 0, 0, 0, 0, 0, 0, 0, 0, 0, 0, 0, 0, 0, 0, 0, 0, 0, 0, 1</t>
  </si>
  <si>
    <t>lauderdale lakes electrical services</t>
  </si>
  <si>
    <t>1, 0, 1, 0, 0, 0, 1, 0, 5, 2, 3, 0, 0, 0, 0, 0, 0, 0, 0, 0, 0, 0, 0, 1</t>
  </si>
  <si>
    <t>basic electrical installation</t>
  </si>
  <si>
    <t>4, 3, 4, 1, 1, 5, 2, 0, 1, 2, 4, 6, 1, 2, 1, 1, 5, 4, 2, 1, 2, 0, 0, 2</t>
  </si>
  <si>
    <t>electrical services cedar rapids</t>
  </si>
  <si>
    <t>electrical installation technology pdf</t>
  </si>
  <si>
    <t>0, 0, 0, 0, 0, 0, 0, 1, 1, 0, 0, 0, 0, 0, 0, 0, 0, 0, 0, 0, 0, 0, 0, 1</t>
  </si>
  <si>
    <t>modern electrical installation</t>
  </si>
  <si>
    <t>0, 0, 0, 0, 0, 0, 0, 1, 0, 0, 0, 0, 1, 0, 0, 0, 0, 0, 0, 0, 0, 2, 1, 2</t>
  </si>
  <si>
    <t>durango electrical services</t>
  </si>
  <si>
    <t>0, 0, 0, 0, 0, 0, 0, 1, 0, 0, 0, 0, 0, 0, 0, 0, 0, 0, 2, 1, 0, 0, 0, 1</t>
  </si>
  <si>
    <t>north bay electrical repair services</t>
  </si>
  <si>
    <t>electrical services lynton</t>
  </si>
  <si>
    <t>electrical contractor culver city</t>
  </si>
  <si>
    <t>electrical outlet replacement services raleigh</t>
  </si>
  <si>
    <t>electrical panel installation charlotte</t>
  </si>
  <si>
    <t>0, 0, 0, 1, 0, 1, 1, 0, 0, 0, 0, 0, 0, 0, 0, 0, 0, 0, 0, 0, 0, 0, 0, 1</t>
  </si>
  <si>
    <t>electrical appliance repairs hobart</t>
  </si>
  <si>
    <t>emergency electrician canning vale</t>
  </si>
  <si>
    <t>electrical sub panel installation</t>
  </si>
  <si>
    <t>3, 1, 1, 3, 3, 3, 3, 4, 7, 4, 4, 0, 2, 0, 1, 0, 0, 0, 0, 0, 0, 0, 0, 1</t>
  </si>
  <si>
    <t>electrical waste collection services</t>
  </si>
  <si>
    <t>electrical light switch installation minneapolis</t>
  </si>
  <si>
    <t>electrical contractor electrical logo design</t>
  </si>
  <si>
    <t>electrical mast guy wire installation</t>
  </si>
  <si>
    <t>design &amp; build electrical contractor tendring</t>
  </si>
  <si>
    <t>measuring tools in electrical installation</t>
  </si>
  <si>
    <t>south jersey electrical contractor</t>
  </si>
  <si>
    <t>0, 0, 1, 1, 0, 0, 0, 0, 0, 0, 0, 1, 0, 0, 0, 0, 0, 0, 0, 0, 0, 0, 0, 1</t>
  </si>
  <si>
    <t>daves electrical services</t>
  </si>
  <si>
    <t>car electrical repairs near me</t>
  </si>
  <si>
    <t>0, 17, 8, 7, 4, 1, 0, 5, 7, 2, 7, 4, 5, 4, 1, 4, 3, 6, 0, 1, 1, 1, 0, 2</t>
  </si>
  <si>
    <t>electrical installation construction</t>
  </si>
  <si>
    <t>0, 0, 0, 0, 0, 0, 0, 0, 0, 0, 0, 0, 0, 0, 0, 0, 0, 0, 1, 1, 0, 1, 1, 2</t>
  </si>
  <si>
    <t>electrical contractor tulsa</t>
  </si>
  <si>
    <t>maryland electrical services</t>
  </si>
  <si>
    <t>electrical contractor overhead and profit</t>
  </si>
  <si>
    <t>orlando electrical repairs</t>
  </si>
  <si>
    <t>electrical contractor hackney</t>
  </si>
  <si>
    <t>emergency electrician rancho cordova</t>
  </si>
  <si>
    <t>0, 1, 1, 0, 1, 1, 0, 0, 1, 0, 0, 0, 0, 0, 0, 0, 0, 0, 0, 0, 0, 0, 0, 1</t>
  </si>
  <si>
    <t>types of fuses in electrical installation</t>
  </si>
  <si>
    <t>0, 1, 4, 0, 0, 0, 0, 0, 0, 0, 0, 0, 1, 0, 0, 0, 0, 0, 0, 0, 1, 1, 0, 2</t>
  </si>
  <si>
    <t>gantt chart electrical installation</t>
  </si>
  <si>
    <t>3, 2, 2, 0, 0, 0, 0, 1, 1, 0, 0, 0, 0, 0, 0, 0, 0, 0, 0, 0, 0, 0, 0, 1</t>
  </si>
  <si>
    <t>emergency electrician la perouse</t>
  </si>
  <si>
    <t>electrical contractor tye</t>
  </si>
  <si>
    <t>0, 0, 0, 0, 0, 1, 2, 0, 2, 0, 0, 0, 0, 0, 0, 0, 0, 0, 0, 0, 0, 0, 0, 1</t>
  </si>
  <si>
    <t>emergency electrician clearwater</t>
  </si>
  <si>
    <t>emergency electrician services melbourne</t>
  </si>
  <si>
    <t>0, 1, 2, 1, 3, 0, 0, 0, 0, 0, 0, 0, 0, 0, 0, 0, 0, 0, 0, 0, 0, 0, 0, 1</t>
  </si>
  <si>
    <t>gp electrical services</t>
  </si>
  <si>
    <t>0, 0, 0, 1, 0, 2, 0, 1, 0, 0, 0, 0, 1, 0, 3, 1, 1, 1, 0, 0, 0, 3, 0, 2</t>
  </si>
  <si>
    <t>electrician in cape town, western cape</t>
  </si>
  <si>
    <t>0, 0, 0, 0, 0, 0, 0, 0, 0, 0, 0, 0, 0, 0, 0, 0, 5, 2, 0, 0, 0, 0, 0, 1</t>
  </si>
  <si>
    <t>electrical installation certificates suffolk</t>
  </si>
  <si>
    <t>0, 0, 1, 0, 0, 0, 0, 0, 0, 1, 0, 0, 0, 0, 0, 0, 0, 0, 0, 0, 0, 0, 0, 1</t>
  </si>
  <si>
    <t>home electrical installation near me</t>
  </si>
  <si>
    <t>0, 0, 0, 0, 0, 1, 1, 3, 1, 1, 1, 0, 0, 0, 0, 0, 0, 0, 0, 0, 0, 0, 0, 1</t>
  </si>
  <si>
    <t>emergency electrician carine</t>
  </si>
  <si>
    <t>0, 0, 0, 0, 0, 0, 0, 2, 2, 1, 0, 0, 0, 0, 0, 0, 0, 0, 0, 0, 0, 0, 0, 1</t>
  </si>
  <si>
    <t>advance electrical services</t>
  </si>
  <si>
    <t>1, 3, 1, 6, 0, 0, 1, 0, 0, 4, 2, 1, 1, 5, 0, 0, 0, 1, 1, 0, 0, 0, 0, 1</t>
  </si>
  <si>
    <t>electrical repairs minneapolis</t>
  </si>
  <si>
    <t>0, 0, 0, 0, 1, 0, 1, 0, 1, 0, 0, 0, 0, 0, 0, 0, 0, 0, 0, 0, 0, 0, 0, 1</t>
  </si>
  <si>
    <t>business cards for electrical contractor</t>
  </si>
  <si>
    <t>commercial electrical services london</t>
  </si>
  <si>
    <t>2, 0, 0, 1, 4, 2, 6, 1, 3, 3, 2, 2, 0, 0, 0, 0, 0, 0, 0, 0, 0, 0, 0, 1</t>
  </si>
  <si>
    <t>swift electrical services</t>
  </si>
  <si>
    <t>hoover emergency electrician</t>
  </si>
  <si>
    <t>portland emergency electrician</t>
  </si>
  <si>
    <t>electrical panel installation south dakota</t>
  </si>
  <si>
    <t>electrical services adelaide</t>
  </si>
  <si>
    <t>0, 0, 2, 2, 0, 1, 0, 0, 2, 2, 2, 3, 0, 1, 0, 0, 0, 0, 1, 0, 0, 0, 0, 1</t>
  </si>
  <si>
    <t>emergency electrician keller tx</t>
  </si>
  <si>
    <t>underground electrical cable installation</t>
  </si>
  <si>
    <t>0, 0, 0, 0, 0, 0, 0, 0, 0, 1, 0, 0, 1, 0, 0, 0, 1, 0, 2, 2, 1, 1, 0, 2</t>
  </si>
  <si>
    <t>spectra electrical services</t>
  </si>
  <si>
    <t>st. catharines electrical services</t>
  </si>
  <si>
    <t>1, 0, 0, 0, 1, 0, 0, 0, 2, 0, 0, 0, 0, 0, 0, 0, 0, 0, 0, 0, 0, 0, 0, 1</t>
  </si>
  <si>
    <t>residential electrical services irving tx</t>
  </si>
  <si>
    <t>electrical light switch installation st paul</t>
  </si>
  <si>
    <t>electrical installation examples</t>
  </si>
  <si>
    <t>2, 5, 4, 0, 6, 3, 1, 2, 7, 3, 6, 2, 0, 2, 1, 0, 4, 6, 2, 2, 3, 5, 1, 4</t>
  </si>
  <si>
    <t>arc electrical services</t>
  </si>
  <si>
    <t>0, 0, 0, 0, 0, 1, 0, 0, 0, 0, 1, 0, 0, 0, 0, 0, 1, 0, 0, 0, 0, 0, 0, 1</t>
  </si>
  <si>
    <t>electrical contractor san diego</t>
  </si>
  <si>
    <t>merryvale electrical services</t>
  </si>
  <si>
    <t>electrical installation for house</t>
  </si>
  <si>
    <t>electrical contractor maitland</t>
  </si>
  <si>
    <t>0, 0, 0, 0, 0, 0, 0, 0, 0, 0, 0, 0, 0, 0, 0, 0, 0, 0, 2, 0, 0, 0, 0, 1</t>
  </si>
  <si>
    <t>cnc electrical services</t>
  </si>
  <si>
    <t>0, 1, 1, 1, 0, 2, 0, 0, 1, 0, 0, 0, 0, 0, 0, 0, 0, 0, 0, 0, 0, 0, 0, 1</t>
  </si>
  <si>
    <t>electrician table view cape town</t>
  </si>
  <si>
    <t>mechanical and electrical assembly services</t>
  </si>
  <si>
    <t>0, 0, 0, 0, 0, 0, 1, 0, 0, 0, 0, 1, 0, 0, 0, 0, 0, 0, 0, 0, 0, 0, 0, 1</t>
  </si>
  <si>
    <t>emergency electrician eden prairie</t>
  </si>
  <si>
    <t>emergency electrician wollstonecraft</t>
  </si>
  <si>
    <t>audio visual and electrical services</t>
  </si>
  <si>
    <t>extreme electrical services</t>
  </si>
  <si>
    <t>0, 0, 0, 1, 0, 0, 0, 0, 2, 0, 0, 6, 0, 0, 0, 0, 0, 0, 0, 0, 0, 0, 1, 1</t>
  </si>
  <si>
    <t>custom electrical services in montreal</t>
  </si>
  <si>
    <t>0, 0, 1, 0, 1, 0, 1, 0, 0, 0, 0, 0, 0, 0, 0, 0, 0, 0, 0, 0, 0, 0, 0, 1</t>
  </si>
  <si>
    <t>oswego emergency electrician</t>
  </si>
  <si>
    <t>best free electrical contractor software</t>
  </si>
  <si>
    <t>electrical wiring installation house</t>
  </si>
  <si>
    <t>0, 0, 0, 0, 0, 1, 0, 1, 1, 0, 0, 0, 0, 0, 0, 0, 2, 0, 1, 1, 2, 2, 0, 2</t>
  </si>
  <si>
    <t>an electrical contractor is given 18 solar panels</t>
  </si>
  <si>
    <t>4, 16, 0, 0, 0, 0, 0, 0, 0, 0, 0, 0, 0, 0, 0, 0, 0, 0, 0, 0, 0, 0, 0, 1</t>
  </si>
  <si>
    <t>solar electrical installation</t>
  </si>
  <si>
    <t>0, 0, 0, 1, 0, 0, 0, 0, 2, 1, 0, 0, 1, 0, 1, 2, 1, 3, 0, 3, 0, 1, 1, 2</t>
  </si>
  <si>
    <t>r&amp;m electrical and cooling services</t>
  </si>
  <si>
    <t>residential electrical services little current</t>
  </si>
  <si>
    <t>0, 2, 2, 3, 3, 0, 0, 1, 1, 0, 2, 0, 0, 0, 0, 0, 0, 0, 0, 0, 0, 0, 0, 1</t>
  </si>
  <si>
    <t>aveley emergency electrician</t>
  </si>
  <si>
    <t>0, 0, 0, 0, 0, 0, 1, 1, 0, 2, 0, 1, 0, 0, 0, 0, 0, 0, 0, 0, 0, 0, 0, 1</t>
  </si>
  <si>
    <t>emergency electrician sidcup</t>
  </si>
  <si>
    <t>0, 1, 0, 0, 1, 0, 1, 1, 1, 0, 1, 0, 0, 0, 0, 0, 0, 0, 0, 0, 0, 0, 0, 1</t>
  </si>
  <si>
    <t>electrical contractor alexandria</t>
  </si>
  <si>
    <t>emergency electrician dayton ohio</t>
  </si>
  <si>
    <t>0, 0, 0, 0, 0, 1, 0, 1, 2, 0, 0, 0, 0, 0, 0, 0, 0, 0, 0, 0, 0, 0, 0, 1</t>
  </si>
  <si>
    <t>emergency electrician camberwell</t>
  </si>
  <si>
    <t>0, 1, 1, 0, 0, 0, 0, 0, 0, 1, 0, 1, 0, 0, 0, 0, 0, 0, 0, 0, 0, 0, 0, 1</t>
  </si>
  <si>
    <t>fort lauderdale emergency electrician</t>
  </si>
  <si>
    <t>marine electrical technical services</t>
  </si>
  <si>
    <t>electrical services procurement</t>
  </si>
  <si>
    <t>electrical wiring installation seward ne</t>
  </si>
  <si>
    <t>0, 0, 0, 0, 1, 1, 0, 0, 0, 0, 1, 0, 0, 0, 0, 0, 0, 0, 0, 0, 0, 0, 0, 1</t>
  </si>
  <si>
    <t>electrical repairs mooresville, nc</t>
  </si>
  <si>
    <t>0, 0, 0, 0, 0, 0, 0, 2, 1, 1, 1, 0, 0, 0, 0, 0, 0, 0, 0, 0, 0, 0, 0, 1</t>
  </si>
  <si>
    <t>ics electrical services</t>
  </si>
  <si>
    <t>0, 0, 0, 0, 0, 1, 1, 0, 1, 0, 0, 5, 1, 0, 0, 0, 0, 0, 0, 0, 0, 0, 0, 1</t>
  </si>
  <si>
    <t>electrical installation manual pdf</t>
  </si>
  <si>
    <t>2, 0, 1, 1, 1, 0, 0, 0, 0, 0, 0, 1, 1, 1, 0, 0, 0, 1, 0, 0, 0, 0, 0, 1</t>
  </si>
  <si>
    <t>chamberlain electrical services</t>
  </si>
  <si>
    <t>0, 0, 0, 0, 1, 0, 1, 0, 0, 0, 3, 1, 0, 0, 1, 0, 0, 2, 1, 0, 1, 0, 0, 1</t>
  </si>
  <si>
    <t>steps in electrical installation</t>
  </si>
  <si>
    <t>0, 0, 2, 0, 0, 0, 0, 0, 0, 0, 1, 0, 1, 0, 0, 0, 0, 0, 0, 0, 0, 0, 0, 1</t>
  </si>
  <si>
    <t>electrical installation service wakefield</t>
  </si>
  <si>
    <t>0, 0, 0, 0, 0, 0, 0, 0, 0, 4, 1, 0, 0, 0, 0, 0, 0, 0, 0, 0, 0, 0, 0, 1</t>
  </si>
  <si>
    <t>electrical receptacle installation</t>
  </si>
  <si>
    <t>electrical specialty services</t>
  </si>
  <si>
    <t>electrical installation engineering</t>
  </si>
  <si>
    <t>0, 0, 0, 0, 0, 0, 0, 0, 0, 2, 1, 0, 1, 2, 0, 0, 0, 5, 0, 0, 0, 0, 0, 1</t>
  </si>
  <si>
    <t>electrical services for office</t>
  </si>
  <si>
    <t>emergency electrician loris sc</t>
  </si>
  <si>
    <t>0, 1, 0, 0, 0, 0, 1, 0, 0, 1, 4, 1, 0, 0, 0, 0, 0, 0, 0, 0, 0, 0, 0, 1</t>
  </si>
  <si>
    <t>emergency electrician mississauga</t>
  </si>
  <si>
    <t>rogers ar electrical contractor</t>
  </si>
  <si>
    <t>0, 1, 1, 1, 0, 0, 0, 1, 1, 0, 1, 0, 0, 0, 0, 0, 0, 0, 0, 0, 0, 0, 0, 1</t>
  </si>
  <si>
    <t>lancaster electrical services</t>
  </si>
  <si>
    <t>0, 0, 1, 0, 0, 0, 1, 1, 0, 0, 1, 2, 0, 0, 0, 0, 0, 0, 0, 0, 0, 0, 0, 1</t>
  </si>
  <si>
    <t>aircraft wiring &amp; electrical installation</t>
  </si>
  <si>
    <t>2, 2, 0, 2, 1, 9, 0, 0, 1, 1, 1, 0, 0, 0, 0, 4, 0, 0, 0, 0, 0, 0, 0, 1</t>
  </si>
  <si>
    <t>electrical contractor new york</t>
  </si>
  <si>
    <t>0, 1, 0, 0, 1, 2, 1, 1, 0, 1, 0, 0, 0, 1, 0, 0, 0, 0, 0, 0, 0, 0, 0, 1</t>
  </si>
  <si>
    <t>electrical services franklin county</t>
  </si>
  <si>
    <t>electrical installation video</t>
  </si>
  <si>
    <t>3, 1, 0, 2, 0, 0, 0, 0, 0, 0, 0, 0, 0, 0, 0, 0, 0, 0, 0, 0, 0, 0, 0, 1</t>
  </si>
  <si>
    <t>electrical contractor in my area</t>
  </si>
  <si>
    <t>0, 0, 0, 0, 0, 0, 0, 0, 0, 0, 1, 4, 0, 0, 0, 0, 0, 0, 0, 0, 0, 0, 0, 1</t>
  </si>
  <si>
    <t>electrical services sioux falls</t>
  </si>
  <si>
    <t>emergency electrician near sunbury</t>
  </si>
  <si>
    <t>electrical repairs and installations in secunda</t>
  </si>
  <si>
    <t>0, 0, 0, 0, 0, 0, 0, 0, 0, 0, 0, 0, 0, 0, 0, 0, 2, 0, 2, 0, 0, 0, 0, 1</t>
  </si>
  <si>
    <t>commercial electrical services houston</t>
  </si>
  <si>
    <t>emergency electrician northfleet</t>
  </si>
  <si>
    <t>electrical repairs newcastle</t>
  </si>
  <si>
    <t>0, 1, 1, 0, 4, 0, 0, 0, 0, 0, 1, 0, 5, 1, 0, 0, 0, 1, 0, 0, 0, 0, 0, 1</t>
  </si>
  <si>
    <t>electrical installation symbols pdf</t>
  </si>
  <si>
    <t>1, 0, 0, 0, 0, 0, 0, 0, 0, 0, 0, 0, 0, 0, 1, 0, 0, 1, 0, 0, 0, 0, 0, 1</t>
  </si>
  <si>
    <t>electrical contractor dunstable</t>
  </si>
  <si>
    <t>electrical line installation</t>
  </si>
  <si>
    <t>oklahoma electrical contractor license</t>
  </si>
  <si>
    <t>0, 1, 0, 0, 2, 0, 0, 0, 0, 0, 0, 0, 0, 0, 0, 0, 0, 0, 0, 0, 0, 0, 0, 1</t>
  </si>
  <si>
    <t>commercial electrical services wayne county</t>
  </si>
  <si>
    <t>average electrician psy in cape town</t>
  </si>
  <si>
    <t>century electrical services</t>
  </si>
  <si>
    <t>electrical installation images</t>
  </si>
  <si>
    <t>7, 3, 7, 3, 1, 5, 0, 7, 0, 0, 0, 4, 2, 1, 0, 1, 0, 0, 2, 0, 0, 2, 5, 3</t>
  </si>
  <si>
    <t>commercial electrical services lawrence county</t>
  </si>
  <si>
    <t>jpm plumbing and electrical services</t>
  </si>
  <si>
    <t>electrical installation company in luton</t>
  </si>
  <si>
    <t>henderson home electrical repair services</t>
  </si>
  <si>
    <t>industrial electrical repairs</t>
  </si>
  <si>
    <t>0, 1, 2, 1, 0, 2, 0, 2, 0, 0, 1, 0, 0, 2, 1, 0, 0, 0, 0, 2, 0, 0, 2, 2</t>
  </si>
  <si>
    <t>24 hour emergency electrician memphis</t>
  </si>
  <si>
    <t>electrical contractor clyde</t>
  </si>
  <si>
    <t>0, 0, 0, 0, 0, 0, 4, 1, 0, 2, 2, 0, 0, 0, 0, 0, 0, 0, 0, 0, 0, 0, 0, 1</t>
  </si>
  <si>
    <t>emergency electrician miami</t>
  </si>
  <si>
    <t>0, 0, 0, 0, 0, 0, 0, 0, 1, 0, 0, 2, 0, 0, 0, 0, 0, 0, 0, 0, 0, 0, 0, 1</t>
  </si>
  <si>
    <t>electrical tester calibration services</t>
  </si>
  <si>
    <t>1, 0, 1, 0, 1, 0, 0, 0, 1, 0, 0, 0, 0, 0, 0, 0, 0, 0, 0, 0, 0, 0, 0, 1</t>
  </si>
  <si>
    <t>emergency electrician mayfair</t>
  </si>
  <si>
    <t>electrical cable installation risk assessment</t>
  </si>
  <si>
    <t>0, 0, 0, 0, 0, 0, 0, 0, 0, 0, 1, 1, 1, 1, 0, 0, 0, 0, 0, 0, 0, 2, 0, 2</t>
  </si>
  <si>
    <t>cg electrical services</t>
  </si>
  <si>
    <t>0, 0, 0, 0, 0, 4, 1, 1, 1, 1, 0, 0, 1, 0, 1, 1, 0, 0, 0, 0, 0, 0, 0, 1</t>
  </si>
  <si>
    <t>electrical contractor cutler bay fl</t>
  </si>
  <si>
    <t>electrical contractor dallas</t>
  </si>
  <si>
    <t>2, 1, 0, 0, 3, 0, 0, 2, 0, 1, 1, 0, 0, 1, 0, 0, 0, 0, 0, 0, 0, 0, 0, 1</t>
  </si>
  <si>
    <t>revit electrical modeling services</t>
  </si>
  <si>
    <t>0, 0, 0, 1, 0, 0, 0, 0, 1, 2, 1, 0, 0, 0, 0, 0, 0, 0, 0, 0, 0, 0, 0, 1</t>
  </si>
  <si>
    <t>electrical installation condition report pdf</t>
  </si>
  <si>
    <t>1, 0, 0, 2, 3, 0, 0, 0, 0, 0, 1, 1, 3, 1, 2, 1, 1, 1, 0, 1, 1, 0, 1, 1</t>
  </si>
  <si>
    <t>custom electrical services des moines ia</t>
  </si>
  <si>
    <t>four seasons electrical services</t>
  </si>
  <si>
    <t>cables used in electrical installation</t>
  </si>
  <si>
    <t>0, 0, 0, 0, 0, 0, 0, 0, 0, 0, 2, 1, 0, 0, 2, 0, 0, 0, 0, 0, 0, 0, 0, 1</t>
  </si>
  <si>
    <t>electrical services provider in ruskin</t>
  </si>
  <si>
    <t>electrical installation gastonia, nc</t>
  </si>
  <si>
    <t>0, 0, 0, 1, 0, 0, 0, 1, 0, 1, 1, 0, 1, 0, 0, 0, 0, 0, 0, 0, 0, 0, 0, 1</t>
  </si>
  <si>
    <t>emergency electrician columbia county</t>
  </si>
  <si>
    <t>emergency electrician sunderland</t>
  </si>
  <si>
    <t>residential electrical services cincinnati oh</t>
  </si>
  <si>
    <t>electrical contractor detroit</t>
  </si>
  <si>
    <t>electrical services kentucky</t>
  </si>
  <si>
    <t>0, 0, 0, 0, 1, 3, 1, 1, 0, 3, 2, 1, 0, 0, 0, 0, 0, 0, 0, 0, 0, 0, 0, 1</t>
  </si>
  <si>
    <t>certified electrical contractor</t>
  </si>
  <si>
    <t>1, 1, 1, 1, 1, 3, 2, 4, 4, 4, 4, 3, 2, 1, 2, 0, 1, 0, 1, 0, 0, 1, 0, 1</t>
  </si>
  <si>
    <t>brooklyn electrical contractor</t>
  </si>
  <si>
    <t>0, 0, 0, 0, 0, 0, 0, 0, 1, 0, 2, 0, 0, 0, 0, 0, 0, 0, 0, 0, 0, 0, 0, 1</t>
  </si>
  <si>
    <t>burner &amp; electrical services cc</t>
  </si>
  <si>
    <t>emergency electrician rockwall</t>
  </si>
  <si>
    <t>2, 1, 1, 0, 1, 0, 1, 0, 0, 0, 0, 0, 0, 0, 0, 0, 0, 0, 0, 0, 0, 0, 0, 1</t>
  </si>
  <si>
    <t>electrical mechanical contractor</t>
  </si>
  <si>
    <t>electrical contractor west sussex</t>
  </si>
  <si>
    <t>electrical services kansas</t>
  </si>
  <si>
    <t>electrical services oklahoma</t>
  </si>
  <si>
    <t>emergency electrician wesley chapel</t>
  </si>
  <si>
    <t>get electrical contractor license</t>
  </si>
  <si>
    <t>natchez electrical services</t>
  </si>
  <si>
    <t>commercial electrical services denton tx</t>
  </si>
  <si>
    <t>electrical installation greenfield in</t>
  </si>
  <si>
    <t>adenco electrical contractor</t>
  </si>
  <si>
    <t>electrical repairs in johannesburg</t>
  </si>
  <si>
    <t>electrical field services</t>
  </si>
  <si>
    <t>2, 1, 0, 1, 0, 4, 0, 1, 1, 1, 1, 0, 1, 0, 1, 0, 0, 5, 0, 0, 0, 0, 0, 1</t>
  </si>
  <si>
    <t>residencial electrical services near fort worth</t>
  </si>
  <si>
    <t>0, 0, 0, 0, 0, 1, 1, 2, 1, 2, 2, 1, 1, 0, 0, 0, 0, 0, 0, 0, 0, 0, 0, 1</t>
  </si>
  <si>
    <t>aa electrical services</t>
  </si>
  <si>
    <t>0, 0, 0, 5, 1, 0, 0, 0, 2, 2, 2, 0, 0, 0, 0, 1, 0, 2, 2, 2, 1, 1, 0, 2</t>
  </si>
  <si>
    <t>dh electrical services</t>
  </si>
  <si>
    <t>electrical installation work pdf</t>
  </si>
  <si>
    <t>3, 2, 0, 0, 0, 0, 0, 4, 0, 1, 0, 1, 0, 0, 0, 0, 0, 0, 0, 0, 0, 0, 0, 1</t>
  </si>
  <si>
    <t>installation of electrical pvc pipes swp</t>
  </si>
  <si>
    <t>electrical services jenks, ok</t>
  </si>
  <si>
    <t>0, 0, 0, 0, 0, 0, 0, 2, 0, 0, 3, 0, 0, 0, 0, 0, 0, 0, 0, 0, 0, 2, 0, 2</t>
  </si>
  <si>
    <t>electrical materials used in installation</t>
  </si>
  <si>
    <t>electrical contracting services melbourne fl</t>
  </si>
  <si>
    <t>0, 0, 0, 0, 0, 0, 1, 0, 0, 0, 0, 0, 0, 0, 0, 0, 1, 0, 0, 0, 0, 0, 0, 1</t>
  </si>
  <si>
    <t>bright electrical services</t>
  </si>
  <si>
    <t>1, 2, 0, 0, 0, 0, 0, 0, 0, 0, 0, 0, 0, 0, 0, 0, 0, 1, 2, 0, 0, 0, 0, 1</t>
  </si>
  <si>
    <t>electrical design installation</t>
  </si>
  <si>
    <t>0, 0, 0, 0, 0, 0, 0, 1, 0, 0, 2, 0, 0, 0, 0, 0, 0, 0, 1, 0, 0, 0, 0, 1</t>
  </si>
  <si>
    <t>all around electrical services</t>
  </si>
  <si>
    <t>aj mechanical &amp; electrical services ltd</t>
  </si>
  <si>
    <t>kirk electrical services</t>
  </si>
  <si>
    <t>0, 0, 0, 0, 1, 0, 0, 0, 0, 2, 0, 0, 0, 0, 0, 0, 0, 0, 0, 0, 0, 0, 0, 1</t>
  </si>
  <si>
    <t>buddy's electrical services</t>
  </si>
  <si>
    <t>types of testing in electrical installation</t>
  </si>
  <si>
    <t>0, 0, 0, 0, 0, 0, 0, 1, 0, 0, 1, 0, 0, 1, 0, 0, 0, 1, 1, 0, 0, 1, 0, 1</t>
  </si>
  <si>
    <t>brand electrical services</t>
  </si>
  <si>
    <t>brolec electrical services ltd</t>
  </si>
  <si>
    <t>electrical installation condition</t>
  </si>
  <si>
    <t>0, 0, 2, 0, 1, 0, 0, 1, 0, 0, 0, 0, 0, 1, 0, 0, 0, 0, 0, 1, 0, 0, 0, 1</t>
  </si>
  <si>
    <t>commercial electrical services melbourne</t>
  </si>
  <si>
    <t>1, 2, 0, 0, 2, 0, 0, 1, 0, 3, 4, 0, 0, 0, 0, 0, 0, 0, 0, 0, 0, 1, 0, 1</t>
  </si>
  <si>
    <t>emergency electrician parmelia</t>
  </si>
  <si>
    <t>0, 0, 0, 0, 0, 0, 1, 1, 1, 1, 1, 0, 0, 0, 0, 0, 0, 0, 0, 0, 0, 0, 0, 1</t>
  </si>
  <si>
    <t>electrical installation swms</t>
  </si>
  <si>
    <t>0, 0, 0, 3, 2, 1, 0, 0, 1, 0, 2, 0, 0, 0, 0, 0, 0, 0, 0, 0, 0, 0, 0, 1</t>
  </si>
  <si>
    <t>orange county electrical engineering services</t>
  </si>
  <si>
    <t>0, 0, 0, 0, 0, 2, 0, 1, 0, 0, 0, 1, 0, 0, 0, 0, 0, 0, 0, 0, 0, 0, 0, 1</t>
  </si>
  <si>
    <t>emergency electrician nowra</t>
  </si>
  <si>
    <t>0, 0, 1, 0, 0, 0, 0, 1, 1, 0, 1, 0, 0, 0, 0, 0, 0, 0, 0, 0, 0, 0, 0, 1</t>
  </si>
  <si>
    <t>electrical services bolton</t>
  </si>
  <si>
    <t>electrical underfloor heating repairs</t>
  </si>
  <si>
    <t>livewire electrical services</t>
  </si>
  <si>
    <t>grid electrical services</t>
  </si>
  <si>
    <t>0, 0, 0, 0, 0, 0, 0, 0, 0, 0, 0, 0, 0, 0, 0, 0, 0, 0, 0, 0, 1, 1, 0, 2</t>
  </si>
  <si>
    <t>volt electrical services</t>
  </si>
  <si>
    <t>0, 0, 0, 0, 0, 0, 0, 1, 0, 0, 0, 3, 1, 3, 3, 10, 7, 2, 6, 0, 0, 0, 0, 1</t>
  </si>
  <si>
    <t>level 5 electrical installation</t>
  </si>
  <si>
    <t>0, 0, 0, 0, 0, 1, 1, 1, 0, 0, 0, 0, 1, 0, 0, 0, 0, 0, 0, 0, 0, 0, 0, 1</t>
  </si>
  <si>
    <t>madison electrical services</t>
  </si>
  <si>
    <t>1, 0, 0, 0, 1, 0, 0, 0, 0, 0, 0, 0, 0, 0, 0, 0, 0, 0, 0, 0, 0, 0, 0, 1</t>
  </si>
  <si>
    <t>mississauga electrical services</t>
  </si>
  <si>
    <t>0, 1, 0, 0, 0, 1, 0, 0, 0, 0, 0, 0, 0, 0, 0, 0, 0, 0, 0, 0, 0, 0, 0, 1</t>
  </si>
  <si>
    <t>emergency electrician for businesses</t>
  </si>
  <si>
    <t>0, 0, 0, 0, 0, 0, 0, 0, 1, 0, 4, 0, 0, 0, 0, 0, 0, 0, 0, 1, 0, 0, 0, 1</t>
  </si>
  <si>
    <t>influx electrical services</t>
  </si>
  <si>
    <t>harrisburg electrical services</t>
  </si>
  <si>
    <t>0, 0, 0, 0, 0, 1, 0, 0, 0, 2, 2, 0, 0, 0, 0, 0, 1, 0, 0, 0, 0, 0, 0, 1</t>
  </si>
  <si>
    <t>auto electrician claremont cape town</t>
  </si>
  <si>
    <t>emergency electrician glen waverley</t>
  </si>
  <si>
    <t>0, 0, 0, 0, 1, 0, 0, 0, 0, 0, 2, 1, 0, 0, 0, 0, 0, 0, 1, 0, 0, 0, 0, 1</t>
  </si>
  <si>
    <t>24/7 emergency electrical services fresno</t>
  </si>
  <si>
    <t>0, 3, 2, 3, 1, 0, 0, 2, 4, 3, 2, 0, 0, 0, 0, 0, 0, 0, 0, 0, 0, 0, 0, 1</t>
  </si>
  <si>
    <t>industrial electrical emergency services</t>
  </si>
  <si>
    <t>0, 1, 0, 0, 0, 1, 0, 0, 0, 1, 1, 0, 0, 0, 0, 0, 0, 0, 0, 0, 0, 0, 0, 1</t>
  </si>
  <si>
    <t>new electrical box installation cost</t>
  </si>
  <si>
    <t>newtron electrical services</t>
  </si>
  <si>
    <t>deerfield beach electrical services</t>
  </si>
  <si>
    <t>1, 0, 0, 0, 0, 1, 2, 0, 2, 2, 1, 1, 0, 0, 0, 0, 0, 0, 0, 0, 0, 0, 0, 1</t>
  </si>
  <si>
    <t>affordable electrical services in pittsfield</t>
  </si>
  <si>
    <t>0, 0, 0, 0, 0, 0, 0, 0, 0, 0, 0, 1, 1, 0, 1, 1, 0, 1, 1, 0, 0, 2, 0, 1</t>
  </si>
  <si>
    <t>phases electrical contractor corporation</t>
  </si>
  <si>
    <t>electrician training courses cape town</t>
  </si>
  <si>
    <t>renewal of registration of electrical contractor</t>
  </si>
  <si>
    <t>3, 4, 3, 4, 1, 0, 0, 4, 8, 0, 1, 0, 0, 0, 0, 0, 0, 0, 0, 0, 0, 0, 0, 1</t>
  </si>
  <si>
    <t>xcel electrical services</t>
  </si>
  <si>
    <t>0, 0, 0, 0, 0, 1, 0, 1, 0, 0, 0, 0, 0, 1, 0, 2, 0, 0, 0, 0, 0, 0, 0, 1</t>
  </si>
  <si>
    <t>hg electrical services</t>
  </si>
  <si>
    <t>0, 1, 0, 0, 1, 0, 3, 1, 1, 0, 0, 0, 0, 0, 1, 0, 0, 0, 0, 1, 1, 0, 0, 1</t>
  </si>
  <si>
    <t>electrical installation in colorado springs</t>
  </si>
  <si>
    <t>waltech electrical services pty ltd reviews</t>
  </si>
  <si>
    <t>welding and electrical services</t>
  </si>
  <si>
    <t>on power electrical services</t>
  </si>
  <si>
    <t>emergency residential electrician near me</t>
  </si>
  <si>
    <t>0, 4, 2, 3, 1, 5, 1, 4, 2, 1, 3, 0, 1, 0, 0, 0, 0, 0, 0, 0, 1, 1, 3, 3</t>
  </si>
  <si>
    <t>electrical services cheyenne wy</t>
  </si>
  <si>
    <t>0, 0, 0, 0, 0, 1, 0, 0, 0, 1, 0, 0, 0, 0, 0, 0, 0, 0, 0, 0, 0, 0, 0, 1</t>
  </si>
  <si>
    <t>ocala fl electrical outlet installation</t>
  </si>
  <si>
    <t>whangarei electrical services</t>
  </si>
  <si>
    <t>0, 0, 2, 0, 1, 0, 0, 1, 0, 0, 0, 0, 2, 1, 0, 1, 0, 0, 0, 0, 0, 0, 0, 1</t>
  </si>
  <si>
    <t>commercial electrical contractor in minnesota</t>
  </si>
  <si>
    <t>0, 0, 0, 0, 0, 0, 0, 3, 0, 1, 0, 0, 0, 0, 0, 0, 0, 0, 0, 0, 0, 0, 0, 1</t>
  </si>
  <si>
    <t>electrical services bethesda md</t>
  </si>
  <si>
    <t>electrical services engineering</t>
  </si>
  <si>
    <t>0, 0, 0, 0, 0, 1, 0, 0, 0, 1, 0, 0, 1, 0, 0, 0, 0, 0, 0, 0, 0, 0, 0, 1</t>
  </si>
  <si>
    <t>electrical contractor abbotsford</t>
  </si>
  <si>
    <t>0, 0, 0, 0, 0, 0, 0, 0, 2, 0, 0, 0, 0, 1, 0, 0, 0, 0, 0, 0, 0, 0, 0, 1</t>
  </si>
  <si>
    <t>electrical repairs palmerston north</t>
  </si>
  <si>
    <t>electrical installation equipment</t>
  </si>
  <si>
    <t>0, 2, 0, 1, 2, 2, 3, 3, 2, 2, 3, 4, 2, 4, 1, 1, 1, 1, 1, 7, 2, 2, 5, 4</t>
  </si>
  <si>
    <t>emergency electrician american canyon</t>
  </si>
  <si>
    <t>0, 0, 0, 0, 0, 0, 0, 0, 1, 2, 0, 1, 0, 0, 0, 0, 0, 0, 0, 0, 0, 0, 0, 1</t>
  </si>
  <si>
    <t>industrial electrical contractor scotland</t>
  </si>
  <si>
    <t>c w electrical services</t>
  </si>
  <si>
    <t>electrical sub meter installation</t>
  </si>
  <si>
    <t>3, 1, 0, 0, 0, 1, 1, 0, 2, 1, 0, 2, 3, 4, 2, 1, 0, 0, 0, 0, 0, 0, 1, 1</t>
  </si>
  <si>
    <t>atascadero electrical services</t>
  </si>
  <si>
    <t>local electrical contractor</t>
  </si>
  <si>
    <t>2, 3, 5, 5, 4, 7, 3, 12, 4, 8, 6, 0, 0, 2, 1, 0, 0, 0, 0, 0, 1, 0, 0, 1</t>
  </si>
  <si>
    <t>electrical repairs sand springs, ok</t>
  </si>
  <si>
    <t>0, 0, 0, 0, 0, 0, 0, 0, 0, 0, 2, 1, 0, 1, 0, 0, 0, 0, 0, 0, 0, 0, 0, 1</t>
  </si>
  <si>
    <t>emergency electrician box hill north</t>
  </si>
  <si>
    <t>longview residential electrical services</t>
  </si>
  <si>
    <t>electrical services mango hill</t>
  </si>
  <si>
    <t>electrical installation and commissioning</t>
  </si>
  <si>
    <t>0, 0, 0, 0, 0, 0, 0, 0, 0, 0, 0, 1, 0, 1, 1, 4, 0, 0, 0, 0, 1, 1, 0, 2</t>
  </si>
  <si>
    <t>electrical services exeter</t>
  </si>
  <si>
    <t>electrical contractor contracts gilbert</t>
  </si>
  <si>
    <t>best quality electrical services</t>
  </si>
  <si>
    <t>arizona electrical contractor license</t>
  </si>
  <si>
    <t>0, 0, 0, 0, 1, 0, 1, 1, 1, 0, 1, 0, 0, 0, 0, 0, 0, 0, 0, 0, 0, 0, 0, 1</t>
  </si>
  <si>
    <t>gardening services - electrical work</t>
  </si>
  <si>
    <t>1, 1, 0, 0, 0, 0, 0, 0, 0, 0, 0, 0, 0, 0, 0, 0, 0, 0, 0, 0, 0, 0, 0, 1</t>
  </si>
  <si>
    <t>online electrical installation course</t>
  </si>
  <si>
    <t>0, 3, 0, 0, 0, 1, 0, 0, 0, 1, 1, 0, 1, 0, 0, 1, 0, 0, 0, 0, 0, 0, 0, 1</t>
  </si>
  <si>
    <t>emergency electrician long bay</t>
  </si>
  <si>
    <t>electrical wiring installation course</t>
  </si>
  <si>
    <t>0, 0, 0, 0, 0, 0, 0, 0, 1, 5, 1, 3, 3, 1, 3, 2, 0, 3, 1, 0, 1, 3, 0, 1</t>
  </si>
  <si>
    <t>powerworx electrical services llc</t>
  </si>
  <si>
    <t>alectrix electrical services</t>
  </si>
  <si>
    <t>2, 1, 2, 0, 3, 1, 2, 1, 1, 3, 0, 0, 0, 0, 0, 0, 0, 0, 0, 0, 0, 0, 0, 1</t>
  </si>
  <si>
    <t>level 1 diploma in electrical installation</t>
  </si>
  <si>
    <t>0, 0, 0, 0, 1, 0, 0, 1, 0, 0, 1, 0, 0, 0, 0, 0, 0, 1, 0, 1, 0, 0, 0, 1</t>
  </si>
  <si>
    <t>southaven emergency electrician</t>
  </si>
  <si>
    <t>emergency electrician sherwood grange</t>
  </si>
  <si>
    <t>electrical services midlothian va</t>
  </si>
  <si>
    <t>0, 0, 0, 0, 0, 3, 0, 2, 1, 1, 0, 0, 0, 0, 0, 0, 0, 0, 0, 0, 0, 0, 0, 1</t>
  </si>
  <si>
    <t>sparrow electrical services</t>
  </si>
  <si>
    <t>0, 0, 0, 0, 0, 0, 1, 2, 1, 0, 2, 0, 0, 0, 2, 0, 0, 0, 0, 0, 0, 1, 0, 1</t>
  </si>
  <si>
    <t>electrical services in seattle</t>
  </si>
  <si>
    <t>electrical installation certificate cost</t>
  </si>
  <si>
    <t>1, 2, 1, 1, 2, 2, 1, 3, 4, 1, 7, 0, 0, 0, 0, 0, 0, 0, 1, 0, 0, 0, 1, 1</t>
  </si>
  <si>
    <t>electrical services langa</t>
  </si>
  <si>
    <t>0, 0, 0, 0, 0, 0, 0, 0, 0, 0, 0, 0, 0, 0, 29, 15, 0, 0, 0, 0, 0, 0, 0, 1</t>
  </si>
  <si>
    <t>electrical services tweed coast</t>
  </si>
  <si>
    <t>emergency electrician roseland</t>
  </si>
  <si>
    <t>turnkey electrical services</t>
  </si>
  <si>
    <t>0, 1, 0, 0, 0, 0, 0, 0, 0, 0, 0, 0, 0, 0, 0, 0, 0, 0, 1, 0, 0, 0, 0, 1</t>
  </si>
  <si>
    <t>electrical repair services near me</t>
  </si>
  <si>
    <t>10, 7, 10, 6, 6, 7, 7, 8, 15, 10, 14, 11, 2, 1, 0, 1, 0, 0, 0, 0, 2, 3, 2, 1</t>
  </si>
  <si>
    <t>al's electrical services</t>
  </si>
  <si>
    <t>subiaco electrical services</t>
  </si>
  <si>
    <t>0, 0, 0, 0, 0, 3, 0, 0, 0, 1, 0, 0, 0, 0, 0, 0, 0, 0, 0, 0, 0, 0, 0, 1</t>
  </si>
  <si>
    <t>electrical maintenance services brighton</t>
  </si>
  <si>
    <t>electrical contractor jackson</t>
  </si>
  <si>
    <t>0, 1, 0, 0, 0, 0, 1, 0, 0, 0, 1, 1, 0, 0, 0, 0, 0, 0, 0, 0, 0, 0, 0, 1</t>
  </si>
  <si>
    <t>residential electrical installation lincoln ne</t>
  </si>
  <si>
    <t>1, 1, 0, 0, 1, 0, 2, 1, 0, 0, 0, 1, 0, 0, 0, 0, 0, 0, 0, 0, 0, 0, 0, 1</t>
  </si>
  <si>
    <t>emergency electrician bracknell</t>
  </si>
  <si>
    <t>electrical installation testing procedures pdf</t>
  </si>
  <si>
    <t>11, 8, 11, 10, 7, 5, 8, 14, 7, 4, 1, 5, 0, 0, 2, 2, 1, 1, 2, 1, 0, 0, 0, 1</t>
  </si>
  <si>
    <t>electrical installation health and safety</t>
  </si>
  <si>
    <t>0, 0, 0, 1, 0, 0, 3, 2, 0, 1, 0, 0, 1, 0, 0, 0, 0, 0, 0, 0, 0, 0, 0, 1</t>
  </si>
  <si>
    <t>electrical discharge machining services</t>
  </si>
  <si>
    <t>license for electrical installation</t>
  </si>
  <si>
    <t>0, 0, 0, 0, 0, 0, 0, 0, 0, 1, 0, 0, 0, 0, 0, 0, 0, 0, 0, 0, 0, 0, 2, 1</t>
  </si>
  <si>
    <t>texas electrical contractor</t>
  </si>
  <si>
    <t>0, 0, 0, 0, 1, 0, 0, 0, 0, 1, 0, 0, 1, 0, 0, 0, 0, 0, 0, 0, 0, 0, 0, 1</t>
  </si>
  <si>
    <t>electrical services for residential</t>
  </si>
  <si>
    <t>jonas electrical contractor</t>
  </si>
  <si>
    <t>0, 0, 0, 0, 0, 0, 0, 0, 0, 0, 0, 0, 0, 0, 0, 0, 0, 5, 0, 0, 0, 0, 0, 1</t>
  </si>
  <si>
    <t>coates electrical services</t>
  </si>
  <si>
    <t>0, 0, 0, 0, 0, 0, 1, 1, 0, 1, 1, 0, 0, 0, 0, 0, 1, 0, 0, 0, 0, 2, 0, 2</t>
  </si>
  <si>
    <t>electrical services chevy chase md</t>
  </si>
  <si>
    <t>2, 1, 1, 0, 0, 0, 0, 0, 0, 0, 0, 0, 0, 0, 0, 0, 0, 0, 0, 0, 0, 0, 0, 1</t>
  </si>
  <si>
    <t>raleigh electrical services</t>
  </si>
  <si>
    <t>expert electrical services harford county</t>
  </si>
  <si>
    <t>commercial electrical services burlington, wa</t>
  </si>
  <si>
    <t>0, 0, 0, 0, 0, 0, 0, 3, 1, 0, 2, 0, 0, 0, 0, 0, 0, 0, 0, 0, 0, 0, 0, 1</t>
  </si>
  <si>
    <t>electrical panel installation louisville ky</t>
  </si>
  <si>
    <t>denco electrical services</t>
  </si>
  <si>
    <t>0, 0, 1, 2, 0, 1, 0, 0, 0, 0, 0, 0, 0, 0, 0, 0, 0, 0, 0, 0, 0, 0, 0, 1</t>
  </si>
  <si>
    <t>finlay electrical services</t>
  </si>
  <si>
    <t>0, 0, 1, 0, 0, 0, 1, 0, 0, 1, 0, 0, 0, 0, 0, 0, 0, 0, 0, 0, 0, 0, 0, 1</t>
  </si>
  <si>
    <t>electrical contractor longwood</t>
  </si>
  <si>
    <t>york emergency electrician</t>
  </si>
  <si>
    <t>fort erie electrical services</t>
  </si>
  <si>
    <t>electrical services castaways beach</t>
  </si>
  <si>
    <t>ripple electrical services limited</t>
  </si>
  <si>
    <t>electrical services eastbourne</t>
  </si>
  <si>
    <t>electrical contractor west palm beach</t>
  </si>
  <si>
    <t>0, 0, 0, 1, 1, 0, 1, 0, 1, 2, 1, 0, 0, 0, 0, 0, 0, 0, 0, 0, 1, 0, 0, 1</t>
  </si>
  <si>
    <t>electrical sub panel installation gulfport</t>
  </si>
  <si>
    <t>electrical contractor missoula mt</t>
  </si>
  <si>
    <t>0, 0, 0, 1, 0, 1, 0, 0, 0, 0, 0, 3, 0, 0, 0, 0, 0, 0, 0, 0, 0, 0, 0, 1</t>
  </si>
  <si>
    <t>electrical repairs apollo beach</t>
  </si>
  <si>
    <t>emergency electrician sylvania</t>
  </si>
  <si>
    <t>0, 0, 0, 0, 0, 1, 0, 0, 1, 1, 0, 0, 0, 1, 0, 1, 0, 2, 0, 0, 1, 0, 2, 1</t>
  </si>
  <si>
    <t>commercial electrical installation certificate</t>
  </si>
  <si>
    <t>austin electrical contractor</t>
  </si>
  <si>
    <t>emergency electrician framingham</t>
  </si>
  <si>
    <t>emergency electrical services ocala</t>
  </si>
  <si>
    <t>0, 0, 0, 1, 2, 0, 0, 0, 0, 0, 0, 0, 0, 0, 0, 0, 0, 0, 0, 0, 0, 0, 0, 1</t>
  </si>
  <si>
    <t>electrical switchgear services</t>
  </si>
  <si>
    <t>0, 0, 0, 1, 0, 0, 0, 1, 1, 2, 1, 0, 0, 0, 0, 0, 0, 0, 0, 0, 0, 0, 0, 1</t>
  </si>
  <si>
    <t>emergency electrician louisville</t>
  </si>
  <si>
    <t>electrical services logo</t>
  </si>
  <si>
    <t>1, 0, 5, 1, 0, 2, 0, 0, 2, 2, 1, 1, 1, 4, 0, 3, 1, 0, 0, 0, 0, 5, 0, 3</t>
  </si>
  <si>
    <t>Business services</t>
  </si>
  <si>
    <t>electrician london emergency electricians</t>
  </si>
  <si>
    <t>electrical services clayton</t>
  </si>
  <si>
    <t>electrical commercial services</t>
  </si>
  <si>
    <t>0, 1, 0, 0, 0, 0, 0, 0, 0, 0, 1, 0, 0, 0, 0, 0, 0, 0, 0, 0, 0, 1, 0, 1</t>
  </si>
  <si>
    <t>electrical contractor pembroke</t>
  </si>
  <si>
    <t>0, 0, 1, 1, 3, 1, 0, 0, 1, 1, 0, 1, 0, 0, 0, 0, 0, 0, 0, 0, 0, 0, 0, 1</t>
  </si>
  <si>
    <t>edmonton electrical contractor</t>
  </si>
  <si>
    <t>0, 0, 0, 1, 0, 0, 1, 0, 0, 0, 0, 1, 0, 0, 0, 0, 0, 0, 0, 0, 0, 0, 0, 1</t>
  </si>
  <si>
    <t>south yarra emergency electrician</t>
  </si>
  <si>
    <t>0, 0, 1, 0, 2, 0, 0, 1, 0, 0, 0, 0, 0, 0, 0, 0, 0, 0, 0, 0, 0, 0, 0, 1</t>
  </si>
  <si>
    <t>sheffield electrical services</t>
  </si>
  <si>
    <t>0, 0, 0, 1, 0, 0, 1, 0, 0, 0, 3, 0, 0, 0, 0, 0, 0, 0, 0, 0, 0, 0, 0, 1</t>
  </si>
  <si>
    <t>electrical contractor cheyenne wy</t>
  </si>
  <si>
    <t>emergency electrical repairs toronto</t>
  </si>
  <si>
    <t>installation of electrical system</t>
  </si>
  <si>
    <t>0, 1, 0, 0, 0, 2, 2, 1, 0, 4, 1, 1, 0, 0, 1, 0, 0, 0, 0, 0, 0, 0, 0, 1</t>
  </si>
  <si>
    <t>apt electrical services</t>
  </si>
  <si>
    <t>0, 0, 0, 0, 3, 0, 0, 0, 1, 1, 1, 0, 0, 0, 0, 0, 0, 0, 0, 0, 0, 0, 0, 1</t>
  </si>
  <si>
    <t>switch electrical services</t>
  </si>
  <si>
    <t>0, 0, 0, 0, 0, 0, 0, 0, 0, 0, 1, 0, 0, 0, 0, 0, 0, 0, 0, 0, 0, 0, 1, 1</t>
  </si>
  <si>
    <t>general electrical services morphett vale</t>
  </si>
  <si>
    <t>railway electrical contractor</t>
  </si>
  <si>
    <t>auto electrician near parow, cape town</t>
  </si>
  <si>
    <t>ds electrical appliances &amp; services</t>
  </si>
  <si>
    <t>0, 0, 0, 0, 0, 1, 0, 0, 0, 0, 0, 1, 1, 0, 0, 0, 0, 0, 0, 0, 0, 0, 0, 1</t>
  </si>
  <si>
    <t>emergency electrician jackson county</t>
  </si>
  <si>
    <t>carolina electrical services</t>
  </si>
  <si>
    <t>0, 0, 1, 0, 0, 0, 0, 0, 1, 0, 1, 1, 0, 0, 0, 0, 0, 0, 0, 0, 0, 0, 0, 1</t>
  </si>
  <si>
    <t>emergency electrician russell lea</t>
  </si>
  <si>
    <t>emergency electrician redfern</t>
  </si>
  <si>
    <t>emergency electrician leander</t>
  </si>
  <si>
    <t>ceiling fan electrical box installation</t>
  </si>
  <si>
    <t>alarm and electrical services</t>
  </si>
  <si>
    <t>charleston electrical contractor</t>
  </si>
  <si>
    <t>electrical services.</t>
  </si>
  <si>
    <t>commercial electrical installation in bellevue</t>
  </si>
  <si>
    <t>emergency electrician allambie heights</t>
  </si>
  <si>
    <t>electrical repairs in bellevue wa</t>
  </si>
  <si>
    <t>viking electrical services</t>
  </si>
  <si>
    <t>emergency electrician littleton co</t>
  </si>
  <si>
    <t>1, 0, 0, 0, 0, 0, 0, 1, 0, 1, 1, 0, 0, 0, 0, 0, 0, 0, 0, 0, 0, 0, 0, 1</t>
  </si>
  <si>
    <t>electrical installation certificate explained</t>
  </si>
  <si>
    <t>0, 0, 0, 1, 0, 0, 0, 1, 0, 1, 1, 0, 0, 0, 0, 1, 0, 0, 0, 0, 0, 0, 0, 1</t>
  </si>
  <si>
    <t>emergency electrician newark</t>
  </si>
  <si>
    <t>1, 1, 1, 1, 2, 0, 0, 0, 0, 1, 5, 0, 0, 0, 0, 0, 0, 0, 0, 0, 0, 0, 0, 1</t>
  </si>
  <si>
    <t>emergency electrician bronte</t>
  </si>
  <si>
    <t>0, 1, 1, 2, 0, 0, 1, 0, 0, 1, 0, 0, 0, 0, 0, 0, 0, 0, 0, 0, 0, 0, 0, 1</t>
  </si>
  <si>
    <t>padbury emergency electrician</t>
  </si>
  <si>
    <t>contractor electrical price</t>
  </si>
  <si>
    <t>0, 0, 0, 0, 0, 0, 0, 0, 0, 1, 0, 1, 0, 0, 4, 0, 0, 0, 1, 0, 0, 0, 0, 1</t>
  </si>
  <si>
    <t>electrical installation and maintenance drawing</t>
  </si>
  <si>
    <t>0, 0, 1, 0, 0, 0, 0, 0, 1, 1, 0, 0, 0, 2, 1, 0, 0, 0, 0, 1, 2, 0, 0, 2</t>
  </si>
  <si>
    <t>brisbane electrical contractor for factories</t>
  </si>
  <si>
    <t>0, 0, 0, 0, 1, 1, 0, 0, 0, 0, 0, 0, 0, 0, 0, 0, 0, 0, 0, 0, 0, 0, 0, 1</t>
  </si>
  <si>
    <t>bts electrical and mechanical services</t>
  </si>
  <si>
    <t>auto electrician bree street cape town</t>
  </si>
  <si>
    <t>electrical contractor blog</t>
  </si>
  <si>
    <t>1, 0, 0, 0, 1, 0, 0, 0, 0, 0, 0, 0, 0, 0, 0, 0, 1, 0, 0, 0, 0, 0, 0, 1</t>
  </si>
  <si>
    <t>telecommunications electrical services</t>
  </si>
  <si>
    <t>factory electrical services peterborough</t>
  </si>
  <si>
    <t>electrical contractor lakeville mn</t>
  </si>
  <si>
    <t>0, 0, 0, 0, 1, 0, 0, 1, 0, 1, 0, 1, 0, 0, 0, 0, 0, 0, 0, 0, 0, 0, 0, 1</t>
  </si>
  <si>
    <t>dallas ga electrical installation</t>
  </si>
  <si>
    <t>greens electrical services</t>
  </si>
  <si>
    <t>0, 0, 0, 0, 0, 0, 0, 0, 0, 0, 0, 0, 0, 0, 0, 4, 8, 0, 0, 0, 2, 0, 0, 1</t>
  </si>
  <si>
    <t>electrical contractor license california</t>
  </si>
  <si>
    <t>emergency electrician katy</t>
  </si>
  <si>
    <t>0, 0, 0, 1, 0, 0, 0, 0, 1, 4, 4, 7, 0, 0, 1, 0, 0, 0, 0, 0, 0, 0, 0, 1</t>
  </si>
  <si>
    <t>mandarin commercial electrical contractor near me</t>
  </si>
  <si>
    <t>0, 0, 0, 2, 0, 0, 1, 0, 0, 0, 0, 0, 0, 0, 0, 0, 0, 0, 0, 0, 0, 0, 0, 1</t>
  </si>
  <si>
    <t>electrical repair contractor d'iberville</t>
  </si>
  <si>
    <t>sample electrical contractor bid proposal</t>
  </si>
  <si>
    <t>2, 0, 0, 0, 0, 0, 0, 1, 0, 0, 0, 0, 1, 0, 0, 0, 0, 0, 0, 1, 0, 2, 0, 1</t>
  </si>
  <si>
    <t>electrical panel installation bellevue</t>
  </si>
  <si>
    <t>0, 0, 0, 0, 0, 0, 3, 0, 1, 0, 0, 0, 0, 0, 0, 0, 0, 0, 0, 0, 0, 0, 0, 1</t>
  </si>
  <si>
    <t>emergency electrical repairs available 24 hours</t>
  </si>
  <si>
    <t>0, 0, 0, 0, 0, 0, 0, 0, 0, 0, 0, 0, 0, 0, 0, 0, 0, 0, 0, 1, 4, 0, 0, 2</t>
  </si>
  <si>
    <t>electrical contractor residential</t>
  </si>
  <si>
    <t>0, 1, 0, 0, 0, 3, 1, 0, 0, 1, 1, 0, 0, 0, 0, 0, 0, 0, 0, 0, 0, 0, 0, 1</t>
  </si>
  <si>
    <t>commercial electrical services in bellevue</t>
  </si>
  <si>
    <t>0, 0, 1, 0, 1, 0, 0, 1, 0, 0, 0, 0, 0, 0, 0, 0, 0, 0, 0, 0, 0, 0, 0, 1</t>
  </si>
  <si>
    <t>electrical engineering services list</t>
  </si>
  <si>
    <t>2, 0, 0, 0, 0, 0, 1, 0, 0, 2, 0, 5, 0, 0, 0, 0, 0, 0, 0, 0, 0, 0, 0, 1</t>
  </si>
  <si>
    <t>able electrical services</t>
  </si>
  <si>
    <t>0, 2, 1, 0, 1, 0, 1, 2, 2, 3, 0, 0, 1, 4, 1, 0, 0, 0, 0, 0, 0, 0, 0, 1</t>
  </si>
  <si>
    <t>ipe electrical services</t>
  </si>
  <si>
    <t>0, 0, 0, 1, 0, 0, 0, 0, 0, 0, 0, 0, 0, 0, 0, 0, 0, 2, 0, 0, 0, 0, 0, 1</t>
  </si>
  <si>
    <t>electrical contractor norfolk</t>
  </si>
  <si>
    <t>0, 0, 0, 0, 0, 0, 0, 0, 1, 2, 0, 0, 0, 0, 0, 0, 0, 0, 0, 0, 0, 0, 0, 1</t>
  </si>
  <si>
    <t>electrical installation practice pdf</t>
  </si>
  <si>
    <t>rja electrical services</t>
  </si>
  <si>
    <t>browns electrical services</t>
  </si>
  <si>
    <t>emergency electrician fremantle</t>
  </si>
  <si>
    <t>0, 0, 0, 0, 0, 0, 0, 2, 1, 1, 0, 0, 0, 0, 0, 0, 0, 0, 0, 0, 0, 0, 0, 1</t>
  </si>
  <si>
    <t>electrical fire services</t>
  </si>
  <si>
    <t>emergency electrician richmond va</t>
  </si>
  <si>
    <t>electrical contractor milton</t>
  </si>
  <si>
    <t>0, 0, 0, 0, 0, 0, 0, 1, 2, 1, 0, 0, 0, 0, 0, 0, 0, 0, 0, 0, 0, 0, 0, 1</t>
  </si>
  <si>
    <t>electrical sub panel installation biloxi</t>
  </si>
  <si>
    <t>0, 0, 0, 0, 0, 1, 0, 1, 0, 0, 0, 0, 0, 0, 0, 0, 0, 0, 0, 0, 0, 0, 0, 1</t>
  </si>
  <si>
    <t>emergency electrician bristol</t>
  </si>
  <si>
    <t>0, 0, 0, 0, 1, 0, 1, 0, 0, 1, 2, 0, 1, 0, 0, 0, 0, 0, 0, 0, 0, 0, 0, 2</t>
  </si>
  <si>
    <t>commercial electrical services fayette county</t>
  </si>
  <si>
    <t>electrical installation regulations 1992</t>
  </si>
  <si>
    <t>electrical earthing rod installation</t>
  </si>
  <si>
    <t>0, 0, 0, 0, 0, 0, 0, 0, 0, 0, 0, 0, 0, 0, 0, 0, 0, 0, 3, 3, 1, 2, 0, 2</t>
  </si>
  <si>
    <t>sands electrical services</t>
  </si>
  <si>
    <t>electrical contractor walker</t>
  </si>
  <si>
    <t>a s electrical services</t>
  </si>
  <si>
    <t>2, 1, 3, 0, 0, 0, 0, 0, 0, 0, 0, 0, 0, 0, 0, 0, 0, 0, 0, 0, 0, 0, 0, 1</t>
  </si>
  <si>
    <t>emergency electrician shoreham</t>
  </si>
  <si>
    <t>electrical installation practice</t>
  </si>
  <si>
    <t>1, 0, 0, 0, 0, 0, 0, 0, 0, 0, 0, 0, 1, 1, 0, 0, 0, 0, 0, 0, 0, 0, 0, 1</t>
  </si>
  <si>
    <t>residential electrical services denver</t>
  </si>
  <si>
    <t>0, 0, 0, 0, 0, 0, 0, 0, 3, 1, 4, 0, 0, 0, 0, 0, 0, 0, 1, 0, 0, 0, 0, 1</t>
  </si>
  <si>
    <t>commercial electrical services naperville il</t>
  </si>
  <si>
    <t>grants electrical services</t>
  </si>
  <si>
    <t>residential electrical contractor nyc</t>
  </si>
  <si>
    <t>electrical repairs polokwane</t>
  </si>
  <si>
    <t>electrical contractor contract</t>
  </si>
  <si>
    <t>0, 0, 0, 0, 0, 0, 2, 0, 0, 0, 0, 3, 0, 0, 0, 0, 0, 1, 0, 0, 0, 0, 1, 1</t>
  </si>
  <si>
    <t>artisan electrical services</t>
  </si>
  <si>
    <t>0, 0, 0, 0, 0, 0, 0, 0, 0, 1, 3, 0, 0, 0, 1, 0, 0, 0, 0, 0, 0, 0, 0, 1</t>
  </si>
  <si>
    <t>a-z electrical services ltd</t>
  </si>
  <si>
    <t>1, 0, 0, 1, 1, 0, 0, 0, 0, 0, 0, 0, 0, 0, 0, 0, 0, 0, 0, 0, 0, 0, 0, 1</t>
  </si>
  <si>
    <t>inspection for electrical installation</t>
  </si>
  <si>
    <t>0, 0, 0, 1, 0, 0, 0, 2, 0, 1, 1, 0, 0, 1, 1, 0, 1, 0, 0, 0, 0, 0, 0, 1</t>
  </si>
  <si>
    <t>online electrical services</t>
  </si>
  <si>
    <t>catenary wire electrical installation</t>
  </si>
  <si>
    <t>5, 7, 5, 4, 1, 1, 10, 0, 2, 0, 4, 4, 2, 2, 5, 1, 0, 0, 0, 1, 0, 1, 1, 2</t>
  </si>
  <si>
    <t>types of electrical wiring installation</t>
  </si>
  <si>
    <t>electrical code compliance services</t>
  </si>
  <si>
    <t>electrical lab services</t>
  </si>
  <si>
    <t>1, 0, 0, 1, 1, 0, 0, 0, 1, 0, 0, 0, 0, 0, 0, 0, 0, 0, 0, 0, 0, 0, 0, 1</t>
  </si>
  <si>
    <t>electrical car problems repairs cape town</t>
  </si>
  <si>
    <t>emergency electrician peterborough</t>
  </si>
  <si>
    <t>0, 0, 0, 1, 1, 1, 0, 0, 0, 0, 2, 1, 0, 0, 0, 0, 0, 0, 0, 0, 0, 0, 0, 1</t>
  </si>
  <si>
    <t>page electrical services</t>
  </si>
  <si>
    <t>0, 0, 0, 0, 0, 0, 0, 0, 1, 0, 0, 0, 0, 0, 1, 0, 0, 0, 0, 0, 0, 0, 0, 1</t>
  </si>
  <si>
    <t>electrical repairs kingston</t>
  </si>
  <si>
    <t>electrical lighting contractor hudson fl</t>
  </si>
  <si>
    <t>electrical installation halifax</t>
  </si>
  <si>
    <t>1, 2, 0, 0, 1, 0, 0, 0, 1, 0, 0, 0, 0, 0, 0, 0, 0, 0, 0, 0, 0, 0, 0, 1</t>
  </si>
  <si>
    <t>emergency electrician vauxhall</t>
  </si>
  <si>
    <t>0, 1, 0, 0, 0, 0, 1, 0, 1, 2, 0, 2, 0, 0, 0, 0, 0, 0, 0, 0, 0, 0, 0, 1</t>
  </si>
  <si>
    <t>electrical services hertfordshire</t>
  </si>
  <si>
    <t>0, 0, 1, 1, 2, 1, 0, 1, 1, 1, 0, 1, 0, 2, 0, 0, 0, 0, 0, 0, 0, 0, 0, 1</t>
  </si>
  <si>
    <t>single phase electrical installation course pdf</t>
  </si>
  <si>
    <t>building services electrical engineering books</t>
  </si>
  <si>
    <t>electrical contractor fountain hills</t>
  </si>
  <si>
    <t>electrical repairs la crosse</t>
  </si>
  <si>
    <t>electrical building services jobs</t>
  </si>
  <si>
    <t>residential electrical services farmers branch tx</t>
  </si>
  <si>
    <t>emergency electrician beachburg</t>
  </si>
  <si>
    <t>0, 0, 0, 0, 1, 1, 0, 3, 0, 1, 0, 0, 0, 1, 0, 0, 0, 0, 0, 0, 0, 0, 0, 1</t>
  </si>
  <si>
    <t>emergency electrician milton keynes</t>
  </si>
  <si>
    <t>1, 0, 0, 0, 0, 2, 0, 0, 1, 2, 1, 0, 0, 0, 0, 0, 0, 0, 0, 0, 2, 0, 0, 2</t>
  </si>
  <si>
    <t>liquid solder electrical repairs</t>
  </si>
  <si>
    <t>electrical services in brakpan</t>
  </si>
  <si>
    <t>0, 0, 0, 0, 0, 0, 0, 0, 0, 0, 0, 0, 0, 0, 0, 0, 4, 2, 0, 0, 0, 0, 0, 1</t>
  </si>
  <si>
    <t>electrical services huntfield heights</t>
  </si>
  <si>
    <t>amber electrical services</t>
  </si>
  <si>
    <t>residential electrical services colleyville tx</t>
  </si>
  <si>
    <t>24/7 residential electrical services</t>
  </si>
  <si>
    <t>emergency electrician san rafael</t>
  </si>
  <si>
    <t>0, 1, 1, 0, 0, 0, 1, 1, 0, 1, 1, 0, 0, 0, 0, 0, 0, 0, 0, 0, 0, 0, 0, 1</t>
  </si>
  <si>
    <t>electrical contractor supply store</t>
  </si>
  <si>
    <t>telus electrical services pty ltd</t>
  </si>
  <si>
    <t>commercial electrical services in hopkinton</t>
  </si>
  <si>
    <t>0, 0, 0, 0, 0, 0, 0, 0, 0, 0, 0, 1, 0, 0, 0, 1, 0, 0, 1, 0, 1, 1, 0, 1</t>
  </si>
  <si>
    <t>emergency electrician five dock</t>
  </si>
  <si>
    <t>emergency electrician los angeles</t>
  </si>
  <si>
    <t>0, 0, 1, 1, 2, 3, 2, 2, 1, 1, 1, 0, 0, 0, 0, 0, 0, 0, 0, 0, 0, 0, 0, 1</t>
  </si>
  <si>
    <t>electrical services in hobart</t>
  </si>
  <si>
    <t>0, 0, 1, 0, 1, 1, 2, 1, 0, 0, 0, 0, 0, 0, 0, 0, 0, 0, 0, 0, 0, 0, 0, 1</t>
  </si>
  <si>
    <t>common home electrical repairs</t>
  </si>
  <si>
    <t>emergency electrician texas</t>
  </si>
  <si>
    <t>l &amp; g electrical services</t>
  </si>
  <si>
    <t>1, 0, 0, 0, 0, 0, 0, 0, 1, 0, 0, 0, 0, 0, 0, 0, 0, 0, 0, 0, 0, 0, 0, 1</t>
  </si>
  <si>
    <t>electrical contractor tower hamlets</t>
  </si>
  <si>
    <t>residential electrical services sydney</t>
  </si>
  <si>
    <t>0, 0, 0, 0, 0, 0, 0, 1, 2, 0, 2, 0, 0, 0, 0, 0, 0, 0, 0, 0, 0, 0, 0, 1</t>
  </si>
  <si>
    <t>emergency electrician rockingham</t>
  </si>
  <si>
    <t>1, 0, 0, 0, 0, 0, 0, 0, 1, 0, 2, 0, 0, 0, 0, 0, 0, 0, 0, 0, 0, 0, 0, 1</t>
  </si>
  <si>
    <t>electrical waste removal services</t>
  </si>
  <si>
    <t>0, 0, 0, 1, 1, 0, 0, 0, 1, 0, 1, 0, 0, 0, 0, 0, 0, 0, 0, 0, 0, 0, 0, 1</t>
  </si>
  <si>
    <t>electrical services whangarei heads</t>
  </si>
  <si>
    <t>0, 0, 2, 0, 0, 0, 0, 0, 0, 1, 1, 0, 0, 0, 0, 0, 0, 0, 0, 0, 0, 0, 0, 1</t>
  </si>
  <si>
    <t>electrical building services engineer</t>
  </si>
  <si>
    <t>0, 0, 0, 1, 0, 1, 1, 3, 1, 2, 0, 0, 0, 0, 0, 0, 0, 0, 0, 0, 0, 1, 0, 1</t>
  </si>
  <si>
    <t>electrical contractor digital marketing agency</t>
  </si>
  <si>
    <t>hanover emergency electrical repairs</t>
  </si>
  <si>
    <t>electrical services claremont</t>
  </si>
  <si>
    <t>0, 0, 0, 0, 0, 0, 0, 0, 0, 0, 0, 0, 0, 0, 24, 8, 0, 0, 0, 0, 0, 0, 0, 1</t>
  </si>
  <si>
    <t>emergency electrician northern suburbs</t>
  </si>
  <si>
    <t>0, 0, 0, 0, 0, 0, 1, 0, 1, 0, 1, 0, 0, 0, 0, 0, 0, 0, 0, 0, 0, 0, 0, 1</t>
  </si>
  <si>
    <t>emergency electrician wembley</t>
  </si>
  <si>
    <t>0, 0, 0, 0, 0, 0, 2, 0, 2, 1, 2, 2, 0, 0, 0, 0, 0, 0, 0, 0, 0, 0, 0, 1</t>
  </si>
  <si>
    <t>electrical contractor price book</t>
  </si>
  <si>
    <t>0, 3, 0, 2, 0, 0, 0, 0, 0, 1, 0, 0, 0, 0, 0, 0, 0, 0, 0, 0, 0, 0, 0, 1</t>
  </si>
  <si>
    <t>emergency electrician decatur</t>
  </si>
  <si>
    <t>electrical service and repairs</t>
  </si>
  <si>
    <t>1, 0, 0, 0, 0, 0, 1, 0, 0, 1, 0, 0, 0, 0, 0, 0, 0, 0, 0, 0, 0, 0, 0, 1</t>
  </si>
  <si>
    <t>city electrical services</t>
  </si>
  <si>
    <t>0, 0, 0, 0, 0, 1, 0, 0, 0, 0, 1, 0, 0, 0, 0, 0, 1, 0, 0, 0, 0, 0, 1, 1</t>
  </si>
  <si>
    <t>booragoon emergency electrician</t>
  </si>
  <si>
    <t>0, 0, 0, 0, 2, 0, 0, 0, 0, 1, 1, 0, 0, 1, 0, 0, 0, 0, 0, 0, 0, 0, 0, 1</t>
  </si>
  <si>
    <t>electrical services meaning</t>
  </si>
  <si>
    <t>0, 1, 1, 1, 0, 0, 2, 5, 1, 5, 2, 3, 2, 3, 3, 2, 0, 0, 1, 0, 3, 1, 0, 2</t>
  </si>
  <si>
    <t>electrical contractor in pomfret ct</t>
  </si>
  <si>
    <t>snell electrical services</t>
  </si>
  <si>
    <t>0, 0, 0, 0, 0, 0, 0, 1, 1, 1, 0, 0, 0, 0, 0, 0, 0, 0, 0, 0, 0, 0, 0, 1</t>
  </si>
  <si>
    <t>emergency electrician sacramento</t>
  </si>
  <si>
    <t>gem electrical services</t>
  </si>
  <si>
    <t>1, 0, 3, 0, 1, 0, 0, 0, 1, 0, 0, 0, 1, 0, 0, 0, 1, 0, 0, 0, 2, 1, 0, 2</t>
  </si>
  <si>
    <t>24x7 emergency electrician near me</t>
  </si>
  <si>
    <t>electrical repairs meaning</t>
  </si>
  <si>
    <t>2, 3, 2, 0, 1, 1, 0, 0, 2, 1, 0, 0, 0, 2, 2, 0, 0, 0, 0, 0, 0, 0, 0, 1</t>
  </si>
  <si>
    <t>electrical installation book 1 pdf</t>
  </si>
  <si>
    <t>electrical installation code</t>
  </si>
  <si>
    <t>0, 1, 0, 1, 0, 0, 0, 0, 1, 1, 0, 1, 1, 1, 0, 0, 0, 0, 0, 0, 0, 0, 0, 1</t>
  </si>
  <si>
    <t>knr electrical services</t>
  </si>
  <si>
    <t>electrical contractor mission</t>
  </si>
  <si>
    <t>1, 1, 0, 0, 0, 2, 0, 0, 1, 0, 0, 0, 0, 0, 0, 0, 0, 0, 0, 0, 0, 1, 0, 1</t>
  </si>
  <si>
    <t>surrey electrical services</t>
  </si>
  <si>
    <t>0, 1, 0, 0, 0, 0, 1, 0, 0, 0, 1, 0, 0, 0, 0, 0, 0, 0, 0, 0, 0, 0, 0, 1</t>
  </si>
  <si>
    <t>coupling in electrical installation</t>
  </si>
  <si>
    <t>3, 0, 0, 0, 0, 0, 0, 0, 0, 0, 0, 0, 0, 0, 0, 0, 0, 0, 0, 0, 0, 0, 0, 1</t>
  </si>
  <si>
    <t>emergency electrician byron bay</t>
  </si>
  <si>
    <t>electrical vehicle charger installation</t>
  </si>
  <si>
    <t>0, 0, 2, 0, 1, 0, 0, 1, 0, 1, 1, 0, 0, 0, 0, 0, 0, 0, 0, 0, 0, 0, 0, 1</t>
  </si>
  <si>
    <t>electrical installation technician duties</t>
  </si>
  <si>
    <t>1, 0, 0, 0, 1, 0, 0, 1, 0, 0, 1, 2, 0, 0, 0, 0, 0, 0, 0, 0, 0, 0, 0, 1</t>
  </si>
  <si>
    <t>electrical services for commercial</t>
  </si>
  <si>
    <t>0, 0, 0, 0, 2, 0, 0, 0, 1, 0, 0, 0, 0, 0, 0, 0, 0, 0, 0, 0, 0, 1, 0, 1</t>
  </si>
  <si>
    <t>mechanical and electrical services</t>
  </si>
  <si>
    <t>3, 2, 2, 0, 3, 2, 2, 4, 1, 4, 3, 4, 2, 1, 0, 0, 0, 2, 0, 1, 0, 0, 0, 1</t>
  </si>
  <si>
    <t>electrical wiring services singapore</t>
  </si>
  <si>
    <t>electrical contractor kirkcaldy</t>
  </si>
  <si>
    <t>commercial electrical services dekalb county</t>
  </si>
  <si>
    <t>emergency local electrician</t>
  </si>
  <si>
    <t>1, 0, 1, 3, 1, 0, 1, 1, 0, 0, 0, 0, 0, 0, 0, 0, 0, 0, 0, 0, 0, 0, 0, 1</t>
  </si>
  <si>
    <t>electrical service repairs</t>
  </si>
  <si>
    <t>0, 0, 0, 0, 0, 0, 0, 0, 0, 2, 5, 0, 0, 0, 0, 0, 0, 0, 0, 0, 0, 0, 0, 1</t>
  </si>
  <si>
    <t>davies and sons electrical services</t>
  </si>
  <si>
    <t>time electrical services</t>
  </si>
  <si>
    <t>1, 2, 3, 1, 3, 3, 1, 3, 4, 2, 0, 3, 1, 1, 1, 0, 3, 4, 0, 1, 1, 0, 0, 1</t>
  </si>
  <si>
    <t>electrical installation testing procedures</t>
  </si>
  <si>
    <t>0, 0, 2, 0, 1, 2, 0, 2, 0, 0, 0, 0, 0, 1, 0, 1, 0, 0, 2, 0, 0, 0, 0, 1</t>
  </si>
  <si>
    <t>emergency electrician hamilton</t>
  </si>
  <si>
    <t>electrical installation services in concord</t>
  </si>
  <si>
    <t>0, 0, 0, 0, 0, 0, 0, 0, 0, 0, 0, 0, 0, 0, 0, 0, 1, 2, 0, 0, 1, 3, 0, 2</t>
  </si>
  <si>
    <t>electrical repairs bloemfontein</t>
  </si>
  <si>
    <t>electrical repairs melbourne fl</t>
  </si>
  <si>
    <t>electrical contractor alpharetta</t>
  </si>
  <si>
    <t>0, 0, 0, 3, 0, 1, 0, 0, 0, 0, 0, 0, 0, 0, 0, 0, 0, 0, 0, 0, 0, 0, 0, 1</t>
  </si>
  <si>
    <t>greenwood electrical services</t>
  </si>
  <si>
    <t>0, 0, 0, 0, 1, 0, 0, 0, 2, 0, 0, 0, 0, 1, 0, 0, 0, 0, 0, 0, 0, 0, 0, 1</t>
  </si>
  <si>
    <t>raleigh emergency electrician</t>
  </si>
  <si>
    <t>commercial electrical installation bucks county</t>
  </si>
  <si>
    <t>emergency electrician aberdeen</t>
  </si>
  <si>
    <t>emergency electrician cheval</t>
  </si>
  <si>
    <t>electrical contractor application form</t>
  </si>
  <si>
    <t>2, 0, 0, 0, 0, 0, 0, 0, 0, 0, 0, 0, 0, 0, 0, 0, 0, 0, 0, 0, 0, 0, 0, 1</t>
  </si>
  <si>
    <t>electrical contractor north roby</t>
  </si>
  <si>
    <t>0, 0, 0, 0, 0, 1, 3, 0, 0, 0, 0, 0, 0, 0, 0, 0, 0, 0, 0, 0, 0, 0, 0, 1</t>
  </si>
  <si>
    <t>electrical outlet installation douglas county</t>
  </si>
  <si>
    <t>emergency electrical services crossville</t>
  </si>
  <si>
    <t>electrical repairs fishhawk</t>
  </si>
  <si>
    <t>government approved electrical contractor</t>
  </si>
  <si>
    <t>0, 0, 0, 0, 0, 0, 1, 2, 2, 0, 0, 0, 0, 0, 0, 0, 0, 0, 0, 0, 0, 0, 0, 1</t>
  </si>
  <si>
    <t>emergency electrician louisiana</t>
  </si>
  <si>
    <t>celtic electrical services</t>
  </si>
  <si>
    <t>0, 0, 0, 0, 0, 0, 0, 0, 0, 0, 0, 0, 0, 0, 0, 0, 0, 0, 1, 0, 1, 0, 0, 1</t>
  </si>
  <si>
    <t>electrical repairs north shore</t>
  </si>
  <si>
    <t>1, 0, 1, 0, 0, 0, 1, 2, 0, 2, 2, 0, 0, 0, 0, 0, 0, 0, 0, 0, 0, 0, 0, 1</t>
  </si>
  <si>
    <t>emergency electrician near me open now</t>
  </si>
  <si>
    <t>5, 1, 1, 4, 1, 4, 1, 2, 2, 2, 0, 1, 1, 0, 0, 5, 0, 0, 0, 0, 2, 4, 0, 1</t>
  </si>
  <si>
    <t>emergency electrician bentleigh</t>
  </si>
  <si>
    <t>0, 1, 0, 1, 2, 1, 0, 1, 2, 0, 2, 2, 0, 0, 0, 0, 0, 0, 0, 0, 0, 0, 0, 1</t>
  </si>
  <si>
    <t>electrical services elizabeth bay</t>
  </si>
  <si>
    <t>electrical installation checklist pdf</t>
  </si>
  <si>
    <t>0, 0, 0, 1, 0, 1, 0, 0, 4, 0, 2, 0, 2, 0, 0, 0, 0, 0, 0, 0, 0, 0, 0, 1</t>
  </si>
  <si>
    <t>south melbourne emergency electrician</t>
  </si>
  <si>
    <t>0, 0, 0, 3, 0, 0, 1, 0, 0, 0, 0, 0, 0, 0, 0, 0, 0, 0, 0, 0, 0, 0, 0, 1</t>
  </si>
  <si>
    <t>emergency electrician roseville</t>
  </si>
  <si>
    <t>electrical installation regulations 2013</t>
  </si>
  <si>
    <t>Services</t>
  </si>
  <si>
    <t>residential electrical services hamilton</t>
  </si>
  <si>
    <t>0, 0, 0, 0, 0, 2, 0, 1, 1, 0, 0, 0, 0, 0, 0, 0, 0, 0, 0, 0, 0, 0, 0, 1</t>
  </si>
  <si>
    <t>commercial electrical contractor houston tx</t>
  </si>
  <si>
    <t>electrical installation 18th edition</t>
  </si>
  <si>
    <t>electrical installation certificate online</t>
  </si>
  <si>
    <t>0, 0, 0, 0, 0, 0, 0, 0, 0, 0, 0, 0, 0, 0, 0, 0, 0, 0, 0, 0, 0, 2, 0, 2</t>
  </si>
  <si>
    <t>electrical engineering services company profile</t>
  </si>
  <si>
    <t>0, 0, 0, 0, 0, 1, 0, 0, 1, 0, 0, 0, 0, 0, 0, 1, 0, 0, 0, 0, 0, 0, 0, 1</t>
  </si>
  <si>
    <t>electrical repairs in oldsmar</t>
  </si>
  <si>
    <t>electrical installation edgbaston</t>
  </si>
  <si>
    <t>electrical contractor glasgow</t>
  </si>
  <si>
    <t>0, 0, 0, 1, 0, 0, 1, 0, 1, 1, 1, 1, 0, 0, 0, 0, 0, 0, 0, 0, 0, 0, 0, 1</t>
  </si>
  <si>
    <t>emergency electrician fort worth tx</t>
  </si>
  <si>
    <t>electrical wiring installation cost</t>
  </si>
  <si>
    <t>0, 1, 0, 0, 0, 0, 0, 0, 0, 0, 0, 0, 0, 0, 0, 1, 0, 0, 0, 0, 0, 0, 0, 1</t>
  </si>
  <si>
    <t>electrical contractor contract forms</t>
  </si>
  <si>
    <t>electrical services alaska</t>
  </si>
  <si>
    <t>electrical installation drawing software</t>
  </si>
  <si>
    <t>electrical installation poplarville</t>
  </si>
  <si>
    <t>0, 0, 0, 1, 0, 0, 0, 1, 0, 1, 0, 0, 0, 0, 0, 0, 0, 0, 0, 0, 0, 0, 0, 1</t>
  </si>
  <si>
    <t>king george residential electrical services</t>
  </si>
  <si>
    <t>0, 0, 1, 0, 0, 1, 0, 0, 0, 1, 0, 0, 0, 0, 0, 0, 0, 0, 0, 0, 0, 0, 0, 1</t>
  </si>
  <si>
    <t>emergency electrician sevenoaks</t>
  </si>
  <si>
    <t>0, 2, 0, 2, 0, 0, 0, 0, 0, 0, 0, 0, 0, 0, 0, 0, 0, 0, 0, 0, 0, 0, 0, 1</t>
  </si>
  <si>
    <t>mtt electrical contractor and general services</t>
  </si>
  <si>
    <t>electrical contractor townsville</t>
  </si>
  <si>
    <t>0, 0, 1, 0, 0, 0, 0, 1, 0, 3, 0, 0, 0, 0, 0, 0, 0, 0, 0, 0, 0, 0, 0, 1</t>
  </si>
  <si>
    <t>electrical renovation services</t>
  </si>
  <si>
    <t>0, 0, 0, 0, 0, 0, 1, 0, 2, 1, 0, 0, 0, 0, 0, 0, 0, 0, 0, 0, 0, 0, 0, 1</t>
  </si>
  <si>
    <t>electrical services minnesota</t>
  </si>
  <si>
    <t>0, 1, 0, 0, 0, 0, 1, 0, 0, 0, 0, 1, 0, 0, 0, 0, 0, 0, 0, 0, 0, 0, 0, 1</t>
  </si>
  <si>
    <t>electrical installation certificate software free</t>
  </si>
  <si>
    <t>emergency electrician kensington</t>
  </si>
  <si>
    <t>0, 0, 0, 1, 0, 4, 1, 2, 3, 2, 3, 0, 0, 0, 0, 0, 0, 0, 0, 0, 0, 0, 0, 1</t>
  </si>
  <si>
    <t>nb electrical services</t>
  </si>
  <si>
    <t>1, 1, 1, 0, 0, 0, 0, 0, 1, 0, 0, 0, 0, 1, 0, 0, 0, 0, 0, 0, 0, 0, 0, 1</t>
  </si>
  <si>
    <t>electrical panel installation miami county</t>
  </si>
  <si>
    <t>electrical outlet contractor</t>
  </si>
  <si>
    <t>0, 0, 0, 0, 1, 0, 0, 0, 0, 0, 2, 0, 0, 0, 0, 0, 0, 0, 0, 0, 0, 0, 0, 1</t>
  </si>
  <si>
    <t>electrical meter box installation</t>
  </si>
  <si>
    <t>3, 0, 1, 0, 0, 1, 0, 0, 0, 0, 0, 0, 0, 1, 0, 2, 2, 0, 0, 0, 0, 1, 0, 1</t>
  </si>
  <si>
    <t>jsm electrical services</t>
  </si>
  <si>
    <t>electrical wiring installation building</t>
  </si>
  <si>
    <t>0, 0, 0, 0, 0, 0, 0, 0, 0, 0, 0, 0, 0, 0, 0, 0, 0, 0, 1, 1, 1, 1, 0, 2</t>
  </si>
  <si>
    <t>emergency electrician hilton</t>
  </si>
  <si>
    <t>commercial electrical services jackson county</t>
  </si>
  <si>
    <t>enhanced electrical services</t>
  </si>
  <si>
    <t>emergency electrician camden</t>
  </si>
  <si>
    <t>0, 0, 0, 0, 0, 0, 1, 0, 0, 0, 0, 1, 0, 1, 2, 2, 3, 3, 2, 0, 1, 1, 2, 3</t>
  </si>
  <si>
    <t>zane electrical services</t>
  </si>
  <si>
    <t>0, 0, 2, 0, 0, 0, 0, 0, 0, 0, 0, 0, 0, 0, 0, 0, 0, 0, 1, 0, 0, 0, 0, 1</t>
  </si>
  <si>
    <t>sta cruz electrical contractor</t>
  </si>
  <si>
    <t>electrical engineering services nh</t>
  </si>
  <si>
    <t>industrial electrical installation pdf</t>
  </si>
  <si>
    <t>6, 5, 0, 0, 2, 1, 0, 1, 1, 1, 0, 0, 0, 0, 1, 0, 1, 0, 0, 0, 1, 0, 0, 1</t>
  </si>
  <si>
    <t>residential electrical services south dakota</t>
  </si>
  <si>
    <t>maryborough residiential electrical contractor</t>
  </si>
  <si>
    <t>electrical wiring installation in house diagram</t>
  </si>
  <si>
    <t>0, 1, 2, 1, 0, 0, 1, 2, 0, 1, 3, 0, 0, 1, 0, 0, 0, 0, 0, 0, 0, 0, 0, 1</t>
  </si>
  <si>
    <t>hastings home electrical repair services</t>
  </si>
  <si>
    <t>brett electrical services ltd</t>
  </si>
  <si>
    <t>jacksonville commercial electrical services</t>
  </si>
  <si>
    <t>temporary site electrical services</t>
  </si>
  <si>
    <t>0, 1, 0, 0, 0, 0, 1, 0, 0, 2, 0, 0, 0, 0, 0, 0, 0, 0, 0, 0, 0, 0, 0, 1</t>
  </si>
  <si>
    <t>auto electrical services pretoria</t>
  </si>
  <si>
    <t>electrical contractor new york city</t>
  </si>
  <si>
    <t>0, 1, 0, 0, 0, 2, 2, 1, 1, 1, 0, 0, 0, 0, 0, 0, 0, 0, 0, 0, 0, 0, 0, 1</t>
  </si>
  <si>
    <t>irvine electrical services</t>
  </si>
  <si>
    <t>tamala park emergency electrician</t>
  </si>
  <si>
    <t>0, 0, 0, 0, 0, 1, 1, 2, 0, 1, 2, 0, 0, 0, 0, 0, 0, 0, 0, 0, 0, 0, 0, 1</t>
  </si>
  <si>
    <t>electrical contractor crm</t>
  </si>
  <si>
    <t>1, 1, 1, 0, 1, 0, 1, 1, 1, 2, 2, 2, 0, 0, 1, 0, 0, 0, 0, 0, 0, 0, 0, 1</t>
  </si>
  <si>
    <t>electrical services in boksburg, south africa</t>
  </si>
  <si>
    <t>0, 0, 0, 0, 0, 0, 0, 0, 0, 0, 0, 0, 0, 0, 3, 2, 2, 6, 0, 0, 0, 0, 0, 1</t>
  </si>
  <si>
    <t>electrical contractor suffolk</t>
  </si>
  <si>
    <t>commercial electrical contractor london</t>
  </si>
  <si>
    <t>electrical meter box installation salt lake city</t>
  </si>
  <si>
    <t>electrical panel installation requirements</t>
  </si>
  <si>
    <t>cassiems electrical and appliance repairs</t>
  </si>
  <si>
    <t>electrical appliances services</t>
  </si>
  <si>
    <t>0, 0, 0, 0, 0, 0, 0, 0, 0, 0, 0, 0, 0, 0, 2, 0, 0, 0, 0, 0, 0, 0, 0, 1</t>
  </si>
  <si>
    <t>carmichael electrical services</t>
  </si>
  <si>
    <t>0, 0, 1, 0, 0, 0, 0, 0, 1, 0, 0, 0, 0, 0, 0, 0, 0, 0, 0, 0, 0, 0, 0, 1</t>
  </si>
  <si>
    <t>electrical installation and maintenance tools</t>
  </si>
  <si>
    <t>1, 0, 1, 1, 2, 1, 1, 1, 0, 2, 0, 5, 0, 0, 2, 0, 0, 0, 0, 2, 0, 0, 0, 1</t>
  </si>
  <si>
    <t>emergency vancouver electrician</t>
  </si>
  <si>
    <t>electrical contractor license verification</t>
  </si>
  <si>
    <t>beaumaris emergency electrician</t>
  </si>
  <si>
    <t>0, 0, 0, 0, 5, 1, 0, 0, 0, 0, 0, 0, 0, 0, 0, 0, 0, 0, 0, 0, 0, 0, 0, 1</t>
  </si>
  <si>
    <t>electrical contractor parkdale</t>
  </si>
  <si>
    <t>0, 0, 0, 0, 0, 0, 0, 1, 0, 3, 0, 1, 0, 0, 0, 0, 0, 0, 0, 0, 0, 0, 0, 1</t>
  </si>
  <si>
    <t>electrical independent contractor</t>
  </si>
  <si>
    <t>0, 1, 0, 0, 0, 0, 0, 0, 0, 0, 0, 0, 0, 1, 0, 0, 1, 0, 0, 0, 0, 0, 0, 1</t>
  </si>
  <si>
    <t>electrical contractor malvern</t>
  </si>
  <si>
    <t>rg electrical services</t>
  </si>
  <si>
    <t>0, 0, 0, 1, 0, 1, 1, 0, 0, 1, 0, 0, 0, 0, 0, 0, 0, 0, 0, 0, 0, 0, 0, 1</t>
  </si>
  <si>
    <t>portsmouth emergency electrician</t>
  </si>
  <si>
    <t>pj electrical &amp; airconditioning services</t>
  </si>
  <si>
    <t>commercial electrical contractor adelaide</t>
  </si>
  <si>
    <t>0, 0, 0, 0, 1, 0, 0, 5, 2, 0, 0, 0, 0, 0, 0, 0, 0, 0, 0, 0, 0, 0, 0, 1</t>
  </si>
  <si>
    <t>material list for electrical installation</t>
  </si>
  <si>
    <t>9, 7, 8, 20, 0, 5, 8, 4, 14, 6, 3, 9, 6, 3, 2, 1, 0, 0, 1, 0, 0, 0, 0, 1</t>
  </si>
  <si>
    <t>emergency electrician st marys</t>
  </si>
  <si>
    <t>0, 0, 0, 0, 1, 2, 1, 0, 0, 0, 1, 0, 0, 0, 0, 0, 0, 0, 0, 0, 0, 0, 0, 1</t>
  </si>
  <si>
    <t>industrial electrical installation panels</t>
  </si>
  <si>
    <t>0, 0, 0, 0, 0, 0, 0, 0, 0, 0, 0, 0, 0, 0, 0, 0, 0, 0, 0, 0, 0, 0, 0, 7</t>
  </si>
  <si>
    <t>emergency electrician fawkner</t>
  </si>
  <si>
    <t>0, 0, 0, 0, 0, 0, 1, 2, 0, 3, 0, 0, 0, 0, 0, 0, 0, 0, 0, 0, 0, 0, 0, 1</t>
  </si>
  <si>
    <t>irmo electrical services</t>
  </si>
  <si>
    <t>0, 0, 0, 0, 0, 0, 0, 0, 0, 1, 4, 2, 0, 0, 0, 0, 0, 0, 0, 0, 0, 0, 0, 1</t>
  </si>
  <si>
    <t>electrical appliance repairs &amp; parts belfast</t>
  </si>
  <si>
    <t>auto electrical &amp; diesel injection services</t>
  </si>
  <si>
    <t>electrical services raleigh</t>
  </si>
  <si>
    <t>electrical repair services amarillo tx</t>
  </si>
  <si>
    <t>0, 1, 0, 0, 3, 0, 0, 0, 0, 0, 0, 0, 0, 0, 0, 0, 0, 0, 0, 0, 0, 0, 0, 1</t>
  </si>
  <si>
    <t>south carolina electrical contractor</t>
  </si>
  <si>
    <t>commercial electrical services montgomery county</t>
  </si>
  <si>
    <t>emergency electrician south perth</t>
  </si>
  <si>
    <t>0, 0, 0, 0, 0, 1, 2, 0, 1, 2, 3, 0, 1, 0, 0, 0, 0, 0, 0, 0, 0, 0, 0, 1</t>
  </si>
  <si>
    <t>commercial electrical contractor mount airy md</t>
  </si>
  <si>
    <t>residential electrical services king george va</t>
  </si>
  <si>
    <t>0, 1, 0, 0, 1, 1, 1, 0, 0, 0, 1, 1, 0, 0, 0, 0, 0, 0, 0, 0, 0, 0, 0, 1</t>
  </si>
  <si>
    <t>electrical contractor pico rivera</t>
  </si>
  <si>
    <t>schneider electrical installation guide</t>
  </si>
  <si>
    <t>0, 0, 0, 0, 0, 0, 2, 0, 0, 0, 0, 1, 1, 0, 1, 0, 0, 1, 0, 0, 0, 0, 0, 1</t>
  </si>
  <si>
    <t>electrical services beverly ma</t>
  </si>
  <si>
    <t>electrical services brochure</t>
  </si>
  <si>
    <t>3 phase electrical contractor</t>
  </si>
  <si>
    <t>emergency electrician north west</t>
  </si>
  <si>
    <t>a &amp; b electrical services</t>
  </si>
  <si>
    <t>0, 0, 0, 0, 0, 1, 0, 0, 0, 1, 0, 0, 0, 0, 0, 0, 0, 0, 1, 0, 1, 0, 0, 1</t>
  </si>
  <si>
    <t>mh electrical services</t>
  </si>
  <si>
    <t>0, 0, 0, 0, 0, 0, 2, 0, 0, 1, 1, 0, 0, 0, 1, 0, 0, 0, 0, 1, 0, 0, 0, 1</t>
  </si>
  <si>
    <t>columbia electrical services</t>
  </si>
  <si>
    <t>electrical contractor chandler</t>
  </si>
  <si>
    <t>emergency electrician the colony tx</t>
  </si>
  <si>
    <t>residential electrical services central ohio</t>
  </si>
  <si>
    <t>0, 0, 1, 0, 0, 0, 0, 1, 0, 1, 0, 0, 0, 0, 0, 0, 0, 0, 0, 0, 0, 0, 0, 1</t>
  </si>
  <si>
    <t>tc electrical services</t>
  </si>
  <si>
    <t>0, 0, 0, 0, 0, 0, 0, 1, 0, 0, 0, 0, 0, 0, 0, 0, 0, 0, 0, 0, 0, 0, 1, 1</t>
  </si>
  <si>
    <t>electrical services for schools</t>
  </si>
  <si>
    <t>0, 0, 0, 0, 0, 0, 0, 0, 0, 0, 0, 1, 0, 0, 0, 0, 0, 0, 0, 0, 0, 2, 0, 2</t>
  </si>
  <si>
    <t>crosby electrical services ltd</t>
  </si>
  <si>
    <t>electrical contractor auburn wa</t>
  </si>
  <si>
    <t>trident electrical services</t>
  </si>
  <si>
    <t>ajw electrical services</t>
  </si>
  <si>
    <t>0, 0, 0, 0, 0, 0, 0, 0, 0, 0, 0, 0, 0, 0, 0, 0, 0, 5, 0, 0, 0, 1, 0, 1</t>
  </si>
  <si>
    <t>registration as electrical contractor</t>
  </si>
  <si>
    <t>12, 9, 8, 3, 2, 1, 1, 2, 2, 1, 0, 1, 1, 4, 7, 2, 0, 0, 0, 1, 0, 0, 0, 2</t>
  </si>
  <si>
    <t>commercial electrical services monroe county</t>
  </si>
  <si>
    <t>scarborough emergency electrician</t>
  </si>
  <si>
    <t>0, 0, 0, 0, 0, 0, 0, 0, 1, 0, 2, 1, 0, 0, 0, 0, 0, 0, 1, 0, 0, 1, 0, 1</t>
  </si>
  <si>
    <t>emergency electrician kildare</t>
  </si>
  <si>
    <t>electrical services birmingham al</t>
  </si>
  <si>
    <t>electrical services madison county</t>
  </si>
  <si>
    <t>richards electrical services</t>
  </si>
  <si>
    <t>0, 1, 4, 0, 0, 0, 1, 0, 0, 0, 1, 2, 1, 0, 0, 1, 0, 0, 0, 0, 0, 0, 0, 1</t>
  </si>
  <si>
    <t>electrical outlet installation norfolk</t>
  </si>
  <si>
    <t>0, 1, 0, 1, 0, 0, 0, 0, 1, 0, 1, 0, 0, 0, 0, 0, 0, 0, 0, 0, 0, 0, 0, 1</t>
  </si>
  <si>
    <t>electrical contracting services nebraska</t>
  </si>
  <si>
    <t>electrical services alliston</t>
  </si>
  <si>
    <t>0, 4, 2, 1, 1, 1, 0, 2, 2, 0, 1, 0, 0, 0, 0, 0, 0, 0, 0, 0, 0, 0, 0, 1</t>
  </si>
  <si>
    <t>professional electrical engineering services</t>
  </si>
  <si>
    <t>0, 0, 0, 0, 0, 0, 0, 1, 0, 0, 1, 0, 1, 0, 0, 0, 0, 0, 0, 0, 0, 0, 0, 1</t>
  </si>
  <si>
    <t>brown electrical services</t>
  </si>
  <si>
    <t>emergency electrician buxton</t>
  </si>
  <si>
    <t>electrical contractor berwick</t>
  </si>
  <si>
    <t>0, 0, 0, 0, 1, 1, 0, 0, 0, 0, 2, 0, 1, 0, 0, 0, 0, 0, 0, 0, 0, 0, 0, 1</t>
  </si>
  <si>
    <t>fund electrical contractor</t>
  </si>
  <si>
    <t>electrical contractor liverpool</t>
  </si>
  <si>
    <t>0, 0, 2, 0, 0, 0, 0, 0, 0, 1, 0, 0, 0, 0, 0, 0, 0, 0, 0, 0, 0, 0, 0, 1</t>
  </si>
  <si>
    <t>emergency commercial electrician</t>
  </si>
  <si>
    <t>0, 1, 2, 2, 2, 1, 2, 3, 2, 4, 5, 1, 1, 1, 0, 0, 0, 2, 0, 2, 0, 2, 1, 2</t>
  </si>
  <si>
    <t>origin of the electrical installation</t>
  </si>
  <si>
    <t>emergency electrician colleyville tx</t>
  </si>
  <si>
    <t>residential electrical contractor in cayman</t>
  </si>
  <si>
    <t>0, 0, 0, 3, 2, 1, 0, 2, 2, 2, 1, 0, 0, 0, 0, 0, 0, 0, 0, 0, 0, 0, 0, 1</t>
  </si>
  <si>
    <t>electrical outlet installation south dakota</t>
  </si>
  <si>
    <t>waco electrical contractor</t>
  </si>
  <si>
    <t>emergency electrician mississippi</t>
  </si>
  <si>
    <t>electrical services gastonia, nc</t>
  </si>
  <si>
    <t>electrical repairs durham nc</t>
  </si>
  <si>
    <t>emergency electrician new orleans</t>
  </si>
  <si>
    <t>emergency electrician niagara-on-the-lake</t>
  </si>
  <si>
    <t>0, 0, 0, 0, 0, 1, 2, 0, 1, 0, 0, 0, 0, 0, 0, 0, 0, 0, 0, 0, 0, 0, 0, 1</t>
  </si>
  <si>
    <t>emergency electrician east victoria park</t>
  </si>
  <si>
    <t>0, 0, 0, 0, 1, 0, 0, 1, 1, 2, 0, 0, 0, 0, 0, 0, 0, 0, 0, 0, 0, 0, 0, 1</t>
  </si>
  <si>
    <t>electrical installation test report</t>
  </si>
  <si>
    <t>smart electrical panel installation</t>
  </si>
  <si>
    <t>0, 2, 0, 0, 0, 2, 1, 1, 3, 1, 0, 2, 0, 0, 0, 0, 0, 0, 0, 0, 0, 0, 0, 1</t>
  </si>
  <si>
    <t>houston electrical contractor</t>
  </si>
  <si>
    <t>dol registration as electrical contractor</t>
  </si>
  <si>
    <t>0, 0, 0, 3, 0, 0, 0, 0, 0, 0, 0, 0, 0, 0, 0, 0, 0, 0, 7, 4, 0, 0, 0, 1</t>
  </si>
  <si>
    <t>emergency electrician arlington tx</t>
  </si>
  <si>
    <t>1, 0, 1, 0, 0, 0, 0, 0, 1, 0, 0, 0, 0, 0, 0, 0, 0, 0, 0, 0, 0, 0, 0, 1</t>
  </si>
  <si>
    <t>christies electrical services</t>
  </si>
  <si>
    <t>electrical contractor safety program</t>
  </si>
  <si>
    <t>0, 0, 0, 1, 0, 0, 0, 0, 2, 0, 0, 0, 0, 0, 0, 0, 0, 0, 0, 0, 0, 0, 0, 1</t>
  </si>
  <si>
    <t>emergency new castle county electrician</t>
  </si>
  <si>
    <t>0, 0, 1, 0, 1, 0, 0, 0, 0, 1, 2, 0, 0, 0, 0, 0, 0, 0, 0, 0, 0, 0, 0, 1</t>
  </si>
  <si>
    <t>emergency electrician parramatta</t>
  </si>
  <si>
    <t>0, 0, 0, 1, 1, 1, 0, 0, 1, 1, 0, 1, 0, 0, 0, 0, 0, 0, 0, 0, 0, 1, 0, 1</t>
  </si>
  <si>
    <t>emergency electrician sw4</t>
  </si>
  <si>
    <t>west coast electrical services</t>
  </si>
  <si>
    <t>0, 0, 0, 0, 1, 0, 0, 0, 0, 0, 0, 0, 0, 0, 0, 0, 1, 0, 0, 2, 0, 0, 0, 1</t>
  </si>
  <si>
    <t>electrical wiring services long island</t>
  </si>
  <si>
    <t>electrical installation regulations 2015</t>
  </si>
  <si>
    <t>electrical contractor cardiff</t>
  </si>
  <si>
    <t>2, 0, 2, 0, 0, 0, 0, 0, 0, 1, 0, 0, 0, 0, 0, 0, 0, 0, 0, 0, 0, 0, 0, 1</t>
  </si>
  <si>
    <t>lawley electrical services</t>
  </si>
  <si>
    <t>0, 0, 1, 0, 1, 0, 0, 1, 1, 0, 0, 0, 0, 0, 0, 0, 0, 0, 1, 0, 0, 0, 0, 1</t>
  </si>
  <si>
    <t>blu electrical services</t>
  </si>
  <si>
    <t>0, 0, 0, 0, 0, 0, 0, 0, 0, 0, 0, 0, 0, 0, 0, 2, 1, 0, 0, 0, 0, 0, 0, 1</t>
  </si>
  <si>
    <t>electrical utility services</t>
  </si>
  <si>
    <t>1, 2, 1, 2, 1, 0, 1, 2, 1, 1, 0, 0, 0, 0, 0, 0, 0, 0, 0, 0, 0, 0, 0, 1</t>
  </si>
  <si>
    <t>electrical conduit pipe installation</t>
  </si>
  <si>
    <t>0, 0, 1, 0, 2, 0, 1, 0, 0, 1, 1, 1, 4, 1, 0, 0, 1, 2, 0, 0, 1, 0, 1, 1</t>
  </si>
  <si>
    <t>residential electrical services st paul</t>
  </si>
  <si>
    <t>0, 0, 0, 0, 0, 0, 0, 1, 0, 0, 1, 1, 0, 0, 0, 0, 0, 0, 0, 0, 0, 0, 0, 1</t>
  </si>
  <si>
    <t>electrical equipment repairs and service</t>
  </si>
  <si>
    <t>retrospective electrical installation certificate</t>
  </si>
  <si>
    <t>0, 0, 0, 0, 0, 1, 1, 0, 0, 0, 0, 0, 0, 0, 0, 0, 0, 0, 1, 0, 0, 1, 0, 1</t>
  </si>
  <si>
    <t>commercial electrical services sun prairie</t>
  </si>
  <si>
    <t>strand electrical services</t>
  </si>
  <si>
    <t>1, 2, 3, 0, 0, 0, 0, 0, 0, 0, 0, 0, 0, 0, 0, 0, 0, 0, 0, 0, 0, 0, 0, 1</t>
  </si>
  <si>
    <t>residential electrical services irving</t>
  </si>
  <si>
    <t>commercial electrical services kent county</t>
  </si>
  <si>
    <t>electrical installation tutorial</t>
  </si>
  <si>
    <t>0, 0, 0, 0, 0, 0, 0, 0, 1, 0, 0, 0, 0, 0, 2, 0, 0, 0, 0, 0, 0, 0, 0, 1</t>
  </si>
  <si>
    <t>emergency electrician bowling green</t>
  </si>
  <si>
    <t>griffin electrical services</t>
  </si>
  <si>
    <t>0, 0, 0, 0, 1, 0, 0, 1, 0, 0, 0, 0, 0, 0, 0, 0, 0, 0, 0, 1, 0, 0, 0, 1</t>
  </si>
  <si>
    <t>electrical services wirral</t>
  </si>
  <si>
    <t>0, 0, 0, 0, 0, 0, 2, 1, 0, 0, 0, 0, 0, 0, 0, 0, 0, 0, 0, 0, 0, 0, 0, 1</t>
  </si>
  <si>
    <t>gridic electrical services</t>
  </si>
  <si>
    <t>0, 0, 0, 0, 1, 1, 1, 1, 0, 0, 1, 0, 0, 0, 0, 0, 0, 0, 0, 0, 0, 0, 0, 1</t>
  </si>
  <si>
    <t>risk assessment electrical installation</t>
  </si>
  <si>
    <t>emergency electrician belvedere</t>
  </si>
  <si>
    <t>0, 0, 1, 1, 4, 1, 0, 0, 1, 0, 0, 0, 0, 0, 0, 0, 0, 0, 0, 0, 0, 0, 0, 1</t>
  </si>
  <si>
    <t>electrical contractor license bond</t>
  </si>
  <si>
    <t>emergency electrician wahroonga</t>
  </si>
  <si>
    <t>electrical contractor social media marketing</t>
  </si>
  <si>
    <t>electrical services san jose</t>
  </si>
  <si>
    <t>0, 0, 0, 0, 0, 0, 0, 1, 2, 2, 1, 2, 0, 0, 0, 0, 0, 0, 0, 0, 0, 0, 0, 1</t>
  </si>
  <si>
    <t>facility electrical services</t>
  </si>
  <si>
    <t>0, 0, 0, 1, 0, 0, 2, 0, 0, 2, 3, 1, 0, 0, 0, 0, 0, 0, 0, 0, 1, 0, 0, 1</t>
  </si>
  <si>
    <t>olson electrical services</t>
  </si>
  <si>
    <t>eaton electrical services</t>
  </si>
  <si>
    <t>0, 0, 0, 1, 1, 0, 0, 0, 0, 0, 0, 0, 0, 0, 0, 0, 0, 0, 0, 0, 0, 0, 1, 1</t>
  </si>
  <si>
    <t>24 hour home electrical services san francisco ca</t>
  </si>
  <si>
    <t>1, 0, 0, 0, 0, 0, 0, 0, 0, 0, 2, 0, 0, 0, 0, 0, 0, 0, 0, 0, 0, 0, 0, 1</t>
  </si>
  <si>
    <t>emergency electrician summerstown</t>
  </si>
  <si>
    <t>solidworks electrical installation</t>
  </si>
  <si>
    <t>0, 0, 0, 0, 0, 0, 0, 0, 0, 0, 0, 2, 0, 0, 0, 0, 0, 0, 0, 0, 0, 0, 0, 1</t>
  </si>
  <si>
    <t>emergency electrician gloucester</t>
  </si>
  <si>
    <t>lake mary &amp; heathrow emergency electrician</t>
  </si>
  <si>
    <t>tim's electrical services</t>
  </si>
  <si>
    <t>0, 0, 0, 1, 0, 2, 0, 0, 0, 0, 0, 0, 0, 0, 0, 0, 0, 0, 0, 0, 0, 0, 0, 1</t>
  </si>
  <si>
    <t>emergency electrician hartlepool</t>
  </si>
  <si>
    <t>emergency electrician st kilda</t>
  </si>
  <si>
    <t>0, 1, 1, 2, 2, 2, 0, 2, 5, 0, 1, 1, 0, 0, 0, 0, 0, 0, 0, 0, 0, 0, 0, 1</t>
  </si>
  <si>
    <t>talke electrical services ltd</t>
  </si>
  <si>
    <t>electrical services greenville sc</t>
  </si>
  <si>
    <t>anthony electrical services</t>
  </si>
  <si>
    <t>1, 1, 1, 0, 0, 0, 0, 0, 0, 1, 0, 0, 1, 0, 0, 0, 0, 0, 0, 0, 0, 1, 0, 1</t>
  </si>
  <si>
    <t>electrical panel repairs</t>
  </si>
  <si>
    <t>0, 1, 0, 3, 2, 2, 1, 4, 2, 2, 4, 0, 3, 1, 0, 0, 0, 0, 0, 0, 0, 0, 0, 1</t>
  </si>
  <si>
    <t>storm electrical services</t>
  </si>
  <si>
    <t>0, 0, 0, 1, 1, 0, 2, 0, 0, 0, 0, 0, 0, 0, 0, 0, 0, 0, 0, 0, 0, 0, 0, 1</t>
  </si>
  <si>
    <t>electrical contractor st paul</t>
  </si>
  <si>
    <t>electrical contractor newton ma</t>
  </si>
  <si>
    <t>df electrical services</t>
  </si>
  <si>
    <t>0, 0, 0, 0, 1, 0, 0, 0, 0, 0, 0, 0, 0, 0, 0, 0, 0, 0, 0, 1, 0, 0, 0, 1</t>
  </si>
  <si>
    <t>emergency electrician warrington</t>
  </si>
  <si>
    <t>industrial electrical contractor anderson</t>
  </si>
  <si>
    <t>inground pool electrical installation</t>
  </si>
  <si>
    <t>emergency electrician farnham</t>
  </si>
  <si>
    <t>emergency electrician sunshine coast</t>
  </si>
  <si>
    <t>0, 2, 0, 1, 1, 0, 0, 0, 1, 5, 3, 0, 0, 0, 0, 0, 0, 0, 0, 0, 0, 0, 0, 1</t>
  </si>
  <si>
    <t>electrician emergency sydney</t>
  </si>
  <si>
    <t>0, 1, 0, 0, 1, 0, 0, 0, 0, 1, 1, 0, 0, 0, 0, 0, 0, 0, 0, 0, 0, 0, 0, 1</t>
  </si>
  <si>
    <t>govt electrical contractor</t>
  </si>
  <si>
    <t>emergency electrician mornington peninsula</t>
  </si>
  <si>
    <t>warehouse electrical installation</t>
  </si>
  <si>
    <t>0, 0, 4, 0, 0, 0, 0, 0, 2, 0, 0, 0, 0, 1, 1, 1, 0, 0, 1, 0, 0, 0, 0, 1</t>
  </si>
  <si>
    <t>electrical services san diego</t>
  </si>
  <si>
    <t>0, 0, 0, 0, 0, 0, 2, 3, 0, 1, 0, 0, 0, 0, 0, 0, 0, 0, 1, 0, 0, 0, 0, 1</t>
  </si>
  <si>
    <t>electrical contractor croydon</t>
  </si>
  <si>
    <t>cronlec electrical and security services</t>
  </si>
  <si>
    <t>andy's electrical services</t>
  </si>
  <si>
    <t>emergency electrician st george</t>
  </si>
  <si>
    <t>0, 0, 2, 0, 1, 0, 0, 0, 0, 1, 1, 0, 1, 0, 1, 1, 1, 0, 1, 0, 2, 1, 2, 1</t>
  </si>
  <si>
    <t>electrician courses part-time cape town</t>
  </si>
  <si>
    <t>electrical outlet installation cape coral</t>
  </si>
  <si>
    <t>artisan in electrical installation</t>
  </si>
  <si>
    <t>3, 0, 0, 1, 0, 1, 0, 0, 0, 0, 0, 1, 0, 0, 2, 0, 0, 1, 0, 0, 1, 0, 0, 1</t>
  </si>
  <si>
    <t>start electrical services</t>
  </si>
  <si>
    <t>b &amp; t electrical services ltd</t>
  </si>
  <si>
    <t>auto electrical services hallam</t>
  </si>
  <si>
    <t>industrial electrical services ri</t>
  </si>
  <si>
    <t>electrical repairs cairns</t>
  </si>
  <si>
    <t>emergency electrician rutherford</t>
  </si>
  <si>
    <t>electrical installation wire</t>
  </si>
  <si>
    <t>guntersville electrical services</t>
  </si>
  <si>
    <t>electrical auto repairs</t>
  </si>
  <si>
    <t>0, 0, 1, 1, 0, 1, 0, 0, 0, 0, 1, 1, 0, 0, 0, 0, 0, 0, 0, 0, 0, 0, 0, 1</t>
  </si>
  <si>
    <t>emergency electrician nashville</t>
  </si>
  <si>
    <t>corbin electrical services reviews</t>
  </si>
  <si>
    <t>foster electrical services</t>
  </si>
  <si>
    <t>pool pump electrical installation</t>
  </si>
  <si>
    <t>0, 0, 0, 0, 0, 1, 0, 0, 0, 0, 0, 0, 0, 0, 2, 1, 0, 1, 0, 1, 0, 0, 0, 1</t>
  </si>
  <si>
    <t>electrical services bideford</t>
  </si>
  <si>
    <t>electrical services near me cecil county</t>
  </si>
  <si>
    <t>electrical installation colchester</t>
  </si>
  <si>
    <t>0, 0, 0, 0, 0, 0, 0, 0, 0, 1, 2, 0, 0, 0, 0, 0, 0, 0, 0, 0, 0, 0, 0, 1</t>
  </si>
  <si>
    <t>minor electrical installation works certificate</t>
  </si>
  <si>
    <t>3, 2, 0, 0, 0, 0, 0, 0, 1, 0, 0, 0, 0, 0, 1, 0, 1, 0, 1, 0, 0, 0, 0, 1</t>
  </si>
  <si>
    <t>mini split electrical installation</t>
  </si>
  <si>
    <t>electrical services logos</t>
  </si>
  <si>
    <t>trent electrical services</t>
  </si>
  <si>
    <t>earthing points in electrical installation</t>
  </si>
  <si>
    <t>0, 0, 0, 0, 0, 0, 0, 1, 0, 0, 0, 0, 0, 2, 0, 0, 0, 0, 0, 0, 0, 0, 0, 1</t>
  </si>
  <si>
    <t>electrical sub panel installation near me</t>
  </si>
  <si>
    <t>pool and spa electrical installation</t>
  </si>
  <si>
    <t>0, 0, 0, 0, 1, 0, 1, 3, 0, 3, 3, 0, 0, 0, 0, 0, 0, 0, 0, 0, 0, 0, 0, 1</t>
  </si>
  <si>
    <t>electrical contractor business scripps ranch</t>
  </si>
  <si>
    <t>trev's auto electrical services</t>
  </si>
  <si>
    <t>0, 0, 0, 1, 2, 2, 1, 0, 0, 0, 0, 0, 0, 0, 0, 0, 0, 0, 0, 0, 0, 0, 0, 1</t>
  </si>
  <si>
    <t>electrical services sunshine beach</t>
  </si>
  <si>
    <t>electrical installation standards pdf</t>
  </si>
  <si>
    <t>0, 2, 1, 1, 1, 0, 5, 3, 0, 2, 4, 0, 1, 1, 2, 0, 0, 0, 0, 0, 0, 0, 0, 1</t>
  </si>
  <si>
    <t>spark electrical services</t>
  </si>
  <si>
    <t>0, 0, 1, 0, 0, 0, 0, 1, 0, 0, 0, 0, 0, 1, 0, 0, 0, 0, 0, 0, 0, 0, 0, 1</t>
  </si>
  <si>
    <t>omni instrumentation &amp; electrical services inc</t>
  </si>
  <si>
    <t>electrical installation course level 2</t>
  </si>
  <si>
    <t>a a electrical services</t>
  </si>
  <si>
    <t>0, 0, 0, 0, 0, 0, 0, 0, 0, 0, 0, 0, 0, 6, 0, 0, 0, 0, 0, 0, 0, 0, 0, 1</t>
  </si>
  <si>
    <t>electrical contractor dickinson tx</t>
  </si>
  <si>
    <t>emergency electrical services easley</t>
  </si>
  <si>
    <t>happy auto electrician and diagnosis cape town</t>
  </si>
  <si>
    <t>3, 1, 3, 8, 6, 3, 1, 0, 0, 0, 0, 0, 0, 0, 0, 0, 0, 0, 0, 0, 0, 0, 0, 1</t>
  </si>
  <si>
    <t>commercial electrical services honolulu</t>
  </si>
  <si>
    <t>emergency electrician robina</t>
  </si>
  <si>
    <t>0, 0, 0, 0, 0, 1, 0, 1, 0, 1, 0, 0, 0, 0, 0, 0, 0, 0, 0, 0, 0, 0, 0, 1</t>
  </si>
  <si>
    <t>testing an electrical installation</t>
  </si>
  <si>
    <t>0, 0, 0, 0, 0, 0, 0, 0, 0, 0, 0, 2, 0, 2, 1, 0, 0, 0, 1, 0, 0, 1, 0, 1</t>
  </si>
  <si>
    <t>oak hall emergency electrician</t>
  </si>
  <si>
    <t>quality electrical services</t>
  </si>
  <si>
    <t>0, 0, 0, 0, 0, 1, 0, 0, 2, 1, 0, 0, 0, 0, 0, 0, 2, 1, 1, 0, 0, 0, 0, 1</t>
  </si>
  <si>
    <t>electrical contractor edina</t>
  </si>
  <si>
    <t>electrical contractor fort smith ar</t>
  </si>
  <si>
    <t>electrical contractor insurance california</t>
  </si>
  <si>
    <t>electrical thermal imaging services</t>
  </si>
  <si>
    <t>1, 0, 3, 0, 0, 3, 1, 3, 1, 3, 1, 0, 0, 0, 0, 0, 0, 0, 0, 0, 0, 0, 0, 1</t>
  </si>
  <si>
    <t>electrical installation work brian scaddan</t>
  </si>
  <si>
    <t>0, 0, 0, 0, 0, 0, 0, 0, 0, 0, 0, 0, 0, 0, 0, 0, 1, 0, 1, 0, 0, 2, 0, 1</t>
  </si>
  <si>
    <t>weston electrical services</t>
  </si>
  <si>
    <t>emergency electrician caringbah</t>
  </si>
  <si>
    <t>0, 0, 0, 0, 1, 0, 0, 0, 0, 2, 1, 1, 0, 0, 2, 3, 2, 2, 0, 1, 0, 0, 0, 1</t>
  </si>
  <si>
    <t>richmond va electrical contractor</t>
  </si>
  <si>
    <t>electrical services dandenong</t>
  </si>
  <si>
    <t>0, 0, 0, 0, 1, 1, 0, 0, 1, 0, 0, 0, 0, 0, 0, 0, 0, 0, 0, 0, 0, 0, 0, 1</t>
  </si>
  <si>
    <t>electrical wiring contractor norcross</t>
  </si>
  <si>
    <t>electrical contractor cincinnati oh</t>
  </si>
  <si>
    <t>1, 0, 0, 0, 0, 0, 0, 0, 1, 0, 0, 0, 0, 1, 0, 0, 0, 0, 0, 0, 0, 0, 0, 1</t>
  </si>
  <si>
    <t>gympie electrical contractor</t>
  </si>
  <si>
    <t>emergency electrician melbourne vic</t>
  </si>
  <si>
    <t>0, 0, 0, 0, 0, 0, 0, 3, 0, 0, 0, 0, 0, 0, 0, 0, 0, 0, 0, 0, 0, 0, 0, 1</t>
  </si>
  <si>
    <t>electrical installation rules question paper</t>
  </si>
  <si>
    <t>home electrical repairs tricks</t>
  </si>
  <si>
    <t>mcdonald electrical services</t>
  </si>
  <si>
    <t>0, 0, 1, 2, 0, 0, 0, 0, 0, 0, 0, 1, 0, 0, 0, 0, 0, 0, 0, 0, 0, 0, 0, 1</t>
  </si>
  <si>
    <t>emergency electrician blacktown</t>
  </si>
  <si>
    <t>0, 0, 0, 1, 1, 0, 0, 0, 0, 1, 0, 0, 0, 0, 0, 0, 0, 0, 0, 0, 0, 0, 0, 1</t>
  </si>
  <si>
    <t>cardup emergency electrician</t>
  </si>
  <si>
    <t>0, 0, 0, 0, 0, 0, 0, 0, 0, 3, 1, 0, 1, 0, 0, 0, 0, 0, 0, 0, 0, 0, 0, 1</t>
  </si>
  <si>
    <t>commercial electrical maintenance services</t>
  </si>
  <si>
    <t>1, 1, 0, 0, 0, 0, 0, 0, 0, 0, 1, 0, 0, 0, 0, 0, 0, 0, 0, 1, 0, 1, 0, 1</t>
  </si>
  <si>
    <t>jt electrical services</t>
  </si>
  <si>
    <t>electrical contractor tonbridge</t>
  </si>
  <si>
    <t>electrical reliability services</t>
  </si>
  <si>
    <t>electrical services marion sc</t>
  </si>
  <si>
    <t>0, 1, 0, 0, 0, 0, 0, 0, 0, 3, 4, 0, 0, 0, 0, 0, 0, 0, 0, 0, 0, 0, 0, 1</t>
  </si>
  <si>
    <t>electrical contractor toowoomba</t>
  </si>
  <si>
    <t>1, 0, 0, 0, 0, 0, 0, 1, 0, 1, 2, 0, 0, 0, 0, 0, 0, 0, 0, 0, 0, 0, 0, 1</t>
  </si>
  <si>
    <t>pawleys island electrical services</t>
  </si>
  <si>
    <t>0, 0, 1, 1, 0, 2, 0, 0, 0, 0, 1, 1, 0, 0, 0, 0, 0, 0, 0, 0, 0, 0, 0, 1</t>
  </si>
  <si>
    <t>general electrical contractor atlanta ga</t>
  </si>
  <si>
    <t>sequence of testing electrical installation</t>
  </si>
  <si>
    <t>0, 0, 0, 1, 0, 0, 0, 0, 4, 0, 0, 0, 0, 0, 0, 0, 0, 0, 0, 0, 0, 0, 0, 1</t>
  </si>
  <si>
    <t>reliable power systems and electrical services</t>
  </si>
  <si>
    <t>consultancy services for electrical projects</t>
  </si>
  <si>
    <t>electrical repairs maungatapere</t>
  </si>
  <si>
    <t>0, 0, 0, 0, 0, 0, 0, 0, 0, 2, 1, 0, 0, 0, 1, 0, 0, 0, 0, 0, 0, 0, 0, 1</t>
  </si>
  <si>
    <t>electrical services in pretoria, south africa</t>
  </si>
  <si>
    <t>0, 0, 0, 0, 0, 0, 0, 0, 0, 0, 0, 0, 0, 0, 0, 0, 4, 0, 5, 0, 0, 0, 0, 1</t>
  </si>
  <si>
    <t>commercial electrical services new york city ny</t>
  </si>
  <si>
    <t>emergency electrician acton</t>
  </si>
  <si>
    <t>0, 0, 0, 0, 0, 1, 2, 0, 0, 0, 0, 1, 0, 0, 0, 0, 0, 0, 0, 0, 0, 0, 0, 1</t>
  </si>
  <si>
    <t>electrical repairs southport</t>
  </si>
  <si>
    <t>0, 0, 0, 0, 0, 0, 0, 0, 0, 0, 3, 4, 0, 0, 0, 0, 0, 0, 0, 0, 0, 0, 0, 1</t>
  </si>
  <si>
    <t>electrical installation regulations, 2009 pdf</t>
  </si>
  <si>
    <t>0, 1, 0, 1, 3, 2, 3, 4, 14, 1, 0, 0, 0, 0, 0, 0, 0, 0, 0, 3, 1, 0, 0, 1</t>
  </si>
  <si>
    <t>domestic electrical repairs north london</t>
  </si>
  <si>
    <t>electrical installation howell mi</t>
  </si>
  <si>
    <t>kman electrical installation and distribution</t>
  </si>
  <si>
    <t>best electrical repair services in kolkata</t>
  </si>
  <si>
    <t>jk electrical services</t>
  </si>
  <si>
    <t>barlow electrical services</t>
  </si>
  <si>
    <t>tm electrical services</t>
  </si>
  <si>
    <t>0, 0, 0, 1, 0, 0, 0, 1, 2, 0, 0, 0, 0, 8, 1, 1, 1, 2, 1, 10, 2, 1, 4, 1</t>
  </si>
  <si>
    <t>material used in electrical installation</t>
  </si>
  <si>
    <t>0, 1, 0, 0, 0, 0, 0, 0, 0, 1, 0, 0, 0, 1, 0, 0, 0, 0, 0, 0, 0, 0, 0, 1</t>
  </si>
  <si>
    <t>restaurant electrical services</t>
  </si>
  <si>
    <t>0, 0, 0, 0, 0, 0, 0, 0, 2, 0, 3, 0, 0, 0, 0, 0, 0, 0, 0, 0, 0, 0, 0, 1</t>
  </si>
  <si>
    <t>electrical services sudbury</t>
  </si>
  <si>
    <t>electrician parklands cape town</t>
  </si>
  <si>
    <t>alans electrical services</t>
  </si>
  <si>
    <t>0, 0, 0, 0, 0, 1, 0, 0, 0, 0, 0, 0, 0, 0, 0, 0, 0, 0, 1, 0, 0, 0, 0, 1</t>
  </si>
  <si>
    <t>electrical outlet and switch installation</t>
  </si>
  <si>
    <t>0, 0, 0, 0, 0, 0, 0, 0, 0, 0, 1, 0, 0, 1, 0, 0, 0, 0, 2, 0, 0, 0, 0, 1</t>
  </si>
  <si>
    <t>hauer power electrical services</t>
  </si>
  <si>
    <t>0, 0, 0, 0, 0, 0, 0, 0, 0, 0, 1, 0, 0, 1, 2, 0, 1, 0, 0, 0, 0, 0, 0, 1</t>
  </si>
  <si>
    <t>electrical contractor online marketing</t>
  </si>
  <si>
    <t>nelson electrical services</t>
  </si>
  <si>
    <t>0, 0, 0, 0, 0, 1, 0, 0, 0, 0, 0, 0, 0, 0, 0, 1, 0, 0, 0, 0, 0, 0, 0, 1</t>
  </si>
  <si>
    <t>causes of fire in electrical installation</t>
  </si>
  <si>
    <t>2, 0, 0, 0, 0, 0, 0, 0, 0, 1, 0, 1, 1, 0, 0, 0, 0, 0, 0, 0, 0, 0, 0, 1</t>
  </si>
  <si>
    <t>brighton emergency electrician</t>
  </si>
  <si>
    <t>electrical contractor crowborough</t>
  </si>
  <si>
    <t>commercial electrical services colchester</t>
  </si>
  <si>
    <t>0, 0, 0, 0, 2, 0, 0, 0, 1, 0, 1, 0, 0, 0, 0, 0, 0, 0, 0, 0, 0, 0, 0, 1</t>
  </si>
  <si>
    <t>electrical solar installation</t>
  </si>
  <si>
    <t>0, 0, 0, 0, 0, 0, 0, 1, 1, 0, 1, 0, 0, 4, 2, 0, 2, 3, 3, 2, 0, 2, 1, 2</t>
  </si>
  <si>
    <t>ra electrical services</t>
  </si>
  <si>
    <t>emergency electrician fitzroy</t>
  </si>
  <si>
    <t>0, 0, 0, 0, 0, 1, 1, 1, 0, 1, 0, 0, 0, 0, 0, 0, 0, 0, 0, 0, 0, 0, 0, 1</t>
  </si>
  <si>
    <t>emergency electrician leeds</t>
  </si>
  <si>
    <t>0, 0, 0, 0, 0, 0, 0, 0, 3, 0, 3, 0, 1, 0, 0, 0, 0, 0, 0, 0, 0, 1, 0, 1</t>
  </si>
  <si>
    <t>columbia emergency electrician</t>
  </si>
  <si>
    <t>electrical repairs cambridge</t>
  </si>
  <si>
    <t>wc electrical services</t>
  </si>
  <si>
    <t>jab electrical services</t>
  </si>
  <si>
    <t>5, 1, 2, 2, 0, 1, 0, 0, 0, 0, 0, 0, 0, 0, 0, 0, 0, 0, 0, 0, 0, 0, 0, 1</t>
  </si>
  <si>
    <t>emergency electrician rydalmere</t>
  </si>
  <si>
    <t>emergency electrician wellington point</t>
  </si>
  <si>
    <t>residential electrical installation sutton wv</t>
  </si>
  <si>
    <t>electrical installation lumberton</t>
  </si>
  <si>
    <t>0, 0, 0, 0, 0, 2, 1, 0, 0, 0, 0, 0, 0, 0, 0, 0, 0, 0, 0, 0, 0, 0, 0, 1</t>
  </si>
  <si>
    <t>level 2 electrical contractor sydney</t>
  </si>
  <si>
    <t>electrical contractor description</t>
  </si>
  <si>
    <t>8, 2, 3, 1, 1, 1, 1, 1, 2, 0, 0, 0, 0, 1, 0, 1, 3, 0, 1, 0, 0, 1, 0, 1</t>
  </si>
  <si>
    <t>electrical services seattle, wa</t>
  </si>
  <si>
    <t>0, 0, 0, 0, 0, 0, 0, 0, 1, 1, 0, 1, 0, 2, 1, 0, 0, 0, 0, 0, 0, 0, 0, 1</t>
  </si>
  <si>
    <t>electrical services noble park</t>
  </si>
  <si>
    <t>energise electrical services</t>
  </si>
  <si>
    <t>0, 0, 1, 0, 2, 0, 0, 0, 0, 0, 0, 0, 0, 1, 0, 0, 0, 0, 0, 0, 0, 0, 0, 1</t>
  </si>
  <si>
    <t>jl electrical services</t>
  </si>
  <si>
    <t>1, 0, 0, 0, 0, 0, 0, 0, 0, 1, 0, 0, 0, 0, 0, 0, 1, 1, 1, 0, 0, 0, 0, 1</t>
  </si>
  <si>
    <t>electrical installation regulations 2019 pdf</t>
  </si>
  <si>
    <t>westminster emergency electrician</t>
  </si>
  <si>
    <t>0, 0, 0, 1, 1, 0, 0, 1, 0, 0, 3, 0, 0, 0, 0, 0, 0, 0, 0, 0, 0, 0, 0, 1</t>
  </si>
  <si>
    <t>kes electrical services</t>
  </si>
  <si>
    <t>pump and electrical services</t>
  </si>
  <si>
    <t>0, 2, 2, 1, 1, 0, 0, 0, 1, 0, 0, 1, 0, 0, 0, 0, 0, 0, 0, 0, 0, 1, 0, 1</t>
  </si>
  <si>
    <t>electrical outlet installation montgomery county</t>
  </si>
  <si>
    <t>emergency electrician elizabeth bay</t>
  </si>
  <si>
    <t>emergency electrician attadale</t>
  </si>
  <si>
    <t>0, 0, 0, 0, 0, 1, 0, 1, 1, 0, 1, 0, 0, 0, 0, 0, 0, 0, 0, 0, 0, 0, 0, 1</t>
  </si>
  <si>
    <t>cincinnati emergency electrician</t>
  </si>
  <si>
    <t>electrical and mechanical services</t>
  </si>
  <si>
    <t>3, 0, 1, 0, 0, 0, 1, 1, 0, 2, 4, 0, 0, 0, 1, 0, 0, 3, 1, 1, 2, 0, 1, 2</t>
  </si>
  <si>
    <t>electrical services twin falls id</t>
  </si>
  <si>
    <t>electrical services for letting agents london</t>
  </si>
  <si>
    <t>electrical wiring contractor latimer</t>
  </si>
  <si>
    <t>0, 0, 0, 0, 0, 0, 1, 1, 0, 1, 0, 0, 0, 0, 0, 0, 0, 0, 0, 0, 0, 0, 0, 1</t>
  </si>
  <si>
    <t>commercial electrical contractor ct near me</t>
  </si>
  <si>
    <t>denver emergency electrician</t>
  </si>
  <si>
    <t>electrical schematic installation diagram</t>
  </si>
  <si>
    <t>electrical repairs winter garden</t>
  </si>
  <si>
    <t>electrical installation industry</t>
  </si>
  <si>
    <t>0, 1, 2, 0, 0, 1, 0, 2, 0, 2, 1, 1, 0, 0, 0, 0, 0, 0, 0, 0, 0, 0, 0, 1</t>
  </si>
  <si>
    <t>emergency electrician michigan</t>
  </si>
  <si>
    <t>electrical service drop installation</t>
  </si>
  <si>
    <t>electrical services warrington</t>
  </si>
  <si>
    <t>0, 0, 0, 0, 0, 1, 0, 0, 1, 1, 0, 1, 0, 0, 0, 0, 0, 0, 0, 0, 0, 0, 0, 1</t>
  </si>
  <si>
    <t>ducting in electrical installation</t>
  </si>
  <si>
    <t>1, 2, 0, 4, 0, 0, 4, 0, 2, 0, 0, 3, 0, 0, 0, 0, 0, 0, 0, 0, 0, 0, 0, 1</t>
  </si>
  <si>
    <t>mjp electrical services ltd</t>
  </si>
  <si>
    <t>installation of electrical equipment</t>
  </si>
  <si>
    <t>0, 0, 2, 1, 2, 0, 2, 1, 1, 0, 0, 1, 1, 1, 1, 0, 0, 0, 0, 2, 2, 0, 0, 2</t>
  </si>
  <si>
    <t>nashville electrical services</t>
  </si>
  <si>
    <t>emergency electrician welwyn</t>
  </si>
  <si>
    <t>tauranga electrical services</t>
  </si>
  <si>
    <t>0, 1, 1, 0, 0, 0, 0, 1, 0, 0, 1, 0, 0, 0, 0, 0, 0, 0, 0, 0, 0, 0, 0, 1</t>
  </si>
  <si>
    <t>hma electrical services</t>
  </si>
  <si>
    <t>electrical installation perth</t>
  </si>
  <si>
    <t>0, 1, 0, 1, 0, 0, 0, 0, 0, 1, 1, 0, 0, 0, 0, 0, 0, 0, 0, 0, 0, 0, 0, 1</t>
  </si>
  <si>
    <t>emergency electrician concord</t>
  </si>
  <si>
    <t>0, 0, 1, 0, 0, 0, 0, 1, 1, 0, 0, 2, 0, 0, 0, 0, 0, 0, 0, 0, 0, 0, 0, 1</t>
  </si>
  <si>
    <t>electrical contractor swms</t>
  </si>
  <si>
    <t>electrical tagging services</t>
  </si>
  <si>
    <t>electrical contractor stouffville</t>
  </si>
  <si>
    <t>0, 0, 1, 0, 0, 1, 0, 1, 1, 0, 2, 0, 0, 0, 0, 0, 0, 0, 0, 0, 0, 0, 0, 1</t>
  </si>
  <si>
    <t>electrical contractor santa monica</t>
  </si>
  <si>
    <t>0, 0, 0, 1, 0, 0, 0, 3, 0, 1, 0, 0, 0, 0, 0, 0, 0, 0, 0, 0, 0, 0, 0, 1</t>
  </si>
  <si>
    <t>installation of electrical panel</t>
  </si>
  <si>
    <t>0, 0, 0, 0, 0, 0, 0, 1, 1, 0, 2, 1, 0, 0, 0, 0, 0, 0, 0, 2, 1, 1, 0, 2</t>
  </si>
  <si>
    <t>electrical contractor working</t>
  </si>
  <si>
    <t>0, 0, 0, 0, 0, 0, 0, 0, 0, 0, 0, 0, 0, 0, 0, 0, 0, 0, 0, 0, 0, 0, 3, 2</t>
  </si>
  <si>
    <t>cn electrical services</t>
  </si>
  <si>
    <t>0, 0, 0, 0, 2, 0, 0, 0, 0, 0, 0, 0, 0, 0, 0, 0, 0, 0, 0, 0, 1, 1, 0, 2</t>
  </si>
  <si>
    <t>plugged in electrical services</t>
  </si>
  <si>
    <t>0, 0, 0, 0, 0, 0, 0, 0, 0, 0, 1, 0, 0, 1, 0, 0, 0, 0, 0, 0, 0, 0, 0, 1</t>
  </si>
  <si>
    <t>electrical installation guide 2020 pdf</t>
  </si>
  <si>
    <t>emergency electrician aurora</t>
  </si>
  <si>
    <t>electrical meter installation dallas</t>
  </si>
  <si>
    <t>business electrical installation colchester</t>
  </si>
  <si>
    <t>electrical &amp; pump services ltd</t>
  </si>
  <si>
    <t>0, 1, 3, 0, 0, 0, 0, 0, 1, 1, 0, 0, 0, 0, 0, 0, 0, 3, 0, 0, 0, 0, 0, 1</t>
  </si>
  <si>
    <t>emergency electrician koo wee rup</t>
  </si>
  <si>
    <t>elizabethtown electrical services</t>
  </si>
  <si>
    <t>swimming pool electrical installation cost</t>
  </si>
  <si>
    <t>0, 1, 0, 0, 1, 1, 0, 1, 0, 0, 0, 0, 0, 0, 0, 0, 0, 0, 0, 0, 0, 0, 0, 1</t>
  </si>
  <si>
    <t>electrical contractor work</t>
  </si>
  <si>
    <t>1, 2, 0, 0, 1, 5, 4, 5, 4, 1, 0, 4, 2, 3, 2, 1, 1, 0, 1, 0, 0, 0, 0, 1</t>
  </si>
  <si>
    <t>deer park home electrical repair services</t>
  </si>
  <si>
    <t>commercial electrical services mount vernon, wa</t>
  </si>
  <si>
    <t>0, 0, 0, 0, 0, 0, 0, 0, 3, 0, 0, 1, 0, 1, 0, 1, 0, 0, 0, 0, 0, 0, 0, 1</t>
  </si>
  <si>
    <t>electrical contractor bideford</t>
  </si>
  <si>
    <t>cer electrical services</t>
  </si>
  <si>
    <t>4, 0, 0, 0, 0, 0, 0, 0, 0, 0, 0, 0, 0, 0, 0, 0, 0, 0, 0, 1, 0, 0, 0, 1</t>
  </si>
  <si>
    <t>emergency electrician monaghan</t>
  </si>
  <si>
    <t>electrical installation birmingham</t>
  </si>
  <si>
    <t>0, 0, 0, 3, 0, 0, 0, 1, 3, 0, 0, 0, 1, 0, 0, 0, 0, 0, 0, 0, 0, 0, 0, 1</t>
  </si>
  <si>
    <t>electrical contractor seo services</t>
  </si>
  <si>
    <t>0, 0, 0, 0, 0, 0, 2, 1, 1, 0, 1, 1, 0, 0, 0, 0, 0, 0, 0, 0, 0, 0, 0, 1</t>
  </si>
  <si>
    <t>electrical contractor plymouth</t>
  </si>
  <si>
    <t>1, 0, 0, 0, 1, 0, 4, 2, 2, 3, 2, 0, 0, 0, 0, 0, 0, 0, 0, 0, 0, 0, 0, 1</t>
  </si>
  <si>
    <t>historical building electrical contractor essex</t>
  </si>
  <si>
    <t>electrical handyman services brantford</t>
  </si>
  <si>
    <t>electrical panel installation franklin</t>
  </si>
  <si>
    <t>0, 2, 0, 1, 0, 1, 1, 0, 0, 0, 0, 0, 0, 0, 0, 0, 0, 0, 0, 0, 0, 0, 0, 1</t>
  </si>
  <si>
    <t>professional electrical contractor</t>
  </si>
  <si>
    <t>1, 2, 1, 1, 1, 1, 0, 2, 0, 3, 1, 0, 0, 0, 0, 0, 0, 1, 0, 0, 0, 0, 0, 1</t>
  </si>
  <si>
    <t>electrical services story city ia</t>
  </si>
  <si>
    <t>vics auto electrical &amp; repairs</t>
  </si>
  <si>
    <t>0, 0, 0, 0, 0, 19, 11, 22, 16, 5, 0, 0, 0, 0, 10, 5, 28, 8, 0, 0, 0, 0, 0, 1</t>
  </si>
  <si>
    <t>electrical maintenance services perth</t>
  </si>
  <si>
    <t>electrical services roswell</t>
  </si>
  <si>
    <t>electrical services in worcester</t>
  </si>
  <si>
    <t>0, 0, 0, 0, 0, 0, 0, 0, 0, 0, 0, 0, 0, 0, 2, 4, 4, 4, 1, 0, 0, 0, 0, 1</t>
  </si>
  <si>
    <t>emergency electrician burwood</t>
  </si>
  <si>
    <t>0, 1, 1, 0, 0, 2, 1, 1, 0, 1, 0, 0, 0, 0, 0, 0, 0, 0, 0, 0, 0, 0, 0, 1</t>
  </si>
  <si>
    <t>electrical repairs port stephens</t>
  </si>
  <si>
    <t>0, 0, 0, 0, 0, 2, 0, 1, 0, 0, 0, 0, 0, 0, 0, 0, 0, 0, 0, 0, 0, 0, 0, 1</t>
  </si>
  <si>
    <t>nrg electrical services</t>
  </si>
  <si>
    <t>0, 0, 0, 0, 0, 0, 0, 0, 0, 0, 0, 0, 0, 0, 0, 0, 1, 0, 0, 0, 1, 0, 0, 2</t>
  </si>
  <si>
    <t>electrical installation pay</t>
  </si>
  <si>
    <t>standby electrical services</t>
  </si>
  <si>
    <t>electrical panel upgrading services</t>
  </si>
  <si>
    <t>commercial electrical services north coast</t>
  </si>
  <si>
    <t>greenville electrical services</t>
  </si>
  <si>
    <t>0, 0, 0, 0, 0, 0, 1, 0, 1, 0, 0, 0, 0, 0, 0, 0, 3, 0, 0, 0, 0, 0, 0, 1</t>
  </si>
  <si>
    <t>bentleigh electrical repairs</t>
  </si>
  <si>
    <t>electrical installation guide 2018 pdf</t>
  </si>
  <si>
    <t>level 6 electrical installation</t>
  </si>
  <si>
    <t>0, 0, 0, 0, 0, 0, 0, 0, 0, 0, 0, 0, 1, 0, 0, 0, 0, 0, 0, 0, 0, 1, 0, 1</t>
  </si>
  <si>
    <t>electrical installation methods</t>
  </si>
  <si>
    <t>0, 0, 0, 0, 0, 0, 0, 0, 2, 0, 0, 2, 1, 0, 2, 0, 0, 0, 0, 0, 1, 0, 0, 1</t>
  </si>
  <si>
    <t>electrical installation business</t>
  </si>
  <si>
    <t>0, 0, 0, 0, 0, 0, 0, 0, 0, 1, 0, 0, 0, 0, 0, 0, 0, 0, 0, 0, 0, 1, 0, 1</t>
  </si>
  <si>
    <t>electrician cape town cbd</t>
  </si>
  <si>
    <t>electrical services houston</t>
  </si>
  <si>
    <t>0, 0, 0, 0, 0, 0, 3, 1, 2, 1, 0, 0, 0, 0, 0, 1, 0, 1, 0, 0, 0, 0, 0, 1</t>
  </si>
  <si>
    <t>industrial electrical services corsham</t>
  </si>
  <si>
    <t>0, 0, 0, 0, 0, 1, 1, 0, 2, 1, 0, 0, 0, 0, 0, 0, 0, 0, 0, 0, 0, 0, 0, 1</t>
  </si>
  <si>
    <t>electrical contractor gillette</t>
  </si>
  <si>
    <t>0, 0, 0, 0, 2, 0, 0, 0, 1, 1, 0, 0, 0, 0, 0, 0, 0, 0, 0, 0, 0, 0, 0, 1</t>
  </si>
  <si>
    <t>electrical installation book pdf</t>
  </si>
  <si>
    <t>0, 1, 0, 1, 0, 4, 1, 0, 0, 0, 0, 1, 1, 3, 2, 7, 2, 0, 1, 1, 1, 0, 0, 1</t>
  </si>
  <si>
    <t>electrical repairs brome</t>
  </si>
  <si>
    <t>residential electrical services euless tx</t>
  </si>
  <si>
    <t>electrical panel installation new haven county</t>
  </si>
  <si>
    <t>ambient electrical services</t>
  </si>
  <si>
    <t>south dakota commercial electrical services</t>
  </si>
  <si>
    <t>electrical contractor greater london</t>
  </si>
  <si>
    <t>electrical installation and maintenance jobs</t>
  </si>
  <si>
    <t>electrical services provider thonotosassa</t>
  </si>
  <si>
    <t>electrical installation description</t>
  </si>
  <si>
    <t>0, 1, 2, 0, 0, 0, 0, 1, 0, 0, 0, 0, 0, 0, 0, 0, 0, 0, 0, 0, 1, 0, 0, 1</t>
  </si>
  <si>
    <t>emergency electrician eastwood</t>
  </si>
  <si>
    <t>emergency electrician dolans bay</t>
  </si>
  <si>
    <t>0, 1, 0, 0, 2, 0, 0, 0, 1, 0, 0, 0, 0, 0, 0, 0, 0, 0, 0, 0, 0, 0, 0, 1</t>
  </si>
  <si>
    <t>electrical installation antioch</t>
  </si>
  <si>
    <t>0, 0, 0, 1, 1, 1, 0, 0, 1, 0, 0, 0, 0, 0, 0, 0, 0, 0, 0, 0, 0, 0, 0, 1</t>
  </si>
  <si>
    <t>electrical cooker installation cost</t>
  </si>
  <si>
    <t>0, 0, 0, 0, 0, 0, 1, 3, 0, 0, 0, 0, 0, 0, 0, 0, 0, 0, 0, 0, 0, 0, 0, 1</t>
  </si>
  <si>
    <t>electrical services rockwall</t>
  </si>
  <si>
    <t>st. petersburg emergency electrician</t>
  </si>
  <si>
    <t>material for electrical installation</t>
  </si>
  <si>
    <t>6, 4, 9, 1, 0, 4, 2, 8, 4, 4, 7, 5, 11, 2, 0, 0, 0, 4, 3, 2, 2, 0, 0, 2</t>
  </si>
  <si>
    <t>electrical services murrumba downs</t>
  </si>
  <si>
    <t>bangor electrical wiring services</t>
  </si>
  <si>
    <t>electrical installation service near me</t>
  </si>
  <si>
    <t>0, 0, 0, 1, 2, 1, 4, 1, 2, 3, 3, 3, 0, 0, 0, 0, 0, 0, 1, 0, 0, 2, 1, 1</t>
  </si>
  <si>
    <t>t electrical services</t>
  </si>
  <si>
    <t>0, 0, 0, 5, 0, 0, 0, 0, 0, 0, 0, 0, 1, 0, 1, 0, 0, 0, 0, 0, 0, 0, 1, 1</t>
  </si>
  <si>
    <t>fishers electrical services</t>
  </si>
  <si>
    <t>georgetown electrical services</t>
  </si>
  <si>
    <t>0, 0, 0, 0, 0, 0, 0, 0, 0, 0, 4, 1, 0, 0, 0, 0, 0, 2, 0, 0, 0, 0, 0, 1</t>
  </si>
  <si>
    <t>electrical services pasadena</t>
  </si>
  <si>
    <t>industrial electrical services south dakota</t>
  </si>
  <si>
    <t>emergency electrician gymea bay</t>
  </si>
  <si>
    <t>electrical services santa ana</t>
  </si>
  <si>
    <t>russ electrical services</t>
  </si>
  <si>
    <t>emergency electrician mercer county</t>
  </si>
  <si>
    <t>d&amp;j electrical services</t>
  </si>
  <si>
    <t>0, 0, 0, 3, 0, 0, 0, 0, 0, 0, 0, 0, 0, 0, 0, 0, 0, 0, 0, 0, 0, 1, 0, 2</t>
  </si>
  <si>
    <t>industrial electrical heating services</t>
  </si>
  <si>
    <t>electrical repairs eugene</t>
  </si>
  <si>
    <t>electrical contractor social media management</t>
  </si>
  <si>
    <t>electrical services nw washington dc</t>
  </si>
  <si>
    <t>denver electrical outlet repairs</t>
  </si>
  <si>
    <t>domestic electrical appliance repairs near me</t>
  </si>
  <si>
    <t>2, 2, 0, 1, 1, 1, 0, 0, 1, 0, 0, 1, 0, 2, 1, 0, 1, 1, 0, 0, 0, 0, 0, 1</t>
  </si>
  <si>
    <t>san francisco electrical services</t>
  </si>
  <si>
    <t>electrical services greene county</t>
  </si>
  <si>
    <t>electrical services irving tx</t>
  </si>
  <si>
    <t>kooyong emergency electrician</t>
  </si>
  <si>
    <t>0, 0, 0, 1, 0, 0, 1, 0, 0, 0, 0, 0, 0, 0, 0, 0, 0, 0, 0, 0, 0, 0, 0, 1</t>
  </si>
  <si>
    <t>electrical repairs cherryville, nc</t>
  </si>
  <si>
    <t>0, 1, 0, 0, 0, 0, 0, 0, 2, 0, 1, 0, 0, 0, 0, 0, 0, 0, 0, 0, 0, 0, 0, 1</t>
  </si>
  <si>
    <t>electrical installation &amp; repair</t>
  </si>
  <si>
    <t>emergency electrician kurnell</t>
  </si>
  <si>
    <t>commercial electrical services romsey</t>
  </si>
  <si>
    <t>types of cables for electrical installation</t>
  </si>
  <si>
    <t>electrical contractor kildare</t>
  </si>
  <si>
    <t>sensor electrical services</t>
  </si>
  <si>
    <t>commercial industrial electrical services</t>
  </si>
  <si>
    <t>0, 0, 0, 0, 0, 0, 0, 3, 3, 0, 2, 0, 0, 0, 0, 0, 0, 0, 0, 0, 0, 0, 0, 1</t>
  </si>
  <si>
    <t>bd electrical services</t>
  </si>
  <si>
    <t>0, 0, 0, 1, 0, 0, 0, 0, 1, 1, 0, 1, 0, 0, 0, 0, 0, 0, 0, 1, 0, 0, 0, 1</t>
  </si>
  <si>
    <t>electrical maintenance services in fl</t>
  </si>
  <si>
    <t>commercial electrical services coppell tx</t>
  </si>
  <si>
    <t>castle electrical services</t>
  </si>
  <si>
    <t>electrical repairs bucks county pa</t>
  </si>
  <si>
    <t>military electrical contractor</t>
  </si>
  <si>
    <t>emergency electrician ashford</t>
  </si>
  <si>
    <t>toowoomba electrical repairs</t>
  </si>
  <si>
    <t>1, 1, 1, 0, 0, 3, 0, 1, 0, 0, 1, 0, 0, 0, 0, 0, 0, 0, 0, 0, 0, 0, 0, 1</t>
  </si>
  <si>
    <t>solar and electrical services</t>
  </si>
  <si>
    <t>0, 0, 0, 0, 0, 0, 0, 0, 0, 0, 0, 1, 0, 0, 0, 4, 0, 1, 0, 0, 0, 0, 0, 1</t>
  </si>
  <si>
    <t>emergency electrician killara</t>
  </si>
  <si>
    <t>0, 1, 1, 1, 0, 1, 0, 0, 0, 0, 0, 0, 0, 0, 0, 0, 0, 0, 0, 0, 0, 0, 0, 1</t>
  </si>
  <si>
    <t>plumbing &amp; electrical services</t>
  </si>
  <si>
    <t>0, 0, 0, 1, 1, 0, 3, 1, 1, 4, 3, 1, 1, 0, 0, 0, 0, 0, 0, 0, 0, 0, 0, 1</t>
  </si>
  <si>
    <t>electrical installation projects</t>
  </si>
  <si>
    <t>0, 1, 0, 0, 0, 0, 1, 1, 1, 0, 0, 0, 1, 1, 0, 0, 0, 1, 1, 0, 0, 0, 0, 1</t>
  </si>
  <si>
    <t>jmc electrical contractor</t>
  </si>
  <si>
    <t>auto electrical and mechanical repairs</t>
  </si>
  <si>
    <t>electrical services app</t>
  </si>
  <si>
    <t>hr phoenix electrical services</t>
  </si>
  <si>
    <t>milwaukee commercial electrical contractor</t>
  </si>
  <si>
    <t>0, 0, 3, 3, 0, 1, 0, 0, 0, 2, 0, 0, 0, 0, 0, 0, 0, 0, 0, 0, 0, 0, 0, 1</t>
  </si>
  <si>
    <t>electrical repairs nz</t>
  </si>
  <si>
    <t>0, 0, 0, 0, 0, 0, 0, 0, 0, 2, 3, 0, 0, 0, 0, 0, 0, 0, 0, 0, 0, 0, 0, 1</t>
  </si>
  <si>
    <t>electrical installation leland</t>
  </si>
  <si>
    <t>electrical contractor mallee</t>
  </si>
  <si>
    <t>0, 0, 1, 1, 1, 0, 1, 0, 0, 0, 0, 0, 0, 0, 0, 0, 0, 0, 0, 0, 0, 0, 0, 1</t>
  </si>
  <si>
    <t>electrical emergency services</t>
  </si>
  <si>
    <t>1, 1, 0, 1, 4, 4, 4, 3, 1, 1, 2, 1, 10, 0, 1, 0, 1, 0, 0, 0, 1, 0, 0, 1</t>
  </si>
  <si>
    <t>salt lake city emergency electrician</t>
  </si>
  <si>
    <t>electrical contractor work order software</t>
  </si>
  <si>
    <t>best electrical services in barbados</t>
  </si>
  <si>
    <t>0, 0, 0, 0, 0, 0, 3, 1, 1, 1, 1, 0, 0, 0, 0, 0, 0, 0, 0, 0, 0, 0, 0, 1</t>
  </si>
  <si>
    <t>e r electrical services</t>
  </si>
  <si>
    <t>electrical installation certification</t>
  </si>
  <si>
    <t>0, 0, 0, 0, 0, 0, 0, 0, 0, 0, 0, 0, 0, 0, 0, 1, 0, 0, 1, 0, 2, 0, 0, 2</t>
  </si>
  <si>
    <t>electrical installation level 2 qualification</t>
  </si>
  <si>
    <t>electrical contractor charleston sc</t>
  </si>
  <si>
    <t>0, 1, 0, 0, 0, 0, 1, 0, 0, 1, 0, 0, 0, 0, 0, 0, 0, 0, 0, 0, 0, 0, 0, 1</t>
  </si>
  <si>
    <t>plumbing and electrical services near me</t>
  </si>
  <si>
    <t>1, 4, 9, 5, 3, 4, 3, 3, 4, 0, 2, 1, 3, 1, 0, 0, 0, 0, 0, 1, 0, 1, 0, 1</t>
  </si>
  <si>
    <t>electrical contractor consultant</t>
  </si>
  <si>
    <t>3, 0, 0, 0, 0, 0, 0, 0, 0, 1, 0, 0, 0, 0, 0, 0, 0, 0, 0, 0, 0, 0, 0, 1</t>
  </si>
  <si>
    <t>emergency electrician inner west sydney</t>
  </si>
  <si>
    <t>adelaide electrical services</t>
  </si>
  <si>
    <t>0, 0, 1, 2, 0, 0, 0, 0, 0, 0, 0, 0, 0, 0, 0, 0, 0, 0, 0, 0, 0, 0, 0, 1</t>
  </si>
  <si>
    <t>greenstone electrical services</t>
  </si>
  <si>
    <t>electrical appliance repairs tableview</t>
  </si>
  <si>
    <t>pluggable electrical installation</t>
  </si>
  <si>
    <t>0, 0, 1, 1, 0, 0, 0, 0, 1, 0, 0, 0, 0, 0, 1, 0, 0, 0, 0, 0, 0, 0, 0, 1</t>
  </si>
  <si>
    <t>electrical services se10</t>
  </si>
  <si>
    <t>1, 0, 0, 0, 0, 1, 0, 0, 0, 0, 1, 0, 0, 0, 0, 0, 0, 0, 0, 0, 0, 0, 0, 1</t>
  </si>
  <si>
    <t>electrical distribution engineering services</t>
  </si>
  <si>
    <t>0, 0, 0, 0, 0, 1, 3, 0, 0, 0, 1, 0, 0, 0, 0, 0, 0, 0, 0, 0, 0, 0, 0, 1</t>
  </si>
  <si>
    <t>tyler emergency electrician</t>
  </si>
  <si>
    <t>residential electrical services bethesda</t>
  </si>
  <si>
    <t>brooklyn electrical services</t>
  </si>
  <si>
    <t>0, 0, 0, 37, 50, 47, 13, 4, 1, 0, 0, 1, 0, 0, 0, 0, 0, 0, 0, 0, 0, 0, 0, 1</t>
  </si>
  <si>
    <t>indio electrical services</t>
  </si>
  <si>
    <t>bankstown electrical services</t>
  </si>
  <si>
    <t>electrical contractor huntington beach ca</t>
  </si>
  <si>
    <t>electrical contractor forum</t>
  </si>
  <si>
    <t>electrical panel installation lebanon tn</t>
  </si>
  <si>
    <t>rcs electrical services</t>
  </si>
  <si>
    <t>0, 1, 0, 0, 0, 1, 0, 0, 0, 0, 0, 0, 0, 0, 0, 0, 0, 5, 0, 1, 0, 0, 1, 1</t>
  </si>
  <si>
    <t>emergency electrician cronulla</t>
  </si>
  <si>
    <t>0, 0, 1, 1, 1, 0, 0, 1, 0, 0, 2, 0, 2, 0, 2, 0, 1, 1, 1, 0, 0, 0, 0, 1</t>
  </si>
  <si>
    <t>emergency electrician barnet</t>
  </si>
  <si>
    <t>commercial electrical services york county</t>
  </si>
  <si>
    <t>orange county electrical contractor</t>
  </si>
  <si>
    <t>0, 0, 0, 1, 0, 0, 0, 0, 0, 0, 0, 1, 0, 0, 0, 0, 0, 0, 0, 0, 0, 0, 0, 1</t>
  </si>
  <si>
    <t>dorset electrical maintenance services</t>
  </si>
  <si>
    <t>electrical wiring installation norcross</t>
  </si>
  <si>
    <t>electrical outlet installation cost</t>
  </si>
  <si>
    <t>1, 0, 0, 3, 0, 0, 1, 0, 0, 0, 0, 2, 0, 0, 0, 0, 1, 1, 0, 0, 1, 0, 0, 1</t>
  </si>
  <si>
    <t>24 hour emergency electrical services fort worth</t>
  </si>
  <si>
    <t>0, 0, 0, 0, 0, 1, 0, 2, 1, 0, 0, 0, 0, 0, 0, 0, 0, 0, 0, 0, 0, 0, 0, 1</t>
  </si>
  <si>
    <t>electrical vehicle charging point installation</t>
  </si>
  <si>
    <t>0, 1, 0, 0, 0, 0, 0, 0, 0, 0, 0, 0, 0, 0, 0, 0, 0, 0, 0, 1, 0, 0, 0, 1</t>
  </si>
  <si>
    <t>cablenet electrical services</t>
  </si>
  <si>
    <t>0, 20, 2, 1, 0, 0, 0, 0, 0, 0, 0, 0, 0, 0, 0, 0, 0, 0, 0, 0, 0, 0, 0, 1</t>
  </si>
  <si>
    <t>industrial electrical equipment services</t>
  </si>
  <si>
    <t>1, 0, 1, 0, 0, 0, 1, 0, 1, 0, 0, 0, 0, 0, 0, 0, 0, 0, 0, 0, 0, 0, 0, 1</t>
  </si>
  <si>
    <t>emergency electrician garland tx</t>
  </si>
  <si>
    <t>electrical services kirkland, wa</t>
  </si>
  <si>
    <t>0, 0, 0, 0, 0, 0, 0, 1, 1, 1, 2, 0, 2, 0, 0, 0, 0, 0, 0, 0, 0, 0, 1, 1</t>
  </si>
  <si>
    <t>electrical wiring services little rock, ak</t>
  </si>
  <si>
    <t>rock electrical services</t>
  </si>
  <si>
    <t>cmc electrical services</t>
  </si>
  <si>
    <t>emergency electrician heathfield</t>
  </si>
  <si>
    <t>landlord electrical services</t>
  </si>
  <si>
    <t>0, 0, 0, 1, 2, 0, 0, 0, 0, 2, 1, 0, 0, 0, 0, 0, 0, 0, 0, 0, 0, 0, 0, 1</t>
  </si>
  <si>
    <t>handyman services electrical</t>
  </si>
  <si>
    <t>0, 0, 1, 0, 2, 1, 1, 1, 2, 0, 0, 1, 0, 0, 0, 0, 0, 0, 0, 0, 0, 0, 0, 1</t>
  </si>
  <si>
    <t>gc electrical engineering services llp</t>
  </si>
  <si>
    <t>0, 0, 0, 0, 0, 0, 1, 0, 0, 0, 0, 0, 0, 1, 0, 0, 1, 0, 0, 0, 0, 0, 0, 1</t>
  </si>
  <si>
    <t>company profile electrical contractor pdf</t>
  </si>
  <si>
    <t>electrical contractor ogden</t>
  </si>
  <si>
    <t>electrical installation scope of work</t>
  </si>
  <si>
    <t>napit electrical installation certificate pdf</t>
  </si>
  <si>
    <t>electrical services tampa fl</t>
  </si>
  <si>
    <t>perth-airport emergency electrician</t>
  </si>
  <si>
    <t>auto electrical repairs cranbourne</t>
  </si>
  <si>
    <t>0, 0, 0, 0, 0, 0, 0, 0, 1, 2, 3, 0, 0, 0, 0, 0, 0, 0, 0, 0, 0, 0, 0, 1</t>
  </si>
  <si>
    <t>electrical contractor riverside</t>
  </si>
  <si>
    <t>0, 0, 0, 0, 0, 3, 0, 0, 1, 0, 0, 0, 0, 0, 0, 0, 0, 0, 0, 0, 0, 0, 0, 1</t>
  </si>
  <si>
    <t>emergency electrician lysterfield</t>
  </si>
  <si>
    <t>electrical sub panel installation bellevue</t>
  </si>
  <si>
    <t>0, 0, 0, 0, 0, 0, 0, 1, 0, 2, 1, 0, 0, 0, 0, 0, 0, 0, 0, 0, 0, 0, 0, 1</t>
  </si>
  <si>
    <t>electrical contractor hamilton</t>
  </si>
  <si>
    <t>emergency electrician new malden</t>
  </si>
  <si>
    <t>0, 1, 0, 0, 0, 2, 0, 0, 0, 0, 0, 0, 0, 0, 0, 0, 0, 0, 0, 0, 0, 0, 0, 1</t>
  </si>
  <si>
    <t>henderson electrical services</t>
  </si>
  <si>
    <t>residential electrical contractor north highlands</t>
  </si>
  <si>
    <t>0, 0, 1, 1, 0, 0, 0, 2, 0, 0, 0, 0, 0, 0, 0, 0, 0, 0, 0, 0, 0, 0, 0, 1</t>
  </si>
  <si>
    <t>electrical installation condition report cost</t>
  </si>
  <si>
    <t>0, 1, 4, 0, 1, 0, 1, 0, 1, 2, 1, 0, 0, 0, 0, 0, 1, 0, 0, 0, 0, 0, 0, 1</t>
  </si>
  <si>
    <t>electrical contractor bismarck nd</t>
  </si>
  <si>
    <t>pro electrical services</t>
  </si>
  <si>
    <t>1, 0, 3, 1, 0, 3, 4, 3, 0, 5, 1, 2, 6, 1, 0, 1, 5, 3, 7, 7, 3, 3, 0, 3</t>
  </si>
  <si>
    <t>electrical services tweed heads</t>
  </si>
  <si>
    <t>agriculture industry electrical services</t>
  </si>
  <si>
    <t>0, 0, 0, 1, 0, 2, 2, 0, 1, 1, 1, 1, 0, 0, 0, 0, 0, 0, 0, 0, 0, 0, 0, 1</t>
  </si>
  <si>
    <t>bim services for electrical contractors</t>
  </si>
  <si>
    <t>hunters electrical services</t>
  </si>
  <si>
    <t>0, 0, 0, 0, 0, 0, 1, 0, 0, 0, 0, 0, 0, 0, 0, 0, 0, 0, 0, 0, 0, 1, 0, 1</t>
  </si>
  <si>
    <t>electrical contractor drexel hill</t>
  </si>
  <si>
    <t>dd electrical services</t>
  </si>
  <si>
    <t>emergency electrician boca raton</t>
  </si>
  <si>
    <t>0, 0, 0, 0, 0, 0, 0, 0, 1, 0, 0, 0, 0, 0, 0, 0, 0, 0, 0, 0, 1, 0, 0, 1</t>
  </si>
  <si>
    <t>minor electrical repairs</t>
  </si>
  <si>
    <t>0, 1, 1, 5, 1, 1, 0, 1, 2, 1, 6, 3, 3, 0, 0, 0, 1, 0, 2, 4, 3, 0, 0, 1</t>
  </si>
  <si>
    <t>electrical installation rules courses</t>
  </si>
  <si>
    <t>electrical services lee county</t>
  </si>
  <si>
    <t>emergency electrician tingalpa</t>
  </si>
  <si>
    <t>electrical outlet installation fremont county</t>
  </si>
  <si>
    <t>home electrical repairs zephyrhills</t>
  </si>
  <si>
    <t>electrical installation solutions</t>
  </si>
  <si>
    <t>0, 0, 0, 0, 0, 0, 0, 0, 0, 0, 0, 0, 0, 0, 0, 0, 0, 0, 3, 0, 0, 0, 0, 1</t>
  </si>
  <si>
    <t>lawton home electrical repair services</t>
  </si>
  <si>
    <t>electrical repairs brooklyn ny</t>
  </si>
  <si>
    <t>emergency electrician bedford tx</t>
  </si>
  <si>
    <t>web design services for electrical contractors</t>
  </si>
  <si>
    <t>electrical services in germiston</t>
  </si>
  <si>
    <t>0, 0, 0, 0, 0, 0, 0, 0, 0, 0, 0, 0, 0, 0, 0, 0, 3, 3, 5, 0, 0, 0, 0, 1</t>
  </si>
  <si>
    <t>methods of electrical installation</t>
  </si>
  <si>
    <t>electrical installation rules pdf</t>
  </si>
  <si>
    <t>22, 12, 13, 9, 19, 17, 21, 21, 17, 23, 11, 11, 3, 0, 13, 6, 7, 0, 0, 0, 0, 0, 0, 1</t>
  </si>
  <si>
    <t>allen electrical services</t>
  </si>
  <si>
    <t>emergency electrician engadine</t>
  </si>
  <si>
    <t>0, 0, 1, 0, 1, 0, 0, 0, 0, 1, 0, 0, 1, 0, 0, 0, 0, 0, 0, 0, 0, 0, 0, 1</t>
  </si>
  <si>
    <t>ls electrical services</t>
  </si>
  <si>
    <t>electrical tripping repairs</t>
  </si>
  <si>
    <t>0, 0, 0, 0, 1, 0, 0, 1, 1, 1, 0, 0, 0, 0, 0, 0, 0, 0, 0, 0, 0, 0, 0, 1</t>
  </si>
  <si>
    <t>electrical installation wiring</t>
  </si>
  <si>
    <t>0, 0, 0, 0, 0, 0, 2, 0, 0, 2, 0, 2, 1, 0, 0, 1, 1, 0, 1, 1, 2, 2, 0, 2</t>
  </si>
  <si>
    <t>l&amp;j electrical services ltd</t>
  </si>
  <si>
    <t>1, 0, 0, 1, 0, 0, 0, 0, 0, 0, 0, 0, 0, 0, 0, 0, 0, 0, 0, 0, 0, 0, 0, 1</t>
  </si>
  <si>
    <t>industrial electrical estimation services</t>
  </si>
  <si>
    <t>electrical services blog</t>
  </si>
  <si>
    <t>electrical outlet installation wood county</t>
  </si>
  <si>
    <t>electrical installation pdf notes module 1</t>
  </si>
  <si>
    <t>0, 1, 0, 0, 0, 0, 0, 0, 0, 1, 0, 0, 0, 0, 1, 0, 0, 0, 0, 0, 0, 0, 0, 1</t>
  </si>
  <si>
    <t>electrical contractor kitchener</t>
  </si>
  <si>
    <t>electrical services wollongong</t>
  </si>
  <si>
    <t>0, 0, 0, 0, 1, 1, 0, 2, 0, 0, 0, 0, 0, 0, 0, 0, 0, 0, 0, 0, 0, 0, 0, 1</t>
  </si>
  <si>
    <t>electrical outlet installation michigan</t>
  </si>
  <si>
    <t>protective devices in electrical installation</t>
  </si>
  <si>
    <t>0, 0, 2, 0, 0, 0, 0, 0, 0, 1, 0, 1, 2, 2, 1, 0, 1, 0, 1, 1, 0, 2, 0, 2</t>
  </si>
  <si>
    <t>electrical maintenance services poole &amp; dorset</t>
  </si>
  <si>
    <t>electrical repairs twin cities</t>
  </si>
  <si>
    <t>0, 0, 0, 1, 0, 1, 0, 1, 1, 1, 2, 0, 0, 0, 0, 0, 0, 0, 0, 0, 0, 0, 0, 1</t>
  </si>
  <si>
    <t>bennie electrical services ltd</t>
  </si>
  <si>
    <t>electrical post installation</t>
  </si>
  <si>
    <t>a h electrical services</t>
  </si>
  <si>
    <t>in electrical installation</t>
  </si>
  <si>
    <t>0, 0, 0, 0, 0, 0, 0, 1, 0, 0, 0, 0, 2, 0, 0, 0, 0, 0, 0, 0, 1, 0, 0, 1</t>
  </si>
  <si>
    <t>harts electrical services</t>
  </si>
  <si>
    <t>0, 0, 0, 0, 1, 0, 0, 0, 1, 0, 0, 1, 0, 0, 0, 0, 0, 0, 0, 0, 0, 0, 0, 1</t>
  </si>
  <si>
    <t>kingfisher residential electrical services</t>
  </si>
  <si>
    <t>0, 0, 1, 2, 0, 0, 0, 0, 1, 0, 0, 0, 0, 0, 0, 0, 0, 0, 0, 0, 0, 0, 0, 1</t>
  </si>
  <si>
    <t>commercial electrical services hardin county</t>
  </si>
  <si>
    <t>rp electrical services</t>
  </si>
  <si>
    <t>0, 0, 0, 1, 0, 0, 0, 0, 0, 2, 0, 0, 1, 0, 3, 4, 0, 0, 0, 0, 0, 0, 0, 1</t>
  </si>
  <si>
    <t>emergency commercial electrician singapore</t>
  </si>
  <si>
    <t>residential electrical services cotati ca</t>
  </si>
  <si>
    <t>t&amp;m ticket electrical contractor</t>
  </si>
  <si>
    <t>electrical services ma</t>
  </si>
  <si>
    <t>electrical wiring installation lincoln ne</t>
  </si>
  <si>
    <t>0, 0, 0, 1, 0, 0, 0, 0, 0, 1, 3, 0, 0, 0, 0, 0, 0, 0, 0, 0, 0, 0, 0, 1</t>
  </si>
  <si>
    <t>electrical installation guide schneider pdf</t>
  </si>
  <si>
    <t>electrical contractor work profile</t>
  </si>
  <si>
    <t>electrical control installation billerica ma</t>
  </si>
  <si>
    <t>0, 0, 0, 0, 0, 0, 0, 0, 0, 0, 0, 0, 0, 0, 0, 0, 0, 0, 0, 0, 2, 3, 1, 1</t>
  </si>
  <si>
    <t>electrical contractor co</t>
  </si>
  <si>
    <t>electrical contractor durban</t>
  </si>
  <si>
    <t>0, 0, 0, 0, 0, 0, 0, 2, 2, 1, 0, 1, 0, 0, 0, 0, 0, 0, 0, 0, 0, 0, 0, 1</t>
  </si>
  <si>
    <t>electrical installation companies in kenya</t>
  </si>
  <si>
    <t>electrical contractor advertising ideas</t>
  </si>
  <si>
    <t>2, 1, 1, 0, 0, 0, 6, 1, 5, 1, 4, 2, 2, 0, 2, 1, 4, 0, 1, 0, 4, 1, 1, 1</t>
  </si>
  <si>
    <t>tnt electrical services</t>
  </si>
  <si>
    <t>durham electrical outlet installation</t>
  </si>
  <si>
    <t>emergency electrician charlotte nc</t>
  </si>
  <si>
    <t>l a refrigeration &amp; electrical services</t>
  </si>
  <si>
    <t>electrical panel installation valencia pa</t>
  </si>
  <si>
    <t>electrical installation worcester</t>
  </si>
  <si>
    <t>electrical services llc rancho penasquitos</t>
  </si>
  <si>
    <t>mccarthy electrical services</t>
  </si>
  <si>
    <t>0, 0, 0, 0, 0, 0, 0, 0, 1, 0, 0, 0, 0, 0, 0, 1, 0, 0, 3, 1, 0, 0, 0, 1</t>
  </si>
  <si>
    <t>tulsa home electrical repair services</t>
  </si>
  <si>
    <t>electrical services riverview</t>
  </si>
  <si>
    <t>electrical services southeastern wisconsin</t>
  </si>
  <si>
    <t>0, 0, 0, 0, 1, 0, 0, 1, 0, 0, 3, 0, 0, 0, 0, 0, 0, 0, 0, 0, 0, 0, 0, 1</t>
  </si>
  <si>
    <t>bright spark electrical services</t>
  </si>
  <si>
    <t>beaurain electrical services</t>
  </si>
  <si>
    <t>brisbane electrical appliance repairs</t>
  </si>
  <si>
    <t>electrical services st louis mo</t>
  </si>
  <si>
    <t>0, 0, 0, 1, 0, 1, 1, 1, 0, 0, 0, 1, 0, 0, 0, 0, 0, 0, 0, 0, 0, 0, 0, 1</t>
  </si>
  <si>
    <t>electrical repairs schnecksville pa</t>
  </si>
  <si>
    <t>electrical building services design guide</t>
  </si>
  <si>
    <t>dci electrical services</t>
  </si>
  <si>
    <t>0, 0, 0, 0, 0, 0, 0, 0, 0, 0, 0, 0, 1, 0, 0, 0, 0, 0, 0, 0, 0, 2, 0, 2</t>
  </si>
  <si>
    <t>electrical contractor wesley chapel</t>
  </si>
  <si>
    <t>alpha and omega electrical services</t>
  </si>
  <si>
    <t>0, 1, 3, 0, 0, 0, 2, 0, 0, 1, 0, 4, 0, 0, 1, 0, 0, 0, 1, 0, 1, 0, 0, 1</t>
  </si>
  <si>
    <t>emergency electrician beckenham</t>
  </si>
  <si>
    <t>0, 0, 0, 1, 3, 2, 0, 0, 0, 2, 3, 0, 0, 0, 0, 0, 0, 0, 0, 0, 0, 0, 0, 1</t>
  </si>
  <si>
    <t>emergency electrician chesterfield</t>
  </si>
  <si>
    <t>0, 0, 0, 0, 0, 0, 0, 1, 1, 3, 2, 0, 0, 0, 0, 0, 0, 0, 0, 0, 0, 0, 0, 1</t>
  </si>
  <si>
    <t>electrical services in lansdowne, western cape</t>
  </si>
  <si>
    <t>0, 0, 0, 0, 0, 0, 0, 0, 0, 0, 0, 0, 0, 0, 0, 0, 0, 7, 3, 0, 0, 0, 0, 1</t>
  </si>
  <si>
    <t>electrical services industry</t>
  </si>
  <si>
    <t>1, 1, 0, 0, 0, 0, 0, 0, 0, 0, 0, 0, 0, 0, 0, 2, 0, 0, 0, 0, 0, 0, 0, 1</t>
  </si>
  <si>
    <t>electrical repairs and servicing central coast</t>
  </si>
  <si>
    <t>emergency electrician singapore</t>
  </si>
  <si>
    <t>electrical panel installation gulfport</t>
  </si>
  <si>
    <t>electrical conduit installation guide</t>
  </si>
  <si>
    <t>electrical services st louis park</t>
  </si>
  <si>
    <t>0, 0, 1, 1, 1, 0, 1, 0, 2, 0, 0, 0, 0, 0, 0, 0, 0, 0, 0, 0, 0, 0, 0, 1</t>
  </si>
  <si>
    <t>electric electrical services gilbert</t>
  </si>
  <si>
    <t>electrical installation of a house</t>
  </si>
  <si>
    <t>0, 3, 0, 0, 0, 0, 0, 0, 1, 0, 0, 0, 1, 0, 0, 0, 2, 1, 0, 0, 1, 0, 0, 1</t>
  </si>
  <si>
    <t>emergency call out electrician cost</t>
  </si>
  <si>
    <t>electrical repairs northern beaches</t>
  </si>
  <si>
    <t>0, 0, 0, 1, 0, 1, 0, 1, 0, 0, 0, 0, 0, 0, 0, 0, 0, 0, 0, 0, 0, 0, 0, 1</t>
  </si>
  <si>
    <t>electrical contractor lsa</t>
  </si>
  <si>
    <t>business electrical installation vernon county wi</t>
  </si>
  <si>
    <t>l g a electrical services cc</t>
  </si>
  <si>
    <t>commercial electrical services perth</t>
  </si>
  <si>
    <t>electrical contractor insurance nebraska</t>
  </si>
  <si>
    <t>electrical installation seattle</t>
  </si>
  <si>
    <t>electrical engineering services near me</t>
  </si>
  <si>
    <t>1, 2, 0, 1, 0, 1, 9, 0, 0, 0, 0, 3, 0, 1, 0, 0, 0, 0, 0, 0, 0, 0, 0, 1</t>
  </si>
  <si>
    <t>electrical services in modderfontein</t>
  </si>
  <si>
    <t>0, 0, 0, 0, 0, 0, 0, 0, 0, 0, 0, 0, 0, 0, 0, 0, 3, 2, 3, 0, 0, 0, 0, 1</t>
  </si>
  <si>
    <t>r&amp;a electrical services</t>
  </si>
  <si>
    <t>northbridge emergency electrician</t>
  </si>
  <si>
    <t>local electrical repairs</t>
  </si>
  <si>
    <t>1, 0, 0, 0, 0, 0, 1, 1, 1, 0, 1, 0, 0, 0, 0, 0, 0, 1, 0, 0, 0, 0, 0, 1</t>
  </si>
  <si>
    <t>electrical machine repairs dandenong</t>
  </si>
  <si>
    <t>commercial electrical installation matthews, nc</t>
  </si>
  <si>
    <t>electrical installation in house pdf</t>
  </si>
  <si>
    <t>electrical services brookline ma</t>
  </si>
  <si>
    <t>emergency electrician noosa</t>
  </si>
  <si>
    <t>tamalapark emergency electrician</t>
  </si>
  <si>
    <t>electrical contractor services queen creek</t>
  </si>
  <si>
    <t>electrical repairs tyler tx</t>
  </si>
  <si>
    <t>electrical engineering services albany</t>
  </si>
  <si>
    <t>electrical sub panel installation lucedale</t>
  </si>
  <si>
    <t>powercare electrical services</t>
  </si>
  <si>
    <t>0, 0, 0, 0, 0, 0, 0, 0, 0, 3, 0, 0, 0, 0, 0, 0, 1, 0, 1, 0, 0, 0, 0, 1</t>
  </si>
  <si>
    <t>texas electrical services</t>
  </si>
  <si>
    <t>1, 2, 0, 2, 0, 0, 1, 0, 3, 2, 0, 0, 0, 0, 0, 0, 0, 0, 0, 0, 0, 0, 0, 1</t>
  </si>
  <si>
    <t>electrical utility contractor</t>
  </si>
  <si>
    <t>electrical panel installation oregon</t>
  </si>
  <si>
    <t>electrical contractor in colchester</t>
  </si>
  <si>
    <t>commercial electrical contractor st louis</t>
  </si>
  <si>
    <t>0, 0, 1, 0, 0, 1, 0, 0, 0, 0, 1, 0, 0, 0, 0, 0, 0, 0, 0, 0, 0, 0, 0, 1</t>
  </si>
  <si>
    <t>albuquerque electrical contractor</t>
  </si>
  <si>
    <t>domestic electrical installation westchester</t>
  </si>
  <si>
    <t>smart home electrical services charlotte, nc</t>
  </si>
  <si>
    <t>white gum valley emergency electrician</t>
  </si>
  <si>
    <t>bhl electrical services</t>
  </si>
  <si>
    <t>0, 0, 0, 0, 0, 1, 0, 0, 0, 0, 0, 0, 0, 0, 0, 0, 0, 0, 0, 1, 0, 0, 0, 1</t>
  </si>
  <si>
    <t>electrical installation wiring diagrams</t>
  </si>
  <si>
    <t>installation electrical</t>
  </si>
  <si>
    <t>4, 1, 4, 2, 2, 2, 0, 2, 1, 2, 2, 1, 6, 0, 2, 1, 2, 0, 3, 2, 2, 0, 0, 2</t>
  </si>
  <si>
    <t>electrical contractor bedford</t>
  </si>
  <si>
    <t>licensed electrical contractor tortilla flat</t>
  </si>
  <si>
    <t>electrical installation jacksonville</t>
  </si>
  <si>
    <t>0, 0, 1, 0, 0, 0, 0, 1, 1, 0, 0, 0, 0, 0, 0, 0, 0, 0, 0, 0, 0, 0, 0, 1</t>
  </si>
  <si>
    <t>r k electrical services</t>
  </si>
  <si>
    <t>artisan electrician jobs cape town</t>
  </si>
  <si>
    <t>electrical installation design and drafting</t>
  </si>
  <si>
    <t>1, 2, 3, 0, 1, 0, 0, 1, 0, 1, 1, 0, 0, 0, 0, 0, 0, 0, 0, 0, 0, 0, 0, 1</t>
  </si>
  <si>
    <t>electrical repairs st louis mo</t>
  </si>
  <si>
    <t>1, 0, 0, 0, 0, 0, 1, 0, 1, 0, 0, 0, 0, 0, 0, 0, 0, 0, 0, 0, 0, 0, 0, 1</t>
  </si>
  <si>
    <t>protech electrical services</t>
  </si>
  <si>
    <t>emergency electrician west perth</t>
  </si>
  <si>
    <t>0, 0, 0, 0, 0, 0, 0, 0, 3, 1, 1, 0, 0, 0, 0, 0, 0, 0, 0, 0, 0, 0, 0, 1</t>
  </si>
  <si>
    <t>electrical services mississauga</t>
  </si>
  <si>
    <t>reliance electrical services</t>
  </si>
  <si>
    <t>lebanon electrical services</t>
  </si>
  <si>
    <t>0, 0, 0, 1, 0, 1, 0, 0, 0, 4, 2, 1, 0, 0, 0, 0, 0, 0, 0, 0, 0, 0, 0, 1</t>
  </si>
  <si>
    <t>emergency electrician oxford falls</t>
  </si>
  <si>
    <t>emergency electrician newcastle</t>
  </si>
  <si>
    <t>0, 0, 0, 0, 0, 0, 1, 1, 0, 2, 1, 0, 2, 0, 0, 0, 0, 0, 0, 0, 0, 1, 1, 2</t>
  </si>
  <si>
    <t>industrial electrical services merrimack nh</t>
  </si>
  <si>
    <t>0, 0, 0, 0, 0, 0, 0, 0, 0, 0, 0, 1, 0, 2, 1, 0, 0, 0, 0, 0, 0, 0, 0, 1</t>
  </si>
  <si>
    <t>electrical faults and repairs</t>
  </si>
  <si>
    <t>emergency electrician chatswood</t>
  </si>
  <si>
    <t>0, 0, 0, 0, 0, 0, 0, 0, 0, 0, 1, 0, 0, 0, 0, 0, 0, 0, 0, 0, 0, 1, 0, 1</t>
  </si>
  <si>
    <t>electrical installation materials pdf</t>
  </si>
  <si>
    <t>0, 0, 0, 2, 0, 0, 2, 0, 0, 0, 0, 0, 0, 0, 0, 0, 0, 0, 0, 0, 0, 0, 0, 1</t>
  </si>
  <si>
    <t>electrical contractor insurance virginia</t>
  </si>
  <si>
    <t>angi electrical &amp; lighting services</t>
  </si>
  <si>
    <t>care electrical services</t>
  </si>
  <si>
    <t>0, 0, 0, 1, 0, 1, 2, 1, 1, 0, 0, 0, 0, 0, 0, 0, 0, 0, 0, 0, 0, 0, 0, 1</t>
  </si>
  <si>
    <t>emergency electrician mascot</t>
  </si>
  <si>
    <t>0, 1, 4, 0, 0, 0, 0, 1, 0, 2, 1, 0, 0, 0, 0, 0, 0, 0, 0, 0, 0, 0, 0, 1</t>
  </si>
  <si>
    <t>emergency electrician curl curl</t>
  </si>
  <si>
    <t>cheap electrical services near me</t>
  </si>
  <si>
    <t>0, 0, 2, 0, 0, 0, 1, 0, 0, 1, 0, 0, 1, 1, 0, 1, 1, 0, 1, 1, 0, 0, 0, 1</t>
  </si>
  <si>
    <t>jgm electrical services</t>
  </si>
  <si>
    <t>0, 0, 0, 0, 0, 0, 0, 0, 0, 0, 0, 0, 0, 0, 0, 0, 0, 1, 2, 0, 0, 0, 1, 1</t>
  </si>
  <si>
    <t>electrical contractor internet marketing company</t>
  </si>
  <si>
    <t>eagle electrical services</t>
  </si>
  <si>
    <t>0, 0, 0, 0, 0, 3, 0, 1, 1, 0, 1, 0, 0, 0, 0, 0, 0, 0, 0, 0, 0, 0, 0, 1</t>
  </si>
  <si>
    <t>residential electrical services merrimack nh</t>
  </si>
  <si>
    <t>0, 0, 0, 0, 0, 0, 0, 0, 0, 1, 0, 2, 0, 0, 0, 0, 0, 1, 0, 0, 0, 0, 0, 1</t>
  </si>
  <si>
    <t>electrical installation categories</t>
  </si>
  <si>
    <t>felix electrical services</t>
  </si>
  <si>
    <t>0, 0, 4, 0, 0, 1, 1, 0, 2, 0, 0, 0, 0, 0, 0, 0, 0, 0, 0, 0, 0, 0, 0, 1</t>
  </si>
  <si>
    <t>pwpc electrical services</t>
  </si>
  <si>
    <t>emergency electrician harrison county</t>
  </si>
  <si>
    <t>leisure electrical installation</t>
  </si>
  <si>
    <t>p a electrical services</t>
  </si>
  <si>
    <t>2, 1, 0, 0, 1, 0, 1, 0, 1, 0, 0, 0, 0, 0, 0, 0, 0, 0, 0, 0, 0, 0, 0, 1</t>
  </si>
  <si>
    <t>hourly rate for electrical contractor</t>
  </si>
  <si>
    <t>0, 0, 0, 0, 0, 0, 0, 0, 1, 0, 1, 1, 0, 2, 1, 0, 0, 1, 0, 0, 0, 1, 0, 1</t>
  </si>
  <si>
    <t>eco electrical services llc</t>
  </si>
  <si>
    <t>electrical installation tampa</t>
  </si>
  <si>
    <t>electrical repair services in mumbai</t>
  </si>
  <si>
    <t>emergency electrical repairs southlake tx</t>
  </si>
  <si>
    <t>electrical contractor houston texas</t>
  </si>
  <si>
    <t>electrical contractor palisade</t>
  </si>
  <si>
    <t>0, 0, 0, 0, 2, 0, 0, 0, 1, 1, 1, 0, 0, 0, 0, 0, 0, 0, 0, 0, 0, 0, 0, 1</t>
  </si>
  <si>
    <t>renew electrical installation license</t>
  </si>
  <si>
    <t>sprint electrical services</t>
  </si>
  <si>
    <t>c10 electrical contractor</t>
  </si>
  <si>
    <t>electrical repairs and installations in midrand</t>
  </si>
  <si>
    <t>0, 0, 0, 0, 0, 0, 0, 0, 0, 0, 0, 0, 0, 0, 4, 4, 4, 2, 0, 0, 0, 0, 0, 1</t>
  </si>
  <si>
    <t>electrical contractor registration form</t>
  </si>
  <si>
    <t>5, 3, 6, 4, 0, 0, 0, 0, 3, 0, 3, 15, 10, 1, 2, 2, 0, 2, 3, 1, 1, 1, 0, 2</t>
  </si>
  <si>
    <t>emergency electrician farmers branch tx</t>
  </si>
  <si>
    <t>alpharetta electrical contractor</t>
  </si>
  <si>
    <t>0, 0, 0, 0, 0, 0, 0, 0, 0, 2, 0, 0, 0, 0, 0, 0, 0, 0, 0, 0, 0, 0, 0, 1</t>
  </si>
  <si>
    <t>electrical contractor posttstown pa</t>
  </si>
  <si>
    <t>residential electrical services brisbane</t>
  </si>
  <si>
    <t>1, 0, 0, 1, 0, 0, 0, 0, 0, 0, 1, 0, 0, 0, 0, 0, 0, 0, 0, 0, 0, 0, 0, 1</t>
  </si>
  <si>
    <t>electrical services colorado springs</t>
  </si>
  <si>
    <t>rj electrical services</t>
  </si>
  <si>
    <t>oceanside home electrical repair services</t>
  </si>
  <si>
    <t>bradenton emergency electrician</t>
  </si>
  <si>
    <t>is electrical installation a good career</t>
  </si>
  <si>
    <t>bruno's auto electrical services</t>
  </si>
  <si>
    <t>local emergency electrician</t>
  </si>
  <si>
    <t>1, 2, 0, 3, 1, 1, 3, 7, 9, 4, 6, 2, 1, 1, 3, 1, 0, 0, 0, 0, 0, 0, 0, 1</t>
  </si>
  <si>
    <t>electrical terminal installation saint-constant</t>
  </si>
  <si>
    <t>3, 6, 3, 2, 1, 1, 2, 3, 0, 0, 4, 0, 0, 0, 0, 0, 0, 0, 0, 0, 0, 0, 0, 1</t>
  </si>
  <si>
    <t>unity electrical services</t>
  </si>
  <si>
    <t>0, 0, 0, 0, 0, 0, 0, 2, 1, 0, 0, 0, 1, 2, 0, 0, 0, 0, 0, 0, 0, 0, 0, 1</t>
  </si>
  <si>
    <t>rygol electrical services ltd</t>
  </si>
  <si>
    <t>new build electrical installation</t>
  </si>
  <si>
    <t>emergency electrician rossmoyne</t>
  </si>
  <si>
    <t>0, 0, 0, 0, 0, 0, 2, 0, 0, 2, 1, 0, 0, 0, 0, 0, 0, 0, 0, 0, 0, 0, 0, 1</t>
  </si>
  <si>
    <t>electrical as-built design services</t>
  </si>
  <si>
    <t>hot tub electrical installation</t>
  </si>
  <si>
    <t>4, 2, 3, 5, 3, 5, 5, 8, 8, 3, 11, 6, 0, 0, 0, 1, 0, 0, 0, 2, 0, 0, 1, 1</t>
  </si>
  <si>
    <t>electrical contractor in edmonton</t>
  </si>
  <si>
    <t>electrical contractor company profile</t>
  </si>
  <si>
    <t>3, 0, 0, 1, 0, 2, 1, 1, 2, 0, 0, 0, 2, 1, 0, 2, 0, 4, 1, 0, 1, 5, 1, 3</t>
  </si>
  <si>
    <t>electrical contractor lakeland</t>
  </si>
  <si>
    <t>electrical contractor.</t>
  </si>
  <si>
    <t>0, 0, 0, 0, 0, 0, 0, 0, 0, 0, 0, 0, 0, 0, 0, 1, 0, 0, 1, 0, 0, 0, 0, 1</t>
  </si>
  <si>
    <t>emergency london electrician</t>
  </si>
  <si>
    <t>online electrical installation certificate</t>
  </si>
  <si>
    <t>repairs to small electrical items</t>
  </si>
  <si>
    <t>0, 0, 0, 1, 4, 0, 0, 1, 0, 0, 1, 0, 1, 0, 0, 0, 0, 0, 0, 0, 0, 0, 0, 1</t>
  </si>
  <si>
    <t>terms and conditions for electrical services</t>
  </si>
  <si>
    <t>0, 0, 0, 0, 0, 0, 0, 0, 0, 0, 0, 1, 0, 0, 0, 0, 1, 0, 0, 0, 0, 0, 0, 1</t>
  </si>
  <si>
    <t>electrical services platte county</t>
  </si>
  <si>
    <t>cypress electrical services</t>
  </si>
  <si>
    <t>0, 0, 0, 0, 0, 0, 0, 1, 0, 0, 0, 0, 0, 0, 0, 1, 0, 0, 0, 0, 0, 0, 0, 1</t>
  </si>
  <si>
    <t>djm electrical services</t>
  </si>
  <si>
    <t>emergency electrician brisbane</t>
  </si>
  <si>
    <t>1, 3, 1, 1, 6, 3, 6, 3, 4, 4, 7, 9, 1, 0, 0, 2, 0, 0, 0, 0, 0, 1, 0, 1</t>
  </si>
  <si>
    <t>contract for electrical services</t>
  </si>
  <si>
    <t>1, 0, 0, 0, 0, 0, 0, 0, 0, 0, 0, 0, 0, 0, 0, 0, 0, 0, 0, 0, 0, 0, 2, 1</t>
  </si>
  <si>
    <t>electrical installation brighton mi</t>
  </si>
  <si>
    <t>specialized electrical installation rules paper 1</t>
  </si>
  <si>
    <t>electrical services in uitenhage, eastern cape</t>
  </si>
  <si>
    <t>0, 0, 0, 0, 0, 0, 0, 0, 0, 0, 0, 0, 0, 0, 0, 0, 0, 2, 2, 0, 0, 0, 0, 1</t>
  </si>
  <si>
    <t>electrical contractor insurance minnesota</t>
  </si>
  <si>
    <t>0, 0, 0, 0, 1, 0, 0, 0, 2, 0, 0, 1, 0, 0, 0, 0, 0, 0, 0, 0, 0, 0, 0, 1</t>
  </si>
  <si>
    <t>electrical services cheltenham</t>
  </si>
  <si>
    <t>emergency electrician oklahoma</t>
  </si>
  <si>
    <t>electrical works contractor</t>
  </si>
  <si>
    <t>1, 0, 0, 0, 0, 1, 0, 0, 2, 1, 0, 0, 0, 0, 0, 0, 0, 1, 0, 0, 0, 0, 0, 1</t>
  </si>
  <si>
    <t>tvr auto electrical &amp; mechanical services</t>
  </si>
  <si>
    <t>ev charging station electrical contractor</t>
  </si>
  <si>
    <t>acd electrical services</t>
  </si>
  <si>
    <t>0, 0, 0, 0, 0, 0, 0, 0, 0, 0, 0, 0, 0, 0, 0, 0, 0, 0, 0, 3, 0, 0, 2, 2</t>
  </si>
  <si>
    <t>viva electrical contractor</t>
  </si>
  <si>
    <t>fort myers electrical contractor</t>
  </si>
  <si>
    <t>0, 0, 0, 0, 0, 0, 0, 0, 0, 2, 1, 1, 0, 0, 0, 0, 0, 0, 0, 0, 0, 0, 0, 1</t>
  </si>
  <si>
    <t>electrical handyman services kitchener</t>
  </si>
  <si>
    <t>skills of electrical installation and maintenance</t>
  </si>
  <si>
    <t>electrician cape town city bowl</t>
  </si>
  <si>
    <t>avatar electrical services</t>
  </si>
  <si>
    <t>0, 0, 0, 0, 0, 3, 1, 0, 0, 0, 0, 0, 0, 0, 0, 0, 0, 0, 0, 0, 0, 0, 0, 1</t>
  </si>
  <si>
    <t>importance of earthing in electrical installation</t>
  </si>
  <si>
    <t>3, 4, 5, 0, 3, 0, 1, 1, 2, 0, 0, 0, 1, 2, 1, 2, 0, 0, 3, 2, 0, 2, 1, 2</t>
  </si>
  <si>
    <t>electrical maintenance services perkinston</t>
  </si>
  <si>
    <t>mec electrical services</t>
  </si>
  <si>
    <t>residential electrical services petaluma ca</t>
  </si>
  <si>
    <t>0, 0, 0, 1, 1, 1, 0, 0, 0, 1, 0, 0, 0, 0, 0, 0, 0, 0, 0, 0, 0, 0, 0, 1</t>
  </si>
  <si>
    <t>emergency electrician north highlands</t>
  </si>
  <si>
    <t>0, 0, 1, 0, 1, 0, 0, 0, 1, 0, 0, 0, 0, 0, 0, 0, 0, 0, 0, 0, 0, 0, 0, 1</t>
  </si>
  <si>
    <t>subaru electrical repairs</t>
  </si>
  <si>
    <t>0, 0, 0, 0, 0, 0, 0, 0, 0, 0, 2, 0, 0, 0, 9, 0, 0, 0, 0, 0, 0, 0, 0, 1</t>
  </si>
  <si>
    <t>domestic electrical services winchester</t>
  </si>
  <si>
    <t>0, 0, 0, 0, 1, 2, 0, 0, 0, 2, 1, 0, 0, 0, 0, 0, 0, 0, 0, 0, 0, 0, 0, 1</t>
  </si>
  <si>
    <t>dt electrical services</t>
  </si>
  <si>
    <t>lps electrical services</t>
  </si>
  <si>
    <t>north coast residential electrical services</t>
  </si>
  <si>
    <t>electrical contractor wakefield</t>
  </si>
  <si>
    <t>0, 0, 0, 0, 0, 0, 0, 0, 1, 0, 1, 0, 1, 0, 0, 0, 0, 0, 0, 0, 0, 0, 0, 1</t>
  </si>
  <si>
    <t>emergency commercial electrician near me</t>
  </si>
  <si>
    <t>0, 0, 0, 0, 0, 1, 0, 1, 4, 2, 6, 5, 0, 0, 0, 1, 0, 0, 1, 0, 0, 3, 1, 1</t>
  </si>
  <si>
    <t>electrical installation risk assessment example</t>
  </si>
  <si>
    <t>0, 0, 5, 0, 0, 0, 2, 1, 0, 1, 3, 2, 0, 3, 2, 0, 0, 0, 0, 0, 0, 0, 0, 1</t>
  </si>
  <si>
    <t>commercial electrical services santa barbara</t>
  </si>
  <si>
    <t>0, 0, 0, 0, 0, 0, 1, 1, 1, 1, 0, 0, 0, 0, 0, 0, 0, 0, 0, 0, 0, 0, 0, 1</t>
  </si>
  <si>
    <t>electrical services toronto</t>
  </si>
  <si>
    <t>1, 0, 1, 0, 2, 0, 2, 2, 2, 1, 1, 0, 0, 0, 0, 0, 0, 0, 0, 0, 0, 0, 0, 1</t>
  </si>
  <si>
    <t>pvc conduit electrical installation</t>
  </si>
  <si>
    <t>0, 0, 0, 0, 0, 0, 0, 0, 0, 0, 0, 0, 0, 0, 0, 0, 0, 0, 0, 0, 2, 2, 1, 3</t>
  </si>
  <si>
    <t>electrical installation scottsdale</t>
  </si>
  <si>
    <t>outdoor electrical box installation</t>
  </si>
  <si>
    <t>0, 0, 1, 3, 0, 0, 1, 0, 2, 2, 4, 2, 1, 3, 1, 2, 0, 0, 0, 0, 1, 1, 0, 2</t>
  </si>
  <si>
    <t>emergency electrician hammersmith</t>
  </si>
  <si>
    <t>0, 0, 0, 1, 1, 0, 0, 0, 0, 0, 1, 0, 0, 0, 0, 0, 0, 0, 0, 0, 0, 0, 0, 1</t>
  </si>
  <si>
    <t>electrical appliance repairs lynnwood</t>
  </si>
  <si>
    <t>electrical contractor invoicing software</t>
  </si>
  <si>
    <t>0, 2, 4, 3, 1, 2, 2, 3, 1, 5, 1, 2, 0, 0, 0, 0, 0, 0, 1, 0, 0, 0, 0, 1</t>
  </si>
  <si>
    <t>progressive electrical services</t>
  </si>
  <si>
    <t>alg electrical services</t>
  </si>
  <si>
    <t>above ground pool electrical installation cost</t>
  </si>
  <si>
    <t>electrical contractor fort worth</t>
  </si>
  <si>
    <t>0, 0, 0, 0, 0, 0, 2, 0, 1, 1, 1, 0, 0, 0, 0, 0, 0, 0, 0, 0, 0, 0, 0, 1</t>
  </si>
  <si>
    <t>electrical repairs baltimore md</t>
  </si>
  <si>
    <t>0, 0, 0, 1, 3, 0, 0, 0, 1, 0, 0, 0, 0, 0, 0, 0, 0, 0, 0, 0, 0, 0, 0, 1</t>
  </si>
  <si>
    <t>electrical engineering services troy</t>
  </si>
  <si>
    <t>electrical services kennington</t>
  </si>
  <si>
    <t>0, 1, 0, 0, 0, 0, 2, 0, 0, 0, 1, 1, 0, 0, 0, 0, 0, 0, 0, 0, 0, 0, 0, 1</t>
  </si>
  <si>
    <t>electrical outlet repairs auckland</t>
  </si>
  <si>
    <t>0, 0, 0, 0, 0, 0, 1, 0, 1, 2, 1, 0, 0, 0, 0, 0, 0, 0, 0, 0, 0, 0, 0, 1</t>
  </si>
  <si>
    <t>residential electrical services bedford</t>
  </si>
  <si>
    <t>emergency electrician jannali</t>
  </si>
  <si>
    <t>0, 0, 3, 0, 0, 0, 0, 0, 1, 0, 0, 1, 0, 1, 0, 0, 0, 0, 0, 0, 0, 0, 0, 1</t>
  </si>
  <si>
    <t>household electrical repairs near me</t>
  </si>
  <si>
    <t>2, 0, 0, 0, 0, 2, 0, 3, 8, 0, 1, 1, 0, 2, 4, 0, 0, 0, 1, 2, 2, 0, 0, 2</t>
  </si>
  <si>
    <t>electrical services in thanet</t>
  </si>
  <si>
    <t>electrical repairs canton</t>
  </si>
  <si>
    <t>1, 0, 0, 0, 0, 0, 1, 2, 0, 0, 0, 0, 0, 0, 0, 0, 0, 0, 0, 0, 0, 0, 0, 1</t>
  </si>
  <si>
    <t>electrical installation redmond</t>
  </si>
  <si>
    <t>electrical transformer painting services</t>
  </si>
  <si>
    <t>hp electrical contractor</t>
  </si>
  <si>
    <t>brothers electrical services</t>
  </si>
  <si>
    <t>1, 0, 0, 2, 0, 1, 0, 0, 0, 0, 0, 0, 0, 0, 0, 0, 0, 0, 0, 0, 0, 0, 0, 1</t>
  </si>
  <si>
    <t>brisbane electrical contractor</t>
  </si>
  <si>
    <t>0, 0, 0, 2, 0, 2, 0, 3, 0, 0, 0, 0, 0, 0, 0, 0, 0, 0, 0, 0, 0, 0, 0, 1</t>
  </si>
  <si>
    <t>electrical switch and outlet installation</t>
  </si>
  <si>
    <t>emergency electrician in atlanta, ga</t>
  </si>
  <si>
    <t>electrical engineering services saratoga</t>
  </si>
  <si>
    <t>cheap emergency electrician</t>
  </si>
  <si>
    <t>down to earth electrical services</t>
  </si>
  <si>
    <t>0, 0, 0, 0, 1, 0, 0, 0, 0, 0, 0, 0, 1, 0, 0, 0, 0, 0, 0, 0, 0, 0, 0, 1</t>
  </si>
  <si>
    <t>conway electrical services</t>
  </si>
  <si>
    <t>1, 2, 0, 1, 0, 3, 0, 0, 1, 1, 8, 7, 0, 0, 0, 0, 0, 0, 0, 0, 0, 0, 0, 1</t>
  </si>
  <si>
    <t>electrical contractor woodland hills</t>
  </si>
  <si>
    <t>0, 0, 0, 1, 1, 1, 0, 1, 2, 0, 0, 0, 0, 0, 0, 0, 0, 0, 0, 0, 0, 0, 0, 1</t>
  </si>
  <si>
    <t>electrical contractor coppell tx</t>
  </si>
  <si>
    <t>electrical contractor work near me</t>
  </si>
  <si>
    <t>0, 0, 0, 0, 0, 0, 0, 0, 0, 0, 0, 0, 0, 0, 0, 0, 0, 2, 0, 0, 0, 0, 0, 1</t>
  </si>
  <si>
    <t>electrical outlet installation mississippi</t>
  </si>
  <si>
    <t>wilton electrical services</t>
  </si>
  <si>
    <t>electrical company services list</t>
  </si>
  <si>
    <t>0, 0, 0, 0, 0, 0, 0, 8, 1, 0, 1, 2, 1, 1, 1, 0, 0, 0, 0, 0, 0, 0, 0, 1</t>
  </si>
  <si>
    <t>emergency electrician crayford</t>
  </si>
  <si>
    <t>electrical contractor estimate template</t>
  </si>
  <si>
    <t>2, 0, 0, 1, 0, 0, 0, 0, 0, 0, 0, 1, 0, 0, 0, 0, 0, 0, 0, 0, 0, 2, 0, 1</t>
  </si>
  <si>
    <t>west hartford commercial electrical services</t>
  </si>
  <si>
    <t>electrical contractor broomall</t>
  </si>
  <si>
    <t>electrical repairs in los angeles</t>
  </si>
  <si>
    <t>0, 0, 0, 1, 0, 0, 1, 1, 0, 0, 0, 0, 0, 0, 0, 0, 0, 0, 0, 0, 0, 0, 0, 1</t>
  </si>
  <si>
    <t>electrical services usa</t>
  </si>
  <si>
    <t>emergency electrician regents park</t>
  </si>
  <si>
    <t>traction electrical services</t>
  </si>
  <si>
    <t>energy electrical services</t>
  </si>
  <si>
    <t>ayres electrical services</t>
  </si>
  <si>
    <t>braid electrical services ltd</t>
  </si>
  <si>
    <t>emergency electrician mont albert</t>
  </si>
  <si>
    <t>0, 1, 1, 0, 0, 1, 0, 1, 1, 0, 1, 0, 0, 0, 0, 0, 0, 0, 0, 0, 0, 0, 0, 1</t>
  </si>
  <si>
    <t>shreveport electrical services</t>
  </si>
  <si>
    <t>electrical contractor bacliff</t>
  </si>
  <si>
    <t>domestic electrical installation pdf</t>
  </si>
  <si>
    <t>5, 12, 8, 8, 12, 4, 3, 3, 9, 3, 6, 3, 12, 2, 6, 4, 3, 2, 3, 1, 0, 0, 0, 1</t>
  </si>
  <si>
    <t>nvq electrical installation</t>
  </si>
  <si>
    <t>0, 0, 0, 0, 0, 0, 0, 0, 0, 0, 0, 0, 1, 0, 0, 0, 0, 0, 1, 0, 0, 0, 0, 1</t>
  </si>
  <si>
    <t>top electrical sub panel installation</t>
  </si>
  <si>
    <t>electrical installation inspection and testing</t>
  </si>
  <si>
    <t>0, 0, 0, 0, 0, 0, 0, 0, 0, 1, 0, 1, 0, 1, 1, 0, 0, 0, 0, 0, 0, 1, 0, 1</t>
  </si>
  <si>
    <t>glens electrical services</t>
  </si>
  <si>
    <t>0, 0, 0, 0, 0, 0, 0, 0, 0, 0, 0, 0, 0, 0, 2, 1, 1, 0, 1, 0, 0, 5, 0, 1</t>
  </si>
  <si>
    <t>amj electrical services (pty) ltd</t>
  </si>
  <si>
    <t>0, 0, 5, 2, 0, 0, 0, 0, 0, 0, 0, 0, 0, 4, 8, 0, 1, 0, 3, 8, 12, 15, 3, 11</t>
  </si>
  <si>
    <t>emergency electrician beechboro</t>
  </si>
  <si>
    <t>0, 0, 0, 0, 0, 0, 0, 0, 1, 1, 1, 1, 0, 1, 0, 0, 0, 0, 0, 0, 0, 0, 0, 1</t>
  </si>
  <si>
    <t>don electrical services</t>
  </si>
  <si>
    <t>0, 0, 0, 0, 0, 0, 1, 0, 1, 0, 0, 1, 0, 0, 1, 0, 0, 0, 0, 0, 0, 0, 0, 1</t>
  </si>
  <si>
    <t>sry electrical services</t>
  </si>
  <si>
    <t>ohio electrical contractor</t>
  </si>
  <si>
    <t>0, 0, 0, 0, 0, 0, 0, 2, 1, 0, 0, 0, 0, 0, 0, 0, 0, 1, 0, 0, 0, 0, 0, 1</t>
  </si>
  <si>
    <t>r and r electrical services</t>
  </si>
  <si>
    <t>0, 3, 1, 0, 3, 0, 2, 2, 0, 0, 1, 0, 1, 1, 1, 0, 0, 0, 0, 0, 0, 0, 0, 1</t>
  </si>
  <si>
    <t>jcs electrical services</t>
  </si>
  <si>
    <t>emergency electrical services niceville</t>
  </si>
  <si>
    <t>cook electrical services</t>
  </si>
  <si>
    <t>electrical repairs hickory, nc</t>
  </si>
  <si>
    <t>0, 0, 1, 0, 0, 0, 1, 0, 0, 1, 1, 0, 0, 0, 0, 0, 0, 0, 0, 0, 0, 0, 0, 1</t>
  </si>
  <si>
    <t>ajd electrical services</t>
  </si>
  <si>
    <t>emergency electrician somerset west</t>
  </si>
  <si>
    <t>electrical services inc</t>
  </si>
  <si>
    <t>0, 0, 0, 0, 1, 0, 0, 0, 1, 2, 0, 0, 0, 0, 0, 0, 0, 0, 0, 0, 0, 0, 0, 1</t>
  </si>
  <si>
    <t>electrical panel contractor</t>
  </si>
  <si>
    <t>a and a electrical services</t>
  </si>
  <si>
    <t>0, 0, 0, 0, 0, 0, 0, 0, 0, 0, 0, 1, 1, 0, 0, 0, 0, 0, 1, 1, 0, 0, 0, 1</t>
  </si>
  <si>
    <t>emergency electrician kingsley</t>
  </si>
  <si>
    <t>0, 0, 0, 0, 0, 0, 2, 2, 3, 0, 1, 3, 0, 0, 0, 0, 0, 0, 0, 0, 0, 0, 0, 1</t>
  </si>
  <si>
    <t>elpol electrical services</t>
  </si>
  <si>
    <t>electrical services bli bli</t>
  </si>
  <si>
    <t>riverside electrical services</t>
  </si>
  <si>
    <t>aynor electrical services</t>
  </si>
  <si>
    <t>2, 0, 0, 1, 0, 2, 0, 0, 0, 4, 2, 0, 0, 0, 0, 0, 0, 0, 0, 0, 0, 0, 0, 1</t>
  </si>
  <si>
    <t>gainesville electrical services</t>
  </si>
  <si>
    <t>emergency electrician henderson</t>
  </si>
  <si>
    <t>0, 0, 0, 0, 0, 0, 0, 1, 0, 2, 4, 0, 0, 0, 0, 0, 0, 0, 0, 0, 0, 0, 0, 1</t>
  </si>
  <si>
    <t>electrical contractor el lago</t>
  </si>
  <si>
    <t>0, 1, 1, 1, 0, 0, 0, 0, 0, 0, 0, 0, 0, 0, 0, 0, 0, 0, 0, 0, 0, 0, 0, 1</t>
  </si>
  <si>
    <t>lawton emergency electrician</t>
  </si>
  <si>
    <t>corporate electrical services</t>
  </si>
  <si>
    <t>0, 0, 0, 0, 0, 0, 0, 0, 0, 1, 0, 0, 1, 0, 0, 0, 0, 0, 0, 0, 0, 0, 0, 1</t>
  </si>
  <si>
    <t>on demand electrical services</t>
  </si>
  <si>
    <t>1, 0, 0, 0, 1, 0, 0, 0, 2, 0, 0, 0, 0, 0, 0, 0, 0, 0, 1, 0, 0, 0, 0, 1</t>
  </si>
  <si>
    <t>electrical contractor myrtle beach sc</t>
  </si>
  <si>
    <t>0, 0, 0, 0, 0, 0, 1, 0, 0, 1, 1, 0, 0, 0, 0, 0, 0, 0, 0, 0, 0, 0, 0, 1</t>
  </si>
  <si>
    <t>electrical contractor raleigh, nc</t>
  </si>
  <si>
    <t>electrical contractor software reviews</t>
  </si>
  <si>
    <t>1, 2, 1, 0, 1, 0, 2, 0, 0, 1, 0, 0, 0, 0, 0, 0, 0, 0, 0, 0, 0, 0, 0, 1</t>
  </si>
  <si>
    <t>basement electrical contractor</t>
  </si>
  <si>
    <t>g e electrical services ltd</t>
  </si>
  <si>
    <t>emergency electrician 24/7</t>
  </si>
  <si>
    <t>0, 0, 2, 0, 1, 1, 0, 2, 0, 0, 2, 0, 0, 3, 0, 0, 1, 0, 0, 0, 0, 0, 0, 1</t>
  </si>
  <si>
    <t>ja electrical services</t>
  </si>
  <si>
    <t>electrical contractor toronto</t>
  </si>
  <si>
    <t>0, 0, 3, 0, 3, 0, 2, 2, 1, 1, 1, 0, 0, 0, 0, 0, 0, 0, 0, 0, 1, 0, 0, 1</t>
  </si>
  <si>
    <t>emergency electrician ripponlea</t>
  </si>
  <si>
    <t>2, 1, 1, 0, 0, 0, 1, 0, 0, 0, 0, 0, 0, 0, 0, 0, 0, 0, 0, 0, 0, 0, 0, 1</t>
  </si>
  <si>
    <t>albee electrical services</t>
  </si>
  <si>
    <t>0, 0, 0, 0, 0, 0, 0, 0, 1, 1, 1, 0, 0, 0, 0, 0, 0, 0, 1, 0, 0, 0, 0, 1</t>
  </si>
  <si>
    <t>m d electrical services</t>
  </si>
  <si>
    <t>public liability insurance electrical contractor</t>
  </si>
  <si>
    <t>0, 0, 0, 1, 1, 1, 1, 1, 2, 2, 4, 0, 0, 1, 0, 0, 0, 0, 0, 0, 0, 0, 0, 1</t>
  </si>
  <si>
    <t>electrical installation questions and answers</t>
  </si>
  <si>
    <t>electrical contractor richfield ut</t>
  </si>
  <si>
    <t>0, 0, 0, 1, 0, 0, 1, 1, 1, 1, 1, 0, 0, 0, 0, 0, 0, 0, 0, 0, 0, 0, 0, 1</t>
  </si>
  <si>
    <t>electrical contractor fort mill</t>
  </si>
  <si>
    <t>emergency electrician keysbrook</t>
  </si>
  <si>
    <t>0, 0, 0, 0, 0, 0, 0, 2, 0, 2, 1, 0, 0, 0, 0, 0, 0, 0, 0, 0, 0, 0, 0, 1</t>
  </si>
  <si>
    <t>commercial emergency electrician mint hill, nc</t>
  </si>
  <si>
    <t>fp electrical services</t>
  </si>
  <si>
    <t>electrical contractor new orleans</t>
  </si>
  <si>
    <t>minor electrical installation works certificates</t>
  </si>
  <si>
    <t>types of joint in electrical installation</t>
  </si>
  <si>
    <t>1, 1, 0, 0, 0, 0, 0, 1, 1, 0, 0, 2, 4, 0, 0, 0, 0, 0, 0, 0, 0, 0, 0, 1</t>
  </si>
  <si>
    <t>electrical appliance services</t>
  </si>
  <si>
    <t>0, 0, 0, 0, 0, 0, 0, 0, 0, 0, 0, 0, 0, 0, 3, 0, 0, 0, 0, 0, 0, 0, 0, 1</t>
  </si>
  <si>
    <t>cct electrical services</t>
  </si>
  <si>
    <t>4, 0, 0, 0, 0, 0, 0, 0, 0, 0, 0, 0, 0, 0, 0, 0, 0, 0, 0, 0, 0, 0, 0, 1</t>
  </si>
  <si>
    <t>function of pliers in electrical installation</t>
  </si>
  <si>
    <t>electrical and air conditioning services</t>
  </si>
  <si>
    <t>0, 0, 1, 1, 0, 5, 2, 4, 1, 2, 1, 4, 1, 1, 0, 0, 0, 0, 0, 0, 0, 0, 1, 1</t>
  </si>
  <si>
    <t>emergency electrician western sydney</t>
  </si>
  <si>
    <t>medium voltage electrical services</t>
  </si>
  <si>
    <t>0, 0, 1, 0, 0, 0, 0, 1, 1, 0, 0, 1, 0, 0, 0, 0, 0, 0, 0, 0, 0, 0, 0, 1</t>
  </si>
  <si>
    <t>electrical repairs and installations in brakpan</t>
  </si>
  <si>
    <t>0, 0, 0, 0, 0, 0, 0, 0, 0, 0, 0, 0, 0, 0, 0, 0, 4, 7, 0, 0, 0, 0, 0, 1</t>
  </si>
  <si>
    <t>electrical services boston</t>
  </si>
  <si>
    <t>commercial electrical services kansas</t>
  </si>
  <si>
    <t>electrical and installation</t>
  </si>
  <si>
    <t>0, 0, 0, 0, 3, 2, 1, 2, 0, 1, 2, 1, 1, 2, 0, 2, 0, 1, 0, 0, 0, 0, 0, 1</t>
  </si>
  <si>
    <t>electrical asset management services</t>
  </si>
  <si>
    <t>electrical contractor local seo services</t>
  </si>
  <si>
    <t>electrical installation in oil and gas industry</t>
  </si>
  <si>
    <t>emergency electrician leichhardt</t>
  </si>
  <si>
    <t>electrical services marion county</t>
  </si>
  <si>
    <t>electrical contractor in sacramento</t>
  </si>
  <si>
    <t>electrical contractor in jacksonville</t>
  </si>
  <si>
    <t>emergency electrician north beach</t>
  </si>
  <si>
    <t>0, 0, 0, 0, 0, 0, 0, 0, 2, 2, 2, 0, 0, 0, 0, 0, 0, 0, 0, 0, 0, 0, 0, 1</t>
  </si>
  <si>
    <t>electrical repairs west auckland</t>
  </si>
  <si>
    <t>truck electrical services</t>
  </si>
  <si>
    <t>zi electrical services</t>
  </si>
  <si>
    <t>0, 0, 1, 0, 1, 0, 0, 0, 0, 0, 1, 0, 0, 0, 1, 0, 0, 0, 0, 0, 0, 0, 0, 1</t>
  </si>
  <si>
    <t>electrical installation certificates</t>
  </si>
  <si>
    <t>0, 0, 0, 0, 1, 0, 0, 0, 0, 0, 0, 0, 1, 0, 0, 0, 1, 0, 0, 1, 0, 1, 0, 1</t>
  </si>
  <si>
    <t>bill of quantities for electrical installation</t>
  </si>
  <si>
    <t>electrical repairs aurora co</t>
  </si>
  <si>
    <t>elite electrical services</t>
  </si>
  <si>
    <t>0, 0, 1, 1, 4, 6, 0, 1, 0, 2, 1, 1, 0, 0, 1, 1, 0, 2, 0, 3, 2, 1, 0, 1</t>
  </si>
  <si>
    <t>pvc electrical conduit installation</t>
  </si>
  <si>
    <t>0, 0, 0, 0, 0, 0, 0, 0, 0, 0, 1, 0, 0, 0, 0, 0, 0, 0, 0, 2, 1, 0, 3, 4</t>
  </si>
  <si>
    <t>emergency electrician port kennedy</t>
  </si>
  <si>
    <t>0, 0, 0, 0, 0, 1, 1, 0, 0, 1, 2, 0, 0, 0, 0, 0, 0, 0, 0, 0, 0, 0, 0, 1</t>
  </si>
  <si>
    <t>electrical contractor hull</t>
  </si>
  <si>
    <t>bmw auto electrician cape town</t>
  </si>
  <si>
    <t>adm electrical services</t>
  </si>
  <si>
    <t>level 3 electrical installation college</t>
  </si>
  <si>
    <t>emergency electrician swindon</t>
  </si>
  <si>
    <t>1, 1, 2, 0, 0, 0, 0, 2, 1, 0, 0, 1, 0, 0, 0, 0, 0, 0, 0, 0, 1, 0, 0, 1</t>
  </si>
  <si>
    <t>electrical cable installation standards</t>
  </si>
  <si>
    <t>27, 17, 11, 20, 5, 8, 14, 10, 4, 0, 2, 7, 7, 2, 4, 6, 1, 1, 7, 1, 0, 1, 0, 1</t>
  </si>
  <si>
    <t>electrical contractor aurora</t>
  </si>
  <si>
    <t>0, 1, 3, 2, 4, 1, 2, 2, 3, 3, 2, 0, 0, 0, 0, 0, 0, 0, 0, 0, 0, 0, 0, 1</t>
  </si>
  <si>
    <t>arvada electrical services</t>
  </si>
  <si>
    <t>commercial electrical services houston tx</t>
  </si>
  <si>
    <t>aa auto electrical services cape town</t>
  </si>
  <si>
    <t>3, 0, 0, 0, 1, 0, 0, 0, 0, 0, 0, 0, 0, 0, 0, 0, 0, 0, 0, 0, 0, 0, 0, 1</t>
  </si>
  <si>
    <t>kings park emergency electrician</t>
  </si>
  <si>
    <t>0, 0, 0, 0, 0, 2, 0, 0, 1, 0, 1, 0, 0, 0, 0, 0, 0, 0, 0, 0, 0, 0, 0, 1</t>
  </si>
  <si>
    <t>tony's electrical services</t>
  </si>
  <si>
    <t>emergency electrician doncaster</t>
  </si>
  <si>
    <t>0, 0, 0, 0, 0, 0, 0, 0, 1, 3, 1, 0, 0, 0, 0, 0, 0, 0, 0, 0, 0, 0, 0, 1</t>
  </si>
  <si>
    <t>residential electrical panel services</t>
  </si>
  <si>
    <t>electrical services hickory, nc</t>
  </si>
  <si>
    <t>electrical installation service west midlands</t>
  </si>
  <si>
    <t>electrical repairs lexington ky</t>
  </si>
  <si>
    <t>0, 0, 1, 0, 0, 1, 1, 1, 1, 0, 1, 2, 0, 0, 0, 0, 0, 0, 0, 0, 0, 0, 0, 1</t>
  </si>
  <si>
    <t>poway electrical contractor</t>
  </si>
  <si>
    <t>electrician electrical contractor</t>
  </si>
  <si>
    <t>0, 2, 0, 2, 2, 4, 0, 2, 1, 2, 0, 0, 1, 0, 0, 0, 0, 0, 1, 0, 0, 0, 0, 1</t>
  </si>
  <si>
    <t>electrical engineering installation</t>
  </si>
  <si>
    <t>0, 2, 0, 0, 0, 2, 0, 2, 0, 0, 2, 1, 0, 0, 0, 0, 1, 0, 1, 1, 0, 1, 0, 1</t>
  </si>
  <si>
    <t>electrical repairs wilmington, nc</t>
  </si>
  <si>
    <t>0, 1, 2, 1, 2, 1, 0, 0, 0, 2, 1, 0, 0, 0, 0, 0, 0, 0, 0, 0, 0, 0, 0, 1</t>
  </si>
  <si>
    <t>commercial industrial electrical contractor</t>
  </si>
  <si>
    <t>electrical services lakewood</t>
  </si>
  <si>
    <t>electrical installation testing sequence</t>
  </si>
  <si>
    <t>emergency electrician winter garden</t>
  </si>
  <si>
    <t>0, 0, 0, 0, 1, 2, 0, 0, 0, 0, 0, 0, 0, 0, 0, 0, 0, 0, 0, 0, 0, 0, 0, 1</t>
  </si>
  <si>
    <t>perth emergency electrician</t>
  </si>
  <si>
    <t>0, 0, 0, 0, 0, 2, 0, 1, 2, 0, 5, 1, 0, 0, 0, 0, 0, 0, 0, 0, 0, 0, 0, 1</t>
  </si>
  <si>
    <t>south shore electrical services</t>
  </si>
  <si>
    <t>emergency electrician myrtle beach</t>
  </si>
  <si>
    <t>1, 0, 0, 0, 1, 2, 0, 0, 0, 0, 5, 3, 0, 0, 0, 0, 0, 0, 0, 0, 0, 0, 0, 1</t>
  </si>
  <si>
    <t>e.e.s electrical services</t>
  </si>
  <si>
    <t>emergency electrician joondalup</t>
  </si>
  <si>
    <t>0, 1, 1, 0, 3, 1, 0, 1, 2, 2, 0, 0, 0, 0, 0, 0, 0, 0, 0, 0, 0, 0, 0, 1</t>
  </si>
  <si>
    <t>hypower electrical &amp; utility contractor</t>
  </si>
  <si>
    <t>0, 1, 1, 0, 0, 2, 0, 0, 0, 0, 0, 0, 0, 0, 0, 0, 0, 0, 0, 0, 0, 0, 0, 1</t>
  </si>
  <si>
    <t>electrical outlet installation scott county</t>
  </si>
  <si>
    <t>electrical installation regulations 2009</t>
  </si>
  <si>
    <t>0, 0, 0, 1, 1, 3, 1, 2, 0, 4, 1, 0, 0, 1, 0, 10, 0, 0, 0, 0, 2, 3, 0, 1</t>
  </si>
  <si>
    <t>electrical contractor phoenix</t>
  </si>
  <si>
    <t>0, 0, 3, 2, 1, 0, 0, 1, 4, 0, 1, 0, 0, 0, 0, 0, 0, 0, 0, 0, 0, 0, 0, 1</t>
  </si>
  <si>
    <t>custom electrical services</t>
  </si>
  <si>
    <t>0, 0, 0, 1, 1, 0, 1, 1, 0, 0, 0, 0, 0, 1, 0, 0, 1, 0, 1, 0, 0, 0, 0, 1</t>
  </si>
  <si>
    <t>ogden electrical services</t>
  </si>
  <si>
    <t>electrical repairs redbridge</t>
  </si>
  <si>
    <t>emergency electrician lambeth</t>
  </si>
  <si>
    <t>hunt electrical services</t>
  </si>
  <si>
    <t>residential electrical repairs lynnwood</t>
  </si>
  <si>
    <t>long island home electrical repair services</t>
  </si>
  <si>
    <t>24 hr emergency electrician mentone</t>
  </si>
  <si>
    <t>aplus electrical services</t>
  </si>
  <si>
    <t>0, 0, 0, 1, 2, 0, 0, 0, 0, 0, 0, 1, 0, 0, 0, 0, 0, 0, 0, 0, 0, 0, 0, 1</t>
  </si>
  <si>
    <t>electrical contractor scheduling software</t>
  </si>
  <si>
    <t>0, 2, 4, 5, 4, 3, 1, 2, 1, 3, 7, 5, 0, 0, 0, 0, 0, 0, 2, 0, 0, 1, 1, 1</t>
  </si>
  <si>
    <t>mobile car electrical repairs near me</t>
  </si>
  <si>
    <t>morwood electrical services ltd</t>
  </si>
  <si>
    <t>northern electrical services</t>
  </si>
  <si>
    <t>2, 0, 0, 0, 0, 0, 1, 0, 0, 0, 0, 0, 0, 0, 3, 2, 0, 0, 0, 1, 0, 0, 0, 1</t>
  </si>
  <si>
    <t>electrical services market</t>
  </si>
  <si>
    <t>0, 0, 0, 0, 0, 0, 0, 0, 1, 0, 2, 0, 0, 0, 0, 0, 1, 0, 0, 0, 0, 0, 0, 1</t>
  </si>
  <si>
    <t>tandem electrical services</t>
  </si>
  <si>
    <t>electrical services on site commissioning</t>
  </si>
  <si>
    <t>0, 0, 0, 0, 0, 1, 1, 1, 0, 0, 2, 1, 0, 0, 0, 0, 0, 0, 0, 0, 0, 0, 0, 1</t>
  </si>
  <si>
    <t>grove electrical services</t>
  </si>
  <si>
    <t>0, 0, 0, 0, 0, 0, 0, 0, 0, 0, 0, 1, 0, 0, 0, 0, 0, 0, 0, 0, 1, 0, 1, 1</t>
  </si>
  <si>
    <t>emergency electrician southbank</t>
  </si>
  <si>
    <t>0, 0, 0, 0, 1, 0, 1, 0, 1, 1, 0, 1, 0, 0, 0, 0, 0, 0, 0, 0, 0, 0, 0, 1</t>
  </si>
  <si>
    <t>definition of electrical installation</t>
  </si>
  <si>
    <t>3, 2, 2, 1, 0, 3, 1, 2, 0, 2, 5, 4, 0, 0, 2, 1, 0, 0, 2, 7, 0, 2, 1, 2</t>
  </si>
  <si>
    <t>emergency electrician moonee ponds</t>
  </si>
  <si>
    <t>0, 0, 0, 0, 0, 1, 0, 1, 1, 0, 1, 3, 0, 1, 0, 0, 0, 0, 0, 0, 0, 0, 0, 1</t>
  </si>
  <si>
    <t>electrical contractor melton</t>
  </si>
  <si>
    <t>emergency electrician dawes point</t>
  </si>
  <si>
    <t>concord electrical services</t>
  </si>
  <si>
    <t>camberwell emergency electrician</t>
  </si>
  <si>
    <t>0, 0, 1, 0, 0, 1, 0, 1, 0, 0, 0, 0, 0, 0, 0, 0, 0, 0, 0, 0, 0, 0, 0, 1</t>
  </si>
  <si>
    <t>electrical contractor tasmania</t>
  </si>
  <si>
    <t>mechanical electrical contractor</t>
  </si>
  <si>
    <t>0, 2, 0, 1, 0, 2, 1, 1, 1, 2, 2, 0, 0, 0, 0, 0, 0, 0, 0, 0, 0, 0, 0, 1</t>
  </si>
  <si>
    <t>emergency electrician logan</t>
  </si>
  <si>
    <t>0, 0, 0, 0, 0, 1, 0, 1, 1, 1, 0, 0, 0, 0, 0, 0, 0, 0, 0, 0, 0, 0, 0, 1</t>
  </si>
  <si>
    <t>emergency electrician kentucky</t>
  </si>
  <si>
    <t>0, 2, 0, 0, 2, 1, 0, 1, 1, 2, 0, 0, 0, 0, 0, 0, 0, 0, 0, 0, 0, 0, 0, 1</t>
  </si>
  <si>
    <t>penrith electrical contractor</t>
  </si>
  <si>
    <t>emergency electrician essendon</t>
  </si>
  <si>
    <t>0, 0, 0, 0, 3, 1, 1, 0, 0, 2, 1, 0, 0, 0, 0, 0, 0, 0, 0, 0, 0, 2, 0, 2</t>
  </si>
  <si>
    <t>electrical contractor enfield</t>
  </si>
  <si>
    <t>electrical contractor school</t>
  </si>
  <si>
    <t>0, 0, 0, 1, 0, 0, 0, 0, 1, 3, 1, 0, 0, 0, 0, 0, 0, 0, 0, 0, 0, 0, 0, 1</t>
  </si>
  <si>
    <t>electrical services kensington &amp; chelsea</t>
  </si>
  <si>
    <t>emergency electrician epping</t>
  </si>
  <si>
    <t>aurora emergency electrician</t>
  </si>
  <si>
    <t>type of electrical installation</t>
  </si>
  <si>
    <t>3, 3, 2, 2, 2, 0, 2, 5, 1, 1, 0, 2, 1, 0, 1, 3, 0, 0, 0, 0, 0, 2, 1, 2</t>
  </si>
  <si>
    <t>electrical services cranbourne</t>
  </si>
  <si>
    <t>electrical contractor glendale</t>
  </si>
  <si>
    <t>electrical requirements for ac installation</t>
  </si>
  <si>
    <t>3, 1, 3, 3, 4, 6, 3, 3, 0, 8, 1, 2, 2, 0, 3, 1, 0, 0, 0, 0, 0, 0, 0, 1</t>
  </si>
  <si>
    <t>electrical contractor west midlands</t>
  </si>
  <si>
    <t>ac plumbing &amp; electrical services</t>
  </si>
  <si>
    <t>0, 0, 0, 0, 1, 1, 1, 3, 0, 1, 0, 0, 0, 0, 0, 0, 0, 0, 0, 0, 0, 0, 0, 1</t>
  </si>
  <si>
    <t>ga electrical contractor license</t>
  </si>
  <si>
    <t>0, 0, 1, 0, 0, 0, 0, 0, 0, 0, 0, 0, 0, 0, 0, 1, 0, 0, 0, 0, 0, 0, 0, 1</t>
  </si>
  <si>
    <t>emergency electrician poole</t>
  </si>
  <si>
    <t>electrical installation works</t>
  </si>
  <si>
    <t>1, 0, 0, 0, 0, 0, 0, 0, 0, 0, 0, 0, 2, 0, 1, 0, 1, 0, 0, 0, 0, 0, 0, 1</t>
  </si>
  <si>
    <t>abb electrical installation handbook volume 1</t>
  </si>
  <si>
    <t>home electrical installation services</t>
  </si>
  <si>
    <t>marine electrician cape town</t>
  </si>
  <si>
    <t>electrical contractor new hartford connecticut</t>
  </si>
  <si>
    <t>0, 0, 0, 0, 0, 0, 0, 1, 0, 0, 0, 2, 0, 0, 0, 0, 0, 0, 0, 0, 0, 0, 0, 1</t>
  </si>
  <si>
    <t>health and safety in electrical installation</t>
  </si>
  <si>
    <t>electrical services diamond valley</t>
  </si>
  <si>
    <t>electrical contractor louisville ky</t>
  </si>
  <si>
    <t>0, 1, 2, 3, 1, 1, 1, 4, 3, 0, 1, 0, 0, 0, 0, 0, 0, 0, 0, 0, 0, 0, 0, 1</t>
  </si>
  <si>
    <t>recom electrical services</t>
  </si>
  <si>
    <t>electrician rates cape town</t>
  </si>
  <si>
    <t>us residential electrical services</t>
  </si>
  <si>
    <t>victron electrical and solar services</t>
  </si>
  <si>
    <t>0, 0, 0, 0, 0, 0, 0, 0, 0, 0, 0, 0, 0, 0, 0, 0, 0, 0, 6, 13, 7, 0, 0, 3</t>
  </si>
  <si>
    <t>testing electrical and automation design services</t>
  </si>
  <si>
    <t>0, 1, 0, 0, 0, 0, 0, 2, 0, 1, 0, 0, 0, 0, 0, 0, 0, 0, 0, 0, 0, 0, 0, 1</t>
  </si>
  <si>
    <t>abbotsford emergency electrician</t>
  </si>
  <si>
    <t>1, 0, 1, 2, 0, 3, 1, 1, 4, 1, 2, 1, 0, 0, 0, 0, 0, 0, 0, 0, 0, 0, 0, 1</t>
  </si>
  <si>
    <t>jpb electrical services</t>
  </si>
  <si>
    <t>three phase electrical installation</t>
  </si>
  <si>
    <t>0, 2, 5, 0, 1, 0, 1, 0, 2, 0, 0, 2, 2, 2, 0, 1, 0, 0, 1, 0, 3, 0, 1, 1</t>
  </si>
  <si>
    <t>bastrop commercial electrical services</t>
  </si>
  <si>
    <t>commercial electrical services jones county</t>
  </si>
  <si>
    <t>electrical services lane cove</t>
  </si>
  <si>
    <t>electrical services albuquerque nm</t>
  </si>
  <si>
    <t>0, 1, 0, 0, 1, 0, 1, 0, 0, 0, 0, 0, 0, 0, 0, 0, 0, 0, 0, 0, 0, 0, 0, 1</t>
  </si>
  <si>
    <t>emergency electrical repairs near me</t>
  </si>
  <si>
    <t>1, 0, 2, 2, 1, 1, 2, 0, 2, 0, 2, 0, 0, 0, 0, 0, 0, 0, 0, 0, 0, 0, 0, 1</t>
  </si>
  <si>
    <t>electrical contractor business loan</t>
  </si>
  <si>
    <t>job management software for electrical contractor</t>
  </si>
  <si>
    <t>0, 0, 3, 2, 1, 3, 1, 3, 6, 7, 5, 4, 2, 0, 0, 0, 0, 0, 0, 0, 0, 0, 0, 1</t>
  </si>
  <si>
    <t>electrical contracting services south dakota</t>
  </si>
  <si>
    <t>electrical contractor ehs software</t>
  </si>
  <si>
    <t>0, 0, 0, 2, 0, 0, 0, 1, 0, 1, 0, 0, 0, 0, 0, 0, 0, 0, 0, 0, 0, 0, 0, 1</t>
  </si>
  <si>
    <t>murrieta electrical services</t>
  </si>
  <si>
    <t>gardendale emergency electrician</t>
  </si>
  <si>
    <t>emergency electrician bolton</t>
  </si>
  <si>
    <t>0, 0, 1, 0, 1, 0, 0, 0, 0, 1, 0, 0, 0, 0, 0, 1, 0, 0, 0, 0, 0, 0, 0, 1</t>
  </si>
  <si>
    <t>brisbane emergency electrician</t>
  </si>
  <si>
    <t>0, 0, 0, 0, 1, 0, 2, 1, 0, 1, 0, 1, 0, 0, 0, 0, 0, 0, 0, 0, 0, 0, 1, 1</t>
  </si>
  <si>
    <t>electrical repairs grapevine</t>
  </si>
  <si>
    <t>0, 0, 0, 1, 1, 1, 0, 0, 0, 3, 3, 0, 0, 0, 0, 0, 2, 0, 0, 1, 0, 0, 0, 1</t>
  </si>
  <si>
    <t>electrical services washington</t>
  </si>
  <si>
    <t>electrical services scripps ranch</t>
  </si>
  <si>
    <t>campbelltown electrical services</t>
  </si>
  <si>
    <t>0, 0, 0, 0, 0, 0, 0, 0, 0, 0, 0, 1, 0, 0, 0, 1, 0, 2, 2, 0, 0, 0, 0, 1</t>
  </si>
  <si>
    <t>emergency electrician sydenham</t>
  </si>
  <si>
    <t>0, 0, 0, 3, 1, 2, 0, 2, 0, 0, 0, 0, 0, 0, 0, 0, 0, 0, 0, 0, 0, 0, 0, 1</t>
  </si>
  <si>
    <t>voltage electrical contractor</t>
  </si>
  <si>
    <t>average electrical contractor hourly rate</t>
  </si>
  <si>
    <t>0, 0, 0, 0, 0, 0, 0, 1, 1, 0, 0, 0, 0, 0, 0, 0, 0, 0, 0, 2, 0, 0, 0, 1</t>
  </si>
  <si>
    <t>commercial electrical repairs sydney</t>
  </si>
  <si>
    <t>0, 0, 0, 1, 0, 0, 1, 0, 0, 1, 1, 0, 0, 0, 0, 0, 0, 0, 0, 0, 0, 0, 0, 1</t>
  </si>
  <si>
    <t>electrical repair contractor purvis</t>
  </si>
  <si>
    <t>electrical services boronia</t>
  </si>
  <si>
    <t>emergency commercial electrician derby</t>
  </si>
  <si>
    <t>emergency electrician lansing</t>
  </si>
  <si>
    <t>0, 0, 1, 0, 0, 2, 0, 0, 0, 0, 0, 0, 0, 0, 0, 0, 0, 0, 0, 0, 0, 0, 0, 1</t>
  </si>
  <si>
    <t>electrical services austin tx</t>
  </si>
  <si>
    <t>electrical services keller</t>
  </si>
  <si>
    <t>commercial electrical installation tri cities</t>
  </si>
  <si>
    <t>0, 0, 0, 0, 0, 0, 0, 1, 4, 2, 0, 0, 0, 0, 0, 0, 0, 0, 0, 0, 0, 0, 0, 1</t>
  </si>
  <si>
    <t>ohio electrical services</t>
  </si>
  <si>
    <t>0, 0, 0, 0, 1, 0, 0, 0, 0, 1, 1, 0, 0, 0, 0, 0, 0, 0, 0, 0, 0, 0, 0, 1</t>
  </si>
  <si>
    <t>home electrical services salt lake city</t>
  </si>
  <si>
    <t>electrical contractor bond</t>
  </si>
  <si>
    <t>0, 1, 0, 0, 2, 0, 0, 1, 0, 2, 0, 0, 0, 0, 0, 1, 0, 0, 0, 0, 0, 0, 0, 1</t>
  </si>
  <si>
    <t>gnangara emergency electrician</t>
  </si>
  <si>
    <t>0, 0, 0, 0, 0, 0, 2, 1, 0, 0, 5, 1, 0, 0, 0, 0, 0, 0, 0, 0, 0, 0, 0, 1</t>
  </si>
  <si>
    <t>sj electrical services</t>
  </si>
  <si>
    <t>0, 2, 0, 1, 1, 4, 0, 0, 1, 3, 2, 0, 3, 3, 1, 0, 0, 0, 0, 1, 3, 0, 2, 3</t>
  </si>
  <si>
    <t>emergency electrician sandringham</t>
  </si>
  <si>
    <t>electric electrical services apache junction</t>
  </si>
  <si>
    <t>kck auto electrical &amp; services vanderbijlpark</t>
  </si>
  <si>
    <t>sunrise electrical services</t>
  </si>
  <si>
    <t>0, 1, 0, 2, 1, 1, 0, 0, 0, 1, 1, 1, 0, 0, 0, 0, 0, 0, 0, 0, 0, 0, 0, 1</t>
  </si>
  <si>
    <t>electrical contractor projects</t>
  </si>
  <si>
    <t>refrigeration and electrical services</t>
  </si>
  <si>
    <t>0, 0, 0, 0, 0, 0, 0, 0, 0, 0, 0, 0, 0, 0, 0, 0, 0, 0, 1, 0, 0, 1, 0, 1</t>
  </si>
  <si>
    <t>abr electrical services</t>
  </si>
  <si>
    <t>hampton emergency electrician</t>
  </si>
  <si>
    <t>0, 0, 0, 1, 1, 1, 0, 1, 0, 1, 0, 0, 0, 0, 0, 0, 0, 0, 0, 0, 0, 0, 0, 1</t>
  </si>
  <si>
    <t>home electrical services</t>
  </si>
  <si>
    <t>15, 9, 18, 23, 19, 41, 17, 17, 34, 79, 60, 3, 5, 5, 3, 4, 3, 11, 1, 2, 2, 2, 1, 3</t>
  </si>
  <si>
    <t>emergency electrical services clifton park ny</t>
  </si>
  <si>
    <t>emergency electrician st ives</t>
  </si>
  <si>
    <t>electrical installation board</t>
  </si>
  <si>
    <t>0, 1, 4, 1, 2, 0, 0, 0, 0, 3, 0, 0, 1, 0, 0, 0, 1, 0, 0, 1, 0, 0, 0, 2</t>
  </si>
  <si>
    <t>electrical breaker box installation</t>
  </si>
  <si>
    <t>0, 1, 0, 3, 0, 0, 0, 0, 1, 0, 1, 0, 0, 0, 0, 0, 0, 2, 0, 0, 0, 0, 0, 1</t>
  </si>
  <si>
    <t>la willard's auto electrical repairs</t>
  </si>
  <si>
    <t>0, 0, 0, 0, 0, 0, 0, 0, 0, 0, 1, 10, 1, 0, 0, 0, 0, 0, 0, 0, 0, 0, 0, 1</t>
  </si>
  <si>
    <t>general electrical services sydney</t>
  </si>
  <si>
    <t>renelec electrical services</t>
  </si>
  <si>
    <t>jag electrical services</t>
  </si>
  <si>
    <t>10, 1, 1, 0, 0, 0, 3, 4, 2, 1, 0, 0, 1, 1, 2, 5, 5, 4, 2, 3, 1, 0, 0, 1</t>
  </si>
  <si>
    <t>electrical contractor chicago il</t>
  </si>
  <si>
    <t>1, 0, 0, 0, 1, 0, 0, 0, 2, 0, 1, 0, 0, 0, 0, 0, 0, 0, 0, 0, 0, 0, 0, 1</t>
  </si>
  <si>
    <t>electrical contractor insurance</t>
  </si>
  <si>
    <t>2, 6, 9, 6, 6, 8, 6, 15, 13, 15, 17, 6, 5, 2, 1, 0, 0, 2, 1, 0, 2, 2, 7, 5</t>
  </si>
  <si>
    <t>mechanical &amp; electrical building services</t>
  </si>
  <si>
    <t>small electrical repairs</t>
  </si>
  <si>
    <t>0, 1, 3, 1, 3, 5, 0, 1, 1, 0, 4, 0, 1, 0, 0, 1, 0, 0, 0, 0, 0, 0, 0, 1</t>
  </si>
  <si>
    <t>electrical generator services</t>
  </si>
  <si>
    <t>0, 0, 0, 0, 0, 1, 0, 1, 0, 0, 0, 1, 0, 0, 0, 0, 0, 0, 0, 0, 0, 0, 0, 1</t>
  </si>
  <si>
    <t>emergency electrician evanston wy</t>
  </si>
  <si>
    <t>electrical building services design pdf</t>
  </si>
  <si>
    <t>emergency electrician okc</t>
  </si>
  <si>
    <t>0, 1, 0, 1, 0, 0, 0, 3, 1, 0, 0, 0, 0, 0, 0, 0, 0, 0, 0, 0, 0, 0, 0, 1</t>
  </si>
  <si>
    <t>san diego electrical engineering services</t>
  </si>
  <si>
    <t>mcs electrical services</t>
  </si>
  <si>
    <t>electrical installation box</t>
  </si>
  <si>
    <t>0, 0, 0, 0, 0, 0, 0, 0, 1, 0, 1, 3, 0, 1, 0, 0, 0, 2, 0, 0, 0, 2, 0, 2</t>
  </si>
  <si>
    <t>electrical installation apprenticeship</t>
  </si>
  <si>
    <t>0, 1, 2, 2, 0, 0, 0, 2, 1, 0, 1, 3, 2, 0, 0, 0, 0, 0, 0, 1, 0, 0, 0, 1</t>
  </si>
  <si>
    <t>cape auto electrical services cape town</t>
  </si>
  <si>
    <t>3, 3, 9, 2, 0, 0, 0, 0, 0, 0, 0, 0, 0, 0, 0, 0, 0, 0, 0, 0, 0, 0, 0, 1</t>
  </si>
  <si>
    <t>volts electrical services</t>
  </si>
  <si>
    <t>0, 0, 0, 0, 0, 0, 0, 0, 0, 0, 0, 1, 0, 1, 0, 1, 0, 0, 1, 0, 0, 0, 0, 1</t>
  </si>
  <si>
    <t>electrical repairs orange park</t>
  </si>
  <si>
    <t>eal level 2 electrical installation</t>
  </si>
  <si>
    <t>0, 2, 1, 0, 0, 0, 1, 0, 0, 1, 0, 0, 0, 0, 0, 0, 0, 0, 0, 0, 0, 0, 0, 1</t>
  </si>
  <si>
    <t>emergency electrician boronia</t>
  </si>
  <si>
    <t>electrical contractor in chicago</t>
  </si>
  <si>
    <t>0, 0, 0, 1, 0, 2, 0, 0, 1, 0, 2, 0, 0, 0, 1, 0, 0, 0, 1, 0, 0, 0, 0, 1</t>
  </si>
  <si>
    <t>electrical repairs denver</t>
  </si>
  <si>
    <t>0, 0, 0, 0, 0, 0, 0, 1, 1, 2, 2, 0, 0, 0, 0, 0, 0, 0, 0, 0, 0, 0, 0, 1</t>
  </si>
  <si>
    <t>auto electrical services beaconsfield</t>
  </si>
  <si>
    <t>emergency electrician swansea</t>
  </si>
  <si>
    <t>clarksville home electrical repair services</t>
  </si>
  <si>
    <t>enelex electrical services</t>
  </si>
  <si>
    <t>0, 1, 2, 0, 0, 0, 0, 0, 5, 0, 0, 0, 0, 0, 0, 0, 0, 0, 0, 0, 0, 0, 0, 1</t>
  </si>
  <si>
    <t>freedom electrical services</t>
  </si>
  <si>
    <t>0, 0, 0, 0, 0, 0, 1, 0, 0, 1, 0, 0, 0, 0, 0, 0, 0, 0, 0, 0, 0, 18, 0, 7</t>
  </si>
  <si>
    <t>emergency electrical repairs keller tx</t>
  </si>
  <si>
    <t>raw electrical services</t>
  </si>
  <si>
    <t>electrical contractor newark</t>
  </si>
  <si>
    <t>electrical contractor algoa texas</t>
  </si>
  <si>
    <t>electrical contractors solar installation</t>
  </si>
  <si>
    <t>0, 1, 0, 0, 0, 0, 3, 0, 0, 0, 0, 0, 0, 0, 0, 0, 0, 0, 0, 0, 0, 0, 0, 1</t>
  </si>
  <si>
    <t>emergency electrician capalaba</t>
  </si>
  <si>
    <t>plumbing &amp; electrical services luton</t>
  </si>
  <si>
    <t>emergency electrical repairs mckinney tx</t>
  </si>
  <si>
    <t>commercial electrical contractor charleston sc</t>
  </si>
  <si>
    <t>electrical installation condition report near me</t>
  </si>
  <si>
    <t>0, 0, 0, 0, 0, 0, 1, 1, 1, 4, 0, 1, 1, 0, 0, 0, 0, 0, 0, 0, 0, 0, 0, 1</t>
  </si>
  <si>
    <t>emergency electrician naval base</t>
  </si>
  <si>
    <t>0, 0, 0, 0, 0, 1, 1, 3, 0, 2, 2, 0, 0, 0, 0, 0, 0, 0, 0, 0, 0, 0, 0, 1</t>
  </si>
  <si>
    <t>pisgah electrical services</t>
  </si>
  <si>
    <t>0, 1, 0, 0, 0, 0, 0, 0, 1, 0, 0, 1, 0, 0, 0, 0, 0, 0, 0, 0, 0, 0, 0, 1</t>
  </si>
  <si>
    <t>electrical contractor idaho falls</t>
  </si>
  <si>
    <t>emergency electrician bibra lake</t>
  </si>
  <si>
    <t>service electrical contractor</t>
  </si>
  <si>
    <t>providence emergency electrician</t>
  </si>
  <si>
    <t>electrical safety inspections services</t>
  </si>
  <si>
    <t>0, 0, 0, 0, 0, 0, 1, 2, 0, 0, 1, 0, 0, 0, 0, 0, 0, 0, 0, 0, 0, 0, 0, 1</t>
  </si>
  <si>
    <t>emergency electrician hertfordshire</t>
  </si>
  <si>
    <t>1, 0, 0, 0, 0, 1, 0, 0, 0, 0, 0, 1, 0, 0, 1, 0, 0, 0, 0, 0, 0, 0, 0, 1</t>
  </si>
  <si>
    <t>tj electrical services</t>
  </si>
  <si>
    <t>electrical services griffin</t>
  </si>
  <si>
    <t>residential electrical contractor stafford va</t>
  </si>
  <si>
    <t>0, 0, 0, 0, 1, 0, 1, 1, 0, 1, 0, 0, 0, 0, 0, 0, 0, 0, 0, 0, 0, 0, 0, 1</t>
  </si>
  <si>
    <t>electrical contractor company profile pdf</t>
  </si>
  <si>
    <t>0, 0, 0, 0, 0, 0, 0, 0, 1, 0, 0, 0, 1, 2, 0, 0, 0, 0, 0, 0, 0, 0, 0, 1</t>
  </si>
  <si>
    <t>tests carried out in electrical installation</t>
  </si>
  <si>
    <t>2, 1, 0, 0, 0, 0, 0, 1, 0, 0, 0, 0, 0, 0, 0, 0, 0, 0, 0, 0, 0, 0, 0, 1</t>
  </si>
  <si>
    <t>kc electrical services</t>
  </si>
  <si>
    <t>w4 electrical services</t>
  </si>
  <si>
    <t>electrical contractor fort mill sc</t>
  </si>
  <si>
    <t>0, 0, 0, 0, 1, 0, 0, 1, 0, 2, 1, 1, 0, 0, 0, 0, 0, 0, 0, 0, 0, 0, 0, 1</t>
  </si>
  <si>
    <t>right electrical services llc</t>
  </si>
  <si>
    <t>electrical services sudbury ma</t>
  </si>
  <si>
    <t>fort worth commercial electrical services</t>
  </si>
  <si>
    <t>emergency electrician lugarno</t>
  </si>
  <si>
    <t>0, 0, 2, 1, 0, 1, 0, 1, 0, 0, 0, 0, 0, 0, 1, 0, 1, 2, 0, 0, 0, 1, 0, 1</t>
  </si>
  <si>
    <t>gw electrical services</t>
  </si>
  <si>
    <t>0, 0, 1, 0, 0, 0, 3, 0, 0, 0, 0, 0, 0, 0, 0, 0, 0, 0, 0, 0, 0, 0, 0, 1</t>
  </si>
  <si>
    <t>electrical installation condition report word</t>
  </si>
  <si>
    <t>electrical services clifton park</t>
  </si>
  <si>
    <t>electrical contractor wanted</t>
  </si>
  <si>
    <t>residential electrical contractor cayman</t>
  </si>
  <si>
    <t>step by step electrical installation</t>
  </si>
  <si>
    <t>lighting electrical services</t>
  </si>
  <si>
    <t>0, 0, 0, 0, 1, 1, 0, 1, 0, 0, 2, 1, 0, 0, 0, 0, 0, 0, 0, 0, 0, 1, 0, 1</t>
  </si>
  <si>
    <t>commercial electrical services indiana</t>
  </si>
  <si>
    <t>electrical panel installation lincoln county</t>
  </si>
  <si>
    <t>cost of an electrical compliance certificate</t>
  </si>
  <si>
    <t>electrical and plumbing contractor</t>
  </si>
  <si>
    <t>aurora electrical services</t>
  </si>
  <si>
    <t>bi electrical services</t>
  </si>
  <si>
    <t>0, 0, 0, 1, 0, 0, 0, 0, 0, 0, 0, 0, 1, 0, 0, 0, 0, 0, 0, 0, 0, 0, 0, 1</t>
  </si>
  <si>
    <t>high voltage electrical services</t>
  </si>
  <si>
    <t>1, 1, 1, 0, 0, 2, 0, 0, 0, 1, 1, 0, 1, 0, 0, 0, 0, 0, 0, 0, 0, 0, 0, 1</t>
  </si>
  <si>
    <t>electrical services in stellenbosch, western cape</t>
  </si>
  <si>
    <t>0, 0, 0, 0, 0, 0, 0, 0, 0, 0, 0, 0, 0, 0, 0, 3, 2, 1, 0, 0, 0, 0, 0, 1</t>
  </si>
  <si>
    <t>mountain brook emergency electrician</t>
  </si>
  <si>
    <t>m&amp;m electrical services</t>
  </si>
  <si>
    <t>electrical contractor atlanta ga</t>
  </si>
  <si>
    <t>electrical installation services kent</t>
  </si>
  <si>
    <t>commercial electrical services nottingham</t>
  </si>
  <si>
    <t>0, 0, 0, 0, 0, 0, 0, 0, 1, 1, 1, 0, 0, 0, 0, 0, 0, 0, 0, 0, 0, 0, 0, 1</t>
  </si>
  <si>
    <t>electrical repair and services bangalore</t>
  </si>
  <si>
    <t>0, 0, 0, 0, 0, 0, 0, 1, 0, 0, 0, 1, 0, 0, 0, 0, 0, 0, 0, 0, 0, 0, 0, 1</t>
  </si>
  <si>
    <t>general electrical maintenance services</t>
  </si>
  <si>
    <t>0, 0, 0, 0, 0, 0, 0, 1, 0, 1, 2, 0, 1, 0, 0, 0, 1, 0, 0, 0, 0, 0, 0, 1</t>
  </si>
  <si>
    <t>electrical panel installation lincoln</t>
  </si>
  <si>
    <t>0, 0, 0, 0, 2, 0, 0, 1, 0, 0, 0, 0, 0, 0, 0, 0, 0, 0, 0, 0, 0, 0, 0, 1</t>
  </si>
  <si>
    <t>emergency electrician peakhurst</t>
  </si>
  <si>
    <t>emergency electrician norman park</t>
  </si>
  <si>
    <t>electrical services provider crystal springs</t>
  </si>
  <si>
    <t>langley electrical services</t>
  </si>
  <si>
    <t>electrical services milnerton</t>
  </si>
  <si>
    <t>0, 0, 0, 0, 0, 0, 0, 0, 0, 0, 0, 0, 0, 0, 0, 19, 4, 0, 0, 0, 0, 0, 0, 1</t>
  </si>
  <si>
    <t>electrical services in lansdowne</t>
  </si>
  <si>
    <t>0, 0, 0, 0, 0, 0, 0, 0, 0, 0, 0, 0, 0, 0, 0, 0, 6, 2, 0, 0, 0, 0, 0, 1</t>
  </si>
  <si>
    <t>electrical contractor chingford</t>
  </si>
  <si>
    <t>electrical engineering services newburgh</t>
  </si>
  <si>
    <t>eclipse electrical services</t>
  </si>
  <si>
    <t>0, 0, 1, 0, 0, 0, 0, 2, 1, 0, 1, 0, 0, 1, 0, 0, 0, 0, 0, 0, 0, 1, 0, 1</t>
  </si>
  <si>
    <t>km electrical services</t>
  </si>
  <si>
    <t>0, 0, 0, 0, 2, 0, 0, 2, 2, 3, 0, 3, 2, 0, 0, 0, 0, 1, 2, 0, 4, 0, 0, 1</t>
  </si>
  <si>
    <t>electrical contractor contracts scottsdale</t>
  </si>
  <si>
    <t>miami electrical contractor</t>
  </si>
  <si>
    <t>0, 0, 0, 0, 1, 0, 1, 0, 0, 0, 0, 0, 0, 0, 0, 1, 0, 0, 0, 0, 0, 0, 0, 1</t>
  </si>
  <si>
    <t>emergency electrician hove</t>
  </si>
  <si>
    <t>1, 0, 1, 0, 0, 0, 1, 2, 0, 1, 1, 4, 0, 1, 0, 0, 0, 0, 0, 0, 0, 0, 0, 1</t>
  </si>
  <si>
    <t>residential electrical contractor franklin, tn</t>
  </si>
  <si>
    <t>0, 0, 0, 0, 0, 0, 0, 2, 0, 1, 0, 0, 0, 0, 0, 0, 0, 0, 0, 0, 0, 0, 0, 1</t>
  </si>
  <si>
    <t>247 emergency electrician</t>
  </si>
  <si>
    <t>0, 0, 1, 0, 0, 0, 1, 2, 0, 1, 0, 0, 0, 0, 0, 0, 0, 1, 0, 0, 2, 4, 8, 1</t>
  </si>
  <si>
    <t>best emergency electrician</t>
  </si>
  <si>
    <t>1, 2, 0, 2, 1, 0, 1, 0, 0, 0, 0, 0, 0, 0, 0, 0, 0, 0, 0, 0, 0, 0, 0, 1</t>
  </si>
  <si>
    <t>electrical coil repairs</t>
  </si>
  <si>
    <t>0, 0, 0, 2, 1, 0, 0, 0, 0, 0, 0, 0, 0, 0, 0, 0, 0, 0, 0, 0, 0, 0, 0, 1</t>
  </si>
  <si>
    <t>electrical services in county durham</t>
  </si>
  <si>
    <t>0, 0, 1, 0, 0, 0, 0, 0, 0, 1, 1, 0, 0, 0, 0, 0, 0, 0, 0, 0, 0, 0, 0, 1</t>
  </si>
  <si>
    <t>electrical outlet repair services raleigh</t>
  </si>
  <si>
    <t>0, 1, 0, 0, 0, 1, 0, 0, 0, 1, 0, 0, 0, 0, 0, 0, 0, 0, 0, 0, 0, 0, 0, 1</t>
  </si>
  <si>
    <t>industrial electrical installation cable trays</t>
  </si>
  <si>
    <t>0, 0, 0, 0, 0, 0, 0, 0, 0, 0, 0, 0, 0, 0, 0, 0, 0, 0, 0, 0, 0, 0, 8, 4</t>
  </si>
  <si>
    <t>eco electrical services</t>
  </si>
  <si>
    <t>0, 1, 0, 1, 0, 1, 1, 0, 1, 0, 0, 1, 0, 0, 0, 0, 0, 0, 0, 1, 0, 0, 0, 1</t>
  </si>
  <si>
    <t>meaning of electrical installation</t>
  </si>
  <si>
    <t>0, 0, 2, 0, 0, 0, 0, 2, 0, 0, 1, 0, 2, 0, 0, 0, 0, 0, 2, 0, 0, 2, 0, 1</t>
  </si>
  <si>
    <t>electrical repairs colleyville</t>
  </si>
  <si>
    <t>1, 0, 0, 0, 2, 0, 0, 0, 1, 4, 3, 0, 0, 0, 0, 0, 1, 0, 0, 0, 0, 0, 0, 1</t>
  </si>
  <si>
    <t>electrical outlet installation morgan county</t>
  </si>
  <si>
    <t>lexington electrical services</t>
  </si>
  <si>
    <t>0, 0, 0, 0, 0, 0, 0, 1, 0, 2, 2, 3, 0, 0, 0, 0, 0, 0, 0, 0, 0, 0, 0, 1</t>
  </si>
  <si>
    <t>renovation electrical services</t>
  </si>
  <si>
    <t>0, 0, 1, 0, 1, 2, 0, 0, 1, 1, 0, 0, 0, 0, 0, 0, 0, 0, 0, 0, 0, 0, 0, 1</t>
  </si>
  <si>
    <t>24 hour emergency electrician in bronte</t>
  </si>
  <si>
    <t>electrical contractor banstead</t>
  </si>
  <si>
    <t>residential electrical contractor richmond va</t>
  </si>
  <si>
    <t>smillie electrical services</t>
  </si>
  <si>
    <t>electrician in cape town, south africa</t>
  </si>
  <si>
    <t>0, 0, 0, 0, 0, 0, 0, 0, 0, 0, 0, 0, 0, 0, 0, 6, 2, 5, 0, 0, 0, 0, 0, 1</t>
  </si>
  <si>
    <t>emergency electrician littleton</t>
  </si>
  <si>
    <t>electrical contractor spring tx</t>
  </si>
  <si>
    <t>0, 0, 0, 0, 2, 3, 1, 0, 0, 0, 0, 3, 0, 0, 0, 0, 0, 0, 0, 0, 0, 0, 0, 1</t>
  </si>
  <si>
    <t>electrical contractor invoice</t>
  </si>
  <si>
    <t>5, 0, 0, 2, 2, 2, 0, 1, 3, 3, 3, 1, 1, 1, 0, 1, 0, 1, 0, 1, 0, 0, 0, 1</t>
  </si>
  <si>
    <t>commercial electrical system estimating services</t>
  </si>
  <si>
    <t>commercial industrial electrical installation</t>
  </si>
  <si>
    <t>electrical contractor check</t>
  </si>
  <si>
    <t>0, 0, 0, 0, 0, 0, 0, 0, 0, 0, 0, 0, 0, 0, 0, 0, 0, 4, 0, 0, 0, 0, 0, 1</t>
  </si>
  <si>
    <t>electrical sub panel installation auburn</t>
  </si>
  <si>
    <t>emergency electrician mottingham</t>
  </si>
  <si>
    <t>electrical contractor bond requirements</t>
  </si>
  <si>
    <t>electrical contractor raleigh</t>
  </si>
  <si>
    <t>bessemer emergency electrician</t>
  </si>
  <si>
    <t>emergency electrician virginia</t>
  </si>
  <si>
    <t>lauderhill electrical services</t>
  </si>
  <si>
    <t>0, 0, 0, 0, 0, 0, 2, 2, 4, 7, 1, 0, 0, 0, 0, 0, 0, 0, 0, 0, 0, 0, 0, 1</t>
  </si>
  <si>
    <t>dave electrical services</t>
  </si>
  <si>
    <t>electrical installation charlotte, nc</t>
  </si>
  <si>
    <t>1, 0, 0, 0, 0, 0, 0, 2, 2, 1, 0, 0, 0, 0, 0, 0, 0, 0, 0, 0, 0, 0, 0, 1</t>
  </si>
  <si>
    <t>emergency electrical repairs arlington tx</t>
  </si>
  <si>
    <t>electrical contractor dublin</t>
  </si>
  <si>
    <t>can general contractor do electrical work</t>
  </si>
  <si>
    <t>electrical services mesa az</t>
  </si>
  <si>
    <t>0, 0, 0, 0, 0, 0, 1, 1, 1, 2, 1, 0, 0, 0, 0, 0, 0, 0, 0, 0, 0, 0, 0, 1</t>
  </si>
  <si>
    <t>eden electrical services</t>
  </si>
  <si>
    <t>electrical services brownsville</t>
  </si>
  <si>
    <t>emergency electrician south auckland</t>
  </si>
  <si>
    <t>electrical contractor scope of work</t>
  </si>
  <si>
    <t>0, 2, 0, 0, 0, 0, 2, 0, 1, 0, 0, 1, 0, 0, 1, 2, 0, 0, 0, 1, 0, 0, 0, 1</t>
  </si>
  <si>
    <t>electrical and plumbing services near me</t>
  </si>
  <si>
    <t>4, 1, 2, 3, 2, 1, 2, 1, 1, 2, 1, 2, 0, 0, 2, 0, 0, 2, 1, 3, 0, 1, 0, 1</t>
  </si>
  <si>
    <t>edlen electrical exhibition services</t>
  </si>
  <si>
    <t>electrical services massachusetts</t>
  </si>
  <si>
    <t>residential electrical services list</t>
  </si>
  <si>
    <t>3, 5, 8, 4, 3, 12, 7, 3, 0, 2, 0, 1, 2, 3, 0, 1, 2, 0, 0, 1, 1, 0, 0, 1</t>
  </si>
  <si>
    <t>electrician testing electrical installation</t>
  </si>
  <si>
    <t>0, 0, 0, 0, 0, 0, 0, 0, 0, 0, 0, 0, 0, 0, 0, 0, 0, 0, 0, 0, 0, 0, 4, 1</t>
  </si>
  <si>
    <t>concept electrical services</t>
  </si>
  <si>
    <t>emergency electrician mullaloo</t>
  </si>
  <si>
    <t>0, 0, 0, 0, 0, 1, 0, 1, 1, 2, 1, 1, 0, 0, 0, 0, 0, 0, 0, 0, 0, 0, 0, 1</t>
  </si>
  <si>
    <t>louisville electrical contractor</t>
  </si>
  <si>
    <t>electrical contractor service marietta ga</t>
  </si>
  <si>
    <t>besa electrical services ltd</t>
  </si>
  <si>
    <t>0, 0, 0, 0, 0, 0, 0, 0, 0, 0, 0, 0, 1, 0, 0, 1, 0, 0, 0, 1, 1, 0, 0, 1</t>
  </si>
  <si>
    <t>electrical and mechanical engineering services</t>
  </si>
  <si>
    <t>0, 0, 1, 3, 0, 0, 0, 0, 0, 0, 0, 0, 0, 0, 0, 0, 0, 0, 0, 0, 1, 0, 0, 1</t>
  </si>
  <si>
    <t>emergency electrician flower mound tx</t>
  </si>
  <si>
    <t>custom electrical services llc</t>
  </si>
  <si>
    <t>electrical services malmesbury</t>
  </si>
  <si>
    <t>24 hour emergency electrician oakleigh</t>
  </si>
  <si>
    <t>ripponlea emergency electrician</t>
  </si>
  <si>
    <t>0, 0, 0, 0, 0, 1, 0, 0, 1, 0, 0, 0, 0, 0, 0, 0, 0, 0, 0, 0, 0, 0, 0, 1</t>
  </si>
  <si>
    <t>electrician emergency service brighton</t>
  </si>
  <si>
    <t>bay area electrical contractor</t>
  </si>
  <si>
    <t>1, 0, 0, 2, 0, 1, 1, 3, 4, 1, 0, 0, 0, 0, 0, 0, 0, 0, 0, 0, 0, 0, 0, 1</t>
  </si>
  <si>
    <t>emergency electrician brighton</t>
  </si>
  <si>
    <t>1, 2, 0, 4, 2, 1, 2, 2, 5, 2, 2, 2, 0, 0, 0, 0, 0, 0, 0, 0, 0, 0, 0, 1</t>
  </si>
  <si>
    <t>electrical construction services</t>
  </si>
  <si>
    <t>1, 1, 1, 4, 2, 2, 4, 1, 5, 1, 5, 3, 3, 1, 1, 3, 0, 2, 1, 0, 4, 0, 0, 1</t>
  </si>
  <si>
    <t>emergency electrician cloverdale</t>
  </si>
  <si>
    <t>0, 0, 0, 0, 1, 1, 0, 3, 0, 1, 0, 0, 0, 0, 0, 0, 0, 0, 0, 0, 0, 0, 0, 1</t>
  </si>
  <si>
    <t>commercial electrical services white house tn</t>
  </si>
  <si>
    <t>scope of work electrical installation</t>
  </si>
  <si>
    <t>kalamazoo electrical services</t>
  </si>
  <si>
    <t>electrical plant installation and maintenance pdf</t>
  </si>
  <si>
    <t>electrical installation la vergne</t>
  </si>
  <si>
    <t>0, 0, 0, 0, 0, 0, 1, 1, 1, 2, 0, 0, 0, 0, 0, 0, 0, 0, 0, 0, 0, 0, 0, 1</t>
  </si>
  <si>
    <t>domestic electrical services byron bay</t>
  </si>
  <si>
    <t>emergency electrician bow</t>
  </si>
  <si>
    <t>electrical outlet box installation</t>
  </si>
  <si>
    <t>electrical services in bude</t>
  </si>
  <si>
    <t>commercial electrical services franklin</t>
  </si>
  <si>
    <t>electrical remodeling services cost</t>
  </si>
  <si>
    <t>sherwood electrical services</t>
  </si>
  <si>
    <t>electrical appliance repairs in port elizabeth</t>
  </si>
  <si>
    <t>commercial electrical services colleyville tx</t>
  </si>
  <si>
    <t>kd electrical services</t>
  </si>
  <si>
    <t>0, 0, 0, 0, 3, 2, 0, 0, 0, 1, 0, 0, 0, 0, 0, 0, 0, 0, 0, 0, 0, 0, 0, 1</t>
  </si>
  <si>
    <t>abrahams electrical services</t>
  </si>
  <si>
    <t>clever electrical services</t>
  </si>
  <si>
    <t>0, 0, 0, 0, 1, 0, 0, 3, 0, 0, 0, 0, 0, 3, 1, 0, 0, 0, 0, 0, 0, 0, 0, 1</t>
  </si>
  <si>
    <t>jms electrical &amp; plumbing installation</t>
  </si>
  <si>
    <t>electrical installation course level 1</t>
  </si>
  <si>
    <t>electrical contractor texas</t>
  </si>
  <si>
    <t>bassendean emergency electrician</t>
  </si>
  <si>
    <t>0, 0, 0, 0, 1, 0, 0, 1, 1, 1, 1, 0, 0, 0, 0, 0, 0, 0, 0, 0, 0, 0, 0, 1</t>
  </si>
  <si>
    <t>emergency electrician liberty grove</t>
  </si>
  <si>
    <t>emergency electrician company melbourne</t>
  </si>
  <si>
    <t>1, 2, 2, 0, 0, 0, 0, 2, 0, 0, 0, 0, 0, 0, 0, 0, 0, 0, 0, 0, 0, 0, 0, 1</t>
  </si>
  <si>
    <t>commercial electrical services irving</t>
  </si>
  <si>
    <t>harrison electrical services</t>
  </si>
  <si>
    <t>electrical contractor job</t>
  </si>
  <si>
    <t>0, 0, 2, 3, 0, 2, 0, 0, 3, 0, 0, 2, 1, 0, 0, 0, 1, 1, 0, 2, 0, 0, 0, 1</t>
  </si>
  <si>
    <t>emergency wilmington electrician</t>
  </si>
  <si>
    <t>1, 0, 0, 1, 0, 0, 0, 0, 0, 2, 0, 0, 0, 0, 0, 0, 0, 0, 0, 0, 0, 0, 0, 1</t>
  </si>
  <si>
    <t>swimming pool electrical services cornelius, nc</t>
  </si>
  <si>
    <t>0, 0, 0, 1, 0, 0, 0, 0, 2, 1, 0, 0, 0, 0, 0, 0, 0, 0, 0, 0, 0, 0, 0, 1</t>
  </si>
  <si>
    <t>gilroy electrical services</t>
  </si>
  <si>
    <t>electrical contractor fort worth tx</t>
  </si>
  <si>
    <t>0, 0, 0, 0, 0, 0, 1, 1, 2, 2, 0, 0, 0, 0, 0, 0, 0, 0, 0, 0, 0, 0, 0, 1</t>
  </si>
  <si>
    <t>electrical contractor loveland</t>
  </si>
  <si>
    <t>ads electrical services</t>
  </si>
  <si>
    <t>auto electrician athlone cape town</t>
  </si>
  <si>
    <t>materials used in electrical installation</t>
  </si>
  <si>
    <t>3, 1, 1, 2, 0, 0, 0, 0, 2, 1, 1, 1, 1, 0, 0, 0, 0, 0, 1, 1, 1, 1, 0, 2</t>
  </si>
  <si>
    <t>advanced electrical installation work</t>
  </si>
  <si>
    <t>electrical wiring services north charleston sc</t>
  </si>
  <si>
    <t>miami electrical services</t>
  </si>
  <si>
    <t>0, 0, 0, 0, 0, 0, 0, 1, 1, 1, 0, 1, 0, 0, 0, 0, 0, 0, 0, 0, 0, 1, 0, 1</t>
  </si>
  <si>
    <t>powercorp electrical services</t>
  </si>
  <si>
    <t>0, 0, 0, 0, 0, 0, 1, 2, 0, 0, 0, 0, 0, 0, 0, 0, 0, 0, 0, 0, 0, 0, 0, 1</t>
  </si>
  <si>
    <t>motorcycle electrical services</t>
  </si>
  <si>
    <t>24 hour emergency electrician bowling green</t>
  </si>
  <si>
    <t>mg electrical services</t>
  </si>
  <si>
    <t>0, 0, 0, 0, 0, 0, 0, 0, 0, 0, 0, 0, 0, 0, 0, 0, 1, 0, 0, 1, 0, 0, 0, 1</t>
  </si>
  <si>
    <t>electrical installation certificate sample</t>
  </si>
  <si>
    <t>0, 0, 0, 4, 0, 0, 0, 0, 0, 0, 0, 0, 0, 0, 0, 0, 0, 0, 0, 0, 1, 0, 0, 1</t>
  </si>
  <si>
    <t>minor electrical installation works</t>
  </si>
  <si>
    <t>electrical repairs and installations in durban</t>
  </si>
  <si>
    <t>0, 0, 0, 0, 0, 0, 0, 0, 0, 0, 0, 0, 0, 0, 10, 6, 2, 9, 0, 0, 0, 0, 0, 1</t>
  </si>
  <si>
    <t>electrical services in sutherland shire</t>
  </si>
  <si>
    <t>electrical products &amp; services</t>
  </si>
  <si>
    <t>1, 0, 0, 0, 0, 0, 0, 0, 0, 0, 0, 8, 0, 0, 0, 0, 0, 0, 0, 0, 0, 0, 0, 1</t>
  </si>
  <si>
    <t>electrical professional services</t>
  </si>
  <si>
    <t>0, 1, 1, 0, 0, 0, 0, 0, 2, 0, 2, 0, 1, 0, 1, 0, 0, 0, 0, 0, 0, 0, 0, 1</t>
  </si>
  <si>
    <t>electrical services sarasota fl</t>
  </si>
  <si>
    <t>electrical services sippy downs</t>
  </si>
  <si>
    <t>residential electrical services highland park</t>
  </si>
  <si>
    <t>electrical contractor granada hills</t>
  </si>
  <si>
    <t>0, 1, 0, 1, 1, 1, 3, 1, 1, 1, 1, 0, 0, 0, 0, 0, 0, 0, 0, 0, 0, 0, 0, 1</t>
  </si>
  <si>
    <t>electrical installation management</t>
  </si>
  <si>
    <t>0, 0, 1, 0, 0, 2, 0, 0, 0, 0, 0, 0, 1, 0, 0, 0, 0, 0, 0, 0, 0, 0, 0, 1</t>
  </si>
  <si>
    <t>electrical services norcross</t>
  </si>
  <si>
    <t>electrical installation process</t>
  </si>
  <si>
    <t>0, 0, 0, 1, 0, 0, 0, 2, 1, 0, 0, 0, 4, 2, 0, 0, 0, 0, 0, 0, 0, 0, 0, 1</t>
  </si>
  <si>
    <t>types of trunking used in electrical installation</t>
  </si>
  <si>
    <t>3, 8, 4, 0, 8, 9, 5, 0, 0, 0, 0, 0, 0, 0, 0, 0, 0, 0, 0, 0, 0, 0, 0, 1</t>
  </si>
  <si>
    <t>electrical contractor massachusetts</t>
  </si>
  <si>
    <t>electrical contractor business description</t>
  </si>
  <si>
    <t>mgt electrical services</t>
  </si>
  <si>
    <t>electrical contractor auckland</t>
  </si>
  <si>
    <t>electrical installation services las vegas</t>
  </si>
  <si>
    <t>0, 2, 2, 0, 0, 1, 1, 1, 0, 0, 0, 0, 0, 0, 0, 0, 0, 0, 0, 0, 0, 0, 0, 1</t>
  </si>
  <si>
    <t>altamonte springs home electrical repair services</t>
  </si>
  <si>
    <t>government electrical contractor</t>
  </si>
  <si>
    <t>commercial electrical services los angeles</t>
  </si>
  <si>
    <t>electrical installation apprenticeship level 3</t>
  </si>
  <si>
    <t>0, 0, 0, 0, 0, 1, 0, 0, 0, 0, 0, 0, 0, 0, 0, 0, 0, 0, 0, 0, 3, 0, 0, 2</t>
  </si>
  <si>
    <t>california electrical services</t>
  </si>
  <si>
    <t>0, 1, 0, 2, 1, 1, 1, 0, 1, 0, 0, 1, 0, 0, 0, 0, 0, 0, 0, 0, 0, 0, 0, 1</t>
  </si>
  <si>
    <t>air conditioning and electrical services</t>
  </si>
  <si>
    <t>0, 1, 0, 4, 1, 0, 1, 1, 2, 1, 7, 0, 1, 1, 0, 2, 0, 0, 0, 2, 0, 0, 0, 1</t>
  </si>
  <si>
    <t>murrieta commercial electrical services</t>
  </si>
  <si>
    <t>emergency electrician piedmont</t>
  </si>
  <si>
    <t>0, 0, 0, 0, 0, 0, 0, 2, 0, 0, 1, 0, 0, 0, 0, 0, 0, 0, 0, 0, 0, 0, 0, 1</t>
  </si>
  <si>
    <t>electrical outlet replacement services</t>
  </si>
  <si>
    <t>0, 0, 0, 0, 1, 1, 1, 2, 1, 1, 4, 0, 0, 0, 0, 0, 0, 0, 0, 0, 0, 0, 0, 1</t>
  </si>
  <si>
    <t>electrical contractor st. john's</t>
  </si>
  <si>
    <t>jeffersontown emergency electrician</t>
  </si>
  <si>
    <t>assurance electrical services</t>
  </si>
  <si>
    <t>types of cable joints in electrical installation</t>
  </si>
  <si>
    <t>0, 0, 0, 0, 0, 0, 0, 0, 0, 0, 0, 4, 1, 1, 0, 0, 0, 0, 2, 1, 1, 0, 1, 2</t>
  </si>
  <si>
    <t>free electrical contractor estimating software</t>
  </si>
  <si>
    <t>electrical contractor bromley</t>
  </si>
  <si>
    <t>0, 0, 0, 0, 1, 0, 0, 0, 2, 0, 0, 0, 0, 0, 0, 0, 0, 0, 0, 0, 0, 0, 0, 1</t>
  </si>
  <si>
    <t>master electrical heating and air services</t>
  </si>
  <si>
    <t>0, 0, 0, 0, 0, 2, 1, 0, 0, 1, 0, 0, 0, 0, 0, 0, 0, 0, 0, 0, 0, 0, 0, 1</t>
  </si>
  <si>
    <t>emergency electrician bentley</t>
  </si>
  <si>
    <t>0, 0, 0, 0, 0, 0, 0, 1, 0, 1, 0, 2, 0, 0, 0, 0, 0, 0, 0, 0, 0, 0, 0, 1</t>
  </si>
  <si>
    <t>electrical contractor virginia beach</t>
  </si>
  <si>
    <t>delta airconditioning &amp; electrical services</t>
  </si>
  <si>
    <t>3, 0, 0, 0, 1, 0, 0, 0, 0, 0, 0, 1, 0, 1, 0, 0, 0, 0, 0, 0, 0, 0, 1, 1</t>
  </si>
  <si>
    <t>commercial electrical services oklahoma</t>
  </si>
  <si>
    <t>electrical installation contract sample</t>
  </si>
  <si>
    <t>programmed electrical services</t>
  </si>
  <si>
    <t>electrical services montana</t>
  </si>
  <si>
    <t>emergency electrician indiana</t>
  </si>
  <si>
    <t>electrical services linthicum heights md</t>
  </si>
  <si>
    <t>electrical appliance repairs near me open now</t>
  </si>
  <si>
    <t>0, 0, 0, 0, 0, 0, 0, 0, 0, 0, 0, 0, 1, 2, 1, 1, 0, 0, 0, 0, 0, 0, 0, 1</t>
  </si>
  <si>
    <t>electrical contractor company waterford ct</t>
  </si>
  <si>
    <t>electrical contractor business plan</t>
  </si>
  <si>
    <t>5, 0, 2, 0, 3, 0, 1, 5, 3, 3, 2, 2, 2, 0, 0, 0, 6, 5, 0, 0, 0, 0, 2, 2</t>
  </si>
  <si>
    <t>watson electrical services</t>
  </si>
  <si>
    <t>0, 1, 0, 0, 0, 0, 0, 0, 0, 0, 0, 0, 0, 1, 0, 1, 0, 0, 0, 1, 0, 0, 0, 1</t>
  </si>
  <si>
    <t>team electrical services</t>
  </si>
  <si>
    <t>oxford electrical services</t>
  </si>
  <si>
    <t>emergency electrician wembley downs</t>
  </si>
  <si>
    <t>0, 0, 0, 0, 0, 0, 0, 0, 0, 1, 3, 0, 0, 1, 0, 0, 0, 0, 0, 0, 0, 0, 0, 1</t>
  </si>
  <si>
    <t>katy electrical panel installation</t>
  </si>
  <si>
    <t>0, 0, 0, 0, 0, 0, 0, 2, 1, 0, 0, 0, 0, 0, 0, 0, 0, 0, 0, 0, 0, 0, 0, 1</t>
  </si>
  <si>
    <t>home electrical repair services fenton</t>
  </si>
  <si>
    <t>certified electrical services llc</t>
  </si>
  <si>
    <t>bell electrical services</t>
  </si>
  <si>
    <t>0, 0, 0, 0, 0, 0, 0, 0, 0, 0, 0, 0, 0, 0, 1, 0, 0, 1, 0, 0, 0, 0, 0, 1</t>
  </si>
  <si>
    <t>electrical installation evanston</t>
  </si>
  <si>
    <t>electrical outlet installation putnam county</t>
  </si>
  <si>
    <t>top electrical contractor waltham forest</t>
  </si>
  <si>
    <t>townsville electrical and appliance repairs</t>
  </si>
  <si>
    <t>0, 0, 0, 0, 0, 0, 0, 1, 0, 0, 0, 0, 0, 0, 0, 0, 6, 0, 0, 0, 0, 0, 0, 1</t>
  </si>
  <si>
    <t>electrical installation and maintenance meaning</t>
  </si>
  <si>
    <t>0, 0, 0, 0, 1, 1, 1, 0, 0, 0, 0, 1, 0, 0, 0, 0, 1, 0, 0, 0, 0, 0, 0, 1</t>
  </si>
  <si>
    <t>electrical contractor lexington</t>
  </si>
  <si>
    <t>0, 1, 0, 0, 0, 0, 0, 0, 1, 3, 1, 0, 0, 0, 0, 0, 0, 0, 0, 0, 0, 0, 0, 1</t>
  </si>
  <si>
    <t>electrical contractor in miami</t>
  </si>
  <si>
    <t>oklahoma city emergency electrician</t>
  </si>
  <si>
    <t>1st electrical services review</t>
  </si>
  <si>
    <t>0, 0, 0, 0, 0, 0, 0, 0, 0, 0, 0, 0, 0, 0, 0, 0, 0, 3, 0, 0, 0, 0, 0, 1</t>
  </si>
  <si>
    <t>electrical contractor tendring</t>
  </si>
  <si>
    <t>0, 0, 0, 0, 0, 0, 0, 0, 1, 0, 1, 1, 0, 0, 0, 0, 0, 0, 0, 0, 0, 0, 0, 1</t>
  </si>
  <si>
    <t>best electrical sub panel installation</t>
  </si>
  <si>
    <t>swot analysis for electrical contractor</t>
  </si>
  <si>
    <t>electrical installation and maintenance work</t>
  </si>
  <si>
    <t>0, 0, 0, 0, 0, 0, 0, 0, 0, 0, 0, 0, 1, 4, 0, 0, 1, 0, 0, 1, 1, 1, 0, 2</t>
  </si>
  <si>
    <t>myrtle beach home electrical repair services</t>
  </si>
  <si>
    <t>electrical repairs dubai</t>
  </si>
  <si>
    <t>mister sparky electrical contractor</t>
  </si>
  <si>
    <t>2, 5, 2, 2, 5, 5, 1, 1, 7, 19, 18, 0, 0, 0, 0, 0, 1, 2, 0, 0, 0, 0, 0, 1</t>
  </si>
  <si>
    <t>project proposal for electrical installation</t>
  </si>
  <si>
    <t>0, 0, 0, 0, 0, 0, 0, 0, 0, 0, 0, 0, 0, 0, 1, 0, 0, 0, 0, 2, 1, 0, 1, 1</t>
  </si>
  <si>
    <t>electrical installation report cost</t>
  </si>
  <si>
    <t>0, 0, 0, 1, 0, 0, 0, 1, 0, 0, 1, 0, 0, 0, 0, 0, 0, 0, 0, 0, 0, 0, 0, 1</t>
  </si>
  <si>
    <t>electrical contractor leeds</t>
  </si>
  <si>
    <t>1, 0, 0, 0, 1, 1, 1, 0, 0, 1, 2, 0, 0, 0, 0, 0, 0, 0, 0, 0, 0, 0, 0, 1</t>
  </si>
  <si>
    <t>emergency electrician castle hill</t>
  </si>
  <si>
    <t>0, 0, 1, 0, 0, 0, 0, 2, 1, 0, 1, 0, 0, 0, 0, 0, 0, 0, 0, 0, 0, 0, 0, 1</t>
  </si>
  <si>
    <t>electrical panel installation san jose</t>
  </si>
  <si>
    <t>0, 0, 0, 0, 0, 0, 1, 0, 1, 0, 2, 0, 0, 0, 0, 0, 0, 0, 0, 0, 0, 0, 0, 1</t>
  </si>
  <si>
    <t>electrical temp services</t>
  </si>
  <si>
    <t>electrical installation condition report london</t>
  </si>
  <si>
    <t>0, 0, 0, 2, 1, 0, 1, 1, 2, 0, 3, 1, 0, 0, 0, 0, 0, 0, 0, 0, 1, 0, 0, 1</t>
  </si>
  <si>
    <t>industrial electrical contractor derbyshire</t>
  </si>
  <si>
    <t>electrical installation kirkland</t>
  </si>
  <si>
    <t>0, 0, 0, 0, 0, 1, 1, 0, 1, 0, 1, 0, 0, 0, 0, 0, 0, 0, 0, 0, 0, 0, 0, 1</t>
  </si>
  <si>
    <t>electrical services worthing</t>
  </si>
  <si>
    <t>car electrical repairs tarneit</t>
  </si>
  <si>
    <t>electrical repairs port elizabeth</t>
  </si>
  <si>
    <t>electrical services in rustenburg, north-west</t>
  </si>
  <si>
    <t>0, 0, 0, 0, 0, 0, 0, 0, 0, 0, 0, 0, 0, 0, 0, 0, 0, 2, 3, 0, 0, 0, 0, 1</t>
  </si>
  <si>
    <t>24hour emergency electrician service in thornhill</t>
  </si>
  <si>
    <t>0, 0, 0, 0, 1, 0, 0, 0, 0, 1, 0, 1, 0, 0, 0, 0, 0, 0, 0, 0, 0, 0, 0, 1</t>
  </si>
  <si>
    <t>electrical installation guyana</t>
  </si>
  <si>
    <t>0, 0, 0, 0, 1, 0, 0, 0, 1, 0, 2, 0, 0, 0, 0, 0, 0, 0, 0, 0, 0, 0, 0, 1</t>
  </si>
  <si>
    <t>electrical services essex</t>
  </si>
  <si>
    <t>3, 1, 1, 2, 0, 2, 3, 1, 1, 2, 3, 3, 0, 1, 0, 0, 0, 0, 2, 0, 0, 0, 0, 1</t>
  </si>
  <si>
    <t>electrical contractor in arlington heights il</t>
  </si>
  <si>
    <t>0, 0, 0, 0, 0, 1, 2, 1, 1, 1, 1, 0, 0, 0, 0, 0, 0, 0, 0, 0, 0, 0, 0, 1</t>
  </si>
  <si>
    <t>electrical contractor resume</t>
  </si>
  <si>
    <t>electrical services lawrenceville</t>
  </si>
  <si>
    <t>electrical wiring contractor lumberton</t>
  </si>
  <si>
    <t>0, 0, 0, 1, 0, 0, 1, 2, 0, 2, 0, 0, 0, 0, 0, 0, 0, 0, 0, 0, 0, 0, 0, 1</t>
  </si>
  <si>
    <t>highland electrical services</t>
  </si>
  <si>
    <t>electrical services los angeles</t>
  </si>
  <si>
    <t>0, 0, 0, 0, 0, 0, 1, 0, 1, 1, 2, 0, 0, 0, 1, 1, 0, 0, 0, 1, 2, 0, 0, 2</t>
  </si>
  <si>
    <t>electrical services charleston, sc</t>
  </si>
  <si>
    <t>terrell electrical services</t>
  </si>
  <si>
    <t>2, 0, 0, 1, 0, 0, 0, 0, 0, 0, 0, 0, 0, 0, 0, 0, 0, 0, 0, 0, 0, 0, 0, 1</t>
  </si>
  <si>
    <t>electrical services for pumps</t>
  </si>
  <si>
    <t>0, 1, 3, 0, 0, 0, 0, 0, 0, 1, 1, 0, 0, 0, 0, 0, 0, 0, 0, 0, 0, 0, 0, 1</t>
  </si>
  <si>
    <t>residential electrical services lewisville tx</t>
  </si>
  <si>
    <t>orlando electrical installation company</t>
  </si>
  <si>
    <t>sizes of cables in electrical installation</t>
  </si>
  <si>
    <t>0, 0, 2, 0, 0, 0, 1, 2, 0, 0, 0, 0, 0, 0, 0, 0, 0, 0, 2, 3, 0, 0, 0, 1</t>
  </si>
  <si>
    <t>standard terms &amp; conditions electrical contractor</t>
  </si>
  <si>
    <t>electrical services northern beaches</t>
  </si>
  <si>
    <t>electrical and plumbing services klang valley</t>
  </si>
  <si>
    <t>0, 0, 0, 1, 1, 0, 1, 1, 0, 0, 0, 1, 0, 0, 0, 0, 0, 0, 0, 0, 0, 0, 0, 1</t>
  </si>
  <si>
    <t>crawford electrical services</t>
  </si>
  <si>
    <t>1, 0, 0, 0, 0, 0, 0, 0, 0, 0, 0, 0, 1, 0, 0, 0, 0, 5, 0, 1, 0, 0, 0, 1</t>
  </si>
  <si>
    <t>building services electrical</t>
  </si>
  <si>
    <t>0, 0, 0, 0, 1, 0, 0, 0, 0, 0, 1, 1, 2, 1, 0, 0, 0, 0, 0, 0, 0, 0, 0, 1</t>
  </si>
  <si>
    <t>electrical contractor fresno</t>
  </si>
  <si>
    <t>0, 0, 0, 0, 0, 1, 0, 0, 2, 2, 2, 0, 0, 0, 0, 0, 0, 0, 0, 0, 0, 0, 0, 1</t>
  </si>
  <si>
    <t>jes electrical services</t>
  </si>
  <si>
    <t>0, 0, 0, 1, 1, 0, 0, 0, 0, 0, 0, 0, 1, 0, 0, 0, 0, 0, 0, 0, 0, 0, 0, 1</t>
  </si>
  <si>
    <t>emergency electrician norwich</t>
  </si>
  <si>
    <t>0, 0, 0, 0, 0, 0, 0, 1, 1, 2, 0, 0, 0, 0, 0, 0, 0, 0, 0, 0, 0, 0, 0, 1</t>
  </si>
  <si>
    <t>electrical installation guide 2024 pdf</t>
  </si>
  <si>
    <t>0, 1, 0, 0, 0, 0, 1, 0, 11, 1, 2, 0, 0, 0, 0, 0, 0, 0, 0, 1, 0, 0, 0, 1</t>
  </si>
  <si>
    <t>electrical switch installation</t>
  </si>
  <si>
    <t>0, 0, 0, 1, 1, 1, 1, 2, 0, 1, 2, 3, 2, 0, 0, 0, 2, 0, 0, 1, 1, 1, 0, 2</t>
  </si>
  <si>
    <t>emergency electrician westminster</t>
  </si>
  <si>
    <t>1, 0, 0, 1, 1, 0, 0, 3, 5, 1, 3, 1, 0, 0, 0, 0, 0, 0, 0, 0, 0, 0, 0, 1</t>
  </si>
  <si>
    <t>emergency electrician in lingfield</t>
  </si>
  <si>
    <t>electrical contractor west bloomfield mi</t>
  </si>
  <si>
    <t>caravan electrical repairs</t>
  </si>
  <si>
    <t>0, 0, 0, 1, 0, 0, 0, 1, 1, 0, 0, 0, 0, 0, 1, 0, 1, 0, 0, 0, 0, 0, 0, 1</t>
  </si>
  <si>
    <t>commercial electrical installation manchester</t>
  </si>
  <si>
    <t>work order for electrical contractor</t>
  </si>
  <si>
    <t>0, 3, 1, 0, 0, 0, 0, 2, 2, 0, 0, 0, 0, 0, 0, 1, 0, 0, 0, 1, 0, 0, 0, 1</t>
  </si>
  <si>
    <t>reliable electrical services</t>
  </si>
  <si>
    <t>0, 2, 1, 2, 0, 1, 0, 0, 1, 0, 4, 0, 1, 1, 1, 5, 2, 2, 1, 4, 7, 10, 4, 10</t>
  </si>
  <si>
    <t>electrical installation bokarina</t>
  </si>
  <si>
    <t>electrical tool repairs</t>
  </si>
  <si>
    <t>0, 1, 0, 0, 1, 1, 0, 0, 3, 0, 1, 2, 1, 3, 0, 0, 2, 4, 2, 0, 1, 0, 1, 1</t>
  </si>
  <si>
    <t>electrical contractor certification</t>
  </si>
  <si>
    <t>0, 0, 0, 0, 0, 0, 0, 0, 0, 0, 0, 0, 0, 0, 0, 0, 0, 0, 0, 1, 1, 1, 1, 1</t>
  </si>
  <si>
    <t>durham electrical services</t>
  </si>
  <si>
    <t>electrical contractor facebook marketing</t>
  </si>
  <si>
    <t>emergency electrician girraween</t>
  </si>
  <si>
    <t>electrical services utah</t>
  </si>
  <si>
    <t>emp electrical services</t>
  </si>
  <si>
    <t>electrical services wimbledon</t>
  </si>
  <si>
    <t>claude's electrical services</t>
  </si>
  <si>
    <t>electrical earth rod installation</t>
  </si>
  <si>
    <t>2, 0, 3, 0, 0, 0, 0, 1, 1, 1, 0, 1, 4, 0, 1, 0, 0, 2, 1, 0, 0, 1, 2, 2</t>
  </si>
  <si>
    <t>rfl electrical services</t>
  </si>
  <si>
    <t>0, 0, 0, 0, 2, 0, 1, 0, 0, 0, 0, 0, 0, 0, 0, 0, 0, 0, 0, 0, 0, 0, 0, 1</t>
  </si>
  <si>
    <t>bennett electrical services</t>
  </si>
  <si>
    <t>electrical services vancouver bc</t>
  </si>
  <si>
    <t>electrical services charlotte nc</t>
  </si>
  <si>
    <t>1, 0, 1, 0, 0, 0, 0, 0, 0, 3, 3, 0, 0, 0, 0, 0, 0, 0, 0, 0, 0, 0, 0, 1</t>
  </si>
  <si>
    <t>electrical repairs centennial</t>
  </si>
  <si>
    <t>0, 0, 0, 1, 0, 3, 0, 1, 1, 3, 3, 1, 0, 0, 0, 0, 0, 0, 0, 0, 0, 0, 0, 1</t>
  </si>
  <si>
    <t>delta electrical repairs</t>
  </si>
  <si>
    <t>raleigh home electrical repair services</t>
  </si>
  <si>
    <t>residential emergency electrical repairs</t>
  </si>
  <si>
    <t>0, 0, 0, 1, 1, 0, 0, 1, 0, 0, 0, 0, 0, 0, 0, 0, 0, 0, 0, 0, 0, 0, 0, 1</t>
  </si>
  <si>
    <t>electrical management services</t>
  </si>
  <si>
    <t>georgetown electrical panel installation</t>
  </si>
  <si>
    <t>electrical estimating services</t>
  </si>
  <si>
    <t>1, 1, 2, 0, 2, 5, 5, 2, 2, 5, 6, 3, 1, 2, 1, 2, 0, 0, 2, 0, 0, 0, 0, 1</t>
  </si>
  <si>
    <t>marine electrical services</t>
  </si>
  <si>
    <t>0, 0, 0, 0, 1, 0, 0, 0, 0, 2, 2, 2, 0, 0, 0, 0, 1, 0, 0, 0, 0, 0, 0, 1</t>
  </si>
  <si>
    <t>level 2 and 3 electrical installation</t>
  </si>
  <si>
    <t>industrial electrical installation south africa</t>
  </si>
  <si>
    <t>0, 0, 0, 0, 0, 0, 0, 0, 0, 0, 0, 0, 0, 0, 0, 0, 0, 0, 0, 0, 0, 2, 4, 1</t>
  </si>
  <si>
    <t>electrical installation types</t>
  </si>
  <si>
    <t>0, 1, 0, 0, 0, 0, 0, 1, 3, 0, 0, 0, 0, 0, 0, 0, 0, 0, 0, 0, 0, 1, 0, 1</t>
  </si>
  <si>
    <t>providence maintenance &amp; electrical services ltd</t>
  </si>
  <si>
    <t>emergency electrician ashfield</t>
  </si>
  <si>
    <t>0, 0, 0, 0, 2, 0, 0, 1, 0, 2, 1, 0, 0, 0, 0, 0, 0, 0, 0, 0, 0, 0, 0, 1</t>
  </si>
  <si>
    <t>emergency electrician earlwood</t>
  </si>
  <si>
    <t>electrical services spokane, wa</t>
  </si>
  <si>
    <t>0, 0, 0, 0, 0, 0, 0, 2, 1, 0, 0, 0, 1, 0, 0, 0, 0, 0, 0, 0, 0, 0, 0, 1</t>
  </si>
  <si>
    <t>emergency electrician chapin</t>
  </si>
  <si>
    <t>0, 0, 0, 0, 0, 0, 0, 0, 0, 2, 1, 3, 0, 0, 0, 0, 0, 0, 0, 0, 0, 0, 0, 1</t>
  </si>
  <si>
    <t>pvc electrical conduit installation guide pdf</t>
  </si>
  <si>
    <t>2, 0, 0, 1, 2, 2, 2, 5, 2, 2, 4, 0, 1, 2, 2, 3, 4, 6, 2, 3, 0, 1, 0, 1</t>
  </si>
  <si>
    <t>prominent electrical services</t>
  </si>
  <si>
    <t>electrical cabinet installation</t>
  </si>
  <si>
    <t>0, 0, 0, 1, 0, 0, 0, 0, 0, 0, 0, 0, 0, 0, 0, 0, 0, 0, 0, 0, 0, 0, 5, 3</t>
  </si>
  <si>
    <t>emergency electrical services nashville</t>
  </si>
  <si>
    <t>auto electrical services near me</t>
  </si>
  <si>
    <t>3, 14, 7, 2, 7, 6, 5, 6, 6, 11, 4, 4, 4, 3, 4, 6, 7, 6, 7, 3, 3, 1, 0, 2</t>
  </si>
  <si>
    <t>electrical services newcastle</t>
  </si>
  <si>
    <t>2, 0, 0, 0, 2, 0, 2, 1, 2, 2, 1, 2, 3, 1, 2, 0, 0, 0, 0, 0, 0, 0, 0, 1</t>
  </si>
  <si>
    <t>emergency electrician york</t>
  </si>
  <si>
    <t>0, 0, 0, 1, 0, 0, 0, 1, 0, 0, 3, 4, 0, 0, 0, 0, 0, 0, 0, 0, 0, 0, 0, 1</t>
  </si>
  <si>
    <t>integra electrical services</t>
  </si>
  <si>
    <t>electrician electrical contractor letterhead</t>
  </si>
  <si>
    <t>0, 2, 2, 0, 2, 0, 0, 2, 0, 0, 0, 4, 0, 0, 0, 0, 0, 0, 0, 0, 1, 0, 0, 1</t>
  </si>
  <si>
    <t>electrical contractor local services ads</t>
  </si>
  <si>
    <t>emergency electrician blaxcell</t>
  </si>
  <si>
    <t>electrical repairs in winter garden</t>
  </si>
  <si>
    <t>electrical repairs myrtle beach</t>
  </si>
  <si>
    <t>1, 1, 1, 0, 0, 0, 0, 0, 0, 4, 3, 3, 0, 0, 0, 0, 0, 0, 0, 0, 0, 0, 0, 1</t>
  </si>
  <si>
    <t>emergency electrician marsfield</t>
  </si>
  <si>
    <t>electrical wiring services in houston tx</t>
  </si>
  <si>
    <t>electrical services warren</t>
  </si>
  <si>
    <t>aces electrical services</t>
  </si>
  <si>
    <t>agricultural electrical services</t>
  </si>
  <si>
    <t>0, 0, 1, 0, 1, 0, 2, 0, 0, 0, 0, 0, 0, 0, 0, 0, 0, 0, 0, 0, 0, 0, 0, 1</t>
  </si>
  <si>
    <t>auto electrician cape town cbd</t>
  </si>
  <si>
    <t>0, 0, 0, 0, 0, 0, 0, 0, 0, 0, 0, 0, 0, 0, 0, 0, 0, 0, 0, 0, 0, 0, 2, 2</t>
  </si>
  <si>
    <t>electrical installation certificate uk</t>
  </si>
  <si>
    <t>1, 0, 0, 0, 2, 0, 0, 1, 0, 0, 0, 0, 1, 0, 0, 0, 1, 1, 0, 1, 0, 0, 0, 1</t>
  </si>
  <si>
    <t>electrical distribution services</t>
  </si>
  <si>
    <t>1, 1, 0, 0, 2, 2, 1, 0, 0, 1, 0, 0, 0, 0, 0, 0, 0, 0, 0, 1, 0, 0, 0, 1</t>
  </si>
  <si>
    <t>complete electrical services canberra</t>
  </si>
  <si>
    <t>0, 0, 0, 0, 0, 0, 0, 1, 0, 0, 0, 0, 1, 0, 0, 0, 0, 0, 0, 0, 0, 0, 0, 1</t>
  </si>
  <si>
    <t>24 hour emergency electrician malvern</t>
  </si>
  <si>
    <t>electrical installation boston</t>
  </si>
  <si>
    <t>electrical transfer switch installation</t>
  </si>
  <si>
    <t>emergency electrician bromley</t>
  </si>
  <si>
    <t>0, 5, 0, 1, 5, 1, 2, 0, 0, 3, 3, 0, 0, 0, 0, 0, 0, 0, 0, 0, 0, 0, 0, 1</t>
  </si>
  <si>
    <t>electrical building services design</t>
  </si>
  <si>
    <t>0, 0, 0, 3, 1, 0, 0, 0, 0, 1, 0, 0, 0, 0, 0, 1, 0, 0, 0, 0, 0, 0, 0, 1</t>
  </si>
  <si>
    <t>certificate for electrical installation</t>
  </si>
  <si>
    <t>0, 0, 0, 3, 1, 0, 1, 3, 3, 0, 5, 3, 1, 0, 1, 0, 0, 0, 0, 2, 1, 2, 1, 1</t>
  </si>
  <si>
    <t>emergency electrician hastings</t>
  </si>
  <si>
    <t>0, 0, 0, 1, 0, 1, 0, 0, 2, 1, 2, 0, 0, 0, 0, 0, 0, 0, 0, 0, 0, 0, 0, 1</t>
  </si>
  <si>
    <t>electrical services billings mt</t>
  </si>
  <si>
    <t>emergency electrician campbellfield</t>
  </si>
  <si>
    <t>0, 0, 0, 0, 1, 0, 0, 2, 2, 0, 1, 0, 0, 0, 0, 0, 0, 0, 0, 0, 0, 0, 0, 1</t>
  </si>
  <si>
    <t>sequence of control in electrical installation</t>
  </si>
  <si>
    <t>electrical services aurora</t>
  </si>
  <si>
    <t>0, 0, 0, 0, 0, 0, 2, 1, 1, 1, 2, 0, 0, 0, 0, 0, 0, 0, 0, 0, 0, 0, 0, 1</t>
  </si>
  <si>
    <t>electrical installation tape</t>
  </si>
  <si>
    <t>0, 0, 0, 0, 0, 0, 0, 1, 1, 0, 1, 0, 0, 0, 1, 1, 0, 0, 0, 0, 0, 2, 0, 2</t>
  </si>
  <si>
    <t>emergency electrician malvern</t>
  </si>
  <si>
    <t>0, 0, 1, 0, 0, 1, 1, 3, 1, 1, 2, 0, 0, 0, 0, 0, 0, 0, 0, 0, 0, 0, 0, 1</t>
  </si>
  <si>
    <t>electrical contractor las vegas</t>
  </si>
  <si>
    <t>2, 3, 0, 1, 1, 2, 0, 1, 1, 1, 1, 1, 0, 0, 0, 0, 0, 0, 0, 0, 0, 0, 0, 1</t>
  </si>
  <si>
    <t>electrical installation guide 2016 pdf</t>
  </si>
  <si>
    <t>amj electrical services cape town</t>
  </si>
  <si>
    <t>electrical installation quiz</t>
  </si>
  <si>
    <t>24 hr emergency electrician moorabbin</t>
  </si>
  <si>
    <t>electrical contractor digital marketing</t>
  </si>
  <si>
    <t>safety electrical engineering services</t>
  </si>
  <si>
    <t>1, 0, 0, 0, 0, 0, 0, 0, 1, 0, 0, 0, 0, 0, 0, 0, 0, 0, 0, 0, 0, 1, 0, 1</t>
  </si>
  <si>
    <t>electrical contractor north las vegas</t>
  </si>
  <si>
    <t>electrical panel installation procedure pdf</t>
  </si>
  <si>
    <t>5, 1, 5, 1, 2, 2, 4, 1, 0, 4, 0, 1, 0, 4, 1, 0, 0, 0, 0, 0, 1, 0, 0, 1</t>
  </si>
  <si>
    <t>electrical contractor colchester</t>
  </si>
  <si>
    <t>0, 0, 1, 1, 0, 1, 0, 0, 0, 0, 0, 2, 0, 0, 0, 0, 0, 0, 0, 0, 0, 0, 0, 1</t>
  </si>
  <si>
    <t>electrical lighting installation</t>
  </si>
  <si>
    <t>2, 1, 1, 0, 1, 2, 1, 1, 3, 0, 1, 3, 3, 0, 0, 0, 1, 0, 2, 0, 0, 0, 1, 1</t>
  </si>
  <si>
    <t>national electrical contractor</t>
  </si>
  <si>
    <t>emergency electrician south london</t>
  </si>
  <si>
    <t>0, 1, 0, 1, 0, 0, 1, 1, 0, 0, 0, 0, 0, 0, 0, 0, 0, 0, 0, 0, 0, 0, 0, 1</t>
  </si>
  <si>
    <t>commercial electrical services frisco tx</t>
  </si>
  <si>
    <t>wake forest new construction electrical services</t>
  </si>
  <si>
    <t>electrical repairs jupiter</t>
  </si>
  <si>
    <t>caravan auto electrical repairs</t>
  </si>
  <si>
    <t>electrical contractor san jose</t>
  </si>
  <si>
    <t>2, 1, 0, 1, 1, 1, 2, 0, 0, 1, 1, 0, 0, 0, 0, 0, 0, 0, 0, 0, 0, 0, 0, 1</t>
  </si>
  <si>
    <t>full electrical services</t>
  </si>
  <si>
    <t>electrical services in florida, south africa</t>
  </si>
  <si>
    <t>electrical installation symbols for drawings</t>
  </si>
  <si>
    <t>0, 0, 0, 3, 0, 0, 0, 0, 0, 0, 0, 0, 0, 0, 0, 1, 0, 0, 2, 0, 0, 0, 0, 1</t>
  </si>
  <si>
    <t>electrical contractor hobart</t>
  </si>
  <si>
    <t>1, 1, 0, 1, 0, 0, 0, 0, 0, 1, 0, 0, 0, 0, 0, 0, 0, 0, 0, 0, 0, 0, 0, 1</t>
  </si>
  <si>
    <t>emergency electrician clarksville</t>
  </si>
  <si>
    <t>electrical contractor portland</t>
  </si>
  <si>
    <t>2, 1, 1, 5, 1, 0, 1, 2, 3, 2, 3, 0, 0, 0, 0, 0, 0, 0, 0, 0, 0, 0, 0, 1</t>
  </si>
  <si>
    <t>electrical installation report sample</t>
  </si>
  <si>
    <t>2, 0, 0, 1, 2, 1, 1, 1, 2, 0, 1, 2, 2, 1, 1, 3, 0, 0, 1, 0, 1, 0, 0, 2</t>
  </si>
  <si>
    <t>electrical contractor profile</t>
  </si>
  <si>
    <t>0, 0, 0, 2, 1, 0, 0, 3, 0, 1, 2, 0, 1, 2, 6, 0, 2, 4, 1, 0, 0, 0, 0, 1</t>
  </si>
  <si>
    <t>castro electrical services</t>
  </si>
  <si>
    <t>0, 0, 0, 1, 0, 1, 0, 0, 0, 0, 0, 0, 2, 0, 0, 1, 0, 0, 1, 0, 0, 0, 0, 1</t>
  </si>
  <si>
    <t>extra electrical outlets services in pittsfield</t>
  </si>
  <si>
    <t>0, 0, 0, 0, 0, 0, 0, 0, 0, 0, 0, 1, 0, 0, 0, 0, 0, 0, 0, 2, 0, 0, 1, 1</t>
  </si>
  <si>
    <t>bentley electrical services</t>
  </si>
  <si>
    <t>electrical appliance repairs pretoria east</t>
  </si>
  <si>
    <t>24 hr emergency electrician melbourne</t>
  </si>
  <si>
    <t>electrical panel installation bloomington</t>
  </si>
  <si>
    <t>0, 0, 0, 1, 0, 0, 0, 0, 0, 0, 1, 2, 0, 0, 0, 0, 0, 0, 0, 0, 0, 0, 0, 1</t>
  </si>
  <si>
    <t>electrical contractor company names</t>
  </si>
  <si>
    <t>0, 1, 0, 0, 0, 0, 0, 3, 0, 0, 0, 0, 0, 0, 0, 0, 0, 0, 0, 0, 0, 0, 0, 1</t>
  </si>
  <si>
    <t>unbiased electrical analysis services</t>
  </si>
  <si>
    <t>electrical contractor insurance kentucky</t>
  </si>
  <si>
    <t>residential electrical contractor essex</t>
  </si>
  <si>
    <t>hm electrical services</t>
  </si>
  <si>
    <t>emergency electrician near me now</t>
  </si>
  <si>
    <t>0, 0, 0, 1, 0, 2, 0, 1, 0, 1, 0, 0, 0, 0, 0, 0, 0, 0, 0, 0, 0, 0, 0, 1</t>
  </si>
  <si>
    <t>electrical installation trainer</t>
  </si>
  <si>
    <t>0, 0, 0, 0, 0, 0, 0, 0, 0, 0, 0, 0, 0, 0, 0, 0, 0, 0, 1, 1, 0, 2, 0, 2</t>
  </si>
  <si>
    <t>electrical plant services nc</t>
  </si>
  <si>
    <t>emergency electrician richardson tx</t>
  </si>
  <si>
    <t>the full electrical services</t>
  </si>
  <si>
    <t>electrical hot tub installation</t>
  </si>
  <si>
    <t>0, 0, 0, 0, 1, 0, 1, 0, 1, 2, 0, 1, 0, 0, 0, 0, 0, 0, 0, 0, 0, 0, 0, 1</t>
  </si>
  <si>
    <t>north carolina electrical contractor license</t>
  </si>
  <si>
    <t>emergency electrician franklin county</t>
  </si>
  <si>
    <t>emergency electrician morley</t>
  </si>
  <si>
    <t>0, 0, 0, 0, 0, 2, 2, 2, 2, 2, 1, 0, 0, 0, 0, 0, 0, 0, 0, 0, 0, 0, 0, 1</t>
  </si>
  <si>
    <t>installation of electrical</t>
  </si>
  <si>
    <t>0, 0, 1, 0, 1, 1, 0, 0, 1, 0, 1, 1, 1, 0, 0, 1, 3, 3, 0, 3, 0, 2, 1, 2</t>
  </si>
  <si>
    <t>electrical installation test certificate</t>
  </si>
  <si>
    <t>0, 1, 0, 0, 0, 0, 0, 1, 0, 1, 1, 0, 0, 1, 1, 0, 0, 0, 0, 0, 0, 0, 0, 1</t>
  </si>
  <si>
    <t>emergency electrician glenhaven</t>
  </si>
  <si>
    <t>alexander electrical services</t>
  </si>
  <si>
    <t>electrical services clermont</t>
  </si>
  <si>
    <t>licensed electrical contractor near me</t>
  </si>
  <si>
    <t>0, 0, 0, 0, 1, 0, 1, 1, 2, 1, 1, 2, 1, 0, 0, 0, 0, 0, 1, 0, 1, 4, 2, 1</t>
  </si>
  <si>
    <t>next level electrical services</t>
  </si>
  <si>
    <t>0, 0, 0, 0, 0, 0, 0, 0, 2, 1, 2, 0, 0, 1, 0, 0, 1, 1, 0, 0, 3, 0, 2, 1</t>
  </si>
  <si>
    <t>electrical contractor boston</t>
  </si>
  <si>
    <t>1, 0, 0, 0, 0, 0, 0, 0, 1, 1, 4, 2, 0, 0, 0, 0, 0, 0, 0, 0, 0, 0, 0, 1</t>
  </si>
  <si>
    <t>commercial electrical contractor utah</t>
  </si>
  <si>
    <t>electrical installation quotation</t>
  </si>
  <si>
    <t>1, 1, 4, 10, 1, 1, 0, 0, 0, 0, 1, 1, 0, 1, 0, 0, 0, 1, 0, 0, 0, 0, 0, 1</t>
  </si>
  <si>
    <t>emergency electrician ascot vale</t>
  </si>
  <si>
    <t>0, 0, 0, 0, 0, 0, 2, 0, 1, 0, 2, 0, 0, 0, 0, 0, 0, 0, 0, 0, 0, 0, 0, 1</t>
  </si>
  <si>
    <t>electrical facilities management services</t>
  </si>
  <si>
    <t>0, 2, 1, 0, 1, 1, 0, 2, 0, 1, 0, 0, 0, 0, 0, 0, 0, 0, 0, 0, 0, 0, 0, 1</t>
  </si>
  <si>
    <t>emergency electrician stephenson va</t>
  </si>
  <si>
    <t>american lighting electrical services</t>
  </si>
  <si>
    <t>suffolk county home electrical repair services</t>
  </si>
  <si>
    <t>electrical installation method statement example</t>
  </si>
  <si>
    <t>all phase electrical services</t>
  </si>
  <si>
    <t>2, 0, 0, 0, 0, 1, 0, 2, 1, 0, 0, 0, 0, 0, 0, 0, 0, 0, 0, 0, 0, 0, 0, 1</t>
  </si>
  <si>
    <t>kansas city electrical services</t>
  </si>
  <si>
    <t>electrical installation designs</t>
  </si>
  <si>
    <t>cheap small electrical repairs near me</t>
  </si>
  <si>
    <t>0, 1, 1, 1, 0, 0, 0, 0, 1, 0, 0, 1, 0, 0, 0, 0, 0, 0, 0, 0, 1, 0, 0, 1</t>
  </si>
  <si>
    <t>electrical services new milford nj</t>
  </si>
  <si>
    <t>electrical installation tester accessories</t>
  </si>
  <si>
    <t>auto supreme electrical services</t>
  </si>
  <si>
    <t>emergency electrician rowville</t>
  </si>
  <si>
    <t>1, 0, 0, 0, 0, 1, 0, 0, 1, 0, 0, 0, 0, 0, 0, 0, 0, 0, 0, 0, 0, 0, 0, 1</t>
  </si>
  <si>
    <t>electrical panel installation kansas</t>
  </si>
  <si>
    <t>electrical contractor insurance iowa</t>
  </si>
  <si>
    <t>0, 0, 0, 1, 0, 0, 0, 0, 0, 0, 3, 0, 0, 0, 0, 0, 0, 0, 0, 0, 0, 0, 0, 1</t>
  </si>
  <si>
    <t>electrical installation appointment letter</t>
  </si>
  <si>
    <t>emergency electrician new castle</t>
  </si>
  <si>
    <t>0, 1, 0, 0, 0, 1, 1, 0, 0, 0, 4, 1, 0, 0, 0, 0, 0, 0, 0, 0, 0, 0, 0, 1</t>
  </si>
  <si>
    <t>emergency electrician barnstaple</t>
  </si>
  <si>
    <t>24 hour emergency electrician eastern suburbs</t>
  </si>
  <si>
    <t>electrical appliance repairs port elizabeth</t>
  </si>
  <si>
    <t>electrical installation company profile</t>
  </si>
  <si>
    <t>bethel ct electrical services</t>
  </si>
  <si>
    <t>jra electrical services</t>
  </si>
  <si>
    <t>emergency electrician devon</t>
  </si>
  <si>
    <t>0, 0, 0, 0, 0, 0, 0, 0, 0, 1, 1, 0, 0, 0, 1, 0, 0, 0, 0, 0, 0, 0, 0, 1</t>
  </si>
  <si>
    <t>domestic electrical installation course</t>
  </si>
  <si>
    <t>1, 0, 6, 3, 0, 0, 0, 0, 0, 3, 1, 0, 1, 0, 2, 1, 1, 1, 0, 1, 0, 0, 0, 1</t>
  </si>
  <si>
    <t>electrical services arlington</t>
  </si>
  <si>
    <t>sho sho electrical services</t>
  </si>
  <si>
    <t>electrical services cherryville, nc</t>
  </si>
  <si>
    <t>1, 0, 0, 0, 0, 0, 0, 0, 1, 0, 1, 0, 0, 0, 0, 0, 0, 0, 0, 0, 0, 0, 0, 1</t>
  </si>
  <si>
    <t>az electrical services</t>
  </si>
  <si>
    <t>0, 0, 0, 0, 0, 0, 0, 1, 0, 0, 0, 1, 0, 0, 1, 0, 0, 0, 0, 0, 0, 0, 0, 1</t>
  </si>
  <si>
    <t>rgb electrical services &amp; supplies inc</t>
  </si>
  <si>
    <t>emergency electrician sailors bay</t>
  </si>
  <si>
    <t>electrical installation ideas</t>
  </si>
  <si>
    <t>1, 2, 2, 0, 0, 0, 0, 0, 0, 0, 0, 0, 0, 0, 0, 0, 0, 0, 0, 0, 0, 0, 0, 1</t>
  </si>
  <si>
    <t>electrical installation kit</t>
  </si>
  <si>
    <t>0, 0, 2, 0, 0, 0, 0, 1, 0, 0, 1, 4, 0, 0, 0, 0, 0, 1, 1, 0, 0, 17, 2, 7</t>
  </si>
  <si>
    <t>electrical contractor gladstone</t>
  </si>
  <si>
    <t>0, 1, 0, 0, 1, 0, 0, 1, 1, 0, 1, 0, 0, 0, 0, 0, 0, 0, 0, 0, 0, 0, 0, 1</t>
  </si>
  <si>
    <t>emergency electrician kansas</t>
  </si>
  <si>
    <t>dallas home electrical repair services</t>
  </si>
  <si>
    <t>1, 0, 0, 0, 0, 0, 0, 0, 0, 1, 0, 0, 0, 0, 0, 0, 0, 0, 0, 0, 0, 0, 0, 1</t>
  </si>
  <si>
    <t>delaware county electrical services</t>
  </si>
  <si>
    <t>electrical contractor manhattan</t>
  </si>
  <si>
    <t>2, 0, 0, 1, 0, 0, 0, 0, 0, 0, 1, 0, 0, 0, 0, 0, 0, 0, 0, 0, 0, 0, 0, 1</t>
  </si>
  <si>
    <t>electrical services business</t>
  </si>
  <si>
    <t>1, 0, 0, 1, 0, 1, 1, 0, 0, 0, 0, 0, 1, 0, 0, 1, 0, 0, 0, 0, 0, 1, 0, 2</t>
  </si>
  <si>
    <t>electrical services florence</t>
  </si>
  <si>
    <t>emergency electrician raleigh nc</t>
  </si>
  <si>
    <t>emergency electrician teddington</t>
  </si>
  <si>
    <t>rwb electrical services</t>
  </si>
  <si>
    <t>ken electrical services</t>
  </si>
  <si>
    <t>electrical panel repairs monmouth county nj</t>
  </si>
  <si>
    <t>electrical repairs manchester</t>
  </si>
  <si>
    <t>redd electrical services inc</t>
  </si>
  <si>
    <t>emergency electrician mount pleasant</t>
  </si>
  <si>
    <t>0, 0, 0, 1, 0, 0, 0, 0, 1, 1, 1, 0, 0, 0, 0, 0, 0, 0, 0, 0, 0, 0, 0, 1</t>
  </si>
  <si>
    <t>emergency electrician solihull</t>
  </si>
  <si>
    <t>0, 0, 0, 0, 0, 2, 0, 0, 0, 0, 1, 0, 0, 0, 0, 0, 0, 0, 0, 0, 0, 0, 0, 1</t>
  </si>
  <si>
    <t>residential electrical sub panel installation</t>
  </si>
  <si>
    <t>emergency electrician longfield</t>
  </si>
  <si>
    <t>0, 0, 0, 0, 3, 1, 0, 0, 1, 0, 1, 1, 0, 0, 0, 0, 0, 0, 0, 0, 0, 0, 0, 1</t>
  </si>
  <si>
    <t>electrical cable tray installation</t>
  </si>
  <si>
    <t>2, 2, 3, 2, 1, 2, 7, 3, 5, 3, 2, 4, 1, 0, 4, 11, 1, 1, 0, 6, 4, 3, 6, 4</t>
  </si>
  <si>
    <t>electrical installation planning and estimating</t>
  </si>
  <si>
    <t>new electrical outlet installation</t>
  </si>
  <si>
    <t>mullaloo emergency electrician</t>
  </si>
  <si>
    <t>0, 0, 0, 0, 0, 0, 0, 0, 3, 2, 1, 2, 0, 0, 0, 0, 0, 0, 0, 0, 0, 0, 0, 1</t>
  </si>
  <si>
    <t>hockey stick electrical installation</t>
  </si>
  <si>
    <t>24 hour emergency electrician gold coast</t>
  </si>
  <si>
    <t>0, 2, 3, 7, 3, 4, 2, 1, 1, 0, 0, 0, 0, 0, 0, 0, 0, 0, 0, 0, 0, 0, 0, 1</t>
  </si>
  <si>
    <t>restaurant electrical contractor colchester</t>
  </si>
  <si>
    <t>0, 0, 0, 0, 1, 1, 0, 0, 0, 2, 0, 1, 0, 0, 0, 0, 0, 0, 0, 0, 0, 0, 0, 1</t>
  </si>
  <si>
    <t>nvq level 3 electrical installation college</t>
  </si>
  <si>
    <t>electrical repairs on cars near me</t>
  </si>
  <si>
    <t>electrical appliance installation</t>
  </si>
  <si>
    <t>2, 0, 0, 0, 0, 0, 1, 0, 0, 0, 1, 0, 0, 1, 1, 0, 2, 0, 0, 0, 0, 0, 0, 1</t>
  </si>
  <si>
    <t>electrical panel installation wayne county</t>
  </si>
  <si>
    <t>newcastle electrical contractor</t>
  </si>
  <si>
    <t>snt electrical services</t>
  </si>
  <si>
    <t>0, 0, 0, 0, 0, 0, 2, 2, 0, 0, 2, 1, 0, 0, 0, 0, 0, 0, 0, 5, 0, 0, 0, 1</t>
  </si>
  <si>
    <t>electrical contractor slogans</t>
  </si>
  <si>
    <t>0, 0, 0, 0, 0, 3, 0, 0, 0, 0, 1, 0, 0, 0, 0, 0, 0, 0, 0, 0, 0, 0, 0, 1</t>
  </si>
  <si>
    <t>electrical contractor quotation</t>
  </si>
  <si>
    <t>0, 0, 0, 0, 0, 0, 0, 0, 0, 0, 0, 2, 0, 0, 0, 0, 0, 0, 0, 0, 0, 1, 0, 1</t>
  </si>
  <si>
    <t>electrical installation nh</t>
  </si>
  <si>
    <t>electrical services melbourne</t>
  </si>
  <si>
    <t>1, 1, 1, 1, 8, 5, 0, 5, 6, 2, 2, 0, 0, 0, 0, 0, 0, 0, 0, 0, 0, 0, 1, 1</t>
  </si>
  <si>
    <t>wired right electrical services</t>
  </si>
  <si>
    <t>0, 0, 0, 0, 0, 0, 0, 0, 0, 0, 0, 0, 0, 0, 0, 0, 0, 0, 0, 0, 0, 1, 3, 1</t>
  </si>
  <si>
    <t>electrical contractor bath</t>
  </si>
  <si>
    <t>electrical services cardiff</t>
  </si>
  <si>
    <t>electrical services aurora co</t>
  </si>
  <si>
    <t>0, 0, 0, 0, 0, 1, 1, 1, 4, 2, 0, 0, 0, 0, 0, 0, 0, 0, 0, 0, 0, 0, 0, 1</t>
  </si>
  <si>
    <t>electrical contractor kippa ring</t>
  </si>
  <si>
    <t>wired up electrical services</t>
  </si>
  <si>
    <t>2, 2, 0, 0, 1, 0, 0, 0, 1, 0, 0, 0, 0, 0, 0, 0, 0, 0, 0, 0, 0, 0, 0, 1</t>
  </si>
  <si>
    <t>24 hour emergency electrician mentone</t>
  </si>
  <si>
    <t>electrical repairs services</t>
  </si>
  <si>
    <t>0, 1, 0, 2, 0, 1, 0, 1, 1, 1, 1, 0, 0, 0, 0, 0, 0, 0, 0, 0, 0, 0, 0, 1</t>
  </si>
  <si>
    <t>electrical panel installation pickens county</t>
  </si>
  <si>
    <t>emergency electrician sebastopol</t>
  </si>
  <si>
    <t>0, 1, 0, 0, 0, 0, 0, 2, 0, 1, 1, 0, 0, 0, 0, 0, 0, 0, 0, 0, 0, 0, 0, 1</t>
  </si>
  <si>
    <t>electrical services santa fe</t>
  </si>
  <si>
    <t>campervan electrical installation near me</t>
  </si>
  <si>
    <t>0, 0, 0, 0, 0, 0, 0, 0, 1, 0, 0, 0, 0, 0, 0, 0, 0, 0, 1, 0, 0, 0, 0, 1</t>
  </si>
  <si>
    <t>industrial electrical contractor richfield ut</t>
  </si>
  <si>
    <t>electric electrical services rancho bernardo</t>
  </si>
  <si>
    <t>emergency electrician springfield</t>
  </si>
  <si>
    <t>electrical contractor webster tx</t>
  </si>
  <si>
    <t>commercial electrical services nerang</t>
  </si>
  <si>
    <t>electrical contractor insurance west virginia</t>
  </si>
  <si>
    <t>1, 0, 0, 0, 0, 1, 1, 1, 0, 0, 0, 0, 0, 0, 0, 0, 0, 0, 0, 0, 0, 0, 0, 1</t>
  </si>
  <si>
    <t>riviera beach emergency electrician</t>
  </si>
  <si>
    <t>jmj electrical services</t>
  </si>
  <si>
    <t>pa electrical contractor</t>
  </si>
  <si>
    <t>electrical services peterborough</t>
  </si>
  <si>
    <t>0, 0, 1, 0, 0, 0, 0, 0, 1, 1, 0, 0, 0, 0, 0, 0, 0, 0, 0, 0, 0, 0, 0, 1</t>
  </si>
  <si>
    <t>hmp electrical services</t>
  </si>
  <si>
    <t>electrical contractor insurance missouri</t>
  </si>
  <si>
    <t>0, 0, 1, 1, 0, 0, 0, 1, 0, 1, 0, 0, 0, 0, 0, 0, 0, 0, 0, 0, 0, 0, 0, 1</t>
  </si>
  <si>
    <t>commercial electrical services bayside</t>
  </si>
  <si>
    <t>small electrical appliance repairs</t>
  </si>
  <si>
    <t>1, 3, 1, 0, 3, 0, 1, 0, 1, 0, 0, 0, 0, 0, 0, 0, 1, 1, 0, 1, 0, 4, 0, 2</t>
  </si>
  <si>
    <t>oceanside emergency electrician</t>
  </si>
  <si>
    <t>electrical installation condition report cork</t>
  </si>
  <si>
    <t>electrical contractor letterhead samples</t>
  </si>
  <si>
    <t>electrical services in lahore</t>
  </si>
  <si>
    <t>0, 1, 1, 0, 0, 0, 0, 1, 2, 0, 1, 0, 0, 0, 0, 0, 0, 0, 0, 0, 0, 0, 0, 1</t>
  </si>
  <si>
    <t>fixed electrical installation testing regulations</t>
  </si>
  <si>
    <t>electrical contractor business plan example</t>
  </si>
  <si>
    <t>0, 0, 0, 0, 0, 0, 0, 3, 3, 0, 0, 3, 0, 0, 0, 0, 1, 0, 1, 0, 3, 0, 0, 1</t>
  </si>
  <si>
    <t>emergency electrician southern highlands</t>
  </si>
  <si>
    <t>electrical installation new milford nj</t>
  </si>
  <si>
    <t>electrical appliance repairs paarl</t>
  </si>
  <si>
    <t>domestic electrical installation certificate</t>
  </si>
  <si>
    <t>0, 1, 1, 3, 3, 1, 1, 1, 0, 1, 5, 0, 1, 2, 0, 2, 0, 0, 1, 0, 0, 0, 0, 1</t>
  </si>
  <si>
    <t>city &amp; guilds electrical installation level 3</t>
  </si>
  <si>
    <t>0, 1, 0, 0, 0, 0, 0, 0, 0, 0, 2, 0, 1, 0, 0, 0, 0, 0, 0, 0, 0, 1, 0, 1</t>
  </si>
  <si>
    <t>electrical installation wage</t>
  </si>
  <si>
    <t>0, 0, 0, 1, 0, 0, 1, 0, 1, 0, 0, 0, 0, 1, 0, 0, 0, 0, 0, 0, 0, 0, 0, 1</t>
  </si>
  <si>
    <t>commercial electrical services hamilton county</t>
  </si>
  <si>
    <t>professional electrical wiring installation</t>
  </si>
  <si>
    <t>0, 0, 0, 0, 0, 1, 0, 0, 1, 0, 2, 0, 0, 0, 0, 1, 0, 0, 0, 0, 0, 0, 0, 1</t>
  </si>
  <si>
    <t>electrical installation in new homes</t>
  </si>
  <si>
    <t>emergency florence electrician</t>
  </si>
  <si>
    <t>1, 0, 0, 1, 1, 1, 0, 0, 1, 1, 1, 0, 0, 0, 0, 0, 0, 0, 0, 0, 3, 0, 0, 2</t>
  </si>
  <si>
    <t>electrical repairs to car lights cape town</t>
  </si>
  <si>
    <t>maverick electrical services</t>
  </si>
  <si>
    <t>0, 0, 0, 0, 0, 0, 1, 0, 0, 3, 0, 1, 0, 0, 0, 0, 0, 0, 0, 0, 0, 0, 0, 1</t>
  </si>
  <si>
    <t>jar electrical services</t>
  </si>
  <si>
    <t>a and d electrical services</t>
  </si>
  <si>
    <t>0, 0, 0, 0, 0, 0, 1, 1, 0, 0, 0, 0, 0, 0, 0, 0, 0, 0, 0, 0, 1, 0, 0, 1</t>
  </si>
  <si>
    <t>electrical infrastructure services essex</t>
  </si>
  <si>
    <t>electrical contractor tools and equipment</t>
  </si>
  <si>
    <t>electrical installation columbia</t>
  </si>
  <si>
    <t>0, 0, 0, 0, 0, 1, 0, 1, 1, 0, 0, 0, 0, 0, 0, 0, 0, 0, 0, 0, 0, 0, 0, 1</t>
  </si>
  <si>
    <t>electrical contractor west hills</t>
  </si>
  <si>
    <t>0, 0, 0, 0, 1, 0, 1, 0, 0, 1, 1, 0, 0, 0, 0, 0, 0, 0, 0, 0, 0, 0, 0, 1</t>
  </si>
  <si>
    <t>franco electrical services</t>
  </si>
  <si>
    <t>emergency electrician essex</t>
  </si>
  <si>
    <t>0, 1, 1, 0, 0, 1, 1, 0, 2, 2, 1, 0, 0, 0, 0, 0, 0, 0, 0, 0, 0, 0, 0, 1</t>
  </si>
  <si>
    <t>destiny plumbing and electrical services randburg</t>
  </si>
  <si>
    <t>magic valley agricultural electrical repairs</t>
  </si>
  <si>
    <t>altec electrical services</t>
  </si>
  <si>
    <t>electrical services battersea</t>
  </si>
  <si>
    <t>aj electrical services ltd</t>
  </si>
  <si>
    <t>switchboard electrical installation</t>
  </si>
  <si>
    <t>0, 0, 0, 0, 0, 0, 0, 0, 1, 0, 1, 0, 0, 0, 0, 0, 0, 0, 0, 0, 0, 0, 1, 1</t>
  </si>
  <si>
    <t>waltech electrical services pty ltd</t>
  </si>
  <si>
    <t>0, 0, 0, 0, 0, 0, 4, 0, 0, 0, 0, 0, 0, 0, 0, 0, 0, 0, 0, 0, 0, 0, 0, 1</t>
  </si>
  <si>
    <t>electrical panel installation hillsborough county</t>
  </si>
  <si>
    <t>home electrical services san francisco ca</t>
  </si>
  <si>
    <t>0, 1, 0, 0, 1, 0, 0, 0, 0, 1, 0, 0, 0, 0, 0, 0, 0, 0, 0, 0, 0, 0, 0, 1</t>
  </si>
  <si>
    <t>electrical testing services market</t>
  </si>
  <si>
    <t>0, 0, 0, 0, 0, 0, 0, 1, 0, 1, 0, 0, 1, 0, 0, 0, 0, 0, 0, 0, 0, 0, 0, 1</t>
  </si>
  <si>
    <t>dixon electrical services</t>
  </si>
  <si>
    <t>0, 0, 0, 0, 0, 0, 0, 0, 0, 1, 0, 0, 2, 0, 0, 0, 0, 0, 0, 0, 0, 0, 0, 1</t>
  </si>
  <si>
    <t>domestic electrical installation condition report</t>
  </si>
  <si>
    <t>0, 0, 1, 1, 1, 0, 0, 0, 1, 0, 0, 0, 5, 0, 1, 1, 0, 0, 1, 1, 0, 0, 0, 1</t>
  </si>
  <si>
    <t>solar electrical contractor washington</t>
  </si>
  <si>
    <t>alliance electrical services</t>
  </si>
  <si>
    <t>electrical panel installation fremont county</t>
  </si>
  <si>
    <t>mobile auto electrical &amp; diagnostic services</t>
  </si>
  <si>
    <t>residential electrical installation greenville</t>
  </si>
  <si>
    <t>electrical installation night course</t>
  </si>
  <si>
    <t>electrical services croydon</t>
  </si>
  <si>
    <t>24 hour emergency electrician dickson</t>
  </si>
  <si>
    <t>level 3 diploma in electrical installation</t>
  </si>
  <si>
    <t>residential electrical services central coast</t>
  </si>
  <si>
    <t>berkshire electrical services</t>
  </si>
  <si>
    <t>emergency electrician gladesville</t>
  </si>
  <si>
    <t>emergency electrician phoenix</t>
  </si>
  <si>
    <t>0, 0, 0, 0, 0, 1, 1, 0, 0, 0, 0, 1, 0, 0, 0, 0, 0, 0, 0, 0, 0, 0, 0, 1</t>
  </si>
  <si>
    <t>electrical installation d'iberville</t>
  </si>
  <si>
    <t>0, 0, 0, 0, 0, 1, 1, 0, 1, 0, 0, 0, 0, 0, 0, 0, 0, 0, 0, 0, 0, 0, 0, 1</t>
  </si>
  <si>
    <t>jitran electrical services</t>
  </si>
  <si>
    <t>rsj electrical services</t>
  </si>
  <si>
    <t>emergency electrician number louisville ky</t>
  </si>
  <si>
    <t>2, 1, 0, 0, 1, 0, 0, 0, 0, 0, 0, 0, 0, 0, 0, 0, 0, 0, 0, 0, 0, 0, 0, 1</t>
  </si>
  <si>
    <t>electrical installation theory and practice pdf</t>
  </si>
  <si>
    <t>electrical services lubbock</t>
  </si>
  <si>
    <t>0, 0, 0, 0, 0, 0, 1, 1, 0, 0, 1, 0, 0, 0, 0, 0, 0, 0, 0, 0, 0, 0, 0, 1</t>
  </si>
  <si>
    <t>professional electrical services sydney</t>
  </si>
  <si>
    <t>0, 0, 1, 0, 0, 0, 3, 2, 1, 2, 0, 0, 1, 0, 0, 0, 0, 0, 0, 0, 0, 0, 0, 1</t>
  </si>
  <si>
    <t>commercial electrical services st. louis county</t>
  </si>
  <si>
    <t>commercial electrical services in palm harbor</t>
  </si>
  <si>
    <t>0, 0, 0, 0, 1, 1, 1, 0, 1, 0, 0, 0, 0, 0, 0, 0, 0, 0, 0, 0, 0, 0, 0, 1</t>
  </si>
  <si>
    <t>factory electrical services</t>
  </si>
  <si>
    <t>0, 1, 1, 0, 0, 0, 0, 0, 0, 0, 0, 1, 0, 0, 0, 0, 0, 0, 0, 0, 0, 0, 0, 1</t>
  </si>
  <si>
    <t>residential electrical services los angeles</t>
  </si>
  <si>
    <t>1, 0, 0, 2, 0, 0, 0, 0, 0, 0, 0, 0, 0, 0, 0, 0, 0, 0, 0, 0, 0, 0, 0, 1</t>
  </si>
  <si>
    <t>pmd electrical services</t>
  </si>
  <si>
    <t>0, 0, 18, 15, 14, 1, 34, 32, 15, 3, 6, 4, 7, 6, 16, 6, 1, 0, 0, 0, 0, 0, 0, 1</t>
  </si>
  <si>
    <t>emergency electrical repairs flower mound tx</t>
  </si>
  <si>
    <t>housing electrical installation</t>
  </si>
  <si>
    <t>0, 0, 0, 0, 0, 0, 0, 3, 2, 1, 0, 0, 0, 0, 0, 0, 0, 0, 0, 0, 0, 0, 0, 1</t>
  </si>
  <si>
    <t>hinck electrical contractor inc</t>
  </si>
  <si>
    <t>electrical panel installation missouri</t>
  </si>
  <si>
    <t>r &amp; b electrical services</t>
  </si>
  <si>
    <t>electrical contractor sherman</t>
  </si>
  <si>
    <t>electrical installation jobs</t>
  </si>
  <si>
    <t>2, 36, 60, 15, 2, 10, 9, 7, 7, 6, 3, 3, 2, 1, 1, 3, 6, 3, 5, 2, 4, 4, 4, 5</t>
  </si>
  <si>
    <t>home electrical inspection services</t>
  </si>
  <si>
    <t>oswego home electrical repair services</t>
  </si>
  <si>
    <t>emergency electrician naples fl</t>
  </si>
  <si>
    <t>0, 0, 0, 1, 0, 0, 0, 0, 0, 2, 0, 0, 0, 0, 0, 0, 0, 0, 0, 0, 0, 0, 0, 1</t>
  </si>
  <si>
    <t>electrical services flyer</t>
  </si>
  <si>
    <t>1, 3, 2, 0, 0, 0, 2, 0, 3, 2, 0, 0, 0, 2, 0, 0, 0, 1, 4, 3, 2, 3, 1, 3</t>
  </si>
  <si>
    <t>electrical services loveland</t>
  </si>
  <si>
    <t>emergency electrician holborn</t>
  </si>
  <si>
    <t>electrical contractor gloucestershire</t>
  </si>
  <si>
    <t>electrical system maintenance services.</t>
  </si>
  <si>
    <t>m &amp; e electrical services</t>
  </si>
  <si>
    <t>0, 0, 0, 1, 1, 1, 0, 0, 1, 2, 0, 0, 0, 1, 0, 0, 0, 0, 0, 0, 0, 0, 0, 1</t>
  </si>
  <si>
    <t>abb electrical installation handbook</t>
  </si>
  <si>
    <t>trusted electrical contractor</t>
  </si>
  <si>
    <t>mc electrical services</t>
  </si>
  <si>
    <t>mount hawthorn emergency electrician</t>
  </si>
  <si>
    <t>0, 0, 0, 0, 0, 0, 0, 0, 1, 2, 1, 0, 0, 0, 0, 0, 0, 0, 0, 0, 0, 0, 0, 1</t>
  </si>
  <si>
    <t>electrical services kraaifontein</t>
  </si>
  <si>
    <t>0, 0, 0, 0, 0, 0, 0, 0, 0, 0, 0, 0, 0, 0, 26, 15, 0, 0, 0, 0, 0, 0, 0, 1</t>
  </si>
  <si>
    <t>emergency electrician wakerley</t>
  </si>
  <si>
    <t>electrical services sandpoint, id</t>
  </si>
  <si>
    <t>0, 0, 0, 0, 0, 0, 0, 0, 1, 0, 1, 2, 0, 1, 0, 0, 0, 0, 0, 0, 0, 0, 0, 1</t>
  </si>
  <si>
    <t>texas electrical contractor license</t>
  </si>
  <si>
    <t>0, 0, 1, 1, 0, 0, 0, 2, 0, 1, 0, 0, 0, 0, 0, 0, 0, 0, 0, 0, 0, 0, 0, 1</t>
  </si>
  <si>
    <t>condo electrical services vaughan</t>
  </si>
  <si>
    <t>emergency electrician indian trail, nc</t>
  </si>
  <si>
    <t>electrical contractor apps</t>
  </si>
  <si>
    <t>0, 1, 1, 6, 0, 0, 0, 3, 1, 7, 3, 9, 0, 0, 0, 0, 0, 0, 0, 0, 1, 0, 0, 1</t>
  </si>
  <si>
    <t>electrical generator installation matthews, nc</t>
  </si>
  <si>
    <t>emergency electrician greenacre</t>
  </si>
  <si>
    <t>electrical outlet installation west allis wi</t>
  </si>
  <si>
    <t>coc in electrical installation code of practice</t>
  </si>
  <si>
    <t>0, 0, 2, 2, 7, 1, 0, 0, 0, 0, 1, 0, 0, 0, 0, 0, 0, 0, 0, 0, 0, 0, 0, 1</t>
  </si>
  <si>
    <t>professional electrical contractor petaluma ca</t>
  </si>
  <si>
    <t>0, 1, 0, 0, 0, 2, 0, 1, 0, 0, 0, 0, 0, 0, 0, 0, 0, 0, 0, 0, 0, 0, 0, 1</t>
  </si>
  <si>
    <t>electrical inspection services near me</t>
  </si>
  <si>
    <t>house electrical services</t>
  </si>
  <si>
    <t>0, 0, 0, 1, 0, 1, 0, 0, 0, 0, 0, 0, 0, 0, 0, 0, 0, 0, 0, 0, 0, 2, 0, 1</t>
  </si>
  <si>
    <t>cost of electrical installation in a new house</t>
  </si>
  <si>
    <t>1, 0, 1, 3, 0, 1, 1, 1, 0, 1, 1, 0, 3, 0, 2, 0, 0, 1, 0, 0, 0, 1, 0, 1</t>
  </si>
  <si>
    <t>hampton electrical services</t>
  </si>
  <si>
    <t>emergency electrician kingsdene</t>
  </si>
  <si>
    <t>g&amp;b electrical services</t>
  </si>
  <si>
    <t>0, 1, 0, 1, 1, 0, 0, 0, 0, 0, 0, 0, 0, 0, 0, 0, 0, 0, 0, 0, 0, 0, 0, 1</t>
  </si>
  <si>
    <t>emergency electrician cardup</t>
  </si>
  <si>
    <t>0, 0, 0, 0, 2, 0, 1, 0, 3, 2, 1, 0, 0, 0, 0, 0, 0, 0, 0, 0, 0, 0, 0, 1</t>
  </si>
  <si>
    <t>commercial electrical services long beach ca</t>
  </si>
  <si>
    <t>0, 0, 0, 0, 0, 1, 0, 0, 0, 1, 2, 0, 0, 0, 0, 0, 0, 0, 0, 0, 0, 0, 0, 1</t>
  </si>
  <si>
    <t>electrical installation condition reports chard</t>
  </si>
  <si>
    <t>0, 0, 0, 0, 0, 0, 0, 0, 0, 0, 4, 1, 0, 0, 0, 0, 0, 0, 0, 0, 0, 0, 0, 1</t>
  </si>
  <si>
    <t>underground electrical installation</t>
  </si>
  <si>
    <t>2, 0, 1, 0, 0, 0, 0, 0, 1, 0, 1, 2, 0, 2, 0, 0, 0, 1, 0, 0, 0, 0, 0, 1</t>
  </si>
  <si>
    <t>electrical services for businesses scripps ranch</t>
  </si>
  <si>
    <t>electrical contractor at work</t>
  </si>
  <si>
    <t>electrical services thames</t>
  </si>
  <si>
    <t>electrical services for businesses in hopkinton</t>
  </si>
  <si>
    <t>0, 0, 0, 0, 0, 0, 0, 1, 0, 0, 0, 0, 0, 0, 0, 1, 0, 0, 0, 0, 1, 0, 1, 2</t>
  </si>
  <si>
    <t>electrical repairs fountain hill pa</t>
  </si>
  <si>
    <t>dean electrical services</t>
  </si>
  <si>
    <t>ms electrical services</t>
  </si>
  <si>
    <t>toledo home electrical repair services</t>
  </si>
  <si>
    <t>nvq 3 electrical installation</t>
  </si>
  <si>
    <t>electrical services grassy park</t>
  </si>
  <si>
    <t>0, 0, 0, 0, 0, 0, 0, 0, 0, 0, 0, 0, 0, 0, 0, 21, 12, 0, 0, 0, 0, 0, 0, 1</t>
  </si>
  <si>
    <t>highlands electrical services</t>
  </si>
  <si>
    <t>emergency electrician portland</t>
  </si>
  <si>
    <t>0, 0, 0, 0, 0, 1, 0, 1, 0, 0, 4, 0, 0, 0, 0, 0, 0, 0, 0, 0, 0, 0, 0, 1</t>
  </si>
  <si>
    <t>commercial electrical services essex</t>
  </si>
  <si>
    <t>electrical contractor engineer</t>
  </si>
  <si>
    <t>0, 0, 0, 0, 0, 0, 0, 0, 0, 1, 0, 1, 1, 0, 0, 0, 0, 0, 0, 0, 0, 0, 0, 1</t>
  </si>
  <si>
    <t>houston electrical repairs</t>
  </si>
  <si>
    <t>new electrical installation regulations</t>
  </si>
  <si>
    <t>utilities electrical contractor uk</t>
  </si>
  <si>
    <t>fort worth electrical contractor</t>
  </si>
  <si>
    <t>0, 0, 0, 0, 0, 0, 0, 3, 2, 3, 2, 1, 0, 0, 0, 0, 0, 0, 0, 0, 0, 0, 0, 1</t>
  </si>
  <si>
    <t>emergency electrician mardella</t>
  </si>
  <si>
    <t>0, 0, 0, 0, 0, 0, 1, 0, 0, 3, 2, 0, 0, 0, 0, 0, 0, 0, 0, 0, 0, 0, 0, 1</t>
  </si>
  <si>
    <t>industrial electrical services darwin</t>
  </si>
  <si>
    <t>emergency electrician sunbury on thames</t>
  </si>
  <si>
    <t>electrical installation london</t>
  </si>
  <si>
    <t>1, 0, 2, 0, 0, 1, 1, 3, 0, 1, 6, 1, 0, 0, 0, 0, 0, 0, 1, 4, 0, 0, 0, 1</t>
  </si>
  <si>
    <t>residential electrical services nashville tn</t>
  </si>
  <si>
    <t>electrical installation leeds</t>
  </si>
  <si>
    <t>kimberley electrical services</t>
  </si>
  <si>
    <t>electrical services hanover park</t>
  </si>
  <si>
    <t>santa barbara electrical wiring services</t>
  </si>
  <si>
    <t>electrical contractor concord ca</t>
  </si>
  <si>
    <t>0, 0, 0, 1, 0, 1, 0, 2, 1, 0, 0, 1, 0, 0, 0, 0, 0, 0, 0, 0, 0, 0, 0, 1</t>
  </si>
  <si>
    <t>emergency electrical repairs oldsmar</t>
  </si>
  <si>
    <t>certified electrician cape town</t>
  </si>
  <si>
    <t>electrical installation tri cities</t>
  </si>
  <si>
    <t>0, 0, 0, 0, 0, 0, 0, 1, 4, 0, 1, 1, 0, 0, 0, 0, 0, 0, 0, 0, 0, 0, 0, 1</t>
  </si>
  <si>
    <t>electrical conduit installation guide pdf</t>
  </si>
  <si>
    <t>1, 0, 1, 0, 0, 3, 6, 10, 6, 4, 4, 2, 4, 1, 5, 5, 0, 4, 0, 1, 2, 2, 1, 1</t>
  </si>
  <si>
    <t>fredericksburg electrical services</t>
  </si>
  <si>
    <t>electrical wiring services davie fl</t>
  </si>
  <si>
    <t>electrical contractor colbert wa</t>
  </si>
  <si>
    <t>emergency electrician bayswater</t>
  </si>
  <si>
    <t>0, 0, 0, 0, 0, 0, 0, 0, 4, 2, 3, 1, 0, 0, 0, 0, 0, 0, 0, 0, 0, 0, 0, 1</t>
  </si>
  <si>
    <t>electrical contractor estimating software free</t>
  </si>
  <si>
    <t>willard electrical services</t>
  </si>
  <si>
    <t>3, 1, 1, 3, 1, 0, 5, 0, 3, 2, 5, 3, 1, 0, 0, 0, 0, 0, 0, 1, 1, 1, 0, 2</t>
  </si>
  <si>
    <t>electrical contractor richmond va</t>
  </si>
  <si>
    <t>0, 0, 0, 0, 2, 1, 0, 1, 1, 0, 0, 0, 0, 0, 0, 0, 0, 0, 0, 0, 0, 0, 0, 1</t>
  </si>
  <si>
    <t>electrical services technician</t>
  </si>
  <si>
    <t>0, 0, 0, 0, 0, 0, 0, 0, 0, 0, 0, 1, 0, 0, 0, 0, 0, 2, 0, 0, 0, 0, 0, 1</t>
  </si>
  <si>
    <t>residential electrical installation charlotte, nc</t>
  </si>
  <si>
    <t>0, 0, 0, 0, 1, 0, 1, 0, 1, 0, 1, 0, 0, 0, 0, 0, 0, 0, 0, 0, 0, 0, 0, 1</t>
  </si>
  <si>
    <t>planning electrical services philadelphia pa</t>
  </si>
  <si>
    <t>electrical outlet installation wayne county</t>
  </si>
  <si>
    <t>eu electrical services llc</t>
  </si>
  <si>
    <t>electrical services mount vernon</t>
  </si>
  <si>
    <t>commercial electrical services kenner</t>
  </si>
  <si>
    <t>0, 0, 0, 0, 0, 0, 0, 2, 0, 2, 0, 0, 0, 0, 0, 0, 0, 0, 0, 0, 0, 0, 0, 1</t>
  </si>
  <si>
    <t>emergency electrician open now</t>
  </si>
  <si>
    <t>0, 0, 0, 0, 0, 0, 0, 0, 0, 0, 1, 0, 0, 0, 2, 0, 0, 0, 0, 0, 1, 0, 0, 1</t>
  </si>
  <si>
    <t>gympie residential electrical contractor</t>
  </si>
  <si>
    <t>on time electrical services</t>
  </si>
  <si>
    <t>1, 1, 0, 0, 2, 0, 0, 0, 0, 0, 0, 0, 0, 0, 0, 0, 0, 0, 0, 0, 0, 0, 0, 1</t>
  </si>
  <si>
    <t>electrical installation regulations, 2009</t>
  </si>
  <si>
    <t>0, 0, 0, 0, 0, 0, 0, 0, 0, 0, 0, 0, 0, 4, 5, 3, 0, 0, 0, 0, 0, 0, 0, 1</t>
  </si>
  <si>
    <t>verify electrical contractor license</t>
  </si>
  <si>
    <t>1, 1, 0, 0, 1, 0, 0, 0, 0, 0, 0, 2, 0, 0, 0, 0, 0, 0, 0, 0, 0, 1, 1, 2</t>
  </si>
  <si>
    <t>residential electrical services gastonia</t>
  </si>
  <si>
    <t>electrical contractor essex</t>
  </si>
  <si>
    <t>commercial electrical contractor provo utah</t>
  </si>
  <si>
    <t>electrical services plymouth</t>
  </si>
  <si>
    <t>emergency electrician sinagra</t>
  </si>
  <si>
    <t>0, 0, 0, 0, 0, 0, 0, 0, 3, 0, 1, 1, 0, 0, 0, 0, 0, 0, 0, 0, 0, 0, 0, 1</t>
  </si>
  <si>
    <t>electrical contractor renewal</t>
  </si>
  <si>
    <t>0, 0, 2, 0, 1, 0, 0, 1, 0, 1, 0, 0, 1, 0, 0, 0, 0, 0, 0, 0, 0, 0, 0, 1</t>
  </si>
  <si>
    <t>altech electrical services ltd</t>
  </si>
  <si>
    <t>sa power services electrical apprentice</t>
  </si>
  <si>
    <t>electrical installation design</t>
  </si>
  <si>
    <t>2, 0, 0, 1, 0, 0, 4, 2, 2, 3, 0, 1, 0, 0, 0, 1, 2, 0, 0, 0, 0, 0, 0, 1</t>
  </si>
  <si>
    <t>los angeles commercial electrical services</t>
  </si>
  <si>
    <t>emergency electrician eglington</t>
  </si>
  <si>
    <t>0, 0, 0, 0, 0, 1, 1, 0, 0, 2, 0, 0, 0, 0, 0, 0, 0, 0, 0, 0, 0, 0, 0, 1</t>
  </si>
  <si>
    <t>electrical contractor illinois</t>
  </si>
  <si>
    <t>0, 0, 0, 0, 2, 1, 0, 0, 0, 1, 1, 1, 0, 0, 0, 0, 0, 0, 0, 0, 0, 0, 0, 1</t>
  </si>
  <si>
    <t>electrical sub panel installation poplarville</t>
  </si>
  <si>
    <t>0, 0, 0, 1, 1, 0, 0, 2, 0, 0, 0, 0, 0, 0, 0, 0, 0, 0, 0, 0, 0, 0, 0, 1</t>
  </si>
  <si>
    <t>electrical contractor new port richey</t>
  </si>
  <si>
    <t>department of labour electrical contractor registration banking details</t>
  </si>
  <si>
    <t>commercial electrical services bellingham, wa</t>
  </si>
  <si>
    <t>0, 0, 0, 0, 0, 0, 0, 1, 0, 1, 3, 1, 0, 0, 0, 0, 0, 0, 0, 1, 0, 0, 0, 1</t>
  </si>
  <si>
    <t>electrical services slogans</t>
  </si>
  <si>
    <t>electrical services fredericksburg</t>
  </si>
  <si>
    <t>0, 0, 0, 0, 0, 0, 0, 1, 1, 1, 1, 0, 0, 0, 0, 0, 0, 0, 0, 0, 0, 0, 0, 1</t>
  </si>
  <si>
    <t>electrical services strathfield</t>
  </si>
  <si>
    <t>maintenance electrical services</t>
  </si>
  <si>
    <t>3, 1, 0, 0, 1, 0, 0, 0, 3, 1, 0, 0, 0, 0, 0, 0, 0, 0, 0, 0, 0, 3, 0, 1</t>
  </si>
  <si>
    <t>electrical services boone county</t>
  </si>
  <si>
    <t>ets electrical testing services</t>
  </si>
  <si>
    <t>0, 0, 0, 1, 0, 0, 0, 0, 0, 3, 0, 0, 0, 0, 0, 0, 0, 0, 0, 0, 0, 0, 0, 1</t>
  </si>
  <si>
    <t>electrical installation and maintenance module</t>
  </si>
  <si>
    <t>0, 0, 0, 0, 0, 0, 0, 0, 0, 0, 0, 0, 2, 0, 4, 0, 0, 0, 0, 0, 0, 1, 0, 1</t>
  </si>
  <si>
    <t>commercial electrical services helensvale</t>
  </si>
  <si>
    <t>electrical repairs and installations in berea</t>
  </si>
  <si>
    <t>0, 0, 0, 0, 0, 0, 0, 0, 0, 0, 0, 0, 0, 0, 3, 0, 4, 6, 0, 0, 0, 0, 0, 1</t>
  </si>
  <si>
    <t>auto electrical repair services</t>
  </si>
  <si>
    <t>0, 0, 0, 0, 2, 1, 0, 1, 2, 2, 0, 1, 0, 0, 1, 0, 0, 1, 0, 0, 0, 0, 0, 1</t>
  </si>
  <si>
    <t>electrical services company profile</t>
  </si>
  <si>
    <t>2, 0, 0, 1, 1, 4, 0, 8, 3, 7, 5, 12, 6, 2, 5, 8, 3, 6, 2, 2, 0, 0, 0, 1</t>
  </si>
  <si>
    <t>access electrical services</t>
  </si>
  <si>
    <t>0, 0, 0, 0, 0, 0, 0, 0, 0, 0, 2, 2, 0, 0, 0, 0, 0, 0, 0, 0, 0, 0, 0, 1</t>
  </si>
  <si>
    <t>local electrical services glen waverley</t>
  </si>
  <si>
    <t>residential electrical services white house tn</t>
  </si>
  <si>
    <t>electrical repairs in orange county</t>
  </si>
  <si>
    <t>bb electrical services</t>
  </si>
  <si>
    <t>0, 0, 0, 0, 0, 1, 0, 0, 0, 0, 0, 0, 0, 0, 0, 0, 0, 1, 0, 0, 0, 0, 0, 1</t>
  </si>
  <si>
    <t>electrical contractor cambridge</t>
  </si>
  <si>
    <t>electrical contractor bids</t>
  </si>
  <si>
    <t>emergency electrician sioux falls</t>
  </si>
  <si>
    <t>0, 0, 0, 0, 0, 2, 0, 2, 2, 0, 0, 0, 0, 0, 0, 0, 0, 0, 0, 0, 0, 0, 0, 1</t>
  </si>
  <si>
    <t>24 hour emergency electrician melbourne</t>
  </si>
  <si>
    <t>0, 1, 1, 1, 3, 2, 1, 9, 0, 7, 8, 0, 0, 0, 0, 0, 0, 0, 0, 0, 0, 0, 0, 1</t>
  </si>
  <si>
    <t>electrical contractor name list</t>
  </si>
  <si>
    <t>4, 2, 8, 2, 2, 3, 5, 1, 2, 1, 0, 6, 0, 2, 3, 2, 1, 2, 1, 0, 0, 0, 0, 1</t>
  </si>
  <si>
    <t>element electrical services</t>
  </si>
  <si>
    <t>the power guys electrical services</t>
  </si>
  <si>
    <t>0, 0, 0, 0, 0, 0, 0, 0, 0, 0, 0, 0, 0, 1, 4, 0, 0, 0, 0, 0, 0, 0, 0, 1</t>
  </si>
  <si>
    <t>commercial electrical services australia</t>
  </si>
  <si>
    <t>0, 0, 0, 0, 0, 1, 0, 0, 0, 1, 0, 1, 0, 0, 0, 0, 0, 0, 0, 0, 0, 0, 0, 1</t>
  </si>
  <si>
    <t>24 hour emergency electrician sydney</t>
  </si>
  <si>
    <t>0, 0, 1, 0, 0, 0, 0, 0, 2, 0, 1, 0, 0, 0, 0, 0, 0, 0, 0, 0, 0, 0, 0, 1</t>
  </si>
  <si>
    <t>electrical sign installation boston ma</t>
  </si>
  <si>
    <t>auto electrical services pretoria pretoria</t>
  </si>
  <si>
    <t>toto washlet installation electrical requirements</t>
  </si>
  <si>
    <t>s j electrical services</t>
  </si>
  <si>
    <t>0, 0, 0, 0, 0, 0, 0, 0, 0, 1, 1, 1, 0, 0, 0, 1, 0, 0, 0, 0, 0, 0, 0, 1</t>
  </si>
  <si>
    <t>c&amp;j electrical services</t>
  </si>
  <si>
    <t>1, 0, 1, 0, 0, 0, 0, 1, 0, 0, 0, 0, 0, 0, 0, 0, 0, 2, 1, 0, 1, 2, 0, 2</t>
  </si>
  <si>
    <t>emergency electrician morninaton peninsula</t>
  </si>
  <si>
    <t>p&amp;e electrical services</t>
  </si>
  <si>
    <t>0, 0, 0, 0, 0, 14, 0, 0, 0, 0, 0, 0, 1, 0, 0, 0, 0, 0, 1, 0, 0, 0, 0, 1</t>
  </si>
  <si>
    <t>emergency electrical services murfreesboro</t>
  </si>
  <si>
    <t>electrical services coolum beach</t>
  </si>
  <si>
    <t>magic valley commercial electrical services</t>
  </si>
  <si>
    <t>electrical breaker installation</t>
  </si>
  <si>
    <t>0, 0, 0, 1, 0, 0, 0, 0, 0, 0, 0, 0, 0, 0, 1, 0, 0, 2, 1, 0, 0, 0, 1, 2</t>
  </si>
  <si>
    <t>solar pv electrical installation certificate</t>
  </si>
  <si>
    <t>new home electrical services sandwich ma</t>
  </si>
  <si>
    <t>hdb approved electrical contractor</t>
  </si>
  <si>
    <t>emergency electrician logan county</t>
  </si>
  <si>
    <t>testing of electrical installation</t>
  </si>
  <si>
    <t>2, 3, 0, 1, 1, 0, 1, 1, 0, 0, 2, 0, 2, 1, 0, 0, 0, 0, 1, 0, 0, 0, 1, 1</t>
  </si>
  <si>
    <t>emergency electrician richmond</t>
  </si>
  <si>
    <t>0, 0, 0, 4, 3, 0, 4, 1, 2, 2, 2, 0, 0, 0, 0, 0, 0, 0, 0, 0, 0, 0, 0, 1</t>
  </si>
  <si>
    <t>electrical contractor asset managment</t>
  </si>
  <si>
    <t>electrical contractor barrie</t>
  </si>
  <si>
    <t>nevada electrical contractor license</t>
  </si>
  <si>
    <t>pioneer electrical services</t>
  </si>
  <si>
    <t>2, 1, 0, 0, 0, 0, 0, 0, 1, 0, 1, 0, 0, 0, 0, 1, 0, 1, 0, 0, 0, 0, 0, 1</t>
  </si>
  <si>
    <t>mount pleasant electrical services</t>
  </si>
  <si>
    <t>0, 0, 0, 0, 1, 0, 0, 0, 2, 2, 1, 0, 0, 0, 0, 0, 0, 0, 0, 0, 0, 0, 0, 1</t>
  </si>
  <si>
    <t>electrical lighting services</t>
  </si>
  <si>
    <t>0, 0, 0, 0, 0, 0, 0, 0, 1, 2, 0, 0, 0, 0, 0, 0, 0, 0, 4, 2, 3, 0, 0, 2</t>
  </si>
  <si>
    <t>brandon electrical services</t>
  </si>
  <si>
    <t>0, 0, 0, 2, 0, 0, 0, 0, 0, 0, 0, 0, 0, 1, 0, 0, 1, 1, 0, 1, 0, 1, 0, 1</t>
  </si>
  <si>
    <t>awb electrical services</t>
  </si>
  <si>
    <t>insurance electrical contractor</t>
  </si>
  <si>
    <t>0, 0, 0, 2, 1, 0, 0, 0, 0, 0, 0, 1, 0, 0, 0, 0, 0, 0, 0, 0, 0, 0, 0, 1</t>
  </si>
  <si>
    <t>greezen electrical services</t>
  </si>
  <si>
    <t>electrical installation condition reports yeovil</t>
  </si>
  <si>
    <t>emergency electrician notting hill</t>
  </si>
  <si>
    <t>0, 0, 0, 0, 0, 0, 0, 0, 1, 0, 0, 0, 0, 1, 0, 0, 1, 0, 0, 0, 0, 0, 0, 1</t>
  </si>
  <si>
    <t>enlighten electrical services</t>
  </si>
  <si>
    <t>electrical installation brentwood</t>
  </si>
  <si>
    <t>0, 0, 0, 0, 0, 1, 2, 0, 0, 1, 0, 0, 0, 0, 0, 0, 0, 0, 0, 0, 0, 0, 0, 1</t>
  </si>
  <si>
    <t>electrical installation in london</t>
  </si>
  <si>
    <t>emergency electrician havertown</t>
  </si>
  <si>
    <t>0, 0, 1, 0, 1, 0, 0, 0, 2, 0, 1, 0, 0, 0, 0, 0, 0, 0, 0, 0, 0, 0, 0, 1</t>
  </si>
  <si>
    <t>electrical contractor billingham</t>
  </si>
  <si>
    <t>emergency call out electrician</t>
  </si>
  <si>
    <t>0, 0, 0, 5, 3, 4, 4, 7, 4, 5, 3, 7, 2, 0, 1, 1, 0, 0, 0, 1, 0, 1, 1, 2</t>
  </si>
  <si>
    <t>industrial electrical services seabrook nh</t>
  </si>
  <si>
    <t>0, 0, 0, 0, 0, 0, 0, 0, 0, 1, 0, 0, 0, 1, 1, 0, 0, 0, 0, 0, 1, 2, 0, 1</t>
  </si>
  <si>
    <t>american electrical services</t>
  </si>
  <si>
    <t>0, 0, 0, 0, 0, 0, 0, 1, 0, 0, 0, 1, 0, 0, 0, 0, 1, 0, 0, 0, 0, 0, 0, 1</t>
  </si>
  <si>
    <t>electrical contractor merrimack nh</t>
  </si>
  <si>
    <t>0, 0, 0, 0, 0, 0, 0, 0, 0, 1, 0, 1, 0, 0, 0, 1, 0, 1, 0, 0, 0, 0, 0, 1</t>
  </si>
  <si>
    <t>electrical services in southeastern wisconsin</t>
  </si>
  <si>
    <t>electrical services berkshire</t>
  </si>
  <si>
    <t>electrical services winnipeg</t>
  </si>
  <si>
    <t>0, 0, 0, 0, 0, 0, 2, 0, 1, 1, 1, 1, 0, 0, 0, 0, 0, 0, 0, 0, 0, 0, 0, 1</t>
  </si>
  <si>
    <t>electrical installation bellingham</t>
  </si>
  <si>
    <t>electrical contractor westchester ny</t>
  </si>
  <si>
    <t>electrical contractor cool electrician logo</t>
  </si>
  <si>
    <t>commercial electrical services chattanooga</t>
  </si>
  <si>
    <t>electrical installation waco</t>
  </si>
  <si>
    <t>cost of electrical installation certificate</t>
  </si>
  <si>
    <t>0, 0, 3, 0, 0, 2, 0, 0, 0, 0, 1, 0, 0, 1, 0, 0, 0, 2, 0, 0, 0, 0, 0, 1</t>
  </si>
  <si>
    <t>emergency electrician euless tx</t>
  </si>
  <si>
    <t>emergency electrician luton</t>
  </si>
  <si>
    <t>aircraft wiring electrical installation</t>
  </si>
  <si>
    <t>electrical installation and repairs</t>
  </si>
  <si>
    <t>archer electrical services</t>
  </si>
  <si>
    <t>electrical services stadium</t>
  </si>
  <si>
    <t>0, 0, 1, 3, 3, 2, 3, 4, 8, 10, 4, 0, 0, 8, 0, 0, 0, 0, 0, 0, 1, 0, 0, 1</t>
  </si>
  <si>
    <t>electrical contractor king city</t>
  </si>
  <si>
    <t>express electrical services reviews</t>
  </si>
  <si>
    <t>electrical installation inspection checklist</t>
  </si>
  <si>
    <t>1, 3, 1, 0, 1, 1, 0, 0, 0, 0, 0, 0, 1, 2, 0, 4, 2, 2, 5, 1, 1, 1, 0, 1</t>
  </si>
  <si>
    <t>car electrical services berwick</t>
  </si>
  <si>
    <t>1, 0, 0, 0, 0, 0, 3, 0, 0, 1, 1, 0, 0, 0, 0, 0, 0, 0, 0, 0, 0, 0, 0, 1</t>
  </si>
  <si>
    <t>electrical cooker installation</t>
  </si>
  <si>
    <t>0, 0, 0, 0, 0, 1, 0, 0, 0, 0, 0, 2, 0, 0, 0, 0, 0, 0, 0, 0, 0, 0, 0, 1</t>
  </si>
  <si>
    <t>emergency electrician morden</t>
  </si>
  <si>
    <t>0, 0, 0, 0, 0, 0, 1, 1, 0, 1, 0, 0, 0, 1, 0, 0, 0, 0, 0, 0, 0, 0, 0, 1</t>
  </si>
  <si>
    <t>electrical services franklin</t>
  </si>
  <si>
    <t>2, 0, 0, 0, 0, 0, 1, 1, 0, 0, 0, 0, 0, 0, 0, 0, 0, 0, 0, 0, 0, 0, 0, 1</t>
  </si>
  <si>
    <t>electrical contractor scarborough</t>
  </si>
  <si>
    <t>0, 0, 2, 0, 0, 0, 1, 0, 0, 2, 0, 0, 0, 0, 0, 0, 0, 0, 0, 0, 0, 0, 0, 1</t>
  </si>
  <si>
    <t>emergency electrician woodside</t>
  </si>
  <si>
    <t>0, 0, 0, 0, 0, 0, 0, 3, 1, 0, 0, 0, 0, 0, 0, 0, 0, 0, 0, 0, 0, 0, 0, 1</t>
  </si>
  <si>
    <t>woodridge emergency electrician</t>
  </si>
  <si>
    <t>level 2 electrical installation course</t>
  </si>
  <si>
    <t>1, 0, 0, 0, 1, 0, 0, 0, 0, 0, 0, 0, 0, 0, 0, 0, 0, 0, 0, 1, 2, 2, 1, 3</t>
  </si>
  <si>
    <t>24 hour emergency electrician knoxville</t>
  </si>
  <si>
    <t>le bros auto electrical sales &amp; services cc</t>
  </si>
  <si>
    <t>spring home electrical repair services</t>
  </si>
  <si>
    <t>electrical installation manual</t>
  </si>
  <si>
    <t>electrical installation maintenance and testing</t>
  </si>
  <si>
    <t>electrical engineering consulting services</t>
  </si>
  <si>
    <t>0, 1, 0, 0, 0, 1, 0, 1, 0, 0, 0, 0, 0, 0, 0, 0, 0, 0, 0, 0, 0, 1, 0, 1</t>
  </si>
  <si>
    <t>dallas ga electrical inspection services</t>
  </si>
  <si>
    <t>hollywood florida electrical services</t>
  </si>
  <si>
    <t>1, 0, 1, 0, 0, 1, 1, 2, 0, 5, 2, 3, 0, 0, 0, 0, 0, 0, 0, 0, 0, 0, 0, 1</t>
  </si>
  <si>
    <t>london electrical services</t>
  </si>
  <si>
    <t>0, 1, 0, 0, 0, 1, 0, 0, 0, 0, 0, 0, 0, 0, 1, 0, 0, 0, 0, 0, 0, 0, 0, 1</t>
  </si>
  <si>
    <t>emergency electrician bundoora</t>
  </si>
  <si>
    <t>0, 0, 0, 0, 0, 0, 0, 2, 0, 3, 1, 2, 0, 0, 0, 0, 0, 0, 0, 0, 0, 0, 0, 1</t>
  </si>
  <si>
    <t>residential electrical services alexandria</t>
  </si>
  <si>
    <t>mechanical and electrical building services</t>
  </si>
  <si>
    <t>0, 0, 0, 0, 1, 0, 0, 0, 0, 1, 3, 0, 0, 0, 0, 0, 0, 0, 0, 0, 0, 0, 0, 1</t>
  </si>
  <si>
    <t>nj electrical contractor</t>
  </si>
  <si>
    <t>0, 1, 0, 0, 1, 1, 0, 0, 0, 1, 0, 0, 0, 0, 0, 0, 0, 0, 0, 0, 0, 0, 0, 1</t>
  </si>
  <si>
    <t>emergency electrician southend-on-sea</t>
  </si>
  <si>
    <t>emergency electrician baltimore</t>
  </si>
  <si>
    <t>dragon hardware &amp; electrical services</t>
  </si>
  <si>
    <t>2, 0, 0, 0, 0, 0, 0, 0, 0, 0, 0, 0, 0, 0, 0, 0, 0, 1, 0, 0, 0, 0, 2, 1</t>
  </si>
  <si>
    <t>electrical bim services</t>
  </si>
  <si>
    <t>0, 1, 1, 1, 2, 1, 2, 2, 0, 1, 2, 2, 2, 1, 0, 0, 0, 0, 0, 0, 0, 0, 0, 1</t>
  </si>
  <si>
    <t>stafford electrical services</t>
  </si>
  <si>
    <t>0, 0, 0, 1, 1, 1, 1, 0, 1, 0, 0, 0, 0, 0, 0, 0, 0, 0, 0, 0, 0, 0, 0, 1</t>
  </si>
  <si>
    <t>prolek auto electrical services ltd</t>
  </si>
  <si>
    <t>0, 0, 0, 0, 0, 0, 0, 0, 0, 1, 0, 0, 2, 0, 0, 1, 0, 1, 0, 0, 0, 0, 0, 1</t>
  </si>
  <si>
    <t>electrical contractor business card examples</t>
  </si>
  <si>
    <t>1, 3, 0, 0, 0, 0, 0, 0, 1, 0, 0, 1, 1, 0, 0, 0, 0, 0, 0, 0, 0, 0, 0, 1</t>
  </si>
  <si>
    <t>electrical installation anchorage</t>
  </si>
  <si>
    <t>ep electrical services</t>
  </si>
  <si>
    <t>commercial electrical services baltimore county</t>
  </si>
  <si>
    <t>electrical contractor quotation sample</t>
  </si>
  <si>
    <t>emergency electrician beaconsfield upper</t>
  </si>
  <si>
    <t>0, 0, 0, 0, 0, 0, 0, 0, 0, 0, 3, 1, 0, 0, 0, 0, 0, 0, 0, 0, 0, 0, 0, 1</t>
  </si>
  <si>
    <t>electrical services png</t>
  </si>
  <si>
    <t>first electrical services</t>
  </si>
  <si>
    <t>electrical repairs queenstown</t>
  </si>
  <si>
    <t>emergency electrical services little rock, ak</t>
  </si>
  <si>
    <t>bes electrical services</t>
  </si>
  <si>
    <t>0, 0, 0, 1, 0, 0, 0, 0, 0, 0, 0, 0, 0, 0, 0, 0, 1, 1, 0, 0, 0, 0, 0, 1</t>
  </si>
  <si>
    <t>deons electrical services</t>
  </si>
  <si>
    <t>cheap electrical appliance repairs near me</t>
  </si>
  <si>
    <t>0, 0, 0, 0, 0, 0, 0, 0, 0, 0, 0, 0, 0, 6, 2, 0, 0, 0, 0, 0, 0, 0, 0, 1</t>
  </si>
  <si>
    <t>emergency electrician eastgardens</t>
  </si>
  <si>
    <t>electrical contractor license</t>
  </si>
  <si>
    <t>2, 3, 1, 0, 3, 0, 0, 1, 1, 3, 2, 1, 0, 3, 0, 5, 5, 1, 3, 9, 5, 2, 0, 1</t>
  </si>
  <si>
    <t>emergency electrician orange grove</t>
  </si>
  <si>
    <t>0, 0, 0, 0, 0, 0, 1, 0, 2, 4, 0, 0, 0, 0, 0, 0, 0, 0, 0, 0, 0, 0, 0, 1</t>
  </si>
  <si>
    <t>american electrical services tucson</t>
  </si>
  <si>
    <t>materials used in electrical wiring installation</t>
  </si>
  <si>
    <t>0, 0, 0, 0, 0, 0, 0, 0, 1, 1, 0, 1, 4, 0, 0, 1, 0, 1, 0, 0, 0, 1, 0, 1</t>
  </si>
  <si>
    <t>electrical installation condition report.</t>
  </si>
  <si>
    <t>level 3 electrical installation</t>
  </si>
  <si>
    <t>0, 0, 0, 0, 0, 2, 3, 5, 2, 7, 3, 4, 4, 1, 1, 1, 0, 0, 0, 0, 0, 0, 0, 1</t>
  </si>
  <si>
    <t>milwaukee electrical outlet installation</t>
  </si>
  <si>
    <t>emergency electrician baulkham hills</t>
  </si>
  <si>
    <t>electrical repair contractor saucier</t>
  </si>
  <si>
    <t>electrical contractor salt lake city</t>
  </si>
  <si>
    <t>0, 0, 0, 0, 0, 0, 0, 0, 0, 0, 1, 0, 0, 0, 0, 0, 0, 0, 0, 0, 1, 0, 0, 1</t>
  </si>
  <si>
    <t>emergency electrician midhurst</t>
  </si>
  <si>
    <t>jc electrical services</t>
  </si>
  <si>
    <t>2, 0, 0, 2, 0, 0, 0, 0, 0, 2, 1, 0, 0, 0, 0, 0, 0, 0, 0, 0, 1, 0, 1, 1</t>
  </si>
  <si>
    <t>electrical contractor insurance connecticut</t>
  </si>
  <si>
    <t>electrical installation license</t>
  </si>
  <si>
    <t>0, 1, 0, 0, 1, 1, 0, 0, 1, 0, 0, 1, 0, 2, 2, 0, 1, 2, 2, 1, 0, 0, 0, 1</t>
  </si>
  <si>
    <t>even faster electrical services 24/7</t>
  </si>
  <si>
    <t>toowoomba electrical services</t>
  </si>
  <si>
    <t>0, 0, 0, 0, 0, 0, 1, 0, 0, 0, 1, 2, 0, 0, 0, 0, 0, 0, 0, 0, 0, 0, 0, 1</t>
  </si>
  <si>
    <t>electrical contractor business plan pdf</t>
  </si>
  <si>
    <t>south jersey commercial electrical contractor</t>
  </si>
  <si>
    <t>0, 0, 0, 0, 0, 0, 1, 0, 2, 0, 1, 1, 0, 0, 0, 0, 0, 0, 0, 0, 0, 0, 0, 1</t>
  </si>
  <si>
    <t>emergency electrician kooyong</t>
  </si>
  <si>
    <t>fort worth home electrical repair services</t>
  </si>
  <si>
    <t>0, 0, 1, 0, 0, 1, 0, 0, 1, 0, 0, 0, 0, 0, 0, 0, 0, 0, 0, 0, 0, 0, 0, 1</t>
  </si>
  <si>
    <t>rogers electrical services</t>
  </si>
  <si>
    <t>city &amp; guilds electrical installation level 2</t>
  </si>
  <si>
    <t>mei electrical services</t>
  </si>
  <si>
    <t>contractor meaning in electrical</t>
  </si>
  <si>
    <t>0, 0, 0, 0, 0, 0, 0, 1, 0, 0, 0, 0, 0, 0, 0, 1, 0, 1, 0, 1, 0, 0, 0, 1</t>
  </si>
  <si>
    <t>installation of electrical outlets</t>
  </si>
  <si>
    <t>d&amp;m electrical services</t>
  </si>
  <si>
    <t>electrical installation saint-lambert</t>
  </si>
  <si>
    <t>4, 3, 1, 1, 1, 0, 0, 0, 1, 0, 2, 0, 0, 0, 0, 0, 0, 0, 0, 0, 0, 0, 0, 1</t>
  </si>
  <si>
    <t>electrical services in tytherington</t>
  </si>
  <si>
    <t>101 electrical services</t>
  </si>
  <si>
    <t>+emergency +call +out +electrician</t>
  </si>
  <si>
    <t>electrical services in johannesburg, gauteng</t>
  </si>
  <si>
    <t>0, 0, 0, 0, 0, 0, 0, 0, 0, 0, 0, 0, 0, 0, 0, 1, 3, 3, 0, 0, 0, 0, 0, 1</t>
  </si>
  <si>
    <t>electrical contractor vs electrician</t>
  </si>
  <si>
    <t>1, 0, 0, 0, 1, 4, 0, 1, 1, 1, 0, 1, 1, 1, 1, 1, 0, 0, 0, 0, 1, 1, 1, 2</t>
  </si>
  <si>
    <t>electrical support services</t>
  </si>
  <si>
    <t>0, 0, 0, 0, 0, 1, 0, 0, 0, 2, 0, 0, 0, 0, 0, 1, 0, 0, 0, 0, 0, 0, 0, 1</t>
  </si>
  <si>
    <t>wantirna emergency electrician</t>
  </si>
  <si>
    <t>electrical wiring installation san marcos tx</t>
  </si>
  <si>
    <t>global electrical services</t>
  </si>
  <si>
    <t>electrical subpanel installation</t>
  </si>
  <si>
    <t>1, 0, 0, 0, 0, 0, 0, 0, 0, 1, 2, 2, 0, 0, 0, 0, 0, 0, 0, 0, 0, 0, 0, 1</t>
  </si>
  <si>
    <t>electrical installation pdf notes</t>
  </si>
  <si>
    <t>0, 0, 0, 0, 1, 1, 1, 4, 0, 2, 0, 0, 0, 1, 2, 0, 0, 0, 1, 0, 0, 0, 0, 1</t>
  </si>
  <si>
    <t>industrial electrical controls services ma</t>
  </si>
  <si>
    <t>0, 0, 0, 0, 0, 0, 0, 0, 0, 0, 0, 0, 0, 0, 0, 0, 0, 0, 0, 1, 3, 3, 0, 3</t>
  </si>
  <si>
    <t>electrical contractor pakenham</t>
  </si>
  <si>
    <t>0, 0, 0, 0, 0, 0, 0, 1, 1, 3, 0, 0, 0, 0, 0, 0, 0, 0, 0, 0, 0, 0, 0, 1</t>
  </si>
  <si>
    <t>gc electrical services</t>
  </si>
  <si>
    <t>electrical services in johannesburg</t>
  </si>
  <si>
    <t>0, 0, 0, 0, 0, 0, 0, 0, 0, 0, 0, 0, 0, 0, 5, 2, 4, 3, 0, 0, 0, 0, 0, 1</t>
  </si>
  <si>
    <t>maidstone electrical services</t>
  </si>
  <si>
    <t>0, 0, 2, 1, 1, 1, 0, 0, 0, 0, 0, 0, 0, 0, 0, 0, 0, 0, 0, 0, 0, 0, 0, 1</t>
  </si>
  <si>
    <t>lunar electrical services</t>
  </si>
  <si>
    <t>0, 0, 0, 0, 0, 0, 0, 0, 0, 0, 0, 0, 0, 0, 0, 0, 1, 1, 1, 1, 3, 1, 0, 2</t>
  </si>
  <si>
    <t>commercial electrical services the colony tx</t>
  </si>
  <si>
    <t>electrical contractor fit out</t>
  </si>
  <si>
    <t>electrical repairs edenbridge</t>
  </si>
  <si>
    <t>0, 1, 0, 0, 0, 0, 0, 1, 0, 0, 0, 0, 0, 0, 0, 0, 0, 0, 0, 0, 0, 0, 0, 1</t>
  </si>
  <si>
    <t>krs electrical services</t>
  </si>
  <si>
    <t>electrical services in sydney</t>
  </si>
  <si>
    <t>0, 0, 0, 1, 2, 1, 1, 0, 0, 0, 3, 0, 1, 0, 0, 0, 0, 0, 0, 0, 0, 0, 0, 1</t>
  </si>
  <si>
    <t>commercial electrical contractor omaha ne</t>
  </si>
  <si>
    <t>types of tests in electrical installation</t>
  </si>
  <si>
    <t>1, 0, 0, 1, 1, 0, 4, 0, 0, 1, 2, 1, 0, 0, 0, 1, 2, 4, 0, 2, 0, 0, 0, 1</t>
  </si>
  <si>
    <t>electrical installation and maintenance services</t>
  </si>
  <si>
    <t>0, 0, 0, 0, 1, 1, 0, 1, 0, 0, 1, 0, 0, 0, 0, 0, 0, 0, 0, 0, 0, 0, 0, 1</t>
  </si>
  <si>
    <t>general specification for electrical installation</t>
  </si>
  <si>
    <t>emergency electrician mornington</t>
  </si>
  <si>
    <t>0, 0, 0, 1, 0, 0, 0, 2, 0, 0, 0, 0, 0, 0, 0, 0, 0, 0, 0, 0, 0, 0, 0, 1</t>
  </si>
  <si>
    <t>ea electrical services</t>
  </si>
  <si>
    <t>0, 0, 0, 0, 1, 0, 0, 0, 0, 0, 1, 0, 0, 0, 1, 0, 0, 0, 0, 0, 0, 0, 1, 2</t>
  </si>
  <si>
    <t>electrical contractor price</t>
  </si>
  <si>
    <t>0, 1, 0, 0, 1, 2, 1, 4, 0, 2, 2, 1, 2, 4, 0, 1, 0, 0, 1, 1, 2, 2, 2, 3</t>
  </si>
  <si>
    <t>kardinya emergency electrician</t>
  </si>
  <si>
    <t>0, 0, 0, 0, 0, 0, 0, 0, 1, 3, 0, 0, 0, 0, 0, 0, 0, 0, 0, 0, 0, 0, 0, 1</t>
  </si>
  <si>
    <t>thunder electrical services ltd</t>
  </si>
  <si>
    <t>electrical installation melbourne</t>
  </si>
  <si>
    <t>fremantle emergency electrician</t>
  </si>
  <si>
    <t>0, 0, 0, 0, 1, 0, 0, 0, 2, 1, 2, 0, 0, 0, 0, 0, 0, 0, 0, 0, 0, 0, 0, 1</t>
  </si>
  <si>
    <t>electrical appliance repairs and parts</t>
  </si>
  <si>
    <t>emergency electrician nottingham</t>
  </si>
  <si>
    <t>0, 0, 0, 1, 1, 0, 0, 2, 2, 2, 1, 0, 0, 0, 0, 0, 0, 0, 0, 0, 0, 0, 0, 1</t>
  </si>
  <si>
    <t>residential electrical services flower mound tx</t>
  </si>
  <si>
    <t>damien electrical services</t>
  </si>
  <si>
    <t>0, 0, 0, 0, 0, 0, 0, 0, 0, 0, 0, 0, 0, 0, 1, 1, 2, 0, 0, 0, 0, 0, 0, 1</t>
  </si>
  <si>
    <t>electrical contractor perth</t>
  </si>
  <si>
    <t>0, 0, 2, 1, 1, 3, 1, 1, 1, 3, 0, 4, 0, 0, 0, 0, 0, 0, 0, 0, 0, 0, 0, 1</t>
  </si>
  <si>
    <t>a and j electrical services</t>
  </si>
  <si>
    <t>0, 0, 1, 0, 0, 0, 0, 2, 1, 0, 0, 0, 0, 0, 0, 0, 0, 0, 0, 0, 0, 0, 0, 1</t>
  </si>
  <si>
    <t>emergency electrician marrickville</t>
  </si>
  <si>
    <t>commercial electrical contractor salt lake city</t>
  </si>
  <si>
    <t>top electrical contractor</t>
  </si>
  <si>
    <t>1, 0, 0, 1, 0, 1, 0, 0, 0, 0, 0, 0, 0, 0, 0, 0, 0, 0, 0, 0, 0, 0, 0, 1</t>
  </si>
  <si>
    <t>ft myers electrical contractor</t>
  </si>
  <si>
    <t>house house electrical installation</t>
  </si>
  <si>
    <t>0, 0, 0, 0, 0, 0, 0, 0, 0, 0, 1, 0, 0, 1, 1, 1, 0, 0, 0, 0, 0, 0, 0, 1</t>
  </si>
  <si>
    <t>electrical seo services</t>
  </si>
  <si>
    <t>1, 0, 0, 0, 0, 0, 0, 0, 0, 0, 1, 2, 0, 0, 0, 0, 0, 0, 0, 0, 0, 0, 0, 1</t>
  </si>
  <si>
    <t>emergency electrician bittern</t>
  </si>
  <si>
    <t>emergency electrician plano tx</t>
  </si>
  <si>
    <t>electrical installation estimating and costing</t>
  </si>
  <si>
    <t>0, 0, 0, 1, 0, 0, 1, 0, 2, 0, 0, 2, 0, 0, 0, 0, 0, 0, 0, 0, 0, 0, 0, 1</t>
  </si>
  <si>
    <t>electrical installation gulfport</t>
  </si>
  <si>
    <t>0, 0, 2, 0, 1, 0, 1, 1, 0, 0, 0, 0, 0, 0, 0, 0, 0, 0, 0, 0, 0, 0, 0, 1</t>
  </si>
  <si>
    <t>electrical installation rules</t>
  </si>
  <si>
    <t>4, 0, 2, 5, 1, 11, 15, 5, 4, 4, 2, 1, 2, 9, 2, 0, 2, 5, 2, 1, 1, 3, 0, 2</t>
  </si>
  <si>
    <t>repairs electrical appliances near me</t>
  </si>
  <si>
    <t>0, 0, 0, 0, 0, 0, 0, 0, 0, 0, 0, 0, 0, 0, 0, 0, 0, 0, 0, 0, 1, 2, 2, 1</t>
  </si>
  <si>
    <t>electrical services west bloomfield, mi</t>
  </si>
  <si>
    <t>0, 0, 0, 0, 0, 0, 0, 0, 0, 3, 0, 1, 1, 0, 0, 0, 0, 0, 0, 0, 0, 0, 0, 1</t>
  </si>
  <si>
    <t>eim electrical installation and maintenance</t>
  </si>
  <si>
    <t>electrical contractor richmond hill</t>
  </si>
  <si>
    <t>0, 0, 3, 2, 1, 4, 0, 1, 4, 3, 0, 3, 0, 0, 0, 0, 0, 0, 0, 0, 0, 0, 0, 1</t>
  </si>
  <si>
    <t>sans code for electrical installation</t>
  </si>
  <si>
    <t>howard electrical services</t>
  </si>
  <si>
    <t>electrical contractor bolivia nc</t>
  </si>
  <si>
    <t>pompano beach electrical contractor</t>
  </si>
  <si>
    <t>electrical installation and maintenance company</t>
  </si>
  <si>
    <t>0, 0, 0, 0, 0, 0, 0, 0, 1, 0, 0, 1, 0, 0, 0, 0, 1, 0, 1, 0, 1, 0, 2, 1</t>
  </si>
  <si>
    <t>lcw electrical services</t>
  </si>
  <si>
    <t>0, 0, 0, 0, 1, 0, 0, 0, 0, 0, 0, 0, 0, 0, 0, 1, 0, 0, 0, 0, 0, 0, 0, 1</t>
  </si>
  <si>
    <t>electrical services irving</t>
  </si>
  <si>
    <t>electrical contractor melbourne</t>
  </si>
  <si>
    <t>0, 1, 0, 0, 1, 3, 5, 4, 2, 2, 6, 0, 0, 0, 0, 2, 0, 0, 0, 0, 0, 0, 0, 1</t>
  </si>
  <si>
    <t>suncoast electrical services</t>
  </si>
  <si>
    <t>0, 1, 0, 0, 0, 1, 0, 0, 1, 1, 0, 0, 0, 0, 0, 0, 0, 0, 0, 0, 0, 0, 0, 1</t>
  </si>
  <si>
    <t>electrical installation books</t>
  </si>
  <si>
    <t>scotts electrical services</t>
  </si>
  <si>
    <t>industrial electrical installation long beach ca</t>
  </si>
  <si>
    <t>electrical panel installation st louis</t>
  </si>
  <si>
    <t>electrical consultancy services</t>
  </si>
  <si>
    <t>0, 0, 0, 0, 0, 3, 2, 1, 0, 0, 0, 0, 0, 0, 2, 0, 0, 1, 0, 0, 0, 0, 0, 1</t>
  </si>
  <si>
    <t>electrical vehicle charger installation surbiton</t>
  </si>
  <si>
    <t>jmd electrical services</t>
  </si>
  <si>
    <t>junior electrician jobs in cape town</t>
  </si>
  <si>
    <t>electrical contractor duties</t>
  </si>
  <si>
    <t>0, 0, 0, 0, 2, 0, 2, 0, 0, 0, 0, 4, 0, 1, 1, 0, 0, 0, 0, 0, 0, 0, 0, 1</t>
  </si>
  <si>
    <t>emergency electrician padbury</t>
  </si>
  <si>
    <t>0, 0, 0, 0, 0, 0, 0, 0, 2, 1, 0, 1, 0, 0, 1, 1, 0, 0, 0, 0, 0, 0, 0, 1</t>
  </si>
  <si>
    <t>electrical contractor staffordshire</t>
  </si>
  <si>
    <t>chandler electrical services</t>
  </si>
  <si>
    <t>ss electrical services</t>
  </si>
  <si>
    <t>1, 0, 0, 0, 1, 1, 2, 2, 1, 1, 0, 0, 0, 0, 0, 0, 0, 0, 0, 0, 0, 0, 0, 1</t>
  </si>
  <si>
    <t>electrical panel installation powell</t>
  </si>
  <si>
    <t>0, 0, 0, 2, 0, 1, 0, 1, 0, 0, 0, 0, 0, 0, 0, 0, 0, 0, 0, 0, 0, 0, 0, 1</t>
  </si>
  <si>
    <t>emergency electrician san francisco</t>
  </si>
  <si>
    <t>0, 0, 0, 0, 0, 0, 0, 0, 0, 1, 0, 2, 0, 0, 0, 0, 0, 0, 0, 0, 0, 0, 0, 1</t>
  </si>
  <si>
    <t>emergency electrician esher</t>
  </si>
  <si>
    <t>smart home electrical services matthews, nc</t>
  </si>
  <si>
    <t>trailer electrical repairs</t>
  </si>
  <si>
    <t>0, 0, 0, 0, 0, 0, 1, 1, 0, 0, 0, 1, 0, 0, 1, 1, 0, 1, 0, 1, 1, 0, 0, 1</t>
  </si>
  <si>
    <t>san francisco electrical contractor</t>
  </si>
  <si>
    <t>0, 1, 1, 0, 2, 1, 0, 2, 0, 0, 2, 0, 0, 0, 0, 0, 0, 0, 0, 0, 0, 0, 0, 1</t>
  </si>
  <si>
    <t>cooper city electrical services</t>
  </si>
  <si>
    <t>0, 1, 0, 0, 0, 0, 0, 2, 3, 2, 1, 1, 0, 0, 0, 0, 0, 0, 0, 0, 0, 0, 0, 1</t>
  </si>
  <si>
    <t>emergency cairns electrician</t>
  </si>
  <si>
    <t>flyer for electrical services</t>
  </si>
  <si>
    <t>0, 4, 0, 0, 0, 0, 0, 0, 0, 0, 0, 1, 0, 0, 0, 0, 0, 0, 0, 0, 0, 0, 0, 1</t>
  </si>
  <si>
    <t>electrical contractor services fountain hills</t>
  </si>
  <si>
    <t>campervan electrical installation</t>
  </si>
  <si>
    <t>0, 0, 0, 1, 1, 0, 0, 0, 0, 2, 0, 2, 0, 0, 0, 1, 0, 0, 0, 0, 0, 0, 0, 1</t>
  </si>
  <si>
    <t>electrical vehicle charging station services</t>
  </si>
  <si>
    <t>emergency electrician beacon hill</t>
  </si>
  <si>
    <t>plumbing and electrical services los angeles</t>
  </si>
  <si>
    <t>level 2 electrical installation course near me</t>
  </si>
  <si>
    <t>method of electrical installation</t>
  </si>
  <si>
    <t>emergency electrician huntersville, nc</t>
  </si>
  <si>
    <t>1, 0, 0, 0, 1, 0, 0, 0, 2, 0, 0, 1, 0, 0, 0, 0, 0, 0, 0, 0, 0, 0, 0, 1</t>
  </si>
  <si>
    <t>electrical services company near me</t>
  </si>
  <si>
    <t>0, 0, 0, 0, 1, 2, 0, 0, 1, 2, 3, 0, 0, 0, 1, 0, 0, 0, 0, 1, 0, 0, 0, 1</t>
  </si>
  <si>
    <t>emergency electrician in dublin</t>
  </si>
  <si>
    <t>electrical labour contractor</t>
  </si>
  <si>
    <t>1, 0, 0, 0, 0, 0, 0, 0, 2, 0, 0, 4, 0, 3, 3, 0, 0, 0, 1, 0, 1, 0, 0, 1</t>
  </si>
  <si>
    <t>electrical contractor scottsdale arizona</t>
  </si>
  <si>
    <t>commercial electrical contractor kissimmee</t>
  </si>
  <si>
    <t>electrical repairs harrisburg</t>
  </si>
  <si>
    <t>0, 0, 1, 0, 2, 1, 0, 0, 0, 1, 0, 0, 0, 0, 0, 0, 0, 0, 0, 0, 0, 0, 0, 1</t>
  </si>
  <si>
    <t>burton electrical services</t>
  </si>
  <si>
    <t>electrical outlet installation colorado</t>
  </si>
  <si>
    <t>renewable energy electrical contractor wales</t>
  </si>
  <si>
    <t>1, 0, 0, 0, 1, 0, 1, 0, 0, 0, 0, 0, 0, 0, 0, 0, 0, 0, 0, 0, 0, 0, 0, 1</t>
  </si>
  <si>
    <t>portland electrical contractor</t>
  </si>
  <si>
    <t>electrical panel installation warren county</t>
  </si>
  <si>
    <t>24 hour electrical services murfreesboro</t>
  </si>
  <si>
    <t>electrical &amp; plumbing services centurion</t>
  </si>
  <si>
    <t>24 hour emergency electrician south yarra</t>
  </si>
  <si>
    <t>electrical panel installation marysville</t>
  </si>
  <si>
    <t>0, 0, 0, 0, 0, 2, 1, 0, 0, 1, 1, 0, 0, 0, 0, 0, 0, 0, 0, 0, 0, 0, 0, 1</t>
  </si>
  <si>
    <t>a&amp;j electrical services</t>
  </si>
  <si>
    <t>0, 0, 0, 0, 0, 0, 0, 0, 1, 0, 1, 0, 0, 0, 0, 0, 0, 0, 0, 0, 1, 0, 0, 2</t>
  </si>
  <si>
    <t>municipal electrical services</t>
  </si>
  <si>
    <t>reactive electrical services ltd</t>
  </si>
  <si>
    <t>electrical installation condition report dublin</t>
  </si>
  <si>
    <t>0, 0, 0, 0, 0, 2, 2, 0, 1, 0, 0, 0, 0, 0, 0, 0, 0, 0, 0, 0, 0, 0, 0, 1</t>
  </si>
  <si>
    <t>worldskills electrical installation</t>
  </si>
  <si>
    <t>0, 1, 0, 0, 0, 1, 0, 1, 2, 2, 0, 0, 0, 1, 0, 0, 0, 0, 1, 0, 0, 0, 0, 1</t>
  </si>
  <si>
    <t>electrical installation cost per square foot</t>
  </si>
  <si>
    <t>0, 1, 0, 0, 0, 0, 0, 1, 1, 0, 0, 0, 0, 0, 0, 0, 0, 0, 0, 0, 0, 0, 1, 1</t>
  </si>
  <si>
    <t>emergency electrician newtown</t>
  </si>
  <si>
    <t>0, 0, 0, 1, 1, 0, 0, 1, 1, 0, 0, 0, 0, 0, 0, 0, 0, 0, 0, 0, 0, 0, 0, 1</t>
  </si>
  <si>
    <t>industrial electrical services in california</t>
  </si>
  <si>
    <t>0, 2, 1, 0, 1, 0, 0, 0, 2, 0, 0, 0, 0, 0, 0, 0, 0, 0, 0, 0, 0, 0, 0, 1</t>
  </si>
  <si>
    <t>electrical services palmerston north</t>
  </si>
  <si>
    <t>0, 0, 0, 0, 0, 0, 0, 2, 0, 0, 0, 1, 1, 0, 0, 0, 0, 0, 0, 0, 0, 0, 0, 1</t>
  </si>
  <si>
    <t>atascadero home electrical repair services</t>
  </si>
  <si>
    <t>a&amp;a electrical services</t>
  </si>
  <si>
    <t>0, 0, 0, 0, 0, 0, 0, 0, 0, 0, 0, 0, 0, 1, 1, 0, 0, 0, 0, 0, 0, 0, 0, 1</t>
  </si>
  <si>
    <t>residential electrical contractor in jacksonville</t>
  </si>
  <si>
    <t>electrical contractor league city</t>
  </si>
  <si>
    <t>level 3 in electrical installation</t>
  </si>
  <si>
    <t>0, 0, 0, 0, 0, 0, 0, 0, 0, 0, 0, 0, 0, 0, 2, 0, 0, 0, 0, 0, 0, 0, 1, 2</t>
  </si>
  <si>
    <t>electrical contractor gilbert</t>
  </si>
  <si>
    <t>tims electrical services</t>
  </si>
  <si>
    <t>electrical rewiring services birmingham al</t>
  </si>
  <si>
    <t>0, 1, 0, 0, 1, 0, 0, 0, 1, 0, 0, 0, 0, 0, 0, 0, 0, 0, 0, 0, 0, 0, 0, 1</t>
  </si>
  <si>
    <t>emergency electrician monroe county</t>
  </si>
  <si>
    <t>e care electrical services</t>
  </si>
  <si>
    <t>0, 0, 0, 0, 0, 0, 0, 1, 1, 2, 0, 1, 0, 0, 0, 0, 0, 0, 0, 0, 0, 0, 0, 1</t>
  </si>
  <si>
    <t>a g electrical services</t>
  </si>
  <si>
    <t>orange park home electrical repair services</t>
  </si>
  <si>
    <t>electrical repairs st louis</t>
  </si>
  <si>
    <t>kam electrical services</t>
  </si>
  <si>
    <t>0, 1, 0, 2, 0, 0, 0, 0, 0, 0, 1, 0, 0, 0, 0, 0, 0, 0, 0, 1, 0, 0, 0, 1</t>
  </si>
  <si>
    <t>emergency electrician tulsa</t>
  </si>
  <si>
    <t>timperley electrical services</t>
  </si>
  <si>
    <t>electrical distribution services gp</t>
  </si>
  <si>
    <t>0, 0, 0, 0, 0, 0, 0, 0, 0, 0, 0, 0, 0, 8, 16, 6, 10, 2, 0, 0, 0, 0, 0, 1</t>
  </si>
  <si>
    <t>emergency electrician bexley</t>
  </si>
  <si>
    <t>0, 0, 1, 1, 0, 2, 0, 0, 0, 0, 0, 0, 0, 0, 0, 0, 0, 0, 0, 0, 0, 0, 0, 1</t>
  </si>
  <si>
    <t>bristol electrical services</t>
  </si>
  <si>
    <t>solares electrical services</t>
  </si>
  <si>
    <t>electrical installation richmond va</t>
  </si>
  <si>
    <t>0, 0, 0, 0, 0, 0, 1, 0, 1, 0, 2, 1, 0, 0, 0, 0, 0, 0, 0, 0, 0, 0, 0, 1</t>
  </si>
  <si>
    <t>electrical garage door repairs</t>
  </si>
  <si>
    <t>electrical contractor johnson county</t>
  </si>
  <si>
    <t>electrical contractor clear lake city</t>
  </si>
  <si>
    <t>electrical contractor ct</t>
  </si>
  <si>
    <t>electrical contractor service agreement template</t>
  </si>
  <si>
    <t>risk assessment of electrical installation</t>
  </si>
  <si>
    <t>Occupational health</t>
  </si>
  <si>
    <t>emergency electrician sorrento</t>
  </si>
  <si>
    <t>0, 0, 0, 0, 0, 1, 2, 1, 1, 2, 3, 3, 0, 0, 0, 0, 0, 0, 0, 0, 0, 0, 0, 1</t>
  </si>
  <si>
    <t>electrical contractor lookup</t>
  </si>
  <si>
    <t>0, 0, 0, 0, 0, 0, 0, 1, 0, 1, 0, 0, 0, 1, 0, 0, 0, 0, 0, 0, 0, 0, 0, 1</t>
  </si>
  <si>
    <t>retail electrical services</t>
  </si>
  <si>
    <t>1, 0, 0, 0, 3, 3, 3, 3, 3, 2, 2, 2, 1, 0, 0, 0, 0, 0, 0, 0, 0, 0, 0, 1</t>
  </si>
  <si>
    <t>wake forest commercial electrical services</t>
  </si>
  <si>
    <t>commercial electrical services arlington tx</t>
  </si>
  <si>
    <t>ah electrical services</t>
  </si>
  <si>
    <t>emergency electrician naremburn</t>
  </si>
  <si>
    <t>odessa electrical outlet installation</t>
  </si>
  <si>
    <t>electrical installation technology pdf download</t>
  </si>
  <si>
    <t>emergency electrician wisconsin</t>
  </si>
  <si>
    <t>house electrical installation acworth ga</t>
  </si>
  <si>
    <t>electrical contractor cramlington</t>
  </si>
  <si>
    <t>marine electrician jobs in cape town</t>
  </si>
  <si>
    <t>0, 8, 0, 0, 0, 21, 4, 0, 0, 5, 12, 2, 2, 1, 0, 0, 0, 0, 0, 0, 0, 0, 0, 1</t>
  </si>
  <si>
    <t>stevens electrical services</t>
  </si>
  <si>
    <t>0, 0, 0, 0, 0, 0, 0, 0, 0, 0, 5, 0, 0, 0, 0, 0, 0, 0, 0, 0, 0, 0, 0, 1</t>
  </si>
  <si>
    <t>electrical services las vegas</t>
  </si>
  <si>
    <t>electrical contractor conejo</t>
  </si>
  <si>
    <t>power up electrical services</t>
  </si>
  <si>
    <t>0, 0, 1, 0, 0, 0, 0, 0, 0, 0, 1, 0, 0, 0, 0, 0, 0, 0, 0, 0, 1, 0, 0, 1</t>
  </si>
  <si>
    <t>24 hour emergency electrician in double bay</t>
  </si>
  <si>
    <t>electrical repair services in marietta</t>
  </si>
  <si>
    <t>zak electrical services</t>
  </si>
  <si>
    <t>emergency electrician harrisburg, nc</t>
  </si>
  <si>
    <t>ars electrical services</t>
  </si>
  <si>
    <t>best electrical contractor</t>
  </si>
  <si>
    <t>2, 3, 6, 1, 0, 1, 3, 4, 6, 3, 4, 0, 2, 0, 1, 2, 0, 1, 1, 0, 1, 0, 1, 2</t>
  </si>
  <si>
    <t>commercial electrical installation charlotte, nc</t>
  </si>
  <si>
    <t>bonding in electrical installation</t>
  </si>
  <si>
    <t>4, 10, 2, 11, 4, 4, 3, 12, 11, 6, 16, 3, 7, 9, 1, 2, 0, 0, 0, 0, 1, 1, 0, 2</t>
  </si>
  <si>
    <t>electrical panel installation checklist</t>
  </si>
  <si>
    <t>2, 0, 0, 0, 0, 1, 0, 0, 0, 0, 0, 0, 0, 0, 0, 0, 0, 0, 0, 0, 0, 1, 0, 1</t>
  </si>
  <si>
    <t>electrical troubleshooting and repairs</t>
  </si>
  <si>
    <t>0, 1, 1, 0, 0, 0, 1, 1, 0, 0, 0, 0, 1, 0, 0, 12, 1, 7, 0, 0, 0, 0, 0, 1</t>
  </si>
  <si>
    <t>base electrical services</t>
  </si>
  <si>
    <t>commercial electrical services cheat lake wv</t>
  </si>
  <si>
    <t>0, 0, 0, 0, 0, 1, 0, 0, 0, 1, 1, 1, 0, 0, 0, 0, 0, 0, 0, 0, 0, 0, 0, 1</t>
  </si>
  <si>
    <t>residential electrical services grand prairie tx</t>
  </si>
  <si>
    <t>wesley electrical services</t>
  </si>
  <si>
    <t>a grade electrical contractor</t>
  </si>
  <si>
    <t>electrical contractor in colorado springs</t>
  </si>
  <si>
    <t>nvq level 3 electrical installation</t>
  </si>
  <si>
    <t>0, 2, 0, 2, 4, 1, 1, 1, 1, 2, 1, 0, 2, 0, 0, 0, 0, 0, 0, 0, 1, 0, 1, 2</t>
  </si>
  <si>
    <t>electrical wiring services near me</t>
  </si>
  <si>
    <t>1, 1, 1, 1, 0, 1, 0, 3, 0, 3, 1, 0, 1, 0, 0, 1, 0, 0, 0, 0, 1, 0, 1, 2</t>
  </si>
  <si>
    <t>electrical contractor epsom</t>
  </si>
  <si>
    <t>electrical contractor minneapolis</t>
  </si>
  <si>
    <t>0, 1, 3, 0, 0, 0, 1, 1, 0, 1, 1, 0, 0, 0, 0, 0, 0, 0, 0, 0, 0, 0, 0, 1</t>
  </si>
  <si>
    <t>electrical contractor google lsa</t>
  </si>
  <si>
    <t>emergency electrician wantirna</t>
  </si>
  <si>
    <t>electrical appliance repairs &amp; parts birmingham</t>
  </si>
  <si>
    <t>electrical services stuart</t>
  </si>
  <si>
    <t>electrical installation construction site</t>
  </si>
  <si>
    <t>0, 0, 0, 0, 0, 0, 0, 0, 0, 0, 0, 0, 0, 0, 0, 0, 0, 0, 0, 1, 2, 2, 0, 1</t>
  </si>
  <si>
    <t>electrical contractor saanich core</t>
  </si>
  <si>
    <t>0, 0, 3, 3, 0, 0, 0, 1, 0, 1, 3, 0, 0, 0, 0, 0, 0, 0, 0, 0, 0, 0, 0, 1</t>
  </si>
  <si>
    <t>jm electrical services</t>
  </si>
  <si>
    <t>electrical installation for hot tub</t>
  </si>
  <si>
    <t>0, 0, 0, 0, 0, 0, 0, 3, 0, 0, 1, 0, 0, 0, 0, 0, 0, 0, 0, 1, 0, 0, 0, 1</t>
  </si>
  <si>
    <t>electrical contractor fanwood</t>
  </si>
  <si>
    <t>1, 0, 1, 0, 0, 3, 0, 0, 0, 1, 0, 0, 0, 0, 0, 0, 0, 0, 0, 0, 0, 0, 0, 1</t>
  </si>
  <si>
    <t>electrical generator contractor</t>
  </si>
  <si>
    <t>car electrician cape town</t>
  </si>
  <si>
    <t>residential electrical services north coast</t>
  </si>
  <si>
    <t>prahran emergency electrician</t>
  </si>
  <si>
    <t>0, 0, 1, 1, 1, 3, 0, 0, 1, 0, 0, 0, 0, 0, 0, 0, 0, 0, 0, 0, 0, 0, 0, 1</t>
  </si>
  <si>
    <t>commercial electrical services texas</t>
  </si>
  <si>
    <t>0, 3, 0, 2, 0, 1, 0, 1, 2, 0, 1, 0, 0, 0, 0, 0, 0, 0, 0, 0, 0, 0, 0, 1</t>
  </si>
  <si>
    <t>electrical repairs bakersfield</t>
  </si>
  <si>
    <t>electrical installation system</t>
  </si>
  <si>
    <t>0, 0, 3, 0, 0, 0, 0, 0, 3, 0, 0, 0, 0, 0, 0, 0, 2, 0, 1, 0, 0, 0, 0, 1</t>
  </si>
  <si>
    <t>edinburgh electrical services</t>
  </si>
  <si>
    <t>home electrical installation pdf</t>
  </si>
  <si>
    <t>0, 0, 0, 0, 0, 2, 0, 0, 0, 0, 0, 0, 0, 0, 1, 0, 0, 0, 0, 0, 0, 0, 0, 1</t>
  </si>
  <si>
    <t>electrical contractor san leon</t>
  </si>
  <si>
    <t>ev electrical services</t>
  </si>
  <si>
    <t>0, 0, 0, 1, 3, 0, 0, 0, 2, 1, 0, 0, 0, 1, 0, 0, 0, 0, 0, 0, 0, 0, 0, 1</t>
  </si>
  <si>
    <t>emergency electrician finsbury</t>
  </si>
  <si>
    <t>electrical repairs brighton mi</t>
  </si>
  <si>
    <t>electrical contractor cleveland</t>
  </si>
  <si>
    <t>boat electrical installation</t>
  </si>
  <si>
    <t>pietersburg electrical services</t>
  </si>
  <si>
    <t>mechanical and electrical maintenance services</t>
  </si>
  <si>
    <t>electrical prefabrication services</t>
  </si>
  <si>
    <t>electrical contractor shop fit out</t>
  </si>
  <si>
    <t>restaurant electrical contractor essex</t>
  </si>
  <si>
    <t>electrical installation labels</t>
  </si>
  <si>
    <t>electrical contractor industry</t>
  </si>
  <si>
    <t>0, 0, 0, 0, 0, 4, 0, 0, 1, 1, 2, 0, 0, 1, 0, 0, 0, 1, 1, 0, 0, 0, 0, 1</t>
  </si>
  <si>
    <t>electrical wiring contractor gilbert</t>
  </si>
  <si>
    <t>electrical contractor business cards</t>
  </si>
  <si>
    <t>0, 0, 0, 1, 0, 5, 1, 0, 0, 1, 0, 1, 2, 0, 0, 2, 0, 0, 2, 0, 0, 0, 0, 1</t>
  </si>
  <si>
    <t>residential electrical contractor braintree</t>
  </si>
  <si>
    <t>emergency electrician high wycombe</t>
  </si>
  <si>
    <t>0, 0, 0, 0, 1, 0, 1, 2, 0, 1, 3, 3, 0, 0, 0, 0, 0, 0, 0, 0, 0, 0, 0, 1</t>
  </si>
  <si>
    <t>olathe electrical services</t>
  </si>
  <si>
    <t>0, 0, 0, 1, 1, 0, 0, 1, 1, 2, 1, 0, 0, 0, 0, 0, 0, 0, 0, 0, 0, 0, 0, 1</t>
  </si>
  <si>
    <t>electrical services in soweto</t>
  </si>
  <si>
    <t>0, 0, 0, 0, 0, 0, 0, 0, 0, 0, 0, 0, 0, 0, 0, 5, 0, 3, 0, 0, 0, 0, 0, 1</t>
  </si>
  <si>
    <t>electrical services in uitenhage, south africa</t>
  </si>
  <si>
    <t>electrical outlet installation brookfield wi</t>
  </si>
  <si>
    <t>0, 1, 1, 0, 0, 1, 0, 1, 0, 0, 0, 0, 0, 0, 0, 0, 0, 0, 0, 0, 0, 0, 0, 1</t>
  </si>
  <si>
    <t>electrical decommissioning services</t>
  </si>
  <si>
    <t>emergency electrician orleans</t>
  </si>
  <si>
    <t>electrical repairs for cars</t>
  </si>
  <si>
    <t>0, 2, 0, 1, 1, 0, 0, 0, 1, 1, 0, 0, 0, 2, 0, 0, 1, 0, 0, 0, 1, 1, 0, 2</t>
  </si>
  <si>
    <t>r s electrical services</t>
  </si>
  <si>
    <t>professional electrical construction services</t>
  </si>
  <si>
    <t>0, 1, 0, 0, 0, 0, 0, 2, 0, 0, 1, 0, 0, 0, 0, 0, 0, 0, 0, 0, 0, 0, 0, 1</t>
  </si>
  <si>
    <t>electrical contractor contact number</t>
  </si>
  <si>
    <t>0, 1, 1, 0, 0, 0, 1, 0, 1, 0, 0, 2, 1, 1, 0, 1, 0, 0, 0, 0, 0, 0, 0, 1</t>
  </si>
  <si>
    <t>best electrical contractor websites</t>
  </si>
  <si>
    <t>0, 0, 0, 0, 0, 0, 1, 0, 0, 1, 2, 0, 0, 0, 0, 0, 0, 0, 0, 0, 1, 0, 0, 1</t>
  </si>
  <si>
    <t>our local electrical services</t>
  </si>
  <si>
    <t>electrical contractor braintree, ma</t>
  </si>
  <si>
    <t>marine electrical installation standards</t>
  </si>
  <si>
    <t>0, 0, 1, 0, 0, 2, 0, 1, 0, 0, 3, 0, 1, 0, 0, 0, 0, 0, 0, 0, 0, 0, 0, 1</t>
  </si>
  <si>
    <t>emergency electrician bloomington</t>
  </si>
  <si>
    <t>best electrical services</t>
  </si>
  <si>
    <t>0, 2, 0, 0, 0, 0, 0, 3, 2, 0, 4, 0, 0, 2, 0, 0, 0, 0, 0, 0, 0, 0, 0, 1</t>
  </si>
  <si>
    <t>smart electrical services</t>
  </si>
  <si>
    <t>0, 0, 0, 0, 0, 0, 0, 1, 1, 0, 1, 0, 0, 0, 0, 0, 0, 0, 0, 0, 0, 0, 0, 1</t>
  </si>
  <si>
    <t>dw electrical services</t>
  </si>
  <si>
    <t>0, 0, 0, 0, 0, 0, 0, 0, 1, 2, 1, 3, 0, 0, 0, 0, 0, 0, 0, 0, 0, 0, 0, 1</t>
  </si>
  <si>
    <t>emergency electrician batemans bay</t>
  </si>
  <si>
    <t>0, 0, 0, 0, 2, 1, 0, 0, 1, 0, 0, 1, 0, 0, 0, 0, 0, 0, 0, 0, 0, 0, 0, 1</t>
  </si>
  <si>
    <t>noble park emergency electrician</t>
  </si>
  <si>
    <t>0, 0, 0, 1, 0, 1, 0, 0, 0, 1, 0, 0, 0, 0, 0, 0, 0, 0, 0, 0, 0, 0, 0, 1</t>
  </si>
  <si>
    <t>urgent electrical services</t>
  </si>
  <si>
    <t>2, 0, 0, 0, 2, 2, 1, 1, 1, 1, 1, 0, 0, 0, 0, 0, 0, 0, 0, 0, 0, 0, 0, 1</t>
  </si>
  <si>
    <t>emergency electrician model farms</t>
  </si>
  <si>
    <t>electrical installation condition reports</t>
  </si>
  <si>
    <t>1, 0, 0, 0, 2, 0, 0, 0, 3, 4, 3, 0, 0, 0, 0, 0, 0, 1, 2, 0, 0, 0, 0, 1</t>
  </si>
  <si>
    <t>emergency electrician dundas</t>
  </si>
  <si>
    <t>electrical services guildford</t>
  </si>
  <si>
    <t>bendigo electrical services</t>
  </si>
  <si>
    <t>electrical installation courses in kenya</t>
  </si>
  <si>
    <t>electrical fault repairs north lakes</t>
  </si>
  <si>
    <t>electrical vehicle charger installation uae</t>
  </si>
  <si>
    <t>0, 2, 0, 0, 1, 0, 0, 0, 0, 0, 0, 0, 0, 0, 0, 0, 0, 0, 0, 0, 0, 0, 0, 1</t>
  </si>
  <si>
    <t>lismore electrical services</t>
  </si>
  <si>
    <t>f&amp;c electrical services</t>
  </si>
  <si>
    <t>1, 0, 0, 0, 0, 0, 0, 0, 0, 0, 0, 0, 0, 0, 0, 0, 0, 2, 0, 0, 0, 0, 0, 1</t>
  </si>
  <si>
    <t>electrical repairs near me open now</t>
  </si>
  <si>
    <t>0, 2, 4, 6, 7, 14, 11, 8, 7, 3, 8, 9, 6, 6, 5, 6, 1, 3, 2, 1, 8, 5, 0, 5</t>
  </si>
  <si>
    <t>capital electrical services</t>
  </si>
  <si>
    <t>0, 0, 1, 0, 0, 0, 0, 0, 1, 0, 0, 0, 0, 0, 0, 0, 0, 0, 0, 0, 1, 0, 0, 2</t>
  </si>
  <si>
    <t>emergency electrician wollongong</t>
  </si>
  <si>
    <t>1, 0, 0, 1, 1, 1, 1, 3, 3, 0, 0, 0, 0, 1, 3, 0, 0, 0, 0, 0, 0, 2, 0, 2</t>
  </si>
  <si>
    <t>free electrical contractor proposal template</t>
  </si>
  <si>
    <t>0, 0, 0, 0, 0, 0, 0, 0, 0, 1, 1, 0, 0, 0, 0, 0, 0, 0, 1, 0, 0, 0, 0, 1</t>
  </si>
  <si>
    <t>electrical installation steps</t>
  </si>
  <si>
    <t>dragon electrical services</t>
  </si>
  <si>
    <t>electrical contractor broxbourne</t>
  </si>
  <si>
    <t>sherwood emergency electrician</t>
  </si>
  <si>
    <t>emergency electrician sutton</t>
  </si>
  <si>
    <t>0, 0, 0, 0, 0, 0, 0, 0, 0, 1, 1, 0, 0, 0, 0, 0, 1, 0, 0, 0, 0, 0, 0, 1</t>
  </si>
  <si>
    <t>brighton electrical switchboard services</t>
  </si>
  <si>
    <t>1, 0, 0, 0, 0, 1, 0, 1, 1, 0, 0, 0, 0, 0, 0, 0, 0, 0, 0, 0, 0, 0, 0, 1</t>
  </si>
  <si>
    <t>electrical contractor brits</t>
  </si>
  <si>
    <t>electrical panel box installation</t>
  </si>
  <si>
    <t>0, 0, 0, 0, 1, 0, 0, 1, 1, 1, 0, 3, 0, 0, 0, 0, 0, 2, 0, 0, 0, 0, 0, 1</t>
  </si>
  <si>
    <t>emergency electrician white house tn</t>
  </si>
  <si>
    <t>commercial electrical services kingwood wv</t>
  </si>
  <si>
    <t>electrical outlet installation warren county</t>
  </si>
  <si>
    <t>round rock electrical services</t>
  </si>
  <si>
    <t>electrical installation test</t>
  </si>
  <si>
    <t>2, 2, 1, 3, 0, 0, 0, 0, 2, 4, 2, 2, 1, 3, 0, 2, 0, 1, 0, 1, 1, 1, 2, 2</t>
  </si>
  <si>
    <t>electrical motor repairs</t>
  </si>
  <si>
    <t>18, 11, 8, 6, 6, 6, 22, 2, 14, 4, 8, 5, 2, 3, 3, 1, 1, 2, 3, 5, 7, 6, 12, 9</t>
  </si>
  <si>
    <t>Electromechanical devices</t>
  </si>
  <si>
    <t>statutory regulations for electrical installation</t>
  </si>
  <si>
    <t>0, 0, 0, 0, 0, 0, 0, 0, 0, 0, 0, 0, 0, 0, 0, 0, 0, 0, 1, 0, 0, 1, 2, 1</t>
  </si>
  <si>
    <t>electrical conduit installation standards</t>
  </si>
  <si>
    <t>0, 0, 1, 0, 0, 0, 0, 0, 0, 0, 3, 0, 1, 0, 0, 0, 0, 0, 0, 0, 0, 0, 0, 1</t>
  </si>
  <si>
    <t>electrical installation level 3 college</t>
  </si>
  <si>
    <t>alfonso electrical services</t>
  </si>
  <si>
    <t>electrical panel contractor perkinston</t>
  </si>
  <si>
    <t>0, 0, 0, 2, 2, 1, 0, 0, 0, 0, 0, 0, 0, 0, 0, 0, 0, 0, 0, 0, 0, 0, 0, 1</t>
  </si>
  <si>
    <t>24 hours emergency electrician</t>
  </si>
  <si>
    <t>0, 1, 0, 0, 1, 2, 0, 0, 2, 0, 0, 0, 0, 0, 0, 0, 0, 0, 0, 0, 0, 0, 0, 1</t>
  </si>
  <si>
    <t>t&amp;w electrical services</t>
  </si>
  <si>
    <t>bright side electrical services inc</t>
  </si>
  <si>
    <t>emergency electrician forest lodge</t>
  </si>
  <si>
    <t>commercial electrical contractor sacramento</t>
  </si>
  <si>
    <t>emergency electrician orangeville</t>
  </si>
  <si>
    <t>0, 0, 2, 1, 3, 1, 1, 0, 2, 3, 3, 0, 1, 0, 0, 0, 0, 0, 0, 0, 0, 0, 0, 1</t>
  </si>
  <si>
    <t>cmb electrical services</t>
  </si>
  <si>
    <t>0, 0, 0, 0, 0, 0, 0, 0, 1, 0, 0, 0, 0, 1, 0, 0, 0, 1, 0, 0, 2, 0, 0, 1</t>
  </si>
  <si>
    <t>electrical contractor el paso tx</t>
  </si>
  <si>
    <t>austin electrical repair services</t>
  </si>
  <si>
    <t>0, 1, 0, 0, 0, 0, 1, 1, 0, 0, 0, 0, 0, 0, 0, 0, 0, 0, 0, 0, 0, 0, 0, 1</t>
  </si>
  <si>
    <t>electrical installation materials list</t>
  </si>
  <si>
    <t>11, 9, 13, 5, 3, 4, 6, 2, 2, 3, 3, 1, 5, 0, 0, 1, 1, 3, 2, 5, 10, 6, 0, 6</t>
  </si>
  <si>
    <t>electrical services cornwall</t>
  </si>
  <si>
    <t>electrical contractor rock hill sc</t>
  </si>
  <si>
    <t>0, 0, 1, 0, 0, 0, 1, 1, 4, 1, 0, 0, 0, 0, 0, 0, 0, 0, 0, 0, 0, 0, 0, 1</t>
  </si>
  <si>
    <t>free estimates electrical repairs</t>
  </si>
  <si>
    <t>industrial electrical installation training</t>
  </si>
  <si>
    <t>0, 0, 0, 0, 0, 0, 0, 0, 0, 0, 0, 0, 0, 0, 0, 0, 0, 0, 0, 0, 0, 4, 1, 1</t>
  </si>
  <si>
    <t>max electrical services</t>
  </si>
  <si>
    <t>experienced electrical services in miami</t>
  </si>
  <si>
    <t>electrical contractor profile ppt</t>
  </si>
  <si>
    <t>mentone emergency electrician</t>
  </si>
  <si>
    <t>0, 0, 0, 6, 0, 0, 0, 0, 0, 0, 0, 0, 0, 0, 0, 0, 0, 0, 0, 0, 0, 0, 0, 1</t>
  </si>
  <si>
    <t>cci electrical services llc</t>
  </si>
  <si>
    <t>copy of electrical installation certificate</t>
  </si>
  <si>
    <t>emergency electrician drexel hill</t>
  </si>
  <si>
    <t>0, 0, 0, 0, 0, 0, 0, 0, 3, 0, 0, 0, 0, 0, 0, 0, 0, 0, 0, 0, 0, 0, 0, 1</t>
  </si>
  <si>
    <t>small appliance electrical repairs near me</t>
  </si>
  <si>
    <t>0, 0, 1, 0, 0, 0, 4, 1, 0, 2, 0, 1, 0, 3, 1, 1, 0, 0, 2, 0, 0, 1, 0, 1</t>
  </si>
  <si>
    <t>jh electrical services</t>
  </si>
  <si>
    <t>hallandale beach electrical services</t>
  </si>
  <si>
    <t>1, 0, 1, 0, 0, 1, 2, 0, 1, 0, 1, 0, 0, 0, 0, 0, 0, 0, 0, 0, 0, 0, 0, 1</t>
  </si>
  <si>
    <t>emergency electrician kaufman</t>
  </si>
  <si>
    <t>electrical contractor sebastopol ca</t>
  </si>
  <si>
    <t>mississauga electrical contractor</t>
  </si>
  <si>
    <t>ph electrical services</t>
  </si>
  <si>
    <t>electrical switch installation minneapolis</t>
  </si>
  <si>
    <t>electrical repairs and installations</t>
  </si>
  <si>
    <t>0, 0, 1, 0, 0, 1, 2, 0, 0, 0, 0, 0, 0, 0, 0, 0, 0, 0, 0, 0, 0, 0, 0, 1</t>
  </si>
  <si>
    <t>emergency electrician abbey wood</t>
  </si>
  <si>
    <t>scottsdale emergency electrician</t>
  </si>
  <si>
    <t>electrical heating installation maldon</t>
  </si>
  <si>
    <t>commercial electrical installation seward ne</t>
  </si>
  <si>
    <t>emergency electrician st albans</t>
  </si>
  <si>
    <t>domestic electrical services melbourne</t>
  </si>
  <si>
    <t>1, 0, 0, 0, 1, 1, 0, 1, 2, 0, 0, 1, 0, 0, 0, 0, 0, 0, 0, 0, 0, 0, 0, 1</t>
  </si>
  <si>
    <t>emergency electrician caterham</t>
  </si>
  <si>
    <t>0, 0, 0, 0, 0, 0, 0, 0, 0, 0, 0, 0, 1, 0, 1, 0, 0, 0, 0, 0, 0, 0, 0, 1</t>
  </si>
  <si>
    <t>iet electrical installation design guide</t>
  </si>
  <si>
    <t>residential electrical services marana az</t>
  </si>
  <si>
    <t>electrical installation definition</t>
  </si>
  <si>
    <t>2, 1, 2, 1, 0, 3, 2, 4, 1, 3, 2, 1, 3, 9, 3, 1, 0, 1, 1, 4, 1, 4, 1, 3</t>
  </si>
  <si>
    <t>bp electrical services</t>
  </si>
  <si>
    <t>jdr electrical contractor</t>
  </si>
  <si>
    <t>installation electrical conduit in concrete slab</t>
  </si>
  <si>
    <t>2, 9, 3, 7, 7, 2, 3, 3, 3, 2, 0, 0, 1, 0, 0, 3, 0, 1, 0, 0, 0, 1, 0, 1</t>
  </si>
  <si>
    <t>emergency electrician horley</t>
  </si>
  <si>
    <t>0, 0, 0, 0, 0, 0, 0, 0, 0, 0, 0, 0, 0, 3, 0, 0, 0, 0, 0, 0, 0, 0, 0, 1</t>
  </si>
  <si>
    <t>electrical contractor san francisco</t>
  </si>
  <si>
    <t>0, 0, 0, 0, 0, 0, 0, 1, 0, 2, 0, 0, 0, 0, 0, 0, 0, 0, 0, 0, 0, 0, 0, 1</t>
  </si>
  <si>
    <t>electrical installation service northgate</t>
  </si>
  <si>
    <t>huntsville home electrical repair services</t>
  </si>
  <si>
    <t>electrical outlet installation raleigh nc</t>
  </si>
  <si>
    <t>st kilda emergency electrician</t>
  </si>
  <si>
    <t>electrical services york</t>
  </si>
  <si>
    <t>emergency electrician kellyville</t>
  </si>
  <si>
    <t>0, 0, 0, 0, 1, 1, 0, 2, 2, 0, 1, 0, 0, 0, 0, 0, 0, 0, 0, 0, 0, 0, 0, 1</t>
  </si>
  <si>
    <t>electrical services gloucester ma</t>
  </si>
  <si>
    <t>electrical repairs carolina beach</t>
  </si>
  <si>
    <t>0, 0, 0, 0, 0, 0, 0, 0, 0, 3, 5, 0, 0, 0, 0, 0, 0, 0, 0, 0, 0, 0, 0, 1</t>
  </si>
  <si>
    <t>domestic electrical installation report</t>
  </si>
  <si>
    <t>0, 0, 1, 1, 3, 0, 0, 1, 0, 0, 0, 0, 0, 0, 0, 0, 0, 0, 0, 0, 0, 1, 0, 1</t>
  </si>
  <si>
    <t>emergency electrician balgowlah</t>
  </si>
  <si>
    <t>electrical contractor company slogans</t>
  </si>
  <si>
    <t>hanover electrical services</t>
  </si>
  <si>
    <t>electrical installation services near me</t>
  </si>
  <si>
    <t>3, 1, 2, 0, 1, 0, 2, 2, 2, 0, 0, 0, 1, 0, 0, 0, 2, 1, 0, 0, 0, 0, 0, 1</t>
  </si>
  <si>
    <t>new construction electrical services st. louis mo</t>
  </si>
  <si>
    <t>electrical services in cape town, western cape</t>
  </si>
  <si>
    <t>0, 0, 0, 0, 0, 0, 0, 0, 0, 0, 0, 0, 0, 0, 0, 0, 0, 5, 4, 0, 0, 0, 0, 1</t>
  </si>
  <si>
    <t>electrical services in southern california</t>
  </si>
  <si>
    <t>24 hr emergency electrician richmond</t>
  </si>
  <si>
    <t>diverse electrical utility contractor</t>
  </si>
  <si>
    <t>electrical services tyler tx</t>
  </si>
  <si>
    <t>old home emergency electrician</t>
  </si>
  <si>
    <t>electrical installation glasgow</t>
  </si>
  <si>
    <t>domestic electrical repairs near me</t>
  </si>
  <si>
    <t>3, 0, 0, 0, 0, 0, 0, 1, 0, 2, 4, 0, 0, 2, 0, 1, 0, 0, 3, 0, 0, 0, 0, 1</t>
  </si>
  <si>
    <t>innovative electrical services</t>
  </si>
  <si>
    <t>0, 0, 0, 0, 1, 1, 0, 1, 0, 1, 0, 1, 0, 0, 0, 0, 1, 0, 0, 0, 1, 0, 0, 1</t>
  </si>
  <si>
    <t>cpr electrical services</t>
  </si>
  <si>
    <t>0, 1, 0, 0, 3, 0, 1, 1, 2, 0, 0, 0, 1, 1, 0, 0, 1, 0, 0, 0, 0, 0, 0, 1</t>
  </si>
  <si>
    <t>electrical repairs in wesley chapel</t>
  </si>
  <si>
    <t>handbook of electrical installation practice pdf</t>
  </si>
  <si>
    <t>charlotte home electrical repair services</t>
  </si>
  <si>
    <t>auburn electrical services</t>
  </si>
  <si>
    <t>0, 0, 0, 0, 0, 0, 0, 0, 1, 0, 0, 1, 0, 0, 0, 0, 2, 0, 0, 0, 0, 0, 0, 1</t>
  </si>
  <si>
    <t>emergency electrician cardiff</t>
  </si>
  <si>
    <t>0, 1, 3, 2, 1, 0, 0, 0, 0, 1, 0, 0, 1, 0, 1, 0, 1, 0, 0, 0, 0, 0, 0, 1</t>
  </si>
  <si>
    <t>southfield auto electrical services cc</t>
  </si>
  <si>
    <t>electrical lighting contractor</t>
  </si>
  <si>
    <t>1, 0, 0, 0, 0, 0, 2, 1, 0, 0, 1, 0, 0, 0, 0, 0, 0, 0, 0, 0, 0, 0, 0, 1</t>
  </si>
  <si>
    <t>electrical services salt lake city utah</t>
  </si>
  <si>
    <t>pocomoke city electrical services</t>
  </si>
  <si>
    <t>all wired up electrical services</t>
  </si>
  <si>
    <t>0, 0, 0, 0, 0, 0, 0, 0, 0, 0, 0, 4, 4, 1, 1, 0, 1, 0, 1, 0, 0, 0, 0, 1</t>
  </si>
  <si>
    <t>electrical services baltimore county</t>
  </si>
  <si>
    <t>electrical contractor funston</t>
  </si>
  <si>
    <t>electrical contractor in toronto</t>
  </si>
  <si>
    <t>0, 1, 0, 0, 0, 0, 0, 0, 1, 0, 2, 1, 0, 0, 0, 0, 0, 0, 0, 0, 0, 0, 0, 1</t>
  </si>
  <si>
    <t>electrical contractor wiring</t>
  </si>
  <si>
    <t>electrical repairs arvada co</t>
  </si>
  <si>
    <t>electrical appliance repairs hillcrest</t>
  </si>
  <si>
    <t>ade electrical services</t>
  </si>
  <si>
    <t>erc electrical services</t>
  </si>
  <si>
    <t>general electrical services gastonia</t>
  </si>
  <si>
    <t>electrical installation short course</t>
  </si>
  <si>
    <t>0, 0, 0, 0, 0, 0, 0, 0, 0, 0, 0, 4, 0, 0, 0, 0, 0, 0, 0, 1, 1, 0, 0, 1</t>
  </si>
  <si>
    <t>commercial electrical contractor nyc</t>
  </si>
  <si>
    <t>0, 0, 0, 1, 0, 0, 0, 0, 1, 0, 0, 1, 0, 0, 0, 0, 0, 0, 0, 0, 0, 0, 0, 1</t>
  </si>
  <si>
    <t>emergency electrician frankston</t>
  </si>
  <si>
    <t>0, 0, 0, 0, 0, 0, 0, 0, 1, 0, 0, 0, 0, 1, 0, 0, 0, 0, 0, 0, 0, 0, 0, 2</t>
  </si>
  <si>
    <t>electrical installation photos</t>
  </si>
  <si>
    <t>0, 0, 8, 0, 1, 0, 0, 0, 0, 0, 2, 0, 0, 0, 1, 0, 0, 0, 0, 1, 1, 0, 0, 1</t>
  </si>
  <si>
    <t>electrical outlet installation monroe county</t>
  </si>
  <si>
    <t>electrical outlet installation kansas</t>
  </si>
  <si>
    <t>emergency electrician minnetonka</t>
  </si>
  <si>
    <t>tan auto electrical services</t>
  </si>
  <si>
    <t>electrical installation level 1 course online</t>
  </si>
  <si>
    <t>electrical installation in albee</t>
  </si>
  <si>
    <t>0, 0, 0, 0, 0, 0, 0, 0, 0, 0, 0, 0, 3, 1, 0, 0, 1, 0, 0, 0, 0, 0, 0, 1</t>
  </si>
  <si>
    <t>ponte vedra beach electrical services</t>
  </si>
  <si>
    <t>electrical lighting services hicksville ny</t>
  </si>
  <si>
    <t>electrical fault repairs petrie</t>
  </si>
  <si>
    <t>ideal electrical services</t>
  </si>
  <si>
    <t>0, 1, 0, 0, 0, 0, 2, 0, 1, 0, 0, 0, 0, 1, 0, 1, 0, 0, 0, 0, 0, 0, 1, 1</t>
  </si>
  <si>
    <t>indianapolis electrical services</t>
  </si>
  <si>
    <t>electrical contractor registration online</t>
  </si>
  <si>
    <t>13, 9, 5, 2, 2, 1, 3, 2, 1, 0, 0, 0, 1, 1, 1, 0, 1, 1, 3, 5, 4, 1, 0, 1</t>
  </si>
  <si>
    <t>emergency electrician eltham</t>
  </si>
  <si>
    <t>0, 0, 0, 5, 0, 1, 1, 2, 0, 1, 1, 3, 0, 0, 0, 0, 0, 0, 0, 0, 0, 0, 0, 1</t>
  </si>
  <si>
    <t>electrical services north essex</t>
  </si>
  <si>
    <t>electrical engineer contractor</t>
  </si>
  <si>
    <t>emergency electrician fulham</t>
  </si>
  <si>
    <t>0, 0, 1, 0, 0, 0, 0, 1, 1, 2, 0, 0, 0, 0, 0, 0, 0, 0, 0, 0, 0, 0, 0, 1</t>
  </si>
  <si>
    <t>kansas city home electrical repair services</t>
  </si>
  <si>
    <t>electrical house wiring contractor</t>
  </si>
  <si>
    <t>1, 0, 1, 0, 1, 2, 1, 1, 1, 1, 3, 2, 0, 0, 0, 0, 0, 0, 0, 0, 0, 0, 0, 1</t>
  </si>
  <si>
    <t>moses electrical services</t>
  </si>
  <si>
    <t>electrical services belfast</t>
  </si>
  <si>
    <t>electrical and installation maintenance</t>
  </si>
  <si>
    <t>0, 0, 0, 0, 0, 0, 1, 0, 0, 0, 0, 0, 0, 0, 0, 0, 0, 0, 1, 0, 0, 1, 0, 1</t>
  </si>
  <si>
    <t>level 3 electrical installation online course</t>
  </si>
  <si>
    <t>underground services and electrical work</t>
  </si>
  <si>
    <t>aardvark electrical services</t>
  </si>
  <si>
    <t>2, 0, 0, 0, 1, 1, 3, 0, 0, 0, 1, 0, 0, 0, 0, 0, 0, 0, 0, 0, 0, 0, 0, 1</t>
  </si>
  <si>
    <t>salt lake city electrical services</t>
  </si>
  <si>
    <t>non compliant electrical installation</t>
  </si>
  <si>
    <t>0, 0, 0, 2, 4, 0, 0, 0, 0, 0, 0, 0, 0, 0, 0, 0, 0, 0, 0, 0, 0, 0, 0, 1</t>
  </si>
  <si>
    <t>electrical contractor business coach</t>
  </si>
  <si>
    <t>0, 0, 1, 0, 0, 0, 1, 0, 0, 0, 0, 1, 0, 0, 0, 0, 0, 0, 0, 0, 0, 0, 0, 1</t>
  </si>
  <si>
    <t>consolidated electrical services</t>
  </si>
  <si>
    <t>0, 0, 0, 0, 0, 0, 0, 0, 0, 0, 3, 3, 0, 0, 1, 5, 0, 1, 4, 4, 0, 3, 1, 2</t>
  </si>
  <si>
    <t>electrical services michigan</t>
  </si>
  <si>
    <t>business electrical installation long beach ca</t>
  </si>
  <si>
    <t>0, 0, 0, 0, 1, 0, 0, 0, 0, 3, 0, 0, 0, 0, 0, 0, 0, 0, 0, 0, 0, 0, 0, 1</t>
  </si>
  <si>
    <t>andrew electrical services</t>
  </si>
  <si>
    <t>cato electrical services</t>
  </si>
  <si>
    <t>electrical light switch installation</t>
  </si>
  <si>
    <t>la electrical services</t>
  </si>
  <si>
    <t>0, 0, 0, 2, 1, 0, 0, 0, 0, 0, 1, 0, 0, 0, 0, 0, 0, 0, 0, 0, 0, 0, 0, 1</t>
  </si>
  <si>
    <t>commercial electrical services dandenong</t>
  </si>
  <si>
    <t>affordable electrical services in loudon</t>
  </si>
  <si>
    <t>0, 0, 0, 0, 0, 0, 0, 0, 2, 1, 0, 1, 0, 0, 0, 0, 2, 1, 2, 0, 2, 0, 0, 2</t>
  </si>
  <si>
    <t>construction electrical installation</t>
  </si>
  <si>
    <t>eastern electrical services</t>
  </si>
  <si>
    <t>electrical installation essex</t>
  </si>
  <si>
    <t>0, 0, 0, 0, 0, 0, 0, 0, 1, 1, 0, 0, 0, 0, 0, 0, 0, 0, 2, 0, 0, 0, 0, 1</t>
  </si>
  <si>
    <t>delta electrical services</t>
  </si>
  <si>
    <t>0, 0, 0, 0, 0, 0, 0, 0, 0, 0, 0, 0, 0, 0, 0, 0, 1, 0, 0, 0, 1, 0, 0, 1</t>
  </si>
  <si>
    <t>commercial electrical services hicksville ny</t>
  </si>
  <si>
    <t>northern electrical services launceston</t>
  </si>
  <si>
    <t>emergency electrician conway</t>
  </si>
  <si>
    <t>2, 0, 1, 0, 0, 0, 0, 0, 3, 5, 5, 0, 0, 0, 0, 0, 0, 0, 0, 0, 0, 0, 0, 1</t>
  </si>
  <si>
    <t>emergency electrician guildford</t>
  </si>
  <si>
    <t>0, 0, 0, 0, 0, 2, 0, 0, 0, 2, 0, 0, 0, 0, 0, 0, 0, 0, 0, 0, 0, 0, 0, 1</t>
  </si>
  <si>
    <t>electrical repair services north london</t>
  </si>
  <si>
    <t>basic electrical installation and control</t>
  </si>
  <si>
    <t>0, 0, 0, 0, 0, 0, 0, 0, 0, 0, 0, 0, 0, 0, 0, 1, 0, 0, 0, 0, 1, 0, 1, 1</t>
  </si>
  <si>
    <t>electrical repairs leeds</t>
  </si>
  <si>
    <t>ck electrical services</t>
  </si>
  <si>
    <t>wilmington, nc emergency electrician</t>
  </si>
  <si>
    <t>0, 0, 0, 1, 0, 1, 1, 0, 1, 1, 7, 4, 0, 0, 0, 0, 0, 0, 0, 0, 0, 1, 0, 1</t>
  </si>
  <si>
    <t>peachtree city electrical services</t>
  </si>
  <si>
    <t>e williams electrical &amp; building services</t>
  </si>
  <si>
    <t>emergency electrician blackheath</t>
  </si>
  <si>
    <t>deal electrical services</t>
  </si>
  <si>
    <t>0, 0, 0, 0, 0, 0, 0, 0, 0, 0, 0, 1, 0, 0, 0, 1, 0, 0, 0, 0, 0, 0, 0, 1</t>
  </si>
  <si>
    <t>electrical installation syllabus</t>
  </si>
  <si>
    <t>victorian electrical services</t>
  </si>
  <si>
    <t>emergency electrician doncaster east</t>
  </si>
  <si>
    <t>0, 0, 0, 1, 0, 0, 1, 0, 0, 0, 1, 1, 0, 0, 0, 0, 0, 0, 0, 0, 0, 0, 0, 1</t>
  </si>
  <si>
    <t>sos electrical services</t>
  </si>
  <si>
    <t>0, 0, 0, 0, 0, 0, 1, 4, 2, 3, 5, 1, 0, 2, 1, 3, 3, 0, 3, 3, 1, 0, 0, 1</t>
  </si>
  <si>
    <t>emergency electrician wheelers hill</t>
  </si>
  <si>
    <t>0, 1, 0, 3, 1, 0, 0, 0, 0, 0, 1, 0, 1, 0, 0, 0, 0, 0, 0, 0, 0, 0, 0, 1</t>
  </si>
  <si>
    <t>electrical installation wilmington</t>
  </si>
  <si>
    <t>orbit electrical services</t>
  </si>
  <si>
    <t>auto electrician goodwood cape town</t>
  </si>
  <si>
    <t>factory electrical installation</t>
  </si>
  <si>
    <t>0, 2, 3, 2, 0, 0, 2, 0, 2, 1, 1, 0, 0, 2, 0, 0, 0, 0, 0, 0, 0, 0, 0, 1</t>
  </si>
  <si>
    <t>fort worth emergency electrician</t>
  </si>
  <si>
    <t>pool heat pump electrical installation</t>
  </si>
  <si>
    <t>0, 1, 2, 1, 1, 2, 2, 0, 0, 0, 2, 0, 0, 0, 1, 0, 0, 0, 0, 0, 1, 0, 1, 1</t>
  </si>
  <si>
    <t>cmd electrical services ltd</t>
  </si>
  <si>
    <t>electrical repairs christchurch</t>
  </si>
  <si>
    <t>quentin mason electrical services ltd</t>
  </si>
  <si>
    <t>emergency electrician surrey london</t>
  </si>
  <si>
    <t>electrical installation books free download pdf</t>
  </si>
  <si>
    <t>electrical services montgomery county</t>
  </si>
  <si>
    <t>electrical services norfolk</t>
  </si>
  <si>
    <t>circuit electrical services</t>
  </si>
  <si>
    <t>0, 0, 0, 0, 0, 0, 0, 1, 0, 0, 0, 1, 0, 0, 0, 0, 0, 0, 0, 0, 0, 1, 0, 1</t>
  </si>
  <si>
    <t>rw electrical services</t>
  </si>
  <si>
    <t>0, 0, 0, 0, 2, 0, 0, 0, 1, 0, 0, 1, 0, 0, 0, 0, 0, 0, 0, 0, 0, 0, 0, 1</t>
  </si>
  <si>
    <t>electrical repair contractor lumberton</t>
  </si>
  <si>
    <t>household electrical repairs</t>
  </si>
  <si>
    <t>9, 9, 15, 11, 10, 17, 3, 4, 25, 65, 44, 1, 0, 0, 2, 3, 1, 5, 1, 1, 6, 0, 1, 3</t>
  </si>
  <si>
    <t>commercial electrical services in sydney</t>
  </si>
  <si>
    <t>electrical services newmarket</t>
  </si>
  <si>
    <t>1, 1, 0, 6, 2, 0, 2, 3, 1, 1, 2, 0, 0, 0, 0, 0, 0, 0, 0, 0, 0, 0, 0, 1</t>
  </si>
  <si>
    <t>emergency electrician brixton</t>
  </si>
  <si>
    <t>0, 0, 0, 1, 1, 1, 1, 0, 1, 0, 0, 1, 1, 0, 0, 1, 0, 0, 0, 0, 0, 0, 0, 1</t>
  </si>
  <si>
    <t>emergency electrician frenchs forest</t>
  </si>
  <si>
    <t>emergency electrician inner west</t>
  </si>
  <si>
    <t>0, 0, 1, 1, 3, 0, 1, 0, 0, 1, 3, 3, 0, 0, 0, 0, 0, 0, 0, 0, 0, 0, 0, 1</t>
  </si>
  <si>
    <t>electrical installation condition report price</t>
  </si>
  <si>
    <t>0, 0, 2, 0, 0, 1, 0, 0, 0, 0, 0, 1, 0, 0, 0, 0, 0, 0, 0, 0, 0, 0, 0, 1</t>
  </si>
  <si>
    <t>electrical system repairs</t>
  </si>
  <si>
    <t>0, 1, 0, 1, 0, 0, 7, 1, 1, 2, 0, 0, 0, 1, 0, 1, 1, 0, 0, 0, 0, 0, 0, 1</t>
  </si>
  <si>
    <t>emergency electrician brisbane northside</t>
  </si>
  <si>
    <t>0, 0, 0, 1, 3, 0, 0, 0, 1, 0, 1, 2, 0, 0, 0, 0, 0, 0, 0, 0, 0, 0, 0, 1</t>
  </si>
  <si>
    <t>hill electrical services</t>
  </si>
  <si>
    <t>electrical sub contractor</t>
  </si>
  <si>
    <t>1, 1, 1, 2, 0, 0, 1, 0, 0, 0, 0, 5, 0, 0, 0, 0, 0, 0, 0, 0, 1, 0, 0, 1</t>
  </si>
  <si>
    <t>electrical contractor northbrook il</t>
  </si>
  <si>
    <t>0, 0, 0, 0, 0, 2, 0, 1, 1, 1, 1, 0, 0, 0, 0, 0, 0, 0, 0, 0, 0, 0, 0, 1</t>
  </si>
  <si>
    <t>bellevue electrical wiring services</t>
  </si>
  <si>
    <t>emergency electrician bordon</t>
  </si>
  <si>
    <t>private electrical contractor</t>
  </si>
  <si>
    <t>quality electrical services hicksville ny</t>
  </si>
  <si>
    <t>electrical cable installation methods</t>
  </si>
  <si>
    <t>7, 5, 11, 1, 6, 6, 14, 2, 14, 7, 2, 2, 0, 2, 0, 7, 3, 2, 3, 0, 2, 1, 0, 2</t>
  </si>
  <si>
    <t>emergency electrician chestnut hill</t>
  </si>
  <si>
    <t>electrical contractor vancouver wa</t>
  </si>
  <si>
    <t>start electrical contractor business</t>
  </si>
  <si>
    <t>emergency electrician seven hills</t>
  </si>
  <si>
    <t>0, 0, 0, 0, 0, 0, 0, 3, 3, 1, 0, 0, 0, 0, 0, 0, 0, 0, 0, 0, 0, 0, 0, 1</t>
  </si>
  <si>
    <t>electrical contractor seo marketing</t>
  </si>
  <si>
    <t>electrical services warana beach</t>
  </si>
  <si>
    <t>electrical manufacturing services</t>
  </si>
  <si>
    <t>emergency electrician frisco tx</t>
  </si>
  <si>
    <t>junction box electrical installation</t>
  </si>
  <si>
    <t>0, 0, 0, 0, 0, 0, 0, 0, 0, 0, 0, 0, 1, 0, 0, 0, 6, 0, 0, 2, 0, 0, 0, 1</t>
  </si>
  <si>
    <t>electrical installation wilmington, nc</t>
  </si>
  <si>
    <t>1, 1, 2, 0, 0, 0, 0, 0, 2, 2, 2, 0, 0, 0, 0, 0, 1, 0, 0, 0, 0, 0, 0, 1</t>
  </si>
  <si>
    <t>electrical services coeur d’alene, id</t>
  </si>
  <si>
    <t>0, 0, 0, 0, 0, 0, 0, 0, 0, 0, 1, 2, 1, 0, 0, 0, 0, 0, 1, 0, 0, 0, 0, 1</t>
  </si>
  <si>
    <t>slc electrical services ltd</t>
  </si>
  <si>
    <t>electrical installation questions and answers pdf</t>
  </si>
  <si>
    <t>2, 1, 0, 0, 0, 1, 0, 0, 1, 0, 1, 0, 1, 1, 1, 0, 2, 1, 2, 0, 2, 2, 4, 4</t>
  </si>
  <si>
    <t>commercial electrical contractor melbourne</t>
  </si>
  <si>
    <t>0, 1, 1, 1, 0, 0, 1, 2, 0, 1, 3, 0, 0, 0, 0, 1, 0, 0, 0, 0, 0, 0, 0, 1</t>
  </si>
  <si>
    <t>cps electrical services</t>
  </si>
  <si>
    <t>commercial electrical panel installation</t>
  </si>
  <si>
    <t>0, 0, 0, 0, 0, 0, 0, 1, 0, 0, 0, 0, 0, 0, 0, 0, 0, 0, 0, 0, 0, 0, 14, 6</t>
  </si>
  <si>
    <t>emergency electrician wokingham</t>
  </si>
  <si>
    <t>level 3 electrical installation jobs</t>
  </si>
  <si>
    <t>electrical contractor facebook advertising</t>
  </si>
  <si>
    <t>cdm electrical services</t>
  </si>
  <si>
    <t>electrical services north reading ma</t>
  </si>
  <si>
    <t>d &amp; r electrical services fort myers fl</t>
  </si>
  <si>
    <t>north sydney emergency electrician</t>
  </si>
  <si>
    <t>jobs electrician cape town</t>
  </si>
  <si>
    <t>electrical outlet installation durham</t>
  </si>
  <si>
    <t>piedmont electrical services</t>
  </si>
  <si>
    <t>dania beach electrical services</t>
  </si>
  <si>
    <t>0, 0, 0, 0, 0, 1, 0, 2, 0, 1, 3, 0, 0, 0, 0, 0, 0, 0, 0, 0, 0, 0, 0, 1</t>
  </si>
  <si>
    <t>free method statement for electrical installation</t>
  </si>
  <si>
    <t>seidel electrical services</t>
  </si>
  <si>
    <t>4d electrical services ltd</t>
  </si>
  <si>
    <t>emergency electrician service near me</t>
  </si>
  <si>
    <t>0, 0, 1, 2, 1, 1, 1, 0, 2, 1, 1, 3, 0, 0, 0, 0, 0, 0, 0, 0, 0, 0, 0, 1</t>
  </si>
  <si>
    <t>electrical contractor tools</t>
  </si>
  <si>
    <t>2, 1, 1, 0, 1, 1, 0, 0, 2, 1, 1, 0, 0, 0, 0, 4, 0, 1, 0, 0, 1, 3, 1, 3</t>
  </si>
  <si>
    <t>commercial electrical contractor essex</t>
  </si>
  <si>
    <t>emergency electrician east york</t>
  </si>
  <si>
    <t>2, 0, 1, 2, 0, 0, 0, 0, 0, 0, 0, 0, 0, 0, 0, 0, 0, 0, 0, 0, 0, 0, 0, 1</t>
  </si>
  <si>
    <t>contractor electrical device</t>
  </si>
  <si>
    <t>1, 5, 1, 5, 0, 4, 2, 2, 1, 2, 2, 2, 10, 3, 4, 0, 0, 1, 8, 1, 0, 1, 0, 1</t>
  </si>
  <si>
    <t>electrical services and maintenance</t>
  </si>
  <si>
    <t>0, 0, 1, 0, 1, 1, 1, 0, 0, 0, 0, 0, 1, 1, 0, 0, 0, 0, 0, 0, 0, 0, 0, 1</t>
  </si>
  <si>
    <t>domestic electrical installation training</t>
  </si>
  <si>
    <t>0, 0, 0, 0, 0, 0, 0, 0, 0, 0, 0, 0, 0, 1, 0, 0, 0, 0, 0, 0, 1, 0, 0, 1</t>
  </si>
  <si>
    <t>emergency electrician lane cove west</t>
  </si>
  <si>
    <t>emergency electrician elwood</t>
  </si>
  <si>
    <t>0, 0, 0, 1, 1, 2, 1, 1, 2, 0, 0, 1, 0, 0, 0, 0, 0, 0, 0, 0, 0, 0, 0, 1</t>
  </si>
  <si>
    <t>outdoor electrical installation</t>
  </si>
  <si>
    <t>3, 0, 1, 1, 0, 0, 1, 0, 1, 1, 5, 0, 0, 0, 0, 1, 1, 0, 0, 0, 0, 1, 0, 1</t>
  </si>
  <si>
    <t>electrical contractor aurora co</t>
  </si>
  <si>
    <t>0, 1, 0, 1, 0, 1, 0, 0, 0, 2, 3, 0, 0, 0, 0, 0, 0, 0, 0, 0, 0, 0, 0, 1</t>
  </si>
  <si>
    <t>dunedin electrical services</t>
  </si>
  <si>
    <t>0, 0, 1, 0, 0, 0, 0, 1, 0, 2, 3, 0, 0, 0, 0, 0, 0, 0, 0, 0, 0, 0, 0, 1</t>
  </si>
  <si>
    <t>emergency electrician wilmington nc</t>
  </si>
  <si>
    <t>electrical services greensboro nc</t>
  </si>
  <si>
    <t>electrical services wyoming</t>
  </si>
  <si>
    <t>healthcare electrical services</t>
  </si>
  <si>
    <t>king of prussia electrical services</t>
  </si>
  <si>
    <t>0, 0, 1, 0, 0, 1, 0, 0, 0, 3, 2, 0, 0, 0, 0, 0, 0, 0, 0, 0, 0, 0, 0, 1</t>
  </si>
  <si>
    <t>24 hour electrical services near me</t>
  </si>
  <si>
    <t>0, 0, 2, 0, 1, 2, 0, 0, 0, 0, 0, 0, 0, 0, 0, 0, 0, 0, 0, 0, 0, 0, 0, 1</t>
  </si>
  <si>
    <t>ace electrical services</t>
  </si>
  <si>
    <t>0, 3, 2, 0, 2, 0, 1, 6, 0, 5, 2, 8, 13, 5, 9, 0, 1, 3, 4, 3, 2, 0, 1, 1</t>
  </si>
  <si>
    <t>stewarts electrical services</t>
  </si>
  <si>
    <t>electrical services auckland</t>
  </si>
  <si>
    <t>0, 2, 2, 0, 3, 0, 4, 1, 1, 1, 8, 0, 0, 0, 0, 0, 0, 0, 0, 0, 0, 0, 0, 1</t>
  </si>
  <si>
    <t>electrical services columbia</t>
  </si>
  <si>
    <t>industrial electrical services fresno</t>
  </si>
  <si>
    <t>0, 0, 2, 3, 5, 0, 2, 5, 2, 2, 2, 0, 0, 0, 0, 0, 0, 0, 0, 0, 0, 0, 0, 1</t>
  </si>
  <si>
    <t>3 phase electrical services</t>
  </si>
  <si>
    <t>commercial electrical services lewisville tx</t>
  </si>
  <si>
    <t>wards electrical services</t>
  </si>
  <si>
    <t>emergency electrician ashgrove</t>
  </si>
  <si>
    <t>electrical contractor number</t>
  </si>
  <si>
    <t>0, 0, 0, 0, 0, 0, 0, 0, 0, 0, 0, 0, 8, 0, 0, 1, 1, 0, 0, 0, 1, 0, 0, 1</t>
  </si>
  <si>
    <t>electrical repairs charleston</t>
  </si>
  <si>
    <t>0, 0, 0, 0, 0, 1, 0, 0, 2, 2, 1, 0, 0, 0, 0, 0, 0, 0, 0, 0, 0, 0, 0, 1</t>
  </si>
  <si>
    <t>lancashire electrical services</t>
  </si>
  <si>
    <t>safety precautions in electrical installation</t>
  </si>
  <si>
    <t>aurora home electrical repair services</t>
  </si>
  <si>
    <t>electrogem electrical services</t>
  </si>
  <si>
    <t>emergency electrician mount hawthorn</t>
  </si>
  <si>
    <t>0, 0, 0, 0, 0, 0, 0, 0, 1, 1, 2, 2, 0, 0, 0, 0, 0, 0, 0, 0, 0, 0, 0, 1</t>
  </si>
  <si>
    <t>electrical contractor service atlanta ga</t>
  </si>
  <si>
    <t>electrical installation book</t>
  </si>
  <si>
    <t>0, 0, 2, 1, 0, 1, 0, 0, 1, 2, 0, 0, 0, 0, 0, 7, 1, 1, 4, 0, 0, 1, 0, 1</t>
  </si>
  <si>
    <t>emergency electrician bath</t>
  </si>
  <si>
    <t>aussie electrical and plumbing services sydney</t>
  </si>
  <si>
    <t>0, 1, 0, 0, 0, 0, 1, 0, 4, 0, 0, 0, 0, 0, 0, 0, 0, 0, 0, 0, 0, 0, 0, 1</t>
  </si>
  <si>
    <t>electrical installation project pdf</t>
  </si>
  <si>
    <t>semi skilled auto electrician jobs in cape town</t>
  </si>
  <si>
    <t>emergency electrician eden-hill</t>
  </si>
  <si>
    <t>0, 0, 0, 0, 0, 0, 1, 0, 0, 2, 1, 0, 0, 0, 0, 0, 0, 0, 0, 0, 0, 0, 0, 1</t>
  </si>
  <si>
    <t>electrical services st albans</t>
  </si>
  <si>
    <t>charles electrical services</t>
  </si>
  <si>
    <t>0, 0, 0, 1, 8, 0, 5, 13, 8, 9, 2, 4, 1, 0, 2, 0, 4, 2, 13, 4, 4, 3, 2, 1</t>
  </si>
  <si>
    <t>sc electrical services</t>
  </si>
  <si>
    <t>electrical services in pretoria, gauteng</t>
  </si>
  <si>
    <t>0, 0, 0, 0, 0, 0, 0, 0, 0, 0, 0, 0, 0, 0, 0, 0, 3, 4, 7, 0, 0, 0, 0, 1</t>
  </si>
  <si>
    <t>electrical pump services</t>
  </si>
  <si>
    <t>pool electrical installation</t>
  </si>
  <si>
    <t>0, 0, 0, 0, 0, 3, 1, 1, 4, 4, 2, 3, 0, 0, 0, 0, 1, 1, 1, 4, 2, 0, 1, 1</t>
  </si>
  <si>
    <t>jacksonville home electrical repair services</t>
  </si>
  <si>
    <t>24 hr emergency electrician south yarra</t>
  </si>
  <si>
    <t>electrical contractor austin</t>
  </si>
  <si>
    <t>0, 0, 0, 0, 0, 0, 0, 2, 3, 2, 0, 0, 0, 0, 0, 0, 0, 0, 0, 0, 0, 0, 0, 1</t>
  </si>
  <si>
    <t>electrical services durant ok</t>
  </si>
  <si>
    <t>0, 0, 2, 0, 0, 1, 0, 0, 1, 1, 0, 0, 0, 0, 0, 0, 0, 0, 0, 0, 0, 0, 0, 1</t>
  </si>
  <si>
    <t>bassett electrical services</t>
  </si>
  <si>
    <t>3, 0, 0, 0, 0, 0, 2, 0, 1, 0, 0, 0, 0, 1, 0, 0, 0, 0, 0, 0, 1, 0, 0, 1</t>
  </si>
  <si>
    <t>electrical services vernon</t>
  </si>
  <si>
    <t>emergency electrician wimbledon</t>
  </si>
  <si>
    <t>0, 0, 2, 0, 1, 0, 1, 3, 0, 0, 0, 0, 0, 0, 0, 0, 0, 0, 0, 0, 0, 0, 0, 1</t>
  </si>
  <si>
    <t>shorts electrical services</t>
  </si>
  <si>
    <t>0, 0, 1, 0, 0, 0, 0, 0, 0, 0, 2, 0, 0, 0, 0, 0, 0, 0, 0, 0, 0, 0, 0, 1</t>
  </si>
  <si>
    <t>electrical contractor simi valley</t>
  </si>
  <si>
    <t>0, 0, 0, 1, 1, 0, 0, 2, 1, 0, 0, 0, 0, 0, 0, 0, 0, 0, 0, 0, 0, 0, 0, 1</t>
  </si>
  <si>
    <t>electrical fp installation uae</t>
  </si>
  <si>
    <t>rs auto electrical services</t>
  </si>
  <si>
    <t>electrical installation checklist</t>
  </si>
  <si>
    <t>8, 7, 10, 5, 0, 1, 3, 0, 4, 12, 7, 5, 1, 8, 3, 2, 3, 6, 1, 2, 2, 6, 0, 4</t>
  </si>
  <si>
    <t>new home electrical installation</t>
  </si>
  <si>
    <t>0, 0, 0, 0, 0, 0, 2, 0, 0, 0, 1, 0, 0, 0, 0, 0, 0, 0, 0, 0, 1, 1, 0, 2</t>
  </si>
  <si>
    <t>emergency newark electrician</t>
  </si>
  <si>
    <t>0, 1, 1, 0, 0, 0, 0, 0, 0, 0, 2, 0, 0, 0, 0, 0, 0, 0, 0, 0, 0, 0, 0, 1</t>
  </si>
  <si>
    <t>electrical contractor software for small business</t>
  </si>
  <si>
    <t>0, 0, 0, 0, 0, 0, 0, 1, 1, 1, 1, 0, 1, 0, 0, 1, 0, 0, 0, 1, 0, 0, 0, 1</t>
  </si>
  <si>
    <t>electrical contractor packs</t>
  </si>
  <si>
    <t>infinity electrical services</t>
  </si>
  <si>
    <t>electrical wiring installation house wiring types</t>
  </si>
  <si>
    <t>birmingham emergency electrician</t>
  </si>
  <si>
    <t>1, 0, 0, 1, 0, 0, 0, 1, 0, 2, 0, 0, 0, 0, 0, 0, 0, 0, 0, 0, 0, 0, 0, 1</t>
  </si>
  <si>
    <t>24/7 emergency electrician</t>
  </si>
  <si>
    <t>3, 5, 1, 0, 2, 0, 1, 5, 1, 0, 2, 0, 1, 0, 0, 5, 0, 0, 3, 0, 0, 2, 16, 7</t>
  </si>
  <si>
    <t>electrical repairs hampstead</t>
  </si>
  <si>
    <t>0, 0, 0, 0, 0, 0, 0, 0, 0, 3, 2, 0, 0, 0, 0, 0, 2, 1, 0, 0, 0, 0, 0, 1</t>
  </si>
  <si>
    <t>emergency electrician cockburn central</t>
  </si>
  <si>
    <t>0, 0, 0, 1, 0, 0, 0, 0, 2, 2, 0, 0, 0, 0, 0, 0, 0, 0, 0, 0, 0, 0, 0, 1</t>
  </si>
  <si>
    <t>electrical takeoff services</t>
  </si>
  <si>
    <t>my electrical services</t>
  </si>
  <si>
    <t>0, 0, 0, 0, 0, 0, 0, 0, 0, 1, 0, 0, 0, 1, 0, 0, 0, 0, 0, 0, 0, 1, 0, 1</t>
  </si>
  <si>
    <t>explosion proof electrical installation</t>
  </si>
  <si>
    <t>0, 0, 0, 0, 0, 0, 0, 0, 0, 0, 0, 0, 0, 0, 0, 0, 0, 0, 0, 0, 1, 2, 0, 2</t>
  </si>
  <si>
    <t>residential electrical services richardson tx</t>
  </si>
  <si>
    <t>south coast electrical services</t>
  </si>
  <si>
    <t>1, 0, 0, 1, 0, 0, 0, 0, 1, 0, 0, 0, 0, 0, 0, 0, 0, 0, 0, 0, 0, 1, 0, 1</t>
  </si>
  <si>
    <t>swimming pool electrical services mooresville, nc</t>
  </si>
  <si>
    <t>emergency electrician marion county</t>
  </si>
  <si>
    <t>emergency electrician southlake tx</t>
  </si>
  <si>
    <t>emergency residential electrician maui</t>
  </si>
  <si>
    <t>kelowna electrical contractor</t>
  </si>
  <si>
    <t>1, 0, 0, 0, 1, 0, 0, 1, 0, 0, 0, 0, 0, 0, 0, 0, 0, 0, 0, 0, 0, 0, 0, 1</t>
  </si>
  <si>
    <t>north east electrical services</t>
  </si>
  <si>
    <t>0, 0, 1, 0, 0, 0, 0, 1, 0, 0, 0, 0, 0, 0, 0, 0, 0, 1, 0, 0, 0, 0, 0, 1</t>
  </si>
  <si>
    <t>electrical bus duct installation</t>
  </si>
  <si>
    <t>0, 0, 0, 0, 0, 0, 0, 0, 0, 0, 0, 0, 0, 0, 0, 1, 0, 0, 0, 0, 0, 1, 0, 1</t>
  </si>
  <si>
    <t>electrical contractor lsa marketing</t>
  </si>
  <si>
    <t>electrical contractor melbourne fl</t>
  </si>
  <si>
    <t>0, 1, 0, 0, 0, 0, 1, 0, 2, 0, 0, 1, 0, 0, 0, 0, 0, 0, 0, 0, 0, 0, 0, 1</t>
  </si>
  <si>
    <t>civils electrical contractor ireland</t>
  </si>
  <si>
    <t>0, 0, 1, 0, 0, 0, 0, 1, 0, 0, 0, 0, 0, 0, 0, 0, 0, 0, 0, 0, 0, 0, 0, 1</t>
  </si>
  <si>
    <t>alexandria electrical contractor</t>
  </si>
  <si>
    <t>north coogee emergency electrician</t>
  </si>
  <si>
    <t>0, 0, 0, 0, 0, 0, 0, 0, 0, 1, 0, 3, 0, 0, 0, 0, 0, 0, 0, 0, 0, 0, 0, 1</t>
  </si>
  <si>
    <t>electrical installation in bellevue</t>
  </si>
  <si>
    <t>0, 0, 0, 0, 0, 1, 1, 3, 0, 0, 0, 0, 0, 0, 0, 0, 0, 0, 0, 0, 0, 0, 0, 1</t>
  </si>
  <si>
    <t>aps electrical services</t>
  </si>
  <si>
    <t>0, 0, 0, 0, 0, 0, 0, 0, 1, 0, 0, 0, 0, 0, 0, 0, 1, 0, 0, 0, 0, 0, 0, 1</t>
  </si>
  <si>
    <t>electrical wiring installation round rock</t>
  </si>
  <si>
    <t>electrical contractor town of mount royal</t>
  </si>
  <si>
    <t>0, 0, 1, 1, 0, 1, 1, 1, 0, 0, 2, 0, 0, 0, 0, 0, 0, 0, 0, 0, 0, 0, 0, 1</t>
  </si>
  <si>
    <t>emergency electrician hampstead</t>
  </si>
  <si>
    <t>0, 0, 0, 0, 0, 0, 0, 0, 0, 0, 1, 3, 0, 0, 0, 0, 0, 0, 0, 0, 0, 0, 0, 1</t>
  </si>
  <si>
    <t>electrician jobs gumtree cape town</t>
  </si>
  <si>
    <t>electrical contractor business card templates</t>
  </si>
  <si>
    <t>electrical contractor albuquerque</t>
  </si>
  <si>
    <t>0, 1, 0, 0, 0, 0, 1, 0, 1, 0, 0, 0, 0, 0, 0, 0, 0, 0, 0, 0, 0, 0, 0, 1</t>
  </si>
  <si>
    <t>auto electrician cape town northern suburbs</t>
  </si>
  <si>
    <t>electrical services brampton</t>
  </si>
  <si>
    <t>0, 3, 5, 0, 3, 0, 2, 4, 0, 0, 2, 0, 0, 0, 0, 0, 0, 0, 0, 0, 0, 0, 0, 1</t>
  </si>
  <si>
    <t>emergency electrician near me 24 7</t>
  </si>
  <si>
    <t>0, 2, 0, 0, 0, 2, 1, 0, 0, 0, 0, 0, 1, 0, 1, 0, 3, 0, 0, 0, 0, 0, 0, 1</t>
  </si>
  <si>
    <t>electrical services centennial co</t>
  </si>
  <si>
    <t>0, 0, 1, 1, 1, 0, 0, 1, 0, 2, 0, 2, 0, 0, 0, 0, 0, 0, 0, 0, 0, 0, 0, 1</t>
  </si>
  <si>
    <t>emergency electrician gymea</t>
  </si>
  <si>
    <t>0, 0, 0, 3, 0, 0, 0, 0, 0, 0, 0, 2, 0, 0, 0, 0, 0, 1, 1, 0, 1, 0, 0, 1</t>
  </si>
  <si>
    <t>electrical transfer switch installation cost</t>
  </si>
  <si>
    <t>emergency local electrician melbourne</t>
  </si>
  <si>
    <t>0, 0, 0, 1, 1, 1, 1, 0, 0, 0, 0, 0, 0, 0, 0, 0, 0, 0, 0, 0, 0, 0, 0, 1</t>
  </si>
  <si>
    <t>electrical mechanical services</t>
  </si>
  <si>
    <t>1, 0, 1, 1, 1, 1, 6, 2, 0, 3, 0, 1, 0, 0, 0, 1, 0, 0, 1, 0, 0, 0, 0, 1</t>
  </si>
  <si>
    <t>electrical testing services company</t>
  </si>
  <si>
    <t>electrical contractor job leads</t>
  </si>
  <si>
    <t>0, 0, 0, 0, 1, 1, 0, 2, 0, 0, 0, 0, 0, 0, 0, 0, 0, 1, 0, 1, 0, 0, 0, 1</t>
  </si>
  <si>
    <t>djc electrical services</t>
  </si>
  <si>
    <t>0, 0, 0, 0, 0, 0, 0, 0, 0, 0, 0, 0, 0, 0, 0, 0, 0, 0, 2, 0, 0, 1, 0, 1</t>
  </si>
  <si>
    <t>electrical repairs palm desert ca</t>
  </si>
  <si>
    <t>0, 0, 0, 0, 0, 0, 0, 0, 2, 0, 1, 1, 0, 0, 0, 0, 0, 0, 0, 0, 0, 0, 0, 1</t>
  </si>
  <si>
    <t>capricorn electrical services</t>
  </si>
  <si>
    <t>odessa electrical services</t>
  </si>
  <si>
    <t>electrical contractor brisbane</t>
  </si>
  <si>
    <t>3, 3, 1, 3, 0, 2, 4, 1, 0, 3, 3, 2, 1, 1, 0, 0, 0, 0, 0, 0, 0, 0, 0, 1</t>
  </si>
  <si>
    <t>24hr electrical services</t>
  </si>
  <si>
    <t>1, 0, 0, 7, 3, 2, 3, 1, 6, 8, 12, 0, 0, 0, 0, 0, 0, 0, 0, 0, 0, 0, 0, 1</t>
  </si>
  <si>
    <t>electrical installation cherryville, nc</t>
  </si>
  <si>
    <t>providence home electrical repair services</t>
  </si>
  <si>
    <t>power factor electrical contractor and services</t>
  </si>
  <si>
    <t>emergency electrician lynnwood</t>
  </si>
  <si>
    <t>0, 0, 0, 0, 0, 0, 0, 1, 6, 0, 0, 1, 0, 0, 0, 0, 0, 0, 0, 0, 0, 0, 0, 1</t>
  </si>
  <si>
    <t>electrical contractor ashington</t>
  </si>
  <si>
    <t>emergency electrician darlington</t>
  </si>
  <si>
    <t>0, 0, 0, 0, 1, 0, 0, 2, 0, 3, 0, 0, 0, 0, 0, 0, 0, 1, 0, 0, 0, 0, 0, 1</t>
  </si>
  <si>
    <t>electrical installation certificate edinburgh</t>
  </si>
  <si>
    <t>electrical contractor services chandler heights</t>
  </si>
  <si>
    <t>lrb electrical services</t>
  </si>
  <si>
    <t>electrical contractor moncton</t>
  </si>
  <si>
    <t>0, 0, 1, 2, 0, 0, 0, 1, 1, 0, 0, 0, 0, 0, 0, 0, 0, 0, 0, 0, 0, 0, 0, 1</t>
  </si>
  <si>
    <t>gemelec electrical services</t>
  </si>
  <si>
    <t>building services. mechanical &amp; electrical</t>
  </si>
  <si>
    <t>electrical contractor st. john's nl</t>
  </si>
  <si>
    <t>electrical contractor bid software</t>
  </si>
  <si>
    <t>0, 0, 0, 0, 1, 0, 1, 0, 0, 1, 0, 0, 0, 0, 0, 0, 0, 0, 0, 0, 0, 0, 0, 1</t>
  </si>
  <si>
    <t>sheppard electrical services</t>
  </si>
  <si>
    <t>electrical installation at clinic</t>
  </si>
  <si>
    <t>electrical contractor terms and conditions</t>
  </si>
  <si>
    <t>0, 1, 0, 2, 1, 1, 0, 0, 3, 1, 0, 0, 0, 0, 0, 0, 0, 0, 0, 0, 0, 0, 0, 1</t>
  </si>
  <si>
    <t>electrical repairing services in jharkhand</t>
  </si>
  <si>
    <t>electrical contractor electrical company logo</t>
  </si>
  <si>
    <t>electrical services for landlords</t>
  </si>
  <si>
    <t>1, 1, 6, 0, 2, 0, 1, 2, 0, 2, 3, 0, 0, 0, 0, 0, 0, 0, 0, 0, 0, 0, 0, 1</t>
  </si>
  <si>
    <t>kitsap electrical contractor</t>
  </si>
  <si>
    <t>level 2 in electrical installation</t>
  </si>
  <si>
    <t>0, 1, 0, 0, 0, 0, 0, 0, 0, 0, 0, 2, 0, 0, 0, 0, 0, 0, 0, 0, 2, 0, 1, 2</t>
  </si>
  <si>
    <t>industrial electrical services nashville tn</t>
  </si>
  <si>
    <t>j&amp;a electrical services</t>
  </si>
  <si>
    <t>0, 0, 0, 0, 0, 0, 1, 0, 0, 0, 0, 0, 0, 0, 3, 1, 0, 0, 0, 0, 0, 0, 0, 1</t>
  </si>
  <si>
    <t>electrical installation procedure</t>
  </si>
  <si>
    <t>1, 2, 2, 0, 0, 3, 2, 2, 3, 0, 0, 0, 0, 1, 0, 0, 4, 1, 1, 0, 1, 0, 0, 1</t>
  </si>
  <si>
    <t>sk electrical services</t>
  </si>
  <si>
    <t>ponte vedra beach emergency electrician</t>
  </si>
  <si>
    <t>commercial electrical services southampton</t>
  </si>
  <si>
    <t>0, 1, 0, 0, 0, 0, 0, 0, 1, 0, 1, 0, 0, 0, 0, 0, 0, 0, 0, 0, 0, 0, 0, 1</t>
  </si>
  <si>
    <t>electrical installation and maintenance books</t>
  </si>
  <si>
    <t>emergency electrician pimlico</t>
  </si>
  <si>
    <t>electrical panel installation rock hill</t>
  </si>
  <si>
    <t>electrical installation ooltewah</t>
  </si>
  <si>
    <t>0, 0, 1, 0, 0, 1, 1, 0, 1, 0, 1, 0, 0, 0, 0, 0, 0, 0, 0, 0, 0, 0, 0, 1</t>
  </si>
  <si>
    <t>emergency electrician leatherhead</t>
  </si>
  <si>
    <t>1st fix electrical installation</t>
  </si>
  <si>
    <t>0, 0, 0, 0, 0, 0, 0, 0, 0, 0, 0, 0, 0, 0, 0, 0, 0, 0, 0, 0, 3, 0, 0, 2</t>
  </si>
  <si>
    <t>domestic electrical installation guide pdf</t>
  </si>
  <si>
    <t>electrical contractor swansea</t>
  </si>
  <si>
    <t>emergency electrician warlingham</t>
  </si>
  <si>
    <t>electrical wiring installation diagram</t>
  </si>
  <si>
    <t>1, 0, 1, 0, 0, 0, 0, 0, 0, 0, 2, 0, 0, 0, 0, 0, 0, 0, 0, 0, 0, 1, 0, 1</t>
  </si>
  <si>
    <t>app electrical services</t>
  </si>
  <si>
    <t>load balancing in electrical installation</t>
  </si>
  <si>
    <t>0, 0, 0, 0, 0, 0, 1, 1, 1, 1, 0, 0, 1, 0, 1, 1, 0, 0, 0, 0, 0, 0, 0, 1</t>
  </si>
  <si>
    <t>electrical repairs prescott valley az</t>
  </si>
  <si>
    <t>0, 0, 0, 0, 0, 1, 1, 0, 0, 0, 2, 0, 0, 0, 0, 0, 0, 0, 0, 0, 0, 0, 0, 1</t>
  </si>
  <si>
    <t>electrical remodeling services</t>
  </si>
  <si>
    <t>1, 2, 0, 3, 1, 2, 2, 1, 4, 4, 4, 3, 0, 0, 1, 0, 0, 0, 0, 0, 0, 3, 0, 2</t>
  </si>
  <si>
    <t>electrical repairs aberdeen</t>
  </si>
  <si>
    <t>submarine electrical system repairs</t>
  </si>
  <si>
    <t>0, 0, 0, 0, 0, 0, 0, 0, 0, 0, 1, 2, 0, 0, 0, 0, 0, 0, 0, 0, 0, 0, 0, 1</t>
  </si>
  <si>
    <t>gl electrical services</t>
  </si>
  <si>
    <t>1, 1, 3, 1, 1, 2, 0, 0, 0, 0, 0, 0, 0, 0, 1, 0, 0, 0, 0, 0, 0, 0, 0, 1</t>
  </si>
  <si>
    <t>atlanta electrical contractor</t>
  </si>
  <si>
    <t>0, 0, 1, 0, 0, 0, 1, 2, 0, 2, 1, 2, 0, 0, 0, 0, 0, 0, 0, 0, 0, 0, 0, 1</t>
  </si>
  <si>
    <t>morrison electrical services</t>
  </si>
  <si>
    <t>electrical contractor adelaide</t>
  </si>
  <si>
    <t>0, 1, 0, 0, 1, 1, 0, 0, 1, 1, 2, 0, 0, 0, 0, 0, 0, 0, 0, 0, 0, 0, 0, 1</t>
  </si>
  <si>
    <t>smart home devices electrical installation</t>
  </si>
  <si>
    <t>1, 1, 1, 1, 1, 0, 1, 0, 2, 0, 0, 0, 0, 0, 0, 0, 0, 0, 0, 0, 0, 0, 0, 1</t>
  </si>
  <si>
    <t>new electrical panel installation &amp; service</t>
  </si>
  <si>
    <t>emergency electrician lancaster</t>
  </si>
  <si>
    <t>1, 0, 0, 0, 0, 0, 1, 0, 1, 3, 1, 0, 0, 0, 0, 0, 0, 1, 0, 0, 0, 0, 0, 1</t>
  </si>
  <si>
    <t>kwinana emergency electrician</t>
  </si>
  <si>
    <t>0, 0, 0, 0, 0, 0, 1, 0, 0, 4, 2, 0, 0, 0, 0, 0, 0, 0, 0, 0, 0, 0, 0, 1</t>
  </si>
  <si>
    <t>electrical contractor deer park texas</t>
  </si>
  <si>
    <t>electrical contractor project management software</t>
  </si>
  <si>
    <t>0, 2, 2, 1, 1, 3, 0, 0, 1, 3, 4, 0, 0, 0, 0, 0, 0, 0, 0, 1, 0, 0, 0, 1</t>
  </si>
  <si>
    <t>emergency electrician worthing</t>
  </si>
  <si>
    <t>0, 0, 0, 0, 0, 1, 2, 3, 2, 3, 1, 0, 0, 0, 0, 0, 0, 0, 0, 0, 0, 0, 0, 1</t>
  </si>
  <si>
    <t>voltage electrical contractor corporation</t>
  </si>
  <si>
    <t>1, 1, 1, 0, 0, 1, 0, 0, 0, 1, 0, 0, 0, 0, 0, 0, 0, 0, 0, 0, 0, 0, 0, 1</t>
  </si>
  <si>
    <t>electrical installation job description</t>
  </si>
  <si>
    <t>1, 0, 0, 1, 0, 1, 0, 0, 0, 0, 0, 2, 3, 0, 0, 0, 0, 0, 0, 0, 0, 0, 0, 1</t>
  </si>
  <si>
    <t>methods of earthing in electrical installation</t>
  </si>
  <si>
    <t>0, 0, 0, 1, 0, 0, 0, 0, 0, 1, 0, 0, 0, 1, 0, 0, 0, 1, 0, 0, 2, 0, 0, 2</t>
  </si>
  <si>
    <t>electrical repairs hamilton</t>
  </si>
  <si>
    <t>electrical appliance repairs george</t>
  </si>
  <si>
    <t>0, 0, 0, 0, 0, 0, 0, 0, 1, 0, 0, 1, 1, 2, 2, 9, 10, 10, 10, 5, 1, 0, 0, 1</t>
  </si>
  <si>
    <t>electrical repairs frisco</t>
  </si>
  <si>
    <t>hout bay electrical services</t>
  </si>
  <si>
    <t>electrical services maungatapere</t>
  </si>
  <si>
    <t>0, 0, 0, 0, 1, 0, 0, 0, 1, 1, 0, 0, 1, 1, 0, 0, 0, 0, 0, 0, 0, 0, 0, 1</t>
  </si>
  <si>
    <t>electrical contractor simcoe</t>
  </si>
  <si>
    <t>0, 0, 0, 1, 2, 0, 0, 2, 0, 1, 1, 0, 0, 0, 0, 0, 0, 0, 0, 0, 0, 0, 0, 1</t>
  </si>
  <si>
    <t>electrical services sydney</t>
  </si>
  <si>
    <t>0, 0, 2, 2, 1, 2, 0, 1, 4, 2, 3, 8, 0, 0, 0, 0, 0, 0, 0, 0, 0, 0, 0, 1</t>
  </si>
  <si>
    <t>commercial electrical services calgary</t>
  </si>
  <si>
    <t>0, 0, 3, 0, 1, 1, 0, 0, 0, 0, 0, 0, 0, 0, 0, 0, 0, 0, 0, 0, 0, 0, 0, 1</t>
  </si>
  <si>
    <t>ian forbes electrician cape town</t>
  </si>
  <si>
    <t>active electrical services</t>
  </si>
  <si>
    <t>electrical panel installation mississippi</t>
  </si>
  <si>
    <t>electrical contractor dunedin fl</t>
  </si>
  <si>
    <t>glen burnie emergency electrician</t>
  </si>
  <si>
    <t>electrical installation company idaho</t>
  </si>
  <si>
    <t>emergency electrician doylestown</t>
  </si>
  <si>
    <t>0, 0, 0, 0, 0, 0, 0, 1, 0, 2, 1, 2, 0, 0, 0, 0, 0, 1, 0, 0, 0, 0, 0, 1</t>
  </si>
  <si>
    <t>ara electrical engineering services pty ltd</t>
  </si>
  <si>
    <t>electrical services sarasota</t>
  </si>
  <si>
    <t>indianapolis emergency electrician</t>
  </si>
  <si>
    <t>electrical services in auckland</t>
  </si>
  <si>
    <t>electrical contractor hourly rate</t>
  </si>
  <si>
    <t>1, 0, 1, 2, 1, 2, 0, 0, 1, 0, 2, 1, 0, 0, 1, 0, 0, 2, 1, 1, 0, 1, 0, 1</t>
  </si>
  <si>
    <t>building electrical services</t>
  </si>
  <si>
    <t>0, 2, 0, 0, 0, 0, 0, 1, 0, 0, 0, 0, 0, 1, 0, 0, 0, 0, 0, 0, 0, 0, 0, 1</t>
  </si>
  <si>
    <t>electrical services in a building</t>
  </si>
  <si>
    <t>electrical installation in house</t>
  </si>
  <si>
    <t>14, 14, 12, 4, 7, 5, 8, 6, 5, 3, 7, 2, 4, 4, 1, 11, 7, 1, 2, 1, 0, 1, 1, 1</t>
  </si>
  <si>
    <t>emergency electrical repairs the colony tx</t>
  </si>
  <si>
    <t>emergency electrician north coogee</t>
  </si>
  <si>
    <t>0, 0, 0, 0, 0, 0, 0, 2, 1, 0, 1, 2, 0, 0, 0, 0, 0, 0, 0, 0, 0, 0, 0, 1</t>
  </si>
  <si>
    <t>sage electrical services</t>
  </si>
  <si>
    <t>lethabo electrical services</t>
  </si>
  <si>
    <t>11, 3, 0, 0, 0, 3, 0, 0, 0, 0, 0, 0, 1, 0, 7, 0, 0, 0, 0, 0, 0, 0, 2, 1</t>
  </si>
  <si>
    <t>randburg electrical services</t>
  </si>
  <si>
    <t>0, 0, 0, 0, 0, 0, 0, 0, 0, 0, 0, 0, 0, 0, 2, 2, 0, 0, 1, 0, 0, 0, 0, 1</t>
  </si>
  <si>
    <t>electrical services in kraaifontein, western cape</t>
  </si>
  <si>
    <t>0, 0, 0, 0, 0, 0, 0, 0, 0, 0, 0, 0, 0, 0, 0, 5, 8, 3, 0, 0, 0, 0, 0, 1</t>
  </si>
  <si>
    <t>electrical panel services biloxi</t>
  </si>
  <si>
    <t>electrical services wilmington nc</t>
  </si>
  <si>
    <t>0, 0, 0, 0, 0, 1, 1, 0, 2, 0, 1, 0, 0, 0, 0, 0, 0, 0, 0, 0, 0, 0, 0, 1</t>
  </si>
  <si>
    <t>electrical services in wollongong</t>
  </si>
  <si>
    <t>electrical box installation cost</t>
  </si>
  <si>
    <t>6, 4, 1, 5, 1, 0, 3, 6, 0, 2, 4, 3, 4, 4, 0, 0, 0, 1, 1, 0, 0, 0, 1, 1</t>
  </si>
  <si>
    <t>emergency electrician white-gum-valley</t>
  </si>
  <si>
    <t>0, 0, 0, 0, 1, 0, 0, 0, 1, 1, 1, 0, 0, 0, 0, 0, 0, 0, 0, 0, 0, 0, 0, 1</t>
  </si>
  <si>
    <t>level 3 electrical installation courses</t>
  </si>
  <si>
    <t>frontier electrical services</t>
  </si>
  <si>
    <t>0, 0, 1, 0, 1, 0, 0, 0, 0, 0, 0, 0, 0, 0, 0, 0, 0, 0, 1, 0, 0, 1, 0, 1</t>
  </si>
  <si>
    <t>emergency electrician southlake</t>
  </si>
  <si>
    <t>0, 0, 1, 0, 0, 0, 0, 1, 0, 5, 1, 0, 0, 0, 0, 0, 0, 0, 0, 0, 0, 0, 0, 1</t>
  </si>
  <si>
    <t>residential electrical services corona ca</t>
  </si>
  <si>
    <t>office electrical installation slough</t>
  </si>
  <si>
    <t>electrical installation huntersville, nc</t>
  </si>
  <si>
    <t>1, 0, 0, 0, 0, 0, 0, 2, 1, 0, 0, 0, 0, 0, 0, 0, 0, 0, 0, 0, 0, 0, 0, 1</t>
  </si>
  <si>
    <t>rob's electrical services</t>
  </si>
  <si>
    <t>electrical panel installation virginia</t>
  </si>
  <si>
    <t>electrical installation rules south africa</t>
  </si>
  <si>
    <t>electrical panel installation marion county</t>
  </si>
  <si>
    <t>electrical engineering resume writing services</t>
  </si>
  <si>
    <t>electrical contractor looking for work</t>
  </si>
  <si>
    <t>0, 0, 0, 3, 0, 0, 0, 0, 0, 0, 0, 0, 1, 0, 0, 0, 0, 0, 0, 0, 0, 0, 0, 1</t>
  </si>
  <si>
    <t>lift electrical services</t>
  </si>
  <si>
    <t>0, 0, 0, 0, 0, 1, 0, 1, 0, 1, 1, 0, 0, 0, 0, 0, 0, 0, 0, 0, 0, 0, 0, 1</t>
  </si>
  <si>
    <t>kingsley emergency electrician</t>
  </si>
  <si>
    <t>0, 0, 0, 0, 1, 1, 1, 2, 0, 1, 1, 0, 1, 0, 0, 0, 0, 0, 0, 0, 0, 0, 0, 1</t>
  </si>
  <si>
    <t>new construction electrical services las cruces</t>
  </si>
  <si>
    <t>seattle electrical contractor</t>
  </si>
  <si>
    <t>electrical pipe installation</t>
  </si>
  <si>
    <t>7, 10, 6, 1, 1, 2, 1, 0, 2, 0, 1, 0, 0, 0, 0, 0, 1, 1, 2, 0, 2, 1, 0, 2</t>
  </si>
  <si>
    <t>dumi electrical services</t>
  </si>
  <si>
    <t>mayo electrical services</t>
  </si>
  <si>
    <t>0, 0, 0, 0, 0, 0, 0, 0, 0, 0, 0, 0, 0, 0, 0, 0, 1, 0, 11, 0, 0, 0, 0, 1</t>
  </si>
  <si>
    <t>electrical appliances repairs london</t>
  </si>
  <si>
    <t>executive electrical services</t>
  </si>
  <si>
    <t>jacksonville electrical services</t>
  </si>
  <si>
    <t>0, 0, 0, 0, 0, 0, 2, 1, 0, 1, 0, 0, 0, 0, 0, 0, 0, 0, 0, 0, 0, 0, 0, 1</t>
  </si>
  <si>
    <t>auckland electrical services</t>
  </si>
  <si>
    <t>s and s electrical services</t>
  </si>
  <si>
    <t>melville emergency electrician</t>
  </si>
  <si>
    <t>0, 0, 0, 0, 0, 0, 0, 1, 1, 4, 0, 1, 0, 0, 0, 0, 0, 0, 0, 0, 0, 0, 0, 1</t>
  </si>
  <si>
    <t>residential electrical services brighton co</t>
  </si>
  <si>
    <t>company profile electrical contractor</t>
  </si>
  <si>
    <t>0, 1, 0, 0, 1, 2, 1, 1, 1, 0, 0, 1, 0, 1, 7, 0, 0, 0, 0, 0, 1, 0, 0, 1</t>
  </si>
  <si>
    <t>electrical contractor champaign</t>
  </si>
  <si>
    <t>residential electrical contractor cherryville, nc</t>
  </si>
  <si>
    <t>0, 0, 1, 0, 0, 0, 1, 1, 1, 1, 0, 0, 0, 0, 0, 0, 0, 0, 0, 0, 0, 0, 0, 1</t>
  </si>
  <si>
    <t>brightside electrical services</t>
  </si>
  <si>
    <t>0, 0, 0, 0, 0, 0, 0, 0, 0, 0, 0, 0, 0, 2, 0, 0, 0, 0, 2, 0, 2, 1, 0, 2</t>
  </si>
  <si>
    <t>maple ridge emergency electrician</t>
  </si>
  <si>
    <t>0, 1, 1, 1, 0, 1, 0, 3, 1, 0, 0, 0, 0, 0, 0, 0, 0, 0, 0, 0, 0, 0, 0, 1</t>
  </si>
  <si>
    <t>a1way electrical services</t>
  </si>
  <si>
    <t>24 hour emergency electrician adelaide</t>
  </si>
  <si>
    <t>0, 1, 1, 0, 0, 0, 0, 0, 1, 0, 0, 1, 0, 0, 0, 0, 0, 0, 0, 0, 0, 0, 0, 1</t>
  </si>
  <si>
    <t>electrical services terms and conditions</t>
  </si>
  <si>
    <t>electrical repairs austin</t>
  </si>
  <si>
    <t>electrical domestic contractor</t>
  </si>
  <si>
    <t>electrical drawing services</t>
  </si>
  <si>
    <t>2, 1, 2, 2, 1, 3, 1, 4, 1, 3, 5, 0, 0, 0, 0, 0, 0, 0, 0, 1, 0, 0, 0, 1</t>
  </si>
  <si>
    <t>emergency electrician north shore</t>
  </si>
  <si>
    <t>4, 0, 0, 2, 0, 1, 0, 2, 0, 0, 0, 0, 1, 0, 0, 0, 0, 0, 0, 0, 0, 0, 0, 1</t>
  </si>
  <si>
    <t>electrical services in paulshof, south africa</t>
  </si>
  <si>
    <t>electrical services basildon</t>
  </si>
  <si>
    <t>general electrical services in albee</t>
  </si>
  <si>
    <t>0, 0, 0, 0, 0, 0, 0, 0, 0, 1, 0, 1, 1, 0, 0, 1, 0, 2, 0, 0, 0, 0, 0, 1</t>
  </si>
  <si>
    <t>complete electrical and plumbing services</t>
  </si>
  <si>
    <t>electrical services ankeny ia</t>
  </si>
  <si>
    <t>electrical services clontarf</t>
  </si>
  <si>
    <t>emergency electrician woking</t>
  </si>
  <si>
    <t>dallas electrical services</t>
  </si>
  <si>
    <t>0, 0, 0, 0, 1, 1, 1, 0, 1, 3, 0, 0, 0, 0, 0, 0, 0, 0, 0, 0, 0, 0, 0, 1</t>
  </si>
  <si>
    <t>electrical contractor alternative funding</t>
  </si>
  <si>
    <t>greensboro emergency electrician</t>
  </si>
  <si>
    <t>0, 0, 0, 0, 0, 0, 0, 0, 0, 1, 12, 2, 0, 0, 0, 0, 0, 0, 1, 0, 0, 0, 0, 1</t>
  </si>
  <si>
    <t>electrical installation fresno</t>
  </si>
  <si>
    <t>electrical services dallas</t>
  </si>
  <si>
    <t>0, 0, 1, 1, 0, 1, 1, 3, 0, 2, 1, 2, 0, 0, 1, 0, 0, 0, 0, 0, 0, 0, 0, 1</t>
  </si>
  <si>
    <t>emergency residential electrician</t>
  </si>
  <si>
    <t>rlm electrical services</t>
  </si>
  <si>
    <t>3, 0, 0, 0, 0, 1, 1, 1, 0, 0, 0, 0, 0, 0, 0, 0, 0, 0, 0, 0, 0, 0, 0, 1</t>
  </si>
  <si>
    <t>maintenance electrician jobs cape town</t>
  </si>
  <si>
    <t>0, 0, 0, 0, 0, 0, 0, 0, 0, 0, 0, 0, 3, 0, 0, 0, 0, 0, 0, 0, 0, 0, 0, 1</t>
  </si>
  <si>
    <t>electrical pole installation procedure</t>
  </si>
  <si>
    <t>1, 1, 3, 3, 3, 3, 4, 2, 3, 1, 10, 1, 1, 4, 0, 6, 2, 1, 0, 3, 1, 1, 2, 2</t>
  </si>
  <si>
    <t>electrical oil services</t>
  </si>
  <si>
    <t>0, 0, 0, 0, 0, 0, 0, 0, 0, 1, 5, 0, 1, 0, 0, 0, 0, 0, 0, 0, 0, 0, 0, 1</t>
  </si>
  <si>
    <t>residential electrical services st louis</t>
  </si>
  <si>
    <t>main electrical services</t>
  </si>
  <si>
    <t>best electrical services in austin</t>
  </si>
  <si>
    <t>0, 0, 1, 0, 1, 1, 0, 0, 0, 1, 0, 0, 0, 0, 0, 0, 0, 0, 0, 0, 0, 0, 0, 1</t>
  </si>
  <si>
    <t>electrical contractor northumberland</t>
  </si>
  <si>
    <t>smart home electrical services las vegas</t>
  </si>
  <si>
    <t>1, 0, 1, 0, 0, 1, 1, 0, 1, 0, 0, 0, 0, 0, 0, 0, 0, 0, 0, 0, 0, 0, 0, 1</t>
  </si>
  <si>
    <t>electrical contractor fort mcdowell</t>
  </si>
  <si>
    <t>house electrical installation design</t>
  </si>
  <si>
    <t>earthing in electrical installation</t>
  </si>
  <si>
    <t>0, 1, 0, 3, 2, 5, 2, 1, 1, 1, 0, 0, 0, 0, 0, 0, 1, 3, 2, 0, 1, 0, 0, 1</t>
  </si>
  <si>
    <t>moorabbin electrical repairs</t>
  </si>
  <si>
    <t>0, 0, 0, 1, 0, 0, 0, 1, 1, 0, 1, 0, 0, 0, 0, 0, 0, 0, 0, 0, 0, 0, 0, 1</t>
  </si>
  <si>
    <t>types of commercial electrical services</t>
  </si>
  <si>
    <t>2, 1, 0, 0, 2, 0, 3, 1, 0, 1, 0, 1, 0, 0, 0, 0, 1, 0, 0, 0, 0, 0, 0, 1</t>
  </si>
  <si>
    <t>moore electrical services</t>
  </si>
  <si>
    <t>electrical services chicago</t>
  </si>
  <si>
    <t>0, 0, 0, 1, 1, 0, 0, 0, 1, 0, 0, 0, 0, 0, 0, 0, 0, 0, 1, 0, 0, 0, 0, 1</t>
  </si>
  <si>
    <t>electrical contractor calgary</t>
  </si>
  <si>
    <t>0, 0, 1, 2, 0, 1, 0, 3, 1, 2, 0, 3, 0, 0, 0, 0, 0, 0, 0, 0, 1, 0, 0, 1</t>
  </si>
  <si>
    <t>building electrical contractor</t>
  </si>
  <si>
    <t>emergency electrician edenbridge</t>
  </si>
  <si>
    <t>caulfield electrical repairs</t>
  </si>
  <si>
    <t>electrical contractor supply</t>
  </si>
  <si>
    <t>0, 2, 2, 3, 1, 1, 1, 4, 2, 0, 3, 0, 0, 0, 0, 0, 0, 0, 0, 0, 0, 0, 0, 1</t>
  </si>
  <si>
    <t>tulsa electrical services</t>
  </si>
  <si>
    <t>electrical repairs in orlando</t>
  </si>
  <si>
    <t>electrical outlet installation kentucky</t>
  </si>
  <si>
    <t>0, 0, 0, 0, 2, 1, 1, 1, 2, 2, 2, 0, 0, 0, 0, 0, 0, 0, 0, 0, 0, 0, 0, 1</t>
  </si>
  <si>
    <t>electrical repairs washington dc</t>
  </si>
  <si>
    <t>darwen electrical services</t>
  </si>
  <si>
    <t>orange park emergency electrician</t>
  </si>
  <si>
    <t>nu-trend ev and electrical services</t>
  </si>
  <si>
    <t>electrical services process</t>
  </si>
  <si>
    <t>melbourne emergency electrician</t>
  </si>
  <si>
    <t>0, 0, 5, 1, 1, 0, 2, 1, 1, 1, 2, 0, 0, 0, 0, 0, 0, 0, 0, 0, 0, 0, 0, 1</t>
  </si>
  <si>
    <t>sub contractor electrical work</t>
  </si>
  <si>
    <t>1, 0, 0, 0, 0, 0, 0, 0, 3, 0, 0, 0, 0, 0, 0, 0, 0, 0, 0, 0, 0, 0, 0, 1</t>
  </si>
  <si>
    <t>electrical services cannock</t>
  </si>
  <si>
    <t>electrical installation agreement</t>
  </si>
  <si>
    <t>licensed electrical contractor</t>
  </si>
  <si>
    <t>1, 4, 9, 7, 8, 13, 11, 7, 12, 14, 7, 6, 1, 0, 0, 0, 0, 1, 1, 1, 1, 1, 2, 3</t>
  </si>
  <si>
    <t>electrical contractor union</t>
  </si>
  <si>
    <t>sps electrical services</t>
  </si>
  <si>
    <t>electrical contractor jobs</t>
  </si>
  <si>
    <t>8, 4, 6, 17, 9, 6, 11, 13, 10, 9, 3, 6, 5, 3, 2, 1, 3, 3, 2, 2, 4, 2, 0, 3</t>
  </si>
  <si>
    <t>wes electrical services</t>
  </si>
  <si>
    <t>0, 0, 1, 0, 0, 0, 0, 0, 0, 1, 0, 0, 0, 0, 0, 1, 0, 0, 0, 0, 0, 0, 0, 1</t>
  </si>
  <si>
    <t>electrical services petrie</t>
  </si>
  <si>
    <t>electrical installation fort worth</t>
  </si>
  <si>
    <t>alpha omega electrical services</t>
  </si>
  <si>
    <t>0, 0, 0, 0, 0, 0, 0, 0, 0, 1, 0, 0, 0, 0, 2, 1, 1, 0, 2, 0, 0, 0, 0, 1</t>
  </si>
  <si>
    <t>des moines electrical contractor</t>
  </si>
  <si>
    <t>0, 0, 1, 0, 0, 1, 1, 2, 1, 0, 0, 0, 0, 0, 0, 0, 0, 0, 0, 0, 0, 0, 0, 1</t>
  </si>
  <si>
    <t>emergency electrician north brisbane</t>
  </si>
  <si>
    <t>1, 0, 0, 0, 0, 1, 0, 0, 0, 0, 2, 0, 0, 0, 0, 0, 0, 0, 0, 0, 0, 0, 0, 1</t>
  </si>
  <si>
    <t>electrical panel installation hancock county</t>
  </si>
  <si>
    <t>domestic electrical appliances repairs</t>
  </si>
  <si>
    <t>electrical services columbia county</t>
  </si>
  <si>
    <t>minor electrical repairs near me</t>
  </si>
  <si>
    <t>0, 0, 0, 0, 0, 0, 1, 0, 0, 0, 0, 1, 0, 0, 0, 0, 1, 0, 0, 0, 1, 0, 0, 1</t>
  </si>
  <si>
    <t>electrical services nebraska</t>
  </si>
  <si>
    <t>emergency electrician turramurra</t>
  </si>
  <si>
    <t>electrical box installation drywall</t>
  </si>
  <si>
    <t>electrical services twickenham</t>
  </si>
  <si>
    <t>lighting electrical services llc</t>
  </si>
  <si>
    <t>electrical construction contractor</t>
  </si>
  <si>
    <t>1, 0, 2, 1, 1, 0, 2, 3, 2, 6, 5, 3, 1, 0, 0, 1, 0, 0, 0, 0, 0, 0, 7, 1</t>
  </si>
  <si>
    <t>golden electrical services</t>
  </si>
  <si>
    <t>electrical installation matthews, nc</t>
  </si>
  <si>
    <t>emergency electrician salterpoint</t>
  </si>
  <si>
    <t>electrical testing services uk</t>
  </si>
  <si>
    <t>electrical repairs florence</t>
  </si>
  <si>
    <t>1, 1, 2, 0, 0, 0, 0, 0, 0, 0, 3, 0, 0, 0, 0, 0, 0, 0, 0, 0, 0, 0, 0, 1</t>
  </si>
  <si>
    <t>amc electrical services</t>
  </si>
  <si>
    <t>electrical lighting installation company</t>
  </si>
  <si>
    <t>ashburton emergency electrician</t>
  </si>
  <si>
    <t>electrical contractor tameside</t>
  </si>
  <si>
    <t>emergency electrician denistone west</t>
  </si>
  <si>
    <t>electrical contractor oregon</t>
  </si>
  <si>
    <t>affordable electrical sub panel installation</t>
  </si>
  <si>
    <t>handbook of electrical installation practice</t>
  </si>
  <si>
    <t>0, 0, 0, 0, 0, 0, 0, 0, 1, 0, 0, 0, 0, 0, 0, 0, 0, 2, 0, 0, 0, 0, 0, 1</t>
  </si>
  <si>
    <t>electrical services middletown</t>
  </si>
  <si>
    <t>electrical contractor taglines</t>
  </si>
  <si>
    <t>malvern home electrical services</t>
  </si>
  <si>
    <t>bosch electrical services</t>
  </si>
  <si>
    <t>0, 0, 0, 0, 0, 0, 0, 0, 0, 0, 0, 0, 0, 0, 1, 0, 0, 0, 0, 0, 0, 0, 1, 1</t>
  </si>
  <si>
    <t>first fix electrical installation</t>
  </si>
  <si>
    <t>0, 0, 1, 0, 0, 0, 1, 0, 0, 0, 0, 0, 0, 0, 0, 1, 0, 0, 0, 0, 0, 0, 0, 1</t>
  </si>
  <si>
    <t>emergency electrician colchester</t>
  </si>
  <si>
    <t>0, 0, 0, 1, 0, 0, 0, 0, 0, 2, 2, 0, 0, 0, 0, 0, 0, 0, 0, 0, 0, 0, 0, 1</t>
  </si>
  <si>
    <t>m h electrical services</t>
  </si>
  <si>
    <t>electrical contracting services chicago</t>
  </si>
  <si>
    <t>2, 1, 0, 0, 0, 1, 1, 1, 1, 1, 0, 0, 0, 0, 0, 0, 0, 0, 0, 0, 0, 0, 0, 1</t>
  </si>
  <si>
    <t>emergency electrician matlock</t>
  </si>
  <si>
    <t>ceiling electrical box installation</t>
  </si>
  <si>
    <t>1, 0, 0, 0, 0, 0, 0, 1, 0, 1, 0, 0, 0, 1, 0, 0, 0, 0, 0, 1, 0, 0, 0, 1</t>
  </si>
  <si>
    <t>riverport electrical services</t>
  </si>
  <si>
    <t>emergency electrician tampa fl</t>
  </si>
  <si>
    <t>0, 0, 0, 0, 0, 0, 0, 0, 1, 1, 0, 0, 0, 0, 0, 0, 0, 1, 0, 0, 0, 0, 0, 1</t>
  </si>
  <si>
    <t>capital city electrical services</t>
  </si>
  <si>
    <t>domestic electrical contractor</t>
  </si>
  <si>
    <t>electrical wire installation</t>
  </si>
  <si>
    <t>2, 3, 3, 1, 2, 3, 0, 9, 0, 10, 8, 2, 2, 4, 1, 1, 5, 0, 1, 3, 3, 0, 1, 2</t>
  </si>
  <si>
    <t>electrical contracting services charlotte nc</t>
  </si>
  <si>
    <t>technical report on electrical installation</t>
  </si>
  <si>
    <t>manav electrical services inc</t>
  </si>
  <si>
    <t>emergency electrician dobroyd point</t>
  </si>
  <si>
    <t>nsw electrical services</t>
  </si>
  <si>
    <t>industrial electrical contractor pa</t>
  </si>
  <si>
    <t>hilton electrical services</t>
  </si>
  <si>
    <t>marin electrical contractor</t>
  </si>
  <si>
    <t>electrical contractor higley</t>
  </si>
  <si>
    <t>electrical plumbing services</t>
  </si>
  <si>
    <t>2, 2, 1, 0, 1, 2, 1, 2, 0, 1, 0, 1, 1, 0, 0, 2, 0, 0, 0, 1, 0, 1, 0, 1</t>
  </si>
  <si>
    <t>electrical installation past papers</t>
  </si>
  <si>
    <t>0, 2, 0, 0, 0, 1, 2, 0, 2, 1, 0, 0, 0, 0, 0, 0, 2, 2, 2, 0, 0, 1, 0, 1</t>
  </si>
  <si>
    <t>award electrical services</t>
  </si>
  <si>
    <t>electrical wiring contractor mchenry</t>
  </si>
  <si>
    <t>0, 0, 0, 1, 1, 1, 0, 0, 0, 0, 0, 0, 0, 0, 0, 0, 0, 0, 0, 0, 0, 0, 0, 1</t>
  </si>
  <si>
    <t>building electrical installation manual pdf</t>
  </si>
  <si>
    <t>tvl electrical installation and maintenance</t>
  </si>
  <si>
    <t>electrical installation moffat beach</t>
  </si>
  <si>
    <t>electrical services red deer</t>
  </si>
  <si>
    <t>electrical installation wiki</t>
  </si>
  <si>
    <t>2, 2, 2, 2, 0, 0, 0, 0, 1, 0, 1, 1, 0, 0, 0, 0, 1, 0, 0, 0, 0, 0, 0, 1</t>
  </si>
  <si>
    <t>best electrical contractor insurance</t>
  </si>
  <si>
    <t>electrical contractor price list</t>
  </si>
  <si>
    <t>0, 3, 0, 3, 0, 2, 1, 0, 0, 1, 0, 0, 2, 0, 1, 0, 0, 1, 0, 0, 0, 0, 0, 1</t>
  </si>
  <si>
    <t>small electrical appliances repairs near me</t>
  </si>
  <si>
    <t>2, 2, 5, 2, 2, 0, 2, 1, 4, 1, 0, 2, 1, 0, 0, 0, 0, 2, 0, 3, 2, 1, 1, 2</t>
  </si>
  <si>
    <t>electrical installation service in seabrook</t>
  </si>
  <si>
    <t>0, 0, 0, 0, 0, 0, 0, 0, 0, 1, 0, 0, 0, 0, 0, 1, 0, 0, 0, 1, 0, 2, 0, 2</t>
  </si>
  <si>
    <t>emergency electrician pulaski county</t>
  </si>
  <si>
    <t>large electrical contractor</t>
  </si>
  <si>
    <t>0, 0, 0, 0, 0, 0, 0, 0, 0, 0, 1, 0, 0, 0, 0, 0, 0, 0, 0, 0, 2, 1, 0, 2</t>
  </si>
  <si>
    <t>commercial electrical project estimating services</t>
  </si>
  <si>
    <t>0, 1, 0, 0, 0, 0, 0, 0, 1, 0, 2, 0, 0, 0, 0, 0, 0, 0, 0, 0, 0, 0, 0, 1</t>
  </si>
  <si>
    <t>electrical installation service salt lake county</t>
  </si>
  <si>
    <t>las vegas electrical wiring services</t>
  </si>
  <si>
    <t>electrician emergency call out fee</t>
  </si>
  <si>
    <t>0, 0, 0, 1, 1, 0, 0, 2, 0, 1, 0, 2, 0, 0, 0, 1, 1, 0, 0, 2, 0, 0, 0, 1</t>
  </si>
  <si>
    <t>electrical services concord, nc</t>
  </si>
  <si>
    <t>1, 0, 0, 0, 0, 0, 0, 2, 1, 2, 0, 0, 0, 0, 0, 0, 0, 0, 0, 0, 0, 0, 0, 1</t>
  </si>
  <si>
    <t>emergency electrician nyc</t>
  </si>
  <si>
    <t>electrician observatory cape town</t>
  </si>
  <si>
    <t>source electrical services</t>
  </si>
  <si>
    <t>electrical services swansea</t>
  </si>
  <si>
    <t>sky electrical services</t>
  </si>
  <si>
    <t>low voltage electrical services</t>
  </si>
  <si>
    <t>1, 0, 0, 0, 1, 0, 0, 0, 0, 1, 1, 0, 0, 1, 2, 0, 0, 0, 0, 0, 0, 0, 0, 1</t>
  </si>
  <si>
    <t>naval electrical system repairs</t>
  </si>
  <si>
    <t>emergency electrician west wickham</t>
  </si>
  <si>
    <t>2, 2, 0, 0, 2, 0, 0, 1, 1, 0, 0, 0, 0, 0, 0, 0, 0, 0, 0, 0, 0, 0, 0, 1</t>
  </si>
  <si>
    <t>electrical contractor durham</t>
  </si>
  <si>
    <t>0, 0, 0, 0, 0, 1, 0, 2, 1, 1, 1, 0, 0, 0, 0, 0, 0, 0, 0, 0, 0, 0, 0, 1</t>
  </si>
  <si>
    <t>as electrical services</t>
  </si>
  <si>
    <t>0, 2, 0, 2, 1, 0, 0, 0, 0, 0, 0, 0, 0, 0, 0, 1, 0, 0, 1, 0, 0, 0, 0, 1</t>
  </si>
  <si>
    <t>electrical repairs palm beach gardens</t>
  </si>
  <si>
    <t>leichhardt emergency electrician</t>
  </si>
  <si>
    <t>agreement between owner and electrical contractor</t>
  </si>
  <si>
    <t>5, 2, 1, 0, 1, 4, 3, 3, 0, 0, 5, 4, 1, 5, 0, 0, 0, 0, 0, 0, 0, 1, 1, 2</t>
  </si>
  <si>
    <t>emergency electrician nedlands</t>
  </si>
  <si>
    <t>emergency electrician surry hills</t>
  </si>
  <si>
    <t>electrical contractor north london</t>
  </si>
  <si>
    <t>emergency electrician cheltenham</t>
  </si>
  <si>
    <t>0, 0, 0, 1, 0, 0, 1, 0, 0, 1, 2, 0, 0, 0, 0, 0, 0, 0, 0, 0, 0, 0, 0, 1</t>
  </si>
  <si>
    <t>emergency electrician cottesloe</t>
  </si>
  <si>
    <t>0, 0, 0, 1, 0, 0, 0, 0, 1, 1, 2, 0, 1, 0, 0, 0, 0, 0, 0, 0, 0, 0, 0, 1</t>
  </si>
  <si>
    <t>responsibility for electrical installation</t>
  </si>
  <si>
    <t>0, 0, 0, 0, 0, 0, 0, 0, 0, 0, 0, 13, 1, 1, 0, 0, 0, 0, 0, 0, 0, 0, 0, 1</t>
  </si>
  <si>
    <t>electrical panel installation auburn</t>
  </si>
  <si>
    <t>electrical repairs cardiff</t>
  </si>
  <si>
    <t>0, 0, 0, 0, 0, 0, 0, 0, 0, 1, 0, 0, 1, 1, 1, 0, 0, 0, 0, 1, 1, 2, 0, 2</t>
  </si>
  <si>
    <t>lm electrical services</t>
  </si>
  <si>
    <t>0, 0, 0, 0, 0, 0, 0, 0, 0, 0, 0, 0, 0, 0, 1, 0, 0, 1, 1, 0, 0, 0, 0, 1</t>
  </si>
  <si>
    <t>independent electrical services</t>
  </si>
  <si>
    <t>affordable electrical services in chichester</t>
  </si>
  <si>
    <t>0, 0, 0, 0, 0, 0, 0, 0, 0, 0, 0, 0, 0, 0, 0, 1, 0, 1, 0, 1, 0, 1, 0, 1</t>
  </si>
  <si>
    <t>emergency electrician warrandyte</t>
  </si>
  <si>
    <t>electrical and mechanical services sydney</t>
  </si>
  <si>
    <t>emergency electrician carnforth</t>
  </si>
  <si>
    <t>triad electrical services</t>
  </si>
  <si>
    <t>commercial electrical services clay county</t>
  </si>
  <si>
    <t>electrical contractor san mateo</t>
  </si>
  <si>
    <t>oregon electrical contractor</t>
  </si>
  <si>
    <t>auto electrical services nunawading</t>
  </si>
  <si>
    <t>sp electrical services</t>
  </si>
  <si>
    <t>1, 1, 0, 2, 1, 2, 2, 0, 0, 0, 0, 0, 0, 0, 0, 0, 0, 0, 0, 0, 0, 0, 0, 1</t>
  </si>
  <si>
    <t>commercial electrical contractor dallas texas</t>
  </si>
  <si>
    <t>0, 0, 0, 0, 0, 0, 0, 0, 0, 0, 0, 0, 0, 0, 0, 0, 0, 4, 1, 0, 0, 0, 0, 1</t>
  </si>
  <si>
    <t>electrical design services</t>
  </si>
  <si>
    <t>1, 3, 4, 3, 6, 4, 3, 12, 9, 6, 8, 0, 1, 0, 0, 0, 0, 0, 0, 0, 0, 0, 0, 1</t>
  </si>
  <si>
    <t>electrical repairs temecula ca</t>
  </si>
  <si>
    <t>ceiling fan electrical services in houston tx</t>
  </si>
  <si>
    <t>electrical installation certificate template</t>
  </si>
  <si>
    <t>1, 2, 3, 3, 1, 0, 0, 0, 0, 0, 0, 1, 0, 1, 0, 1, 1, 0, 0, 0, 1, 0, 3, 2</t>
  </si>
  <si>
    <t>ryan electrical services</t>
  </si>
  <si>
    <t>2, 6, 3, 9, 2, 4, 5, 12, 3, 2, 1, 0, 2, 0, 0, 0, 0, 1, 0, 0, 0, 1, 0, 1</t>
  </si>
  <si>
    <t>ihs electrical services</t>
  </si>
  <si>
    <t>rb electrical services</t>
  </si>
  <si>
    <t>0, 0, 0, 0, 0, 0, 0, 0, 0, 0, 0, 0, 1, 1, 0, 0, 0, 2, 0, 2, 0, 0, 0, 1</t>
  </si>
  <si>
    <t>electrical equipment vpi services</t>
  </si>
  <si>
    <t>power source electrical services</t>
  </si>
  <si>
    <t>0, 0, 1, 0, 0, 0, 0, 0, 0, 0, 0, 0, 0, 0, 0, 0, 0, 1, 0, 0, 1, 0, 0, 1</t>
  </si>
  <si>
    <t>industrial electrical contractor travelers rest</t>
  </si>
  <si>
    <t>collins electrical services</t>
  </si>
  <si>
    <t>24/7 electrical services near me</t>
  </si>
  <si>
    <t>auto electrical services melbourne</t>
  </si>
  <si>
    <t>electrical repairs tendring</t>
  </si>
  <si>
    <t>a-z electrical services</t>
  </si>
  <si>
    <t>0, 0, 1, 0, 1, 5, 2, 0, 0, 1, 0, 0, 0, 0, 0, 0, 0, 0, 0, 0, 0, 0, 0, 1</t>
  </si>
  <si>
    <t>residential electrical services st paul mn</t>
  </si>
  <si>
    <t>0, 0, 0, 0, 0, 1, 1, 1, 1, 2, 1, 1, 0, 0, 0, 0, 0, 0, 0, 0, 0, 0, 0, 1</t>
  </si>
  <si>
    <t>electrical design services oxford</t>
  </si>
  <si>
    <t>daytona beach electrical services</t>
  </si>
  <si>
    <t>integrity electrical services</t>
  </si>
  <si>
    <t>0, 0, 0, 0, 0, 0, 0, 0, 0, 1, 0, 0, 0, 0, 0, 0, 0, 0, 2, 0, 0, 0, 0, 1</t>
  </si>
  <si>
    <t>electrical panel installation everett</t>
  </si>
  <si>
    <t>dk electrical services</t>
  </si>
  <si>
    <t>abl electrical services</t>
  </si>
  <si>
    <t>electrical installation mclain</t>
  </si>
  <si>
    <t>electrical contractor website</t>
  </si>
  <si>
    <t>0, 2, 0, 4, 3, 1, 0, 3, 2, 1, 4, 2, 0, 0, 1, 2, 0, 1, 0, 0, 0, 0, 0, 1</t>
  </si>
  <si>
    <t>ses electrical services</t>
  </si>
  <si>
    <t>emergency electrician pelzer</t>
  </si>
  <si>
    <t>electrical services leander</t>
  </si>
  <si>
    <t>elite electrical services ltd</t>
  </si>
  <si>
    <t>0, 0, 1, 1, 2, 2, 0, 0, 0, 2, 2, 0, 0, 0, 0, 0, 0, 0, 0, 0, 0, 0, 0, 1</t>
  </si>
  <si>
    <t>electrical repairs penrith</t>
  </si>
  <si>
    <t>0, 0, 0, 1, 0, 1, 0, 1, 1, 0, 0, 0, 0, 0, 0, 0, 0, 1, 0, 0, 0, 0, 0, 1</t>
  </si>
  <si>
    <t>electrical testing equipment calibration services</t>
  </si>
  <si>
    <t>1, 0, 2, 2, 1, 0, 0, 0, 0, 1, 0, 3, 0, 0, 2, 0, 0, 0, 1, 0, 1, 0, 0, 1</t>
  </si>
  <si>
    <t>emergency electrician loughborough</t>
  </si>
  <si>
    <t>electrical contractor needed rancho penasquitos</t>
  </si>
  <si>
    <t>emergency electrician in york</t>
  </si>
  <si>
    <t>cary electrical wiring services</t>
  </si>
  <si>
    <t>els electrical services</t>
  </si>
  <si>
    <t>electrical installation report</t>
  </si>
  <si>
    <t>1, 1, 1, 4, 3, 2, 1, 3, 3, 3, 2, 2, 1, 1, 0, 0, 2, 1, 1, 1, 5, 1, 2, 1</t>
  </si>
  <si>
    <t>electrical contractor business software</t>
  </si>
  <si>
    <t>0, 0, 1, 0, 0, 0, 1, 2, 0, 0, 0, 0, 0, 0, 0, 0, 0, 0, 0, 0, 0, 0, 0, 1</t>
  </si>
  <si>
    <t>home overhead lines electrical services</t>
  </si>
  <si>
    <t>rite electrical services</t>
  </si>
  <si>
    <t>residential electrical services houston</t>
  </si>
  <si>
    <t>domestic electrical services murwillumbah</t>
  </si>
  <si>
    <t>electrical installation insurance</t>
  </si>
  <si>
    <t>0, 0, 0, 0, 0, 0, 0, 0, 0, 0, 2, 0, 0, 0, 0, 0, 0, 0, 0, 0, 0, 0, 1, 1</t>
  </si>
  <si>
    <t>factory electrical contractor</t>
  </si>
  <si>
    <t>electrical panel installation covington</t>
  </si>
  <si>
    <t>emergency electrician maida vale</t>
  </si>
  <si>
    <t>0, 0, 0, 0, 0, 0, 0, 1, 1, 1, 0, 4, 0, 0, 0, 0, 0, 0, 0, 0, 0, 0, 0, 1</t>
  </si>
  <si>
    <t>electrical contractor exam</t>
  </si>
  <si>
    <t>electrical services nottingham</t>
  </si>
  <si>
    <t>0, 0, 1, 2, 0, 1, 1, 0, 0, 0, 0, 0, 0, 0, 0, 0, 0, 0, 0, 0, 0, 0, 0, 1</t>
  </si>
  <si>
    <t>electrical repairs round rock</t>
  </si>
  <si>
    <t>electrical gate installation</t>
  </si>
  <si>
    <t>4, 4, 1, 1, 1, 1, 3, 1, 0, 0, 0, 1, 2, 3, 0, 0, 9, 0, 0, 0, 0, 0, 0, 1</t>
  </si>
  <si>
    <t>electrical contractor carrollton</t>
  </si>
  <si>
    <t>electrical installation singapore</t>
  </si>
  <si>
    <t>seattle wa electrical contractor</t>
  </si>
  <si>
    <t>electrical services exmouth</t>
  </si>
  <si>
    <t>top-rated electrical services</t>
  </si>
  <si>
    <t>electrical contractor company south windsor ct</t>
  </si>
  <si>
    <t>electrical panel installation tampa</t>
  </si>
  <si>
    <t>0, 0, 0, 0, 0, 0, 0, 0, 0, 1, 1, 1, 0, 0, 0, 0, 0, 0, 0, 0, 0, 0, 0, 1</t>
  </si>
  <si>
    <t>dl electrical services</t>
  </si>
  <si>
    <t>0, 0, 1, 0, 0, 0, 0, 0, 0, 0, 0, 0, 0, 0, 0, 0, 0, 1, 0, 0, 0, 0, 0, 1</t>
  </si>
  <si>
    <t>electrical services jefferson county</t>
  </si>
  <si>
    <t>northland electrical services</t>
  </si>
  <si>
    <t>0, 0, 0, 0, 1, 0, 0, 0, 0, 0, 0, 0, 0, 0, 0, 0, 0, 0, 0, 0, 0, 1, 0, 1</t>
  </si>
  <si>
    <t>renovation electrical services morpeth</t>
  </si>
  <si>
    <t>0, 0, 0, 0, 0, 0, 0, 1, 3, 0, 0, 0, 0, 0, 0, 0, 0, 0, 0, 0, 0, 0, 0, 1</t>
  </si>
  <si>
    <t>electrical engineering plants services</t>
  </si>
  <si>
    <t>electrical engineering building services</t>
  </si>
  <si>
    <t>3, 0, 2, 1, 0, 1, 0, 2, 1, 1, 0, 0, 2, 2, 0, 0, 0, 2, 0, 0, 0, 0, 0, 1</t>
  </si>
  <si>
    <t>+redlynch +electrical +contractor</t>
  </si>
  <si>
    <t>electrical repairs temple terrace</t>
  </si>
  <si>
    <t>swimming pool electrical installation</t>
  </si>
  <si>
    <t>2, 3, 3, 2, 1, 4, 4, 8, 12, 0, 3, 0, 1, 0, 2, 3, 4, 4, 5, 5, 3, 12, 4, 7</t>
  </si>
  <si>
    <t>emergency electrician houston tx</t>
  </si>
  <si>
    <t>home electrical repairs temple terrace</t>
  </si>
  <si>
    <t>electrical services examples</t>
  </si>
  <si>
    <t>4, 2, 0, 3, 1, 3, 1, 1, 0, 1, 1, 1, 2, 3, 3, 4, 3, 3, 3, 6, 1, 2, 1, 2</t>
  </si>
  <si>
    <t>electrical services palm beach gardens</t>
  </si>
  <si>
    <t>electrical outlet installation arlington</t>
  </si>
  <si>
    <t>electrical services dubai</t>
  </si>
  <si>
    <t>1, 2, 1, 1, 3, 4, 2, 4, 4, 1, 3, 0, 0, 0, 1, 0, 2, 0, 0, 0, 0, 0, 0, 1</t>
  </si>
  <si>
    <t>electrical services fort lauderdale, fl</t>
  </si>
  <si>
    <t>electrical repairs york</t>
  </si>
  <si>
    <t>0, 1, 0, 0, 0, 0, 0, 0, 1, 0, 4, 0, 0, 0, 0, 0, 0, 0, 0, 0, 0, 0, 0, 1</t>
  </si>
  <si>
    <t>electrical services in cape town</t>
  </si>
  <si>
    <t>0, 0, 0, 0, 0, 0, 0, 0, 0, 0, 0, 0, 0, 0, 0, 19, 6, 9, 8, 3, 2, 0, 0, 1</t>
  </si>
  <si>
    <t>electrical services &amp; installation</t>
  </si>
  <si>
    <t>electrical contractor arlington wa</t>
  </si>
  <si>
    <t>0, 0, 0, 0, 0, 1, 0, 0, 0, 1, 0, 2, 0, 0, 0, 0, 0, 0, 0, 0, 0, 0, 0, 1</t>
  </si>
  <si>
    <t>letterhead electrical contractor</t>
  </si>
  <si>
    <t>0, 0, 0, 0, 1, 0, 0, 0, 0, 1, 0, 2, 0, 0, 0, 1, 0, 0, 0, 0, 0, 0, 0, 1</t>
  </si>
  <si>
    <t>hanson electrical services</t>
  </si>
  <si>
    <t>rms electrical services</t>
  </si>
  <si>
    <t>electrical services perry county</t>
  </si>
  <si>
    <t>electrical installation course online</t>
  </si>
  <si>
    <t>0, 0, 0, 0, 0, 0, 0, 2, 1, 0, 0, 0, 1, 0, 0, 1, 0, 0, 0, 1, 0, 0, 0, 1</t>
  </si>
  <si>
    <t>eccles electrical services</t>
  </si>
  <si>
    <t>electrical services texas</t>
  </si>
  <si>
    <t>0, 0, 0, 0, 0, 0, 0, 0, 0, 2, 1, 0, 0, 0, 0, 0, 2, 0, 0, 0, 0, 0, 0, 1</t>
  </si>
  <si>
    <t>electrical installation wiring diagram</t>
  </si>
  <si>
    <t>2, 6, 2, 1, 2, 0, 0, 1, 0, 2, 2, 3, 1, 0, 1, 2, 2, 0, 1, 0, 1, 0, 1, 1</t>
  </si>
  <si>
    <t>r ndou electrical services</t>
  </si>
  <si>
    <t>local electrical services blackburn</t>
  </si>
  <si>
    <t>emergency electrician philadelphia</t>
  </si>
  <si>
    <t>watermans-bay emergency electrician</t>
  </si>
  <si>
    <t>miami emergency electrician</t>
  </si>
  <si>
    <t>electrical services in miami</t>
  </si>
  <si>
    <t>electrical panel installation gastonia, nc</t>
  </si>
  <si>
    <t>optimal electrical services</t>
  </si>
  <si>
    <t>0, 0, 1, 6, 0, 0, 0, 0, 0, 0, 0, 0, 0, 0, 0, 0, 0, 0, 0, 0, 0, 0, 0, 1</t>
  </si>
  <si>
    <t>electrical repairs southlake</t>
  </si>
  <si>
    <t>0, 0, 0, 0, 0, 1, 1, 0, 0, 1, 3, 0, 0, 0, 0, 0, 0, 0, 0, 0, 0, 0, 0, 1</t>
  </si>
  <si>
    <t>pv electrical services</t>
  </si>
  <si>
    <t>posh electrical services</t>
  </si>
  <si>
    <t>electrical contractor mesa</t>
  </si>
  <si>
    <t>eco electrical services sdn bhd</t>
  </si>
  <si>
    <t>ashburn electrical services</t>
  </si>
  <si>
    <t>electrical contractor sussex</t>
  </si>
  <si>
    <t>electrical services oxford</t>
  </si>
  <si>
    <t>0, 0, 0, 0, 0, 0, 0, 0, 2, 0, 2, 1, 0, 0, 0, 0, 0, 0, 0, 0, 0, 0, 0, 1</t>
  </si>
  <si>
    <t>residential electrical services auckland</t>
  </si>
  <si>
    <t>0, 0, 0, 0, 1, 0, 0, 1, 1, 1, 3, 0, 0, 0, 0, 0, 0, 0, 0, 0, 0, 0, 0, 1</t>
  </si>
  <si>
    <t>bastrop electrical services</t>
  </si>
  <si>
    <t>design of electrical installation</t>
  </si>
  <si>
    <t>3, 0, 0, 0, 0, 0, 1, 0, 0, 0, 0, 0, 0, 0, 0, 1, 0, 0, 0, 0, 1, 3, 0, 2</t>
  </si>
  <si>
    <t>electrical outlet installation wauwatosa wi</t>
  </si>
  <si>
    <t>1, 0, 0, 0, 0, 0, 1, 0, 1, 1, 0, 0, 0, 0, 0, 0, 0, 0, 0, 0, 0, 0, 0, 1</t>
  </si>
  <si>
    <t>electrical contractor mackay</t>
  </si>
  <si>
    <t>0, 2, 0, 0, 0, 0, 0, 1, 0, 1, 1, 0, 0, 0, 0, 0, 0, 0, 0, 0, 0, 0, 0, 1</t>
  </si>
  <si>
    <t>cost of electrical certificate of compliance</t>
  </si>
  <si>
    <t>19, 2, 5, 2, 2, 0, 6, 9, 21, 14, 10, 8, 14, 7, 8, 0, 0, 0, 0, 0, 0, 0, 0, 1</t>
  </si>
  <si>
    <t>emergency electrician woolwich</t>
  </si>
  <si>
    <t>generator and electrical services</t>
  </si>
  <si>
    <t>0, 0, 0, 0, 0, 0, 0, 1, 1, 0, 1, 1, 0, 1, 0, 0, 1, 1, 2, 0, 0, 1, 0, 1</t>
  </si>
  <si>
    <t>sg electrical services</t>
  </si>
  <si>
    <t>0, 0, 0, 0, 0, 0, 0, 0, 0, 1, 4, 2, 2, 2, 0, 1, 0, 0, 0, 1, 0, 0, 0, 1</t>
  </si>
  <si>
    <t>electrical contractor northern ireland</t>
  </si>
  <si>
    <t>top home electrical outlet installation</t>
  </si>
  <si>
    <t>commercial electrical services sunshine coast</t>
  </si>
  <si>
    <t>emergency electrician sanderstead</t>
  </si>
  <si>
    <t>emergency electrician nashville tn</t>
  </si>
  <si>
    <t>electrical contractor tacoma</t>
  </si>
  <si>
    <t>msa electrical services</t>
  </si>
  <si>
    <t>electrical installation specification example</t>
  </si>
  <si>
    <t>hurricane electrical services</t>
  </si>
  <si>
    <t>commercial electrical services kingfisher</t>
  </si>
  <si>
    <t>electrical services camden</t>
  </si>
  <si>
    <t>electrical installation accessories</t>
  </si>
  <si>
    <t>0, 0, 0, 0, 0, 0, 0, 0, 0, 0, 1, 0, 0, 0, 0, 0, 0, 0, 1, 0, 0, 1, 0, 1</t>
  </si>
  <si>
    <t>electrical contractor fruita</t>
  </si>
  <si>
    <t>victory electrical services</t>
  </si>
  <si>
    <t>0, 2, 0, 0, 0, 0, 0, 0, 0, 0, 0, 0, 0, 0, 0, 0, 0, 0, 2, 0, 0, 1, 0, 1</t>
  </si>
  <si>
    <t>electrical installation fault finding</t>
  </si>
  <si>
    <t>0, 0, 0, 0, 0, 0, 0, 0, 0, 3, 1, 2, 0, 0, 0, 0, 0, 0, 0, 0, 0, 0, 0, 1</t>
  </si>
  <si>
    <t>electrical services in fontana ca</t>
  </si>
  <si>
    <t>0, 0, 0, 2, 0, 0, 0, 0, 1, 0, 0, 1, 0, 0, 0, 0, 0, 0, 0, 0, 0, 0, 0, 1</t>
  </si>
  <si>
    <t>electrical services canberra</t>
  </si>
  <si>
    <t>0, 1, 0, 0, 0, 0, 2, 0, 1, 1, 6, 2, 0, 0, 0, 0, 0, 0, 0, 0, 0, 0, 0, 1</t>
  </si>
  <si>
    <t>electrical wiring services little rock</t>
  </si>
  <si>
    <t>electrical and maintenance services</t>
  </si>
  <si>
    <t>0, 0, 0, 2, 3, 1, 2, 3, 2, 2, 1, 0, 0, 2, 2, 0, 0, 0, 0, 0, 1, 0, 1, 2</t>
  </si>
  <si>
    <t>morris electrical services</t>
  </si>
  <si>
    <t>godwin electrical services</t>
  </si>
  <si>
    <t>0, 0, 0, 0, 0, 0, 0, 0, 0, 0, 0, 0, 0, 0, 0, 3, 0, 0, 0, 0, 0, 0, 0, 1</t>
  </si>
  <si>
    <t>electrical installation salary uk</t>
  </si>
  <si>
    <t>diesel electrical services</t>
  </si>
  <si>
    <t>1, 1, 2, 0, 0, 0, 2, 0, 0, 0, 1, 1, 0, 1, 0, 4, 7, 10, 12, 8, 1, 0, 0, 2</t>
  </si>
  <si>
    <t>emergency electrician london</t>
  </si>
  <si>
    <t>3, 4, 6, 4, 8, 5, 4, 7, 11, 3, 9, 12, 1, 3, 0, 0, 1, 0, 1, 1, 0, 0, 0, 1</t>
  </si>
  <si>
    <t>licensed electrical contractor queen creek</t>
  </si>
  <si>
    <t>aci electrical contractor inc</t>
  </si>
  <si>
    <t>jr electrical services</t>
  </si>
  <si>
    <t>0, 0, 0, 0, 0, 0, 2, 2, 0, 0, 0, 0, 0, 0, 0, 0, 0, 0, 0, 1, 0, 1, 0, 1</t>
  </si>
  <si>
    <t>rockwall electrical services</t>
  </si>
  <si>
    <t>sustainable electrical installation</t>
  </si>
  <si>
    <t>electrical services richmond</t>
  </si>
  <si>
    <t>0, 0, 0, 1, 2, 1, 0, 4, 0, 0, 2, 0, 0, 0, 0, 0, 0, 0, 0, 0, 0, 0, 0, 1</t>
  </si>
  <si>
    <t>electrical sub panel installation d'iberville</t>
  </si>
  <si>
    <t>electrical contractor san antonio</t>
  </si>
  <si>
    <t>0, 0, 0, 1, 1, 1, 0, 1, 1, 1, 0, 0, 0, 0, 0, 0, 0, 1, 0, 0, 0, 0, 0, 1</t>
  </si>
  <si>
    <t>electrical installation piedmont</t>
  </si>
  <si>
    <t>emergency electrician pawleys island</t>
  </si>
  <si>
    <t>0, 1, 0, 0, 0, 1, 1, 0, 1, 1, 0, 0, 0, 0, 0, 0, 0, 0, 0, 0, 0, 0, 0, 1</t>
  </si>
  <si>
    <t>commercial electrical services grapevine tx</t>
  </si>
  <si>
    <t>electrical panel installation industrial</t>
  </si>
  <si>
    <t>0, 0, 0, 0, 0, 0, 0, 0, 0, 0, 0, 0, 0, 0, 0, 0, 0, 0, 0, 0, 0, 0, 11, 5</t>
  </si>
  <si>
    <t>commercial electrical services keller tx</t>
  </si>
  <si>
    <t>electrical contractor rutherford</t>
  </si>
  <si>
    <t>0, 0, 0, 1, 0, 0, 1, 0, 2, 1, 1, 0, 0, 0, 0, 0, 0, 0, 0, 0, 0, 0, 0, 1</t>
  </si>
  <si>
    <t>electrical contractor phoenix az</t>
  </si>
  <si>
    <t>emergency electrician iowa</t>
  </si>
  <si>
    <t>1st electrical services</t>
  </si>
  <si>
    <t>0, 0, 0, 0, 1, 0, 0, 0, 0, 2, 0, 0, 1, 0, 0, 0, 0, 0, 0, 0, 0, 0, 0, 1</t>
  </si>
  <si>
    <t>electrical contractor mn</t>
  </si>
  <si>
    <t>marietta electrical services</t>
  </si>
  <si>
    <t>electrical services consulting</t>
  </si>
  <si>
    <t>2, 0, 1, 2, 1, 1, 0, 0, 0, 0, 0, 0, 0, 0, 0, 0, 0, 0, 0, 0, 0, 0, 0, 1</t>
  </si>
  <si>
    <t>commericial electrical services</t>
  </si>
  <si>
    <t>john gronau electrical contractor, llc</t>
  </si>
  <si>
    <t>0, 0, 0, 0, 0, 0, 0, 0, 1, 1, 0, 2, 0, 0, 0, 0, 0, 0, 0, 0, 0, 0, 0, 1</t>
  </si>
  <si>
    <t>electrical services manager</t>
  </si>
  <si>
    <t>0, 0, 0, 0, 0, 0, 0, 0, 0, 0, 0, 1, 0, 0, 1, 0, 0, 1, 0, 0, 0, 1, 0, 1</t>
  </si>
  <si>
    <t>electrical handyman services saskatoon</t>
  </si>
  <si>
    <t>doug's electrical services</t>
  </si>
  <si>
    <t>electrical repairs toowoomba</t>
  </si>
  <si>
    <t>commercial electrical services kernersville, nc</t>
  </si>
  <si>
    <t>solidworks electrical installation guide</t>
  </si>
  <si>
    <t>home electrical services in hopkinton</t>
  </si>
  <si>
    <t>0, 0, 0, 0, 0, 0, 0, 2, 0, 2, 2, 1, 0, 0, 0, 0, 0, 0, 0, 1, 0, 0, 1, 1</t>
  </si>
  <si>
    <t>industrial electrical services orlando</t>
  </si>
  <si>
    <t>electrical services mount maunganui</t>
  </si>
  <si>
    <t>0, 1, 0, 0, 0, 3, 0, 0, 0, 0, 0, 0, 0, 0, 0, 0, 0, 0, 0, 0, 0, 0, 0, 1</t>
  </si>
  <si>
    <t>electrical contractor miami fl</t>
  </si>
  <si>
    <t>electrical engineering services sydney</t>
  </si>
  <si>
    <t>electrical repairs chelmsford</t>
  </si>
  <si>
    <t>residential electrical contractor colchester</t>
  </si>
  <si>
    <t>emergency electrician mt juliet</t>
  </si>
  <si>
    <t>electrical contractor wall</t>
  </si>
  <si>
    <t>0, 0, 0, 0, 0, 0, 3, 0, 0, 0, 1, 0, 0, 0, 0, 0, 0, 0, 0, 0, 0, 0, 0, 1</t>
  </si>
  <si>
    <t>ag electrical services</t>
  </si>
  <si>
    <t>1, 2, 0, 0, 2, 0, 0, 0, 0, 0, 0, 0, 0, 0, 0, 0, 0, 0, 0, 0, 0, 0, 0, 1</t>
  </si>
  <si>
    <t>andy electrical repairs &amp; projects</t>
  </si>
  <si>
    <t>iec standards for electrical installation</t>
  </si>
  <si>
    <t>clubview electrical motor repairs</t>
  </si>
  <si>
    <t>electrical db installation</t>
  </si>
  <si>
    <t>1, 1, 4, 0, 4, 1, 0, 0, 2, 2, 0, 0, 0, 0, 0, 1, 0, 1, 1, 2, 2, 0, 1, 2</t>
  </si>
  <si>
    <t>electrical services fulham</t>
  </si>
  <si>
    <t>0, 0, 0, 0, 0, 0, 0, 1, 0, 1, 0, 0, 1, 1, 0, 1, 0, 0, 0, 0, 0, 0, 0, 1</t>
  </si>
  <si>
    <t>electrical contractor definition</t>
  </si>
  <si>
    <t>2, 2, 2, 0, 0, 1, 5, 0, 4, 4, 5, 2, 0, 1, 1, 1, 0, 4, 2, 3, 2, 0, 1, 2</t>
  </si>
  <si>
    <t>electrical pole installation</t>
  </si>
  <si>
    <t>1, 3, 5, 0, 1, 2, 1, 2, 3, 7, 2, 0, 0, 1, 2, 0, 0, 0, 0, 1, 1, 1, 1, 2</t>
  </si>
  <si>
    <t>electrical installation bowling green</t>
  </si>
  <si>
    <t>m and m electrical services</t>
  </si>
  <si>
    <t>0, 0, 0, 0, 0, 0, 0, 0, 0, 0, 0, 1, 0, 1, 0, 0, 0, 0, 0, 0, 0, 0, 0, 1</t>
  </si>
  <si>
    <t>electrical installation louisville</t>
  </si>
  <si>
    <t>electrical wiring repair services in thane</t>
  </si>
  <si>
    <t>0, 0, 0, 0, 0, 1, 0, 0, 1, 0, 2, 0, 0, 0, 0, 0, 0, 0, 0, 0, 0, 0, 0, 1</t>
  </si>
  <si>
    <t>electrical contractor rothwell</t>
  </si>
  <si>
    <t>electrical services clapham</t>
  </si>
  <si>
    <t>0, 0, 1, 0, 1, 0, 0, 0, 0, 0, 1, 0, 0, 0, 0, 0, 0, 1, 1, 0, 0, 0, 0, 1</t>
  </si>
  <si>
    <t>emergency electrician reading</t>
  </si>
  <si>
    <t>emergency electrician irving tx</t>
  </si>
  <si>
    <t>esidential electrical services sydney</t>
  </si>
  <si>
    <t>electrical services columbia, sc</t>
  </si>
  <si>
    <t>electrical contractor marin county</t>
  </si>
  <si>
    <t>electrical repair services cape town</t>
  </si>
  <si>
    <t>0, 0, 0, 0, 0, 0, 0, 0, 0, 0, 0, 0, 0, 0, 0, 0, 0, 0, 0, 4, 19, 17, 3, 14</t>
  </si>
  <si>
    <t>electrician cape town northern suburbs</t>
  </si>
  <si>
    <t>sample quotation for electrical installation</t>
  </si>
  <si>
    <t>0, 0, 1, 1, 1, 0, 0, 0, 1, 0, 0, 0, 0, 0, 0, 2, 0, 0, 0, 0, 0, 0, 0, 1</t>
  </si>
  <si>
    <t>electrical contractor in london</t>
  </si>
  <si>
    <t>0, 1, 1, 1, 0, 2, 1, 0, 1, 2, 3, 0, 1, 0, 1, 1, 0, 0, 0, 0, 0, 0, 0, 1</t>
  </si>
  <si>
    <t>coral springs electrical services</t>
  </si>
  <si>
    <t>0, 0, 0, 1, 1, 0, 0, 0, 3, 1, 2, 0, 0, 0, 0, 0, 0, 0, 0, 0, 0, 0, 0, 1</t>
  </si>
  <si>
    <t>kyle electrical services</t>
  </si>
  <si>
    <t>electrical services in huntsville alabama</t>
  </si>
  <si>
    <t>islington electrical contractor</t>
  </si>
  <si>
    <t>0, 0, 0, 2, 1, 0, 1, 1, 0, 0, 0, 0, 0, 0, 0, 0, 0, 0, 0, 0, 0, 0, 0, 1</t>
  </si>
  <si>
    <t>electrical repairs charlotte nc</t>
  </si>
  <si>
    <t>electrical infrastructure services</t>
  </si>
  <si>
    <t>0, 1, 2, 1, 1, 0, 0, 2, 0, 3, 0, 1, 0, 0, 0, 0, 0, 0, 0, 0, 0, 0, 0, 1</t>
  </si>
  <si>
    <t>electrical contractor new jersey</t>
  </si>
  <si>
    <t>5, 0, 1, 0, 0, 0, 0, 0, 1, 0, 0, 1, 0, 0, 0, 0, 0, 0, 0, 0, 0, 0, 0, 1</t>
  </si>
  <si>
    <t>dedicated electrical services</t>
  </si>
  <si>
    <t>k &amp; k electrical services</t>
  </si>
  <si>
    <t>electrical installation rules paper 1</t>
  </si>
  <si>
    <t>0, 0, 0, 0, 0, 0, 8, 12, 1, 0, 0, 0, 0, 0, 0, 0, 0, 0, 0, 0, 0, 0, 0, 1</t>
  </si>
  <si>
    <t>conduit electrical installation</t>
  </si>
  <si>
    <t>1, 0, 0, 0, 0, 0, 0, 0, 0, 1, 0, 0, 0, 0, 0, 1, 0, 0, 0, 0, 0, 0, 0, 1</t>
  </si>
  <si>
    <t>electrical services in edmonton</t>
  </si>
  <si>
    <t>0, 0, 0, 0, 0, 0, 0, 1, 0, 1, 3, 0, 0, 0, 0, 0, 0, 0, 0, 0, 0, 0, 0, 1</t>
  </si>
  <si>
    <t>conner electrical services</t>
  </si>
  <si>
    <t>somerset electrical services</t>
  </si>
  <si>
    <t>business coach for electrical contractor</t>
  </si>
  <si>
    <t>electrical panel installation concord, nc</t>
  </si>
  <si>
    <t>0, 0, 0, 0, 0, 0, 0, 0, 3, 0, 1, 0, 0, 0, 0, 0, 0, 0, 0, 0, 0, 0, 0, 1</t>
  </si>
  <si>
    <t>lighthouse electrical services</t>
  </si>
  <si>
    <t>0, 0, 1, 0, 0, 0, 0, 0, 1, 0, 0, 1, 0, 0, 0, 0, 1, 0, 0, 0, 0, 0, 0, 1</t>
  </si>
  <si>
    <t>electrical services sunshine coast</t>
  </si>
  <si>
    <t>0, 0, 0, 1, 1, 0, 3, 4, 1, 0, 1, 0, 0, 1, 0, 0, 0, 0, 0, 0, 0, 0, 0, 1</t>
  </si>
  <si>
    <t>24 hours electrical services oh</t>
  </si>
  <si>
    <t>sample contract for electrical installation</t>
  </si>
  <si>
    <t>electrical services in silverton, south africa</t>
  </si>
  <si>
    <t>0, 0, 0, 0, 0, 0, 0, 0, 0, 0, 0, 0, 0, 0, 0, 0, 1, 3, 0, 0, 0, 0, 0, 1</t>
  </si>
  <si>
    <t>huntingdale emergency electrician</t>
  </si>
  <si>
    <t>electrical outlet installation union county</t>
  </si>
  <si>
    <t>emergency electrician chelsea</t>
  </si>
  <si>
    <t>0, 2, 1, 0, 1, 0, 1, 0, 1, 0, 1, 0, 0, 0, 0, 0, 0, 0, 0, 0, 0, 0, 0, 1</t>
  </si>
  <si>
    <t>memphis emergency electrician</t>
  </si>
  <si>
    <t>electrical business services</t>
  </si>
  <si>
    <t>electrical services hopkins</t>
  </si>
  <si>
    <t>0, 1, 3, 0, 0, 0, 1, 2, 3, 0, 2, 0, 0, 0, 0, 0, 0, 0, 0, 0, 0, 0, 0, 1</t>
  </si>
  <si>
    <t>electrical repairs chapin</t>
  </si>
  <si>
    <t>electrical contractor moorpark</t>
  </si>
  <si>
    <t>home electrical repair services brighton</t>
  </si>
  <si>
    <t>1, 1, 1, 0, 0, 0, 0, 1, 0, 0, 0, 0, 0, 0, 0, 0, 0, 0, 0, 0, 0, 0, 0, 1</t>
  </si>
  <si>
    <t>commercial electrical services in pittsfield</t>
  </si>
  <si>
    <t>0, 0, 0, 0, 0, 0, 0, 0, 0, 2, 0, 0, 0, 0, 0, 0, 0, 0, 1, 2, 0, 0, 3, 2</t>
  </si>
  <si>
    <t>idaho electrical repairs</t>
  </si>
  <si>
    <t>rpm auto electrical repair services</t>
  </si>
  <si>
    <t>0, 0, 0, 0, 1, 0, 0, 0, 0, 0, 0, 0, 0, 0, 0, 0, 0, 0, 0, 2, 0, 2, 1, 1</t>
  </si>
  <si>
    <t>industrial electrical controls services me</t>
  </si>
  <si>
    <t>0, 0, 0, 0, 0, 0, 0, 0, 0, 0, 0, 0, 0, 0, 3, 0, 0, 0, 1, 1, 1, 2, 0, 1</t>
  </si>
  <si>
    <t>electrical installation inspector</t>
  </si>
  <si>
    <t>plugs electrical services</t>
  </si>
  <si>
    <t>0, 0, 0, 0, 0, 1, 0, 0, 0, 0, 0, 0, 0, 0, 0, 0, 1, 0, 0, 0, 2, 0, 0, 1</t>
  </si>
  <si>
    <t>electrical contractor blue mountains</t>
  </si>
  <si>
    <t>young electrical services</t>
  </si>
  <si>
    <t>electrical contractor commercial</t>
  </si>
  <si>
    <t>0, 0, 1, 0, 1, 0, 2, 1, 2, 4, 1, 1, 0, 0, 0, 0, 0, 0, 0, 0, 0, 0, 0, 1</t>
  </si>
  <si>
    <t>innisfil electrical contractor</t>
  </si>
  <si>
    <t>electrical installation rules course</t>
  </si>
  <si>
    <t>electrical installation pipes</t>
  </si>
  <si>
    <t>electrical services in alberton, south africa</t>
  </si>
  <si>
    <t>0, 0, 0, 0, 0, 0, 0, 0, 0, 0, 0, 0, 0, 0, 0, 0, 2, 4, 0, 0, 0, 0, 0, 1</t>
  </si>
  <si>
    <t>electrical services in klerksdorp</t>
  </si>
  <si>
    <t>0, 0, 0, 0, 0, 0, 0, 0, 0, 0, 0, 0, 0, 0, 0, 0, 2, 2, 0, 0, 0, 0, 0, 1</t>
  </si>
  <si>
    <t>electrical services milton keynes</t>
  </si>
  <si>
    <t>0, 0, 0, 0, 0, 1, 0, 0, 2, 0, 1, 0, 0, 0, 0, 0, 0, 0, 0, 0, 0, 0, 0, 1</t>
  </si>
  <si>
    <t>electrical contractor van</t>
  </si>
  <si>
    <t>0, 0, 1, 0, 0, 1, 0, 0, 1, 0, 0, 0, 0, 1, 0, 0, 0, 0, 0, 0, 0, 1, 0, 1</t>
  </si>
  <si>
    <t>level 3 electrical installation course</t>
  </si>
  <si>
    <t>2, 0, 0, 0, 0, 0, 0, 0, 0, 1, 4, 0, 0, 0, 0, 0, 1, 0, 0, 0, 0, 0, 0, 1</t>
  </si>
  <si>
    <t>electrical services highland park calgary</t>
  </si>
  <si>
    <t>electrical installation business plan pdf</t>
  </si>
  <si>
    <t>0, 2, 0, 1, 0, 0, 0, 0, 0, 0, 0, 0, 0, 0, 0, 0, 0, 0, 0, 0, 0, 0, 0, 1</t>
  </si>
  <si>
    <t>emergency electrician west kensington</t>
  </si>
  <si>
    <t>electrical contractor florida</t>
  </si>
  <si>
    <t>electrical condition installation report</t>
  </si>
  <si>
    <t>sec electrical contractor</t>
  </si>
  <si>
    <t>single phase electrical installation</t>
  </si>
  <si>
    <t>2, 0, 0, 0, 1, 1, 1, 2, 4, 3, 4, 4, 5, 4, 6, 0, 5, 8, 1, 1, 1, 0, 0, 1</t>
  </si>
  <si>
    <t>electrical services onalaska wi</t>
  </si>
  <si>
    <t>0, 0, 1, 1, 0, 1, 0, 1, 1, 0, 2, 1, 0, 0, 0, 0, 0, 0, 0, 0, 0, 0, 0, 1</t>
  </si>
  <si>
    <t>electrical mdb installation abu dhabi</t>
  </si>
  <si>
    <t>electrical contractor southend on sea</t>
  </si>
  <si>
    <t>east coast electrical services</t>
  </si>
  <si>
    <t>1, 0, 0, 0, 0, 1, 2, 0, 1, 0, 0, 0, 0, 0, 0, 0, 0, 0, 0, 0, 0, 0, 0, 1</t>
  </si>
  <si>
    <t>electrical services business plan</t>
  </si>
  <si>
    <t>home electrical wiring installation</t>
  </si>
  <si>
    <t>0, 1, 1, 1, 0, 1, 0, 0, 0, 0, 0, 0, 0, 0, 0, 0, 0, 1, 0, 1, 2, 2, 0, 2</t>
  </si>
  <si>
    <t>electrical services in boksburg</t>
  </si>
  <si>
    <t>0, 0, 0, 0, 0, 0, 0, 0, 0, 0, 0, 0, 0, 0, 0, 3, 2, 4, 3, 1, 0, 0, 0, 1</t>
  </si>
  <si>
    <t>electrical services design</t>
  </si>
  <si>
    <t>1, 4, 3, 0, 0, 0, 3, 0, 1, 0, 3, 1, 0, 0, 0, 1, 0, 0, 0, 0, 0, 0, 1, 1</t>
  </si>
  <si>
    <t>northern beaches electrical emergency services</t>
  </si>
  <si>
    <t>cpc in electrical installation</t>
  </si>
  <si>
    <t>electrical installation weatherford tx</t>
  </si>
  <si>
    <t>mb electrical services</t>
  </si>
  <si>
    <t>0, 0, 0, 0, 0, 0, 0, 0, 0, 1, 1, 0, 0, 0, 0, 0, 2, 0, 0, 0, 0, 0, 0, 1</t>
  </si>
  <si>
    <t>commercial electrical services idaho</t>
  </si>
  <si>
    <t>electrical installation condition reports eicr</t>
  </si>
  <si>
    <t>ga electrical services</t>
  </si>
  <si>
    <t>armstrong electrical services</t>
  </si>
  <si>
    <t>electrical panel installation kentucky</t>
  </si>
  <si>
    <t>0, 0, 0, 2, 0, 1, 1, 0, 3, 2, 0, 0, 0, 0, 0, 0, 0, 0, 0, 0, 0, 0, 0, 1</t>
  </si>
  <si>
    <t>emergency electrician western suburbs</t>
  </si>
  <si>
    <t>emergency electrician gillette</t>
  </si>
  <si>
    <t>electrical outlet installation york county</t>
  </si>
  <si>
    <t>experienced electrical services</t>
  </si>
  <si>
    <t>electrical pvc conduit installation</t>
  </si>
  <si>
    <t>1, 1, 0, 0, 2, 1, 0, 0, 0, 1, 3, 2, 1, 0, 1, 2, 0, 0, 0, 0, 0, 1, 1, 2</t>
  </si>
  <si>
    <t>electrical contractor in los angeles</t>
  </si>
  <si>
    <t>0, 0, 0, 0, 0, 2, 2, 1, 0, 0, 0, 0, 0, 0, 0, 0, 0, 0, 0, 0, 0, 0, 0, 1</t>
  </si>
  <si>
    <t>level 2 electrical installation apprenticeships</t>
  </si>
  <si>
    <t>emergency electrician harpenden</t>
  </si>
  <si>
    <t>emergency electrician oregon wi</t>
  </si>
  <si>
    <t>0, 0, 0, 1, 0, 0, 0, 3, 0, 0, 2, 0, 0, 0, 0, 0, 0, 0, 0, 0, 0, 0, 0, 1</t>
  </si>
  <si>
    <t>electrical services concord, nh</t>
  </si>
  <si>
    <t>0, 0, 0, 0, 0, 0, 0, 1, 1, 0, 2, 1, 0, 0, 0, 0, 0, 0, 0, 0, 0, 2, 0, 2</t>
  </si>
  <si>
    <t>hand tools for electrical wiring installation</t>
  </si>
  <si>
    <t>1, 1, 0, 0, 0, 0, 1, 0, 0, 9, 0, 0, 0, 0, 0, 0, 0, 0, 0, 0, 2, 0, 0, 2</t>
  </si>
  <si>
    <t>washington electrical services</t>
  </si>
  <si>
    <t>bergens electrical repairs</t>
  </si>
  <si>
    <t>emergency electrician madison wi</t>
  </si>
  <si>
    <t>0, 0, 0, 0, 0, 0, 0, 2, 1, 2, 1, 0, 0, 0, 0, 0, 0, 0, 0, 0, 0, 0, 0, 1</t>
  </si>
  <si>
    <t>electrical services software</t>
  </si>
  <si>
    <t>cheshire boiler electrical services</t>
  </si>
  <si>
    <t>electrical services houston tx</t>
  </si>
  <si>
    <t>emergency electrician wymondham</t>
  </si>
  <si>
    <t>electrical services salt lake city</t>
  </si>
  <si>
    <t>1, 1, 0, 1, 1, 0, 1, 1, 0, 2, 1, 0, 0, 0, 0, 0, 0, 0, 0, 0, 0, 0, 0, 1</t>
  </si>
  <si>
    <t>electrical contractor sonoma</t>
  </si>
  <si>
    <t>electrical contractor internet marketing</t>
  </si>
  <si>
    <t>electrical reticulation design services</t>
  </si>
  <si>
    <t>emergency electrician north ryde</t>
  </si>
  <si>
    <t>witbank emergency electrical services</t>
  </si>
  <si>
    <t>miscellaneous electrical services in concord</t>
  </si>
  <si>
    <t>0, 0, 0, 0, 0, 0, 0, 0, 0, 0, 0, 0, 0, 0, 0, 0, 0, 2, 0, 1, 3, 0, 0, 2</t>
  </si>
  <si>
    <t>electrical services brookfield wi</t>
  </si>
  <si>
    <t>1, 0, 0, 0, 0, 0, 1, 2, 1, 1, 0, 0, 0, 0, 0, 0, 0, 0, 0, 0, 0, 0, 0, 1</t>
  </si>
  <si>
    <t>charlotte emergency electrician</t>
  </si>
  <si>
    <t>electrical contractor invoice template</t>
  </si>
  <si>
    <t>1, 0, 0, 6, 1, 2, 2, 0, 1, 2, 4, 0, 1, 2, 6, 0, 2, 0, 0, 0, 1, 0, 0, 1</t>
  </si>
  <si>
    <t>materials for electrical installation</t>
  </si>
  <si>
    <t>2, 0, 6, 1, 0, 0, 4, 3, 1, 2, 0, 2, 1, 1, 0, 0, 2, 1, 0, 0, 2, 3, 0, 3</t>
  </si>
  <si>
    <t>electrical contractor chicago</t>
  </si>
  <si>
    <t>1, 1, 2, 0, 1, 0, 1, 0, 1, 1, 0, 1, 0, 0, 0, 0, 0, 0, 2, 0, 0, 2, 0, 1</t>
  </si>
  <si>
    <t>top electrical contractor in westchester ny</t>
  </si>
  <si>
    <t>emergency electrician verona wi</t>
  </si>
  <si>
    <t>0, 0, 1, 0, 0, 0, 2, 0, 1, 1, 0, 0, 0, 0, 0, 0, 0, 0, 0, 0, 0, 0, 0, 1</t>
  </si>
  <si>
    <t>clarksville electrical services</t>
  </si>
  <si>
    <t>electrical contractor name suggestions</t>
  </si>
  <si>
    <t>24 7 emergency electrician near me</t>
  </si>
  <si>
    <t>1, 2, 2, 1, 2, 2, 1, 2, 4, 2, 0, 0, 0, 0, 0, 0, 0, 0, 0, 0, 0, 0, 0, 1</t>
  </si>
  <si>
    <t>electrical cable trunking installation</t>
  </si>
  <si>
    <t>0, 0, 0, 0, 0, 0, 0, 0, 0, 0, 0, 0, 0, 1, 0, 0, 0, 0, 0, 0, 2, 2, 3, 1</t>
  </si>
  <si>
    <t>emergency electrician grinstead</t>
  </si>
  <si>
    <t>0, 0, 0, 0, 0, 0, 1, 0, 0, 1, 2, 1, 0, 1, 0, 0, 0, 0, 0, 0, 0, 0, 0, 1</t>
  </si>
  <si>
    <t>electrical engineering services examples</t>
  </si>
  <si>
    <t>electrical contractor oakland ca</t>
  </si>
  <si>
    <t>electrical services ooltewah</t>
  </si>
  <si>
    <t>electrical contractor north york</t>
  </si>
  <si>
    <t>0, 1, 0, 0, 3, 0, 1, 1, 0, 1, 1, 0, 0, 0, 0, 0, 0, 0, 0, 0, 0, 0, 0, 1</t>
  </si>
  <si>
    <t>electrical contractor company profile template</t>
  </si>
  <si>
    <t>9, 2, 1, 0, 2, 9, 3, 3, 5, 8, 12, 2, 1, 4, 0, 0, 0, 1, 0, 0, 0, 0, 0, 1</t>
  </si>
  <si>
    <t>myrtle beach electrical contractor</t>
  </si>
  <si>
    <t>royse city electrical services</t>
  </si>
  <si>
    <t>electrical services lynnfield ma</t>
  </si>
  <si>
    <t>auto electrical car repairs</t>
  </si>
  <si>
    <t>4, 3, 2, 4, 0, 2, 1, 2, 0, 0, 0, 1, 0, 0, 1, 0, 2, 1, 0, 0, 0, 0, 0, 1</t>
  </si>
  <si>
    <t>pvc conduit pipe electrical installation</t>
  </si>
  <si>
    <t>0, 0, 0, 0, 0, 0, 0, 0, 0, 0, 0, 0, 0, 0, 0, 0, 0, 0, 0, 0, 1, 1, 3, 1</t>
  </si>
  <si>
    <t>new braunfels electrical contractor</t>
  </si>
  <si>
    <t>electrical contractor tyler</t>
  </si>
  <si>
    <t>belhar auto electrical and mechanical services</t>
  </si>
  <si>
    <t>18, 16, 12, 3, 7, 11, 17, 4, 0, 0, 0, 0, 0, 0, 0, 0, 0, 0, 0, 0, 0, 0, 0, 1</t>
  </si>
  <si>
    <t>electrical contractor in vasai</t>
  </si>
  <si>
    <t>emergency electrician colleyville</t>
  </si>
  <si>
    <t>0, 0, 1, 0, 2, 1, 0, 0, 0, 2, 2, 0, 0, 0, 0, 0, 0, 0, 0, 0, 0, 0, 0, 1</t>
  </si>
  <si>
    <t>a and c electrical services</t>
  </si>
  <si>
    <t>electrical lighting services calgary</t>
  </si>
  <si>
    <t>0, 0, 2, 1, 0, 0, 0, 0, 0, 1, 0, 0, 0, 0, 0, 0, 0, 0, 0, 0, 0, 0, 0, 1</t>
  </si>
  <si>
    <t>mark's auto electrical services</t>
  </si>
  <si>
    <t>emergency electrician phillip bay</t>
  </si>
  <si>
    <t>electrical contractor bellingham</t>
  </si>
  <si>
    <t>0, 0, 0, 1, 1, 1, 1, 2, 0, 0, 0, 0, 0, 0, 0, 0, 0, 0, 0, 0, 0, 0, 0, 1</t>
  </si>
  <si>
    <t>commercial electrical services franklin county</t>
  </si>
  <si>
    <t>electrical contractor for sale</t>
  </si>
  <si>
    <t>1, 1, 1, 0, 1, 3, 2, 0, 0, 1, 1, 0, 0, 0, 1, 2, 1, 1, 0, 1, 0, 3, 0, 2</t>
  </si>
  <si>
    <t>electrical appliance repairs randburg</t>
  </si>
  <si>
    <t>electrical contractor joliet</t>
  </si>
  <si>
    <t>electrical contractor scripps ranch ca</t>
  </si>
  <si>
    <t>electrical services in modderfontein, gauteng</t>
  </si>
  <si>
    <t>0, 0, 0, 0, 0, 0, 0, 0, 0, 0, 0, 0, 0, 0, 0, 0, 1, 3, 2, 0, 0, 0, 0, 1</t>
  </si>
  <si>
    <t>electrical appliance repairs fourways</t>
  </si>
  <si>
    <t>emergency electrician dundee</t>
  </si>
  <si>
    <t>0, 0, 0, 0, 0, 0, 0, 0, 1, 2, 2, 0, 0, 0, 0, 0, 0, 0, 0, 0, 0, 0, 0, 1</t>
  </si>
  <si>
    <t>electrical contractor test prep</t>
  </si>
  <si>
    <t>industrial electrical services bishop ca</t>
  </si>
  <si>
    <t>residential electrical repairs near me</t>
  </si>
  <si>
    <t>0, 0, 1, 0, 2, 0, 1, 1, 0, 0, 2, 0, 0, 3, 0, 0, 0, 1, 0, 0, 0, 0, 0, 1</t>
  </si>
  <si>
    <t>emergency electrician worcester</t>
  </si>
  <si>
    <t>0, 0, 0, 0, 0, 1, 0, 0, 0, 0, 0, 0, 0, 0, 0, 0, 5, 0, 0, 0, 0, 0, 0, 1</t>
  </si>
  <si>
    <t>electrical outlet installation price</t>
  </si>
  <si>
    <t>0, 0, 0, 1, 1, 0, 0, 2, 0, 2, 1, 5, 0, 0, 0, 0, 0, 1, 2, 1, 0, 0, 0, 1</t>
  </si>
  <si>
    <t>emergency electrician mitcham</t>
  </si>
  <si>
    <t>0, 0, 2, 2, 0, 2, 0, 0, 1, 0, 0, 1, 0, 0, 0, 0, 0, 0, 0, 0, 0, 0, 0, 1</t>
  </si>
  <si>
    <t>and electrical services</t>
  </si>
  <si>
    <t>0, 0, 1, 0, 2, 0, 0, 1, 0, 0, 1, 0, 0, 0, 0, 0, 0, 0, 0, 0, 0, 0, 0, 1</t>
  </si>
  <si>
    <t>photovoltaic electrical contractor bishop ca</t>
  </si>
  <si>
    <t>emergency electrician greystanes</t>
  </si>
  <si>
    <t>emergency electrician charlotte, nc</t>
  </si>
  <si>
    <t>emergency electrician sutherland shire</t>
  </si>
  <si>
    <t>0, 0, 1, 2, 0, 1, 0, 2, 2, 0, 1, 1, 1, 1, 0, 4, 3, 1, 0, 1, 2, 0, 0, 2</t>
  </si>
  <si>
    <t>electrical contractor website design</t>
  </si>
  <si>
    <t>0, 0, 0, 0, 1, 0, 1, 2, 0, 1, 0, 0, 0, 0, 0, 0, 0, 0, 1, 0, 0, 0, 0, 1</t>
  </si>
  <si>
    <t>roberts electrical services</t>
  </si>
  <si>
    <t>industrial electrical services sydney</t>
  </si>
  <si>
    <t>1, 0, 0, 0, 0, 0, 1, 1, 0, 0, 1, 1, 0, 0, 0, 0, 0, 0, 0, 0, 0, 0, 0, 1</t>
  </si>
  <si>
    <t>electrical installation simulator</t>
  </si>
  <si>
    <t>0, 0, 0, 0, 0, 0, 0, 0, 2, 3, 0, 0, 2, 0, 0, 0, 0, 0, 4, 0, 0, 0, 0, 1</t>
  </si>
  <si>
    <t>knights electrical services</t>
  </si>
  <si>
    <t>electrical contractor ppc</t>
  </si>
  <si>
    <t>electrical repairs pakuranga</t>
  </si>
  <si>
    <t>emergency electrician ferndown</t>
  </si>
  <si>
    <t>electrical installation condition report template</t>
  </si>
  <si>
    <t>0, 0, 0, 0, 0, 1, 0, 0, 0, 0, 0, 1, 0, 0, 0, 0, 0, 0, 0, 1, 0, 0, 0, 1</t>
  </si>
  <si>
    <t>industrial electrical services melbourne</t>
  </si>
  <si>
    <t>0, 1, 1, 0, 0, 0, 0, 0, 1, 1, 0, 0, 0, 0, 0, 0, 0, 0, 0, 0, 0, 0, 0, 1</t>
  </si>
  <si>
    <t>electrical installation level 2 revision</t>
  </si>
  <si>
    <t>santa clarita electrical contractor</t>
  </si>
  <si>
    <t>lj electrical services</t>
  </si>
  <si>
    <t>wisconsin electrical contractor license</t>
  </si>
  <si>
    <t>jtrading electrical services johannesburg</t>
  </si>
  <si>
    <t>7, 0, 0, 7, 4, 0, 0, 0, 0, 0, 0, 0, 0, 0, 0, 0, 0, 0, 0, 0, 0, 0, 0, 1</t>
  </si>
  <si>
    <t>electrical contractor san rafael ca</t>
  </si>
  <si>
    <t>electrical engineer reporting services</t>
  </si>
  <si>
    <t>0, 0, 0, 0, 1, 0, 0, 0, 1, 1, 0, 1, 0, 0, 0, 0, 0, 0, 0, 0, 0, 0, 0, 1</t>
  </si>
  <si>
    <t>commercial electrical services carroll county</t>
  </si>
  <si>
    <t>electrical contractor seabrook</t>
  </si>
  <si>
    <t>mr sparky electrical services</t>
  </si>
  <si>
    <t>electrical contractor hummelstown</t>
  </si>
  <si>
    <t>0, 1, 0, 1, 1, 1, 0, 0, 0, 0, 0, 0, 0, 0, 0, 0, 0, 0, 0, 0, 0, 0, 0, 1</t>
  </si>
  <si>
    <t>electrical electrical contractor</t>
  </si>
  <si>
    <t>electrical auto repairs near me</t>
  </si>
  <si>
    <t>0, 0, 0, 1, 0, 0, 2, 1, 0, 0, 0, 0, 0, 0, 0, 0, 0, 0, 0, 0, 0, 0, 0, 1</t>
  </si>
  <si>
    <t>absolute electrical services</t>
  </si>
  <si>
    <t>omni electrical services</t>
  </si>
  <si>
    <t>emergency electrician applecross</t>
  </si>
  <si>
    <t>0, 0, 0, 0, 0, 0, 1, 1, 1, 0, 1, 0, 0, 0, 0, 0, 0, 0, 0, 0, 0, 0, 0, 1</t>
  </si>
  <si>
    <t>electrical installation software</t>
  </si>
  <si>
    <t>0, 1, 0, 0, 0, 2, 47, 50, 14, 14, 14, 19, 0, 0, 0, 0, 0, 0, 0, 0, 0, 0, 2, 1</t>
  </si>
  <si>
    <t>electrical services sylvania oh</t>
  </si>
  <si>
    <t>0, 0, 0, 0, 0, 0, 0, 0, 1, 0, 1, 0, 2, 2, 1, 0, 0, 0, 0, 0, 0, 0, 0, 1</t>
  </si>
  <si>
    <t>electrical services in baltimore maryland</t>
  </si>
  <si>
    <t>electrical contractor queen creek</t>
  </si>
  <si>
    <t>electrical contractor santa rosa</t>
  </si>
  <si>
    <t>0, 0, 0, 0, 1, 0, 0, 1, 1, 2, 2, 0, 0, 0, 0, 0, 0, 0, 0, 0, 0, 0, 0, 1</t>
  </si>
  <si>
    <t>electrical contractor sacramento</t>
  </si>
  <si>
    <t>0, 1, 0, 1, 0, 1, 1, 1, 1, 1, 1, 0, 0, 0, 0, 0, 0, 0, 0, 0, 0, 0, 0, 1</t>
  </si>
  <si>
    <t>emergency electrician knoxville</t>
  </si>
  <si>
    <t>electrical repairs doylestown</t>
  </si>
  <si>
    <t>0, 0, 1, 0, 0, 0, 1, 1, 2, 1, 2, 0, 0, 0, 0, 1, 0, 0, 0, 0, 0, 0, 0, 1</t>
  </si>
  <si>
    <t>cary electrical services</t>
  </si>
  <si>
    <t>specialist electrical services ltd</t>
  </si>
  <si>
    <t>electrical contractor services in hobart</t>
  </si>
  <si>
    <t>electrical wiring contractor crystal springs</t>
  </si>
  <si>
    <t>emergency electrician tennyson point</t>
  </si>
  <si>
    <t>residential electrical services sandwich ma</t>
  </si>
  <si>
    <t>electrical lighting installation services</t>
  </si>
  <si>
    <t>electrical &amp; plumbing services</t>
  </si>
  <si>
    <t>0, 2, 5, 2, 3, 3, 2, 0, 0, 0, 1, 2, 1, 1, 0, 1, 0, 0, 0, 0, 0, 1, 0, 1</t>
  </si>
  <si>
    <t>electrical contractor weston</t>
  </si>
  <si>
    <t>1, 1, 0, 0, 0, 0, 0, 2, 5, 3, 0, 0, 0, 0, 0, 0, 0, 0, 0, 0, 0, 0, 0, 1</t>
  </si>
  <si>
    <t>ohms electrical services</t>
  </si>
  <si>
    <t>0, 0, 1, 1, 1, 0, 0, 0, 0, 0, 1, 0, 0, 0, 0, 0, 0, 0, 0, 0, 0, 0, 2, 2</t>
  </si>
  <si>
    <t>keith electrical services</t>
  </si>
  <si>
    <t>smith electrical services</t>
  </si>
  <si>
    <t>0, 0, 0, 0, 0, 0, 0, 2, 2, 0, 0, 6, 0, 0, 0, 0, 0, 0, 0, 0, 0, 0, 0, 1</t>
  </si>
  <si>
    <t>dock leveler electrical installation</t>
  </si>
  <si>
    <t>2, 0, 0, 0, 0, 0, 0, 0, 0, 0, 0, 0, 1, 0, 0, 0, 0, 0, 0, 0, 0, 0, 0, 1</t>
  </si>
  <si>
    <t>emergency electrician drummoyne</t>
  </si>
  <si>
    <t>electrical contractor jobs adelaide</t>
  </si>
  <si>
    <t>electrical services ltd</t>
  </si>
  <si>
    <t>electrical services skagit county</t>
  </si>
  <si>
    <t>suffolk county emergency electrician</t>
  </si>
  <si>
    <t>purpose of earthing in electrical installation</t>
  </si>
  <si>
    <t>1, 1, 0, 0, 0, 2, 0, 0, 3, 0, 1, 6, 1, 2, 4, 2, 2, 4, 2, 5, 2, 4, 9, 6</t>
  </si>
  <si>
    <t>auto electrician plumstead cape town</t>
  </si>
  <si>
    <t>toorak emergency electrician</t>
  </si>
  <si>
    <t>electrical installation regulations 2016</t>
  </si>
  <si>
    <t>electrical services in abu dhabi</t>
  </si>
  <si>
    <t>electrical services monroe county</t>
  </si>
  <si>
    <t>emergency electrician clapham</t>
  </si>
  <si>
    <t>0, 0, 2, 1, 1, 0, 0, 0, 0, 0, 0, 0, 0, 0, 0, 0, 0, 0, 0, 0, 0, 0, 0, 1</t>
  </si>
  <si>
    <t>jrs electrical services</t>
  </si>
  <si>
    <t>specialised electrical services</t>
  </si>
  <si>
    <t>0, 0, 1, 0, 0, 0, 0, 0, 0, 0, 0, 0, 0, 1, 0, 0, 0, 0, 0, 0, 0, 1, 0, 1</t>
  </si>
  <si>
    <t>electrical contractor lake tapps wa</t>
  </si>
  <si>
    <t>electrical and pump services ltd</t>
  </si>
  <si>
    <t>1, 0, 1, 1, 0, 0, 3, 0, 1, 1, 0, 0, 0, 0, 0, 1, 0, 0, 0, 0, 0, 0, 0, 5</t>
  </si>
  <si>
    <t>residential electrical services shellharbour</t>
  </si>
  <si>
    <t>mega volt electrical services</t>
  </si>
  <si>
    <t>6, 0, 0, 0, 0, 0, 0, 1, 0, 0, 0, 0, 0, 0, 0, 0, 0, 0, 0, 0, 0, 0, 0, 1</t>
  </si>
  <si>
    <t>emergency electrician near hampton</t>
  </si>
  <si>
    <t>0, 1, 0, 0, 0, 0, 0, 1, 0, 2, 0, 0, 0, 0, 0, 0, 0, 0, 0, 0, 0, 0, 0, 1</t>
  </si>
  <si>
    <t>electrical services bromley</t>
  </si>
  <si>
    <t>0, 0, 1, 0, 2, 0, 0, 0, 1, 0, 1, 0, 0, 0, 0, 0, 0, 0, 0, 0, 0, 0, 0, 1</t>
  </si>
  <si>
    <t>24 hour emergency electrician london</t>
  </si>
  <si>
    <t>advanced electrical installation work pdf</t>
  </si>
  <si>
    <t>0, 0, 0, 0, 2, 0, 4, 3, 0, 1, 0, 0, 0, 0, 0, 1, 0, 0, 0, 0, 0, 0, 0, 1</t>
  </si>
  <si>
    <t>sugar land electrical outlet repairs</t>
  </si>
  <si>
    <t>electrical services burbank</t>
  </si>
  <si>
    <t>0, 0, 0, 1, 1, 1, 0, 2, 0, 1, 0, 0, 0, 0, 0, 0, 0, 0, 0, 0, 0, 0, 0, 1</t>
  </si>
  <si>
    <t>electrical installation practical</t>
  </si>
  <si>
    <t>0, 0, 0, 1, 0, 1, 0, 0, 0, 0, 0, 0, 1, 1, 0, 0, 3, 1, 2, 0, 0, 2, 0, 2</t>
  </si>
  <si>
    <t>emergency electrician vaucluse</t>
  </si>
  <si>
    <t>0, 0, 0, 2, 0, 1, 0, 1, 0, 0, 1, 0, 0, 0, 0, 0, 0, 0, 0, 0, 0, 0, 0, 1</t>
  </si>
  <si>
    <t>electrical installation penzance</t>
  </si>
  <si>
    <t>jd electrical services</t>
  </si>
  <si>
    <t>0, 0, 2, 0, 0, 0, 1, 1, 1, 0, 2, 4, 2, 6, 4, 1, 2, 2, 2, 2, 4, 4, 1, 4</t>
  </si>
  <si>
    <t>electrical light fix &amp; installation toronto</t>
  </si>
  <si>
    <t>alex maintenance and electrical services</t>
  </si>
  <si>
    <t>0, 1, 0, 0, 1, 0, 0, 0, 0, 0, 0, 0, 1, 0, 0, 1, 0, 0, 0, 0, 0, 0, 0, 1</t>
  </si>
  <si>
    <t>safety switch electrical services</t>
  </si>
  <si>
    <t>0, 2, 0, 0, 2, 1, 0, 0, 1, 0, 1, 0, 0, 0, 0, 0, 0, 0, 0, 0, 0, 0, 0, 1</t>
  </si>
  <si>
    <t>electrical design build services</t>
  </si>
  <si>
    <t>electrical services frankenmuth, mi</t>
  </si>
  <si>
    <t>0, 0, 0, 0, 0, 0, 0, 2, 1, 0, 0, 0, 0, 0, 0, 1, 0, 0, 0, 0, 0, 0, 0, 1</t>
  </si>
  <si>
    <t>emergency electrician roselands</t>
  </si>
  <si>
    <t>level 3 electrical installation apprenticeship</t>
  </si>
  <si>
    <t>1, 0, 0, 0, 0, 0, 1, 0, 0, 1, 0, 1, 0, 0, 0, 0, 1, 0, 0, 0, 0, 0, 0, 1</t>
  </si>
  <si>
    <t>commercial electrical services union county</t>
  </si>
  <si>
    <t>commercial electrical services newcastle</t>
  </si>
  <si>
    <t>multi purpose electrical services</t>
  </si>
  <si>
    <t>electrical panel installation charlotte, nc</t>
  </si>
  <si>
    <t>0, 0, 0, 0, 0, 2, 0, 0, 2, 0, 1, 0, 0, 0, 0, 0, 0, 0, 0, 0, 0, 0, 0, 1</t>
  </si>
  <si>
    <t>electrical contractor bayou vista</t>
  </si>
  <si>
    <t>0, 1, 0, 0, 0, 0, 0, 0, 1, 0, 0, 0, 0, 0, 0, 0, 0, 0, 0, 0, 0, 0, 0, 1</t>
  </si>
  <si>
    <t>west palm beach electrical contractor</t>
  </si>
  <si>
    <t>0, 0, 1, 0, 0, 0, 0, 0, 2, 0, 0, 0, 0, 0, 0, 0, 0, 0, 0, 0, 0, 0, 0, 1</t>
  </si>
  <si>
    <t>electrical outlet repairs</t>
  </si>
  <si>
    <t>0, 0, 0, 0, 0, 2, 1, 0, 6, 2, 8, 6, 0, 0, 0, 0, 0, 0, 0, 0, 0, 0, 0, 1</t>
  </si>
  <si>
    <t>electrical preconstruction services</t>
  </si>
  <si>
    <t>sarasota emergency electrician</t>
  </si>
  <si>
    <t>becoming an electrical contractor</t>
  </si>
  <si>
    <t>0, 0, 0, 1, 0, 0, 1, 1, 0, 0, 1, 0, 0, 0, 0, 0, 0, 0, 0, 0, 0, 0, 2, 2</t>
  </si>
  <si>
    <t>emergency electrician northmead</t>
  </si>
  <si>
    <t>commercial electrical services los angeles ca</t>
  </si>
  <si>
    <t>0, 1, 3, 0, 0, 1, 0, 0, 0, 1, 1, 1, 0, 0, 0, 0, 0, 0, 0, 0, 0, 0, 0, 1</t>
  </si>
  <si>
    <t>electrical security services</t>
  </si>
  <si>
    <t>0, 0, 3, 0, 0, 0, 0, 0, 0, 0, 0, 0, 0, 0, 0, 0, 0, 0, 0, 0, 0, 0, 0, 1</t>
  </si>
  <si>
    <t>electrical motor installation</t>
  </si>
  <si>
    <t>1, 4, 0, 0, 0, 0, 0, 0, 0, 0, 0, 0, 0, 0, 0, 1, 0, 0, 0, 0, 2, 0, 2, 1</t>
  </si>
  <si>
    <t>electrical system services</t>
  </si>
  <si>
    <t>0, 0, 0, 1, 0, 1, 1, 0, 0, 2, 1, 1, 0, 0, 0, 0, 0, 0, 0, 2, 0, 0, 0, 1</t>
  </si>
  <si>
    <t>kris electrical services</t>
  </si>
  <si>
    <t>arnold electrical services</t>
  </si>
  <si>
    <t>0, 0, 2, 1, 1, 0, 0, 0, 0, 1, 0, 1, 1, 0, 0, 2, 1, 0, 2, 0, 3, 2, 3, 4</t>
  </si>
  <si>
    <t>eh gas and electrical services</t>
  </si>
  <si>
    <t>electrical repairs in fishhawk</t>
  </si>
  <si>
    <t>emergency electrician macquarie park</t>
  </si>
  <si>
    <t>electrical contractor in dubai</t>
  </si>
  <si>
    <t>electrical conveyor installation</t>
  </si>
  <si>
    <t>0, 0, 1, 0, 1, 0, 0, 0, 0, 0, 0, 0, 0, 1, 0, 0, 0, 0, 0, 0, 0, 0, 0, 1</t>
  </si>
  <si>
    <t>electrical switch repairs</t>
  </si>
  <si>
    <t>electrical contractor test</t>
  </si>
  <si>
    <t>holmes electrical services</t>
  </si>
  <si>
    <t>emergency electrician in hull</t>
  </si>
  <si>
    <t>rf electrical services</t>
  </si>
  <si>
    <t>electrical contractor rates spokane wa</t>
  </si>
  <si>
    <t>electrical repairs matthews, nc</t>
  </si>
  <si>
    <t>mabank electrical services</t>
  </si>
  <si>
    <t>1, 0, 0, 3, 1, 0, 1, 0, 0, 0, 0, 0, 0, 0, 0, 0, 0, 0, 0, 0, 0, 0, 0, 1</t>
  </si>
  <si>
    <t>electrical installation certificate niceic</t>
  </si>
  <si>
    <t>0, 0, 0, 1, 0, 0, 0, 0, 0, 0, 2, 1, 0, 0, 0, 0, 0, 0, 0, 0, 0, 0, 0, 1</t>
  </si>
  <si>
    <t>florida electrical services</t>
  </si>
  <si>
    <t>electrical contractor scheduling</t>
  </si>
  <si>
    <t>0, 0, 0, 1, 3, 0, 1, 1, 1, 0, 0, 3, 0, 0, 0, 0, 0, 0, 0, 0, 0, 0, 0, 1</t>
  </si>
  <si>
    <t>electrical engineering services company</t>
  </si>
  <si>
    <t>0, 0, 2, 1, 0, 1, 0, 1, 0, 2, 1, 0, 2, 0, 0, 0, 0, 0, 0, 0, 0, 0, 0, 1</t>
  </si>
  <si>
    <t>emergency electrician harrow</t>
  </si>
  <si>
    <t>0, 1, 1, 0, 0, 0, 0, 0, 0, 0, 1, 0, 0, 0, 0, 0, 0, 0, 0, 0, 0, 0, 0, 1</t>
  </si>
  <si>
    <t>south west electrical services</t>
  </si>
  <si>
    <t>electrical services east london</t>
  </si>
  <si>
    <t>0, 0, 0, 0, 0, 4, 1, 1, 0, 0, 0, 0, 0, 0, 0, 0, 0, 0, 0, 0, 0, 0, 0, 1</t>
  </si>
  <si>
    <t>emergency electrician portsmouth</t>
  </si>
  <si>
    <t>emergency electrician dickson</t>
  </si>
  <si>
    <t>reading electrical services</t>
  </si>
  <si>
    <t>emergency electrician durham</t>
  </si>
  <si>
    <t>registered electrical contractor application form</t>
  </si>
  <si>
    <t>abm electrical power services</t>
  </si>
  <si>
    <t>1, 0, 0, 0, 0, 1, 1, 0, 1, 0, 0, 0, 0, 0, 0, 0, 0, 1, 0, 1, 0, 0, 0, 1</t>
  </si>
  <si>
    <t>on site auto electrical repairs randfontein</t>
  </si>
  <si>
    <t>0, 1, 0, 3, 0, 3, 0, 0, 0, 0, 0, 0, 0, 0, 0, 0, 0, 0, 0, 0, 0, 0, 0, 1</t>
  </si>
  <si>
    <t>electrical wiring contractor higley</t>
  </si>
  <si>
    <t>r&amp;s electrical services</t>
  </si>
  <si>
    <t>0, 0, 0, 0, 2, 1, 0, 1, 0, 0, 0, 0, 0, 0, 0, 0, 0, 0, 0, 0, 0, 0, 0, 1</t>
  </si>
  <si>
    <t>emergency electrician geelong</t>
  </si>
  <si>
    <t>0, 2, 0, 0, 0, 2, 0, 0, 2, 2, 2, 0, 0, 0, 0, 0, 0, 0, 0, 0, 0, 0, 0, 1</t>
  </si>
  <si>
    <t>electrical services bedford</t>
  </si>
  <si>
    <t>0, 0, 0, 0, 0, 0, 1, 2, 0, 0, 0, 1, 0, 0, 0, 0, 0, 0, 0, 0, 0, 0, 0, 1</t>
  </si>
  <si>
    <t>electrical services company irving tx</t>
  </si>
  <si>
    <t>car audio electrical repairs melbourne</t>
  </si>
  <si>
    <t>24 hour emergency electrician bentleigh</t>
  </si>
  <si>
    <t>emergency electrician cabarita</t>
  </si>
  <si>
    <t>alan electrical services</t>
  </si>
  <si>
    <t>electrical contractor brighton</t>
  </si>
  <si>
    <t>0, 0, 1, 0, 1, 0, 1, 1, 2, 0, 1, 3, 0, 0, 0, 0, 0, 0, 0, 0, 0, 0, 0, 1</t>
  </si>
  <si>
    <t>electrical contractor invoice software</t>
  </si>
  <si>
    <t>2, 1, 2, 3, 1, 0, 0, 0, 4, 1, 2, 0, 0, 0, 0, 0, 0, 0, 0, 0, 0, 0, 0, 1</t>
  </si>
  <si>
    <t>electrical installation work level 1 pdf</t>
  </si>
  <si>
    <t>electrical services in richards bay</t>
  </si>
  <si>
    <t>electrical services nashville tn</t>
  </si>
  <si>
    <t>emergency electrician westleigh</t>
  </si>
  <si>
    <t>hot tub electrical installation livonia mi</t>
  </si>
  <si>
    <t>electrical contractor los angeles ca</t>
  </si>
  <si>
    <t>0, 0, 0, 2, 0, 1, 0, 0, 2, 0, 1, 2, 0, 0, 0, 0, 0, 0, 0, 0, 0, 0, 0, 1</t>
  </si>
  <si>
    <t>electrical work services in dubai</t>
  </si>
  <si>
    <t>0, 0, 0, 0, 1, 1, 0, 4, 3, 0, 3, 0, 0, 0, 0, 0, 0, 0, 0, 0, 0, 0, 0, 1</t>
  </si>
  <si>
    <t>electrical contractor anaheim</t>
  </si>
  <si>
    <t>emergency electrician west pymble</t>
  </si>
  <si>
    <t>elliot electrical services</t>
  </si>
  <si>
    <t>electrical services morphett vale</t>
  </si>
  <si>
    <t>express electrical services</t>
  </si>
  <si>
    <t>0, 0, 0, 0, 0, 0, 1, 0, 1, 0, 1, 1, 0, 0, 0, 0, 0, 0, 0, 0, 0, 0, 0, 1</t>
  </si>
  <si>
    <t>emergency electrician in bradford</t>
  </si>
  <si>
    <t>0, 0, 0, 2, 0, 0, 0, 0, 0, 0, 1, 0, 0, 0, 0, 0, 0, 0, 0, 0, 0, 0, 0, 1</t>
  </si>
  <si>
    <t>electrical contractor insurance oklahoma</t>
  </si>
  <si>
    <t>0, 0, 0, 0, 1, 2, 0, 0, 0, 1, 0, 0, 0, 0, 0, 0, 0, 0, 0, 0, 0, 0, 0, 1</t>
  </si>
  <si>
    <t>electrical services in germiston, gauteng</t>
  </si>
  <si>
    <t>0, 0, 0, 0, 0, 0, 0, 0, 0, 0, 0, 0, 0, 0, 0, 0, 0, 3, 3, 0, 0, 0, 0, 1</t>
  </si>
  <si>
    <t>electrical contractor company new london ct</t>
  </si>
  <si>
    <t>emergency electrician crows nest</t>
  </si>
  <si>
    <t>0, 0, 0, 1, 1, 0, 1, 0, 0, 0, 1, 0, 0, 0, 0, 0, 0, 0, 0, 0, 0, 0, 0, 1</t>
  </si>
  <si>
    <t>site electrical services</t>
  </si>
  <si>
    <t>0, 0, 0, 0, 0, 0, 0, 0, 0, 0, 1, 0, 0, 2, 0, 0, 0, 0, 0, 0, 0, 0, 0, 1</t>
  </si>
  <si>
    <t>electrical installation mountain creek</t>
  </si>
  <si>
    <t>electrical panel installation diagram</t>
  </si>
  <si>
    <t>0, 0, 0, 0, 0, 1, 0, 0, 0, 3, 0, 0, 1, 0, 0, 1, 0, 1, 0, 1, 0, 0, 0, 1</t>
  </si>
  <si>
    <t>origin electrical services</t>
  </si>
  <si>
    <t>electrical panel contractor latimer</t>
  </si>
  <si>
    <t>emergency electrician bickley</t>
  </si>
  <si>
    <t>mining electrical services</t>
  </si>
  <si>
    <t>0, 2, 1, 0, 0, 0, 1, 0, 0, 2, 2, 0, 0, 0, 1, 0, 0, 0, 0, 0, 0, 0, 0, 1</t>
  </si>
  <si>
    <t>nashville emergency electrician</t>
  </si>
  <si>
    <t>0, 0, 0, 1, 0, 0, 1, 1, 1, 0, 1, 0, 0, 0, 0, 0, 0, 0, 0, 0, 0, 0, 0, 1</t>
  </si>
  <si>
    <t>electrical services jerome id</t>
  </si>
  <si>
    <t>salter point emergency electrician</t>
  </si>
  <si>
    <t>0, 0, 0, 0, 0, 0, 0, 1, 1, 2, 1, 0, 0, 0, 0, 0, 0, 0, 0, 0, 0, 0, 0, 1</t>
  </si>
  <si>
    <t>process of electrical installation</t>
  </si>
  <si>
    <t>sac electrical services</t>
  </si>
  <si>
    <t>organizational chart for electrical contractor</t>
  </si>
  <si>
    <t>car electrical services officer</t>
  </si>
  <si>
    <t>electrical &amp; mechanical services</t>
  </si>
  <si>
    <t>0, 0, 0, 0, 0, 0, 0, 0, 0, 1, 0, 2, 0, 0, 0, 0, 1, 0, 1, 0, 0, 0, 2, 1</t>
  </si>
  <si>
    <t>dock electrical services charlotte, nc</t>
  </si>
  <si>
    <t>trust electrical services</t>
  </si>
  <si>
    <t>0, 0, 0, 1, 0, 1, 0, 0, 0, 0, 1, 0, 0, 0, 0, 0, 0, 0, 0, 0, 0, 0, 0, 1</t>
  </si>
  <si>
    <t>doylestown electrical services</t>
  </si>
  <si>
    <t>0, 0, 0, 0, 1, 0, 0, 0, 1, 0, 1, 5, 0, 0, 0, 0, 0, 0, 0, 0, 0, 0, 0, 1</t>
  </si>
  <si>
    <t>yorkshire electrical services</t>
  </si>
  <si>
    <t>0, 2, 1, 0, 0, 0, 0, 0, 0, 0, 0, 0, 1, 0, 0, 0, 0, 0, 0, 0, 0, 0, 0, 1</t>
  </si>
  <si>
    <t>electrical services hardin county</t>
  </si>
  <si>
    <t>quick electrical services</t>
  </si>
  <si>
    <t>tempe electrical services</t>
  </si>
  <si>
    <t>emergency breakdown electrician</t>
  </si>
  <si>
    <t>como emergency electrician</t>
  </si>
  <si>
    <t>0, 0, 0, 0, 1, 1, 0, 1, 1, 1, 1, 0, 0, 0, 0, 0, 0, 0, 0, 0, 0, 0, 0, 1</t>
  </si>
  <si>
    <t>electrical installation tampa, fl</t>
  </si>
  <si>
    <t>electrical design services in new hampshire</t>
  </si>
  <si>
    <t>electrical contractor barnstaple</t>
  </si>
  <si>
    <t>j c electrical services</t>
  </si>
  <si>
    <t>electrical services n4</t>
  </si>
  <si>
    <t>1, 0, 0, 0, 0, 0, 0, 0, 1, 1, 0, 0, 0, 0, 0, 0, 0, 0, 0, 0, 0, 0, 0, 1</t>
  </si>
  <si>
    <t>luxury electrical services</t>
  </si>
  <si>
    <t>amlec electrical services</t>
  </si>
  <si>
    <t>emergency electrician kennington</t>
  </si>
  <si>
    <t>0, 0, 1, 0, 0, 0, 0, 2, 1, 2, 1, 0, 0, 0, 0, 0, 0, 0, 0, 0, 0, 0, 0, 1</t>
  </si>
  <si>
    <t>electrical installation design software</t>
  </si>
  <si>
    <t>0, 0, 0, 0, 0, 0, 0, 0, 0, 1, 0, 1, 0, 1, 0, 0, 1, 0, 0, 0, 0, 0, 0, 1</t>
  </si>
  <si>
    <t>electrical contractor wellington</t>
  </si>
  <si>
    <t>0, 0, 0, 0, 0, 0, 0, 0, 2, 0, 0, 0, 1, 0, 0, 0, 1, 0, 0, 0, 0, 0, 1, 1</t>
  </si>
  <si>
    <t>electrical services deception bay</t>
  </si>
  <si>
    <t>indianapolis home electrical repair services</t>
  </si>
  <si>
    <t>24 hr emergency electrician salt lake county</t>
  </si>
  <si>
    <t>emergency electrician st. louis mo</t>
  </si>
  <si>
    <t>bray electrical services</t>
  </si>
  <si>
    <t>1, 0, 0, 0, 1, 0, 0, 0, 0, 0, 0, 0, 0, 0, 0, 0, 1, 1, 1, 0, 0, 0, 0, 1</t>
  </si>
  <si>
    <t>electrical services ppt</t>
  </si>
  <si>
    <t>emergency electrician union county</t>
  </si>
  <si>
    <t>electrical contractor richmond ky</t>
  </si>
  <si>
    <t>carmel valley electrical contractor</t>
  </si>
  <si>
    <t>electrical contractor frankston</t>
  </si>
  <si>
    <t>titan electrical services</t>
  </si>
  <si>
    <t>0, 1, 0, 0, 0, 0, 1, 0, 0, 0, 0, 0, 0, 0, 0, 0, 0, 1, 0, 0, 0, 0, 0, 1</t>
  </si>
  <si>
    <t>national electrical installation standards</t>
  </si>
  <si>
    <t>0, 2, 0, 0, 0, 0, 0, 0, 1, 0, 0, 1, 0, 0, 0, 0, 0, 0, 0, 0, 0, 0, 0, 1</t>
  </si>
  <si>
    <t>south carolina electrical contractor license</t>
  </si>
  <si>
    <t>complete electrical services</t>
  </si>
  <si>
    <t>0, 2, 1, 2, 1, 0, 0, 2, 3, 4, 1, 1, 0, 1, 0, 0, 0, 1, 0, 0, 4, 0, 0, 2</t>
  </si>
  <si>
    <t>electrical panel installation near me</t>
  </si>
  <si>
    <t>0, 0, 0, 0, 0, 4, 5, 7, 3, 3, 2, 0, 0, 0, 0, 0, 0, 0, 0, 0, 1, 0, 1, 2</t>
  </si>
  <si>
    <t>jay electrical services</t>
  </si>
  <si>
    <t>0, 0, 0, 0, 1, 1, 0, 1, 0, 0, 0, 0, 0, 0, 0, 0, 0, 0, 0, 0, 0, 0, 0, 1</t>
  </si>
  <si>
    <t>electrical repairs edina</t>
  </si>
  <si>
    <t>electrical contractor austin tx</t>
  </si>
  <si>
    <t>electrical installation houston</t>
  </si>
  <si>
    <t>electrical panel installation spring</t>
  </si>
  <si>
    <t>emergency electrician jefferson county</t>
  </si>
  <si>
    <t>escalator electrical services</t>
  </si>
  <si>
    <t>0, 0, 0, 1, 0, 0, 0, 1, 2, 1, 1, 0, 0, 0, 0, 0, 0, 0, 0, 0, 0, 0, 0, 1</t>
  </si>
  <si>
    <t>local electrical services</t>
  </si>
  <si>
    <t>1, 1, 0, 1, 4, 3, 0, 4, 5, 4, 4, 0, 0, 0, 0, 2, 1, 0, 0, 0, 0, 0, 0, 1</t>
  </si>
  <si>
    <t>commercial electrical contractor apollo beach</t>
  </si>
  <si>
    <t>electrical panel installation technician</t>
  </si>
  <si>
    <t>0, 0, 0, 0, 0, 0, 0, 0, 0, 0, 0, 0, 0, 0, 0, 0, 0, 0, 0, 0, 0, 3, 0, 6</t>
  </si>
  <si>
    <t>metropolitan electrical services</t>
  </si>
  <si>
    <t>emergency electrician pulborough</t>
  </si>
  <si>
    <t>components of electrical installation</t>
  </si>
  <si>
    <t>scott's electrical services</t>
  </si>
  <si>
    <t>electrical services scotland</t>
  </si>
  <si>
    <t>emergency electrical repair services</t>
  </si>
  <si>
    <t>0, 1, 0, 0, 0, 0, 0, 0, 0, 2, 0, 0, 0, 0, 0, 0, 0, 0, 0, 0, 0, 0, 0, 1</t>
  </si>
  <si>
    <t>virginia beach home electrical repair services</t>
  </si>
  <si>
    <t>industrial electrical services houston</t>
  </si>
  <si>
    <t>0, 1, 1, 2, 0, 1, 0, 0, 0, 1, 0, 0, 0, 0, 0, 0, 0, 0, 0, 0, 0, 0, 0, 1</t>
  </si>
  <si>
    <t>emergency electrician chester county</t>
  </si>
  <si>
    <t>kissimmee electrical services</t>
  </si>
  <si>
    <t>remodeling electrical services</t>
  </si>
  <si>
    <t>electrical repairs canberra</t>
  </si>
  <si>
    <t>0, 1, 0, 1, 0, 1, 0, 0, 1, 0, 1, 0, 1, 0, 1, 0, 0, 0, 0, 0, 0, 0, 0, 1</t>
  </si>
  <si>
    <t>electrical wiring installation austin</t>
  </si>
  <si>
    <t>emergency electrician taunton</t>
  </si>
  <si>
    <t>0, 0, 0, 0, 0, 0, 2, 0, 0, 1, 0, 0, 0, 0, 0, 0, 0, 0, 0, 0, 0, 0, 0, 1</t>
  </si>
  <si>
    <t>emergency electrician bondi</t>
  </si>
  <si>
    <t>0, 0, 0, 1, 0, 2, 0, 0, 1, 1, 1, 0, 0, 0, 0, 0, 1, 0, 0, 0, 0, 0, 0, 1</t>
  </si>
  <si>
    <t>residential electrical contractor richfield ut</t>
  </si>
  <si>
    <t>nc electrical contractor</t>
  </si>
  <si>
    <t>electrical services bellevue wa</t>
  </si>
  <si>
    <t>emergency electrician erith</t>
  </si>
  <si>
    <t>0, 1, 0, 0, 1, 0, 3, 0, 0, 1, 0, 0, 0, 0, 0, 0, 0, 0, 0, 0, 0, 0, 0, 1</t>
  </si>
  <si>
    <t>kings electrical services</t>
  </si>
  <si>
    <t>pool electrical installation cost</t>
  </si>
  <si>
    <t>0, 1, 0, 0, 0, 0, 0, 0, 0, 0, 0, 0, 1, 0, 0, 0, 0, 0, 1, 0, 2, 0, 0, 1</t>
  </si>
  <si>
    <t>electrical installation condition report brighton</t>
  </si>
  <si>
    <t>electrical services barnstaple</t>
  </si>
  <si>
    <t>electrician training cape town</t>
  </si>
  <si>
    <t>emergency electrician murrieta ca</t>
  </si>
  <si>
    <t>electrical services castle rock</t>
  </si>
  <si>
    <t>residential electrical services baton rouge</t>
  </si>
  <si>
    <t>hot tub electrical installation in hopkinton</t>
  </si>
  <si>
    <t>0, 0, 0, 0, 0, 0, 0, 0, 0, 0, 2, 0, 0, 0, 0, 0, 0, 0, 0, 0, 0, 0, 1, 2</t>
  </si>
  <si>
    <t>raptor electrical services (pty) ltd</t>
  </si>
  <si>
    <t>tallahassee electrical services</t>
  </si>
  <si>
    <t>0, 0, 0, 0, 0, 0, 0, 0, 1, 2, 0, 0, 0, 0, 0, 1, 0, 0, 0, 0, 0, 0, 0, 1</t>
  </si>
  <si>
    <t>24 hr electrical services near me</t>
  </si>
  <si>
    <t>0, 0, 1, 0, 0, 0, 2, 1, 1, 1, 1, 0, 0, 0, 0, 0, 0, 0, 0, 0, 0, 0, 1, 1</t>
  </si>
  <si>
    <t>emergency electrician new hampshire</t>
  </si>
  <si>
    <t>petrol pump electrical installation</t>
  </si>
  <si>
    <t>electrical installation condition report landlord</t>
  </si>
  <si>
    <t>emergency electrician tamarama</t>
  </si>
  <si>
    <t>strike electrical services</t>
  </si>
  <si>
    <t>0, 1, 0, 1, 0, 0, 0, 1, 1, 0, 0, 0, 0, 0, 0, 0, 0, 0, 0, 0, 0, 0, 0, 1</t>
  </si>
  <si>
    <t>emergency electrician lansdale</t>
  </si>
  <si>
    <t>0, 0, 0, 0, 0, 2, 0, 0, 0, 3, 2, 0, 0, 0, 0, 0, 0, 0, 0, 0, 0, 0, 0, 1</t>
  </si>
  <si>
    <t>electrical installation service st marys</t>
  </si>
  <si>
    <t>electrical contractor electrician invoice</t>
  </si>
  <si>
    <t>1, 1, 0, 0, 0, 1, 3, 0, 0, 1, 1, 0, 2, 5, 2, 2, 1, 1, 0, 1, 1, 1, 0, 2</t>
  </si>
  <si>
    <t>contemporary electrical services</t>
  </si>
  <si>
    <t>cherryville emergency electrician</t>
  </si>
  <si>
    <t>registered electrical contractor derby</t>
  </si>
  <si>
    <t>electrical installation components</t>
  </si>
  <si>
    <t>0, 2, 1, 2, 1, 0, 0, 0, 0, 2, 4, 0, 3, 0, 3, 0, 0, 3, 0, 4, 2, 0, 4, 1</t>
  </si>
  <si>
    <t>bucks electrical services</t>
  </si>
  <si>
    <t>0, 0, 0, 0, 0, 0, 0, 1, 0, 0, 3, 1, 0, 0, 0, 0, 0, 0, 0, 0, 0, 0, 0, 1</t>
  </si>
  <si>
    <t>colleyville electrical services</t>
  </si>
  <si>
    <t>0, 0, 0, 0, 0, 1, 0, 0, 0, 0, 3, 0, 0, 0, 0, 0, 1, 0, 0, 0, 0, 0, 0, 1</t>
  </si>
  <si>
    <t>commercial electrical services missouri</t>
  </si>
  <si>
    <t>electrical contractor in jersey city</t>
  </si>
  <si>
    <t>harmonics electrical services</t>
  </si>
  <si>
    <t>electrical services natick</t>
  </si>
  <si>
    <t>electrician emergency service orlando</t>
  </si>
  <si>
    <t>0, 0, 1, 0, 1, 1, 0, 1, 1, 1, 1, 0, 0, 0, 0, 0, 0, 0, 0, 0, 0, 0, 0, 1</t>
  </si>
  <si>
    <t>carine emergency electrician</t>
  </si>
  <si>
    <t>0, 0, 0, 0, 1, 0, 0, 0, 3, 2, 1, 0, 0, 0, 0, 0, 0, 0, 0, 0, 0, 0, 0, 1</t>
  </si>
  <si>
    <t>yk electrical services</t>
  </si>
  <si>
    <t>electrical panel installation little rock</t>
  </si>
  <si>
    <t>mcm electrical services</t>
  </si>
  <si>
    <t>electrical contractor means</t>
  </si>
  <si>
    <t>0, 0, 0, 0, 0, 0, 0, 0, 0, 0, 0, 0, 0, 0, 0, 1, 0, 0, 1, 0, 0, 1, 0, 1</t>
  </si>
  <si>
    <t>sunshine electrical services</t>
  </si>
  <si>
    <t>1, 0, 0, 0, 0, 0, 0, 0, 1, 0, 1, 0, 0, 0, 1, 0, 3, 0, 5, 2, 0, 1, 1, 1</t>
  </si>
  <si>
    <t>electrical contractor stoke on trent</t>
  </si>
  <si>
    <t>emergency electrician safety switch fault</t>
  </si>
  <si>
    <t>union electrical contractor puget sound</t>
  </si>
  <si>
    <t>electrical contractor hitchcock texas</t>
  </si>
  <si>
    <t>electrical panel installation mahomet</t>
  </si>
  <si>
    <t>new electrical outlet installation cost</t>
  </si>
  <si>
    <t>1, 0, 0, 1, 0, 0, 0, 0, 0, 0, 0, 0, 0, 0, 1, 0, 0, 1, 0, 0, 0, 0, 0, 1</t>
  </si>
  <si>
    <t>glands electrical installation</t>
  </si>
  <si>
    <t>3, 8, 6, 1, 2, 3, 3, 4, 4, 0, 3, 0, 4, 1, 3, 1, 1, 2, 3, 0, 0, 0, 0, 1</t>
  </si>
  <si>
    <t>spot on electrical services</t>
  </si>
  <si>
    <t>electrical power services new milford nj</t>
  </si>
  <si>
    <t>electrical compliance services</t>
  </si>
  <si>
    <t>1, 0, 1, 1, 0, 0, 0, 2, 0, 0, 0, 0, 0, 0, 0, 0, 0, 1, 1, 0, 0, 0, 0, 1</t>
  </si>
  <si>
    <t>electrical and heating maintenance services</t>
  </si>
  <si>
    <t>electrical installation services london</t>
  </si>
  <si>
    <t>1, 1, 0, 0, 0, 0, 0, 0, 1, 1, 0, 0, 0, 0, 1, 0, 1, 0, 0, 0, 0, 0, 0, 1</t>
  </si>
  <si>
    <t>electrical contractor olathe</t>
  </si>
  <si>
    <t>electrical contractor chesapeake va</t>
  </si>
  <si>
    <t>electrical contractor contracts fountain hills</t>
  </si>
  <si>
    <t>electrical appliance repairs sunshine coast</t>
  </si>
  <si>
    <t>electrical services in epsom</t>
  </si>
  <si>
    <t>0, 0, 0, 0, 0, 0, 0, 0, 2, 0, 0, 0, 0, 0, 1, 0, 0, 0, 0, 0, 0, 0, 1, 1</t>
  </si>
  <si>
    <t>residential electrical services grapevine tx</t>
  </si>
  <si>
    <t>electrical services black mountain</t>
  </si>
  <si>
    <t>electrical wiring and repairs burlington, wa</t>
  </si>
  <si>
    <t>0, 0, 0, 0, 0, 0, 0, 2, 1, 0, 0, 1, 0, 0, 0, 0, 0, 0, 0, 0, 0, 0, 0, 1</t>
  </si>
  <si>
    <t>star auto electrical services cape town</t>
  </si>
  <si>
    <t>speedy electrical services</t>
  </si>
  <si>
    <t>emergency electrician cherrybrook</t>
  </si>
  <si>
    <t>0, 0, 0, 0, 0, 0, 0, 1, 0, 1, 0, 1, 0, 0, 0, 0, 0, 0, 0, 0, 0, 0, 0, 1</t>
  </si>
  <si>
    <t>electrical installation for beginners</t>
  </si>
  <si>
    <t>1, 0, 0, 0, 0, 0, 0, 1, 0, 0, 0, 0, 0, 0, 2, 0, 0, 0, 0, 0, 0, 0, 0, 1</t>
  </si>
  <si>
    <t>commercial electrical services mississippi</t>
  </si>
  <si>
    <t>rail electrical services</t>
  </si>
  <si>
    <t>0, 0, 0, 1, 0, 0, 0, 1, 0, 0, 0, 0, 0, 0, 0, 0, 0, 0, 0, 0, 0, 0, 0, 2</t>
  </si>
  <si>
    <t>residential electrical repairs christchurch</t>
  </si>
  <si>
    <t>linked electrical services</t>
  </si>
  <si>
    <t>ct electrical services</t>
  </si>
  <si>
    <t>0, 0, 0, 0, 0, 1, 6, 1, 0, 1, 0, 0, 0, 0, 0, 0, 0, 0, 0, 1, 0, 1, 1, 1</t>
  </si>
  <si>
    <t>electrical repairs bridgend</t>
  </si>
  <si>
    <t>0, 0, 0, 0, 0, 0, 0, 0, 0, 0, 2, 0, 0, 1, 0, 0, 0, 0, 0, 2, 1, 3, 0, 2</t>
  </si>
  <si>
    <t>lees electrical services</t>
  </si>
  <si>
    <t>electrical services linden</t>
  </si>
  <si>
    <t>0, 0, 1, 0, 1, 1, 1, 0, 1, 0, 0, 0, 0, 0, 0, 0, 0, 0, 0, 0, 0, 0, 0, 1</t>
  </si>
  <si>
    <t>hdb electrical contractor</t>
  </si>
  <si>
    <t>electrical services delaware county</t>
  </si>
  <si>
    <t>emergency electrician adelaide</t>
  </si>
  <si>
    <t>0, 1, 0, 1, 1, 1, 1, 0, 5, 6, 2, 0, 0, 0, 0, 0, 0, 0, 0, 0, 0, 0, 0, 1</t>
  </si>
  <si>
    <t>commercial electrical services euless tx</t>
  </si>
  <si>
    <t>electrical installation and maintenance logo</t>
  </si>
  <si>
    <t>0, 1, 0, 1, 0, 0, 3, 0, 2, 2, 2, 0, 1, 0, 1, 1, 2, 0, 2, 0, 3, 0, 2, 1</t>
  </si>
  <si>
    <t>electrical pat testing services hull</t>
  </si>
  <si>
    <t>atlanta electrical services</t>
  </si>
  <si>
    <t>0, 0, 0, 0, 0, 0, 3, 0, 0, 2, 2, 0, 0, 0, 0, 0, 0, 0, 0, 0, 0, 0, 0, 1</t>
  </si>
  <si>
    <t>contractor in electrical</t>
  </si>
  <si>
    <t>0, 0, 0, 2, 3, 1, 0, 2, 4, 2, 0, 1, 0, 1, 2, 3, 0, 0, 1, 0, 0, 3, 0, 2</t>
  </si>
  <si>
    <t>electrical upgrade services</t>
  </si>
  <si>
    <t>emergency electrician freshwater</t>
  </si>
  <si>
    <t>electrical maintenance services melbourne</t>
  </si>
  <si>
    <t>1, 0, 0, 0, 0, 0, 0, 0, 0, 0, 0, 0, 1, 0, 0, 0, 0, 0, 0, 0, 0, 0, 0, 1</t>
  </si>
  <si>
    <t>emergency electrical services houston tx</t>
  </si>
  <si>
    <t>electrical services in loudon</t>
  </si>
  <si>
    <t>0, 0, 0, 0, 0, 0, 0, 0, 1, 0, 1, 0, 1, 1, 0, 0, 2, 0, 0, 0, 0, 0, 0, 1</t>
  </si>
  <si>
    <t>best electrical appliance repairs near me</t>
  </si>
  <si>
    <t>0, 0, 0, 0, 0, 0, 0, 0, 0, 0, 0, 0, 2, 2, 0, 1, 0, 0, 0, 0, 0, 0, 0, 1</t>
  </si>
  <si>
    <t>electrical services bradenton</t>
  </si>
  <si>
    <t>1, 0, 0, 0, 1, 1, 1, 2, 1, 0, 3, 0, 0, 0, 0, 0, 0, 0, 0, 0, 0, 0, 0, 1</t>
  </si>
  <si>
    <t>electrical services milwaukee</t>
  </si>
  <si>
    <t>communicating your electrical services</t>
  </si>
  <si>
    <t>connect electrical services</t>
  </si>
  <si>
    <t>services offered by tim brown electrical</t>
  </si>
  <si>
    <t>0, 0, 2, 2, 0, 12, 2, 7, 1, 0, 0, 0, 0, 0, 0, 0, 0, 0, 0, 0, 0, 0, 0, 1</t>
  </si>
  <si>
    <t>dol electrical contractor registration</t>
  </si>
  <si>
    <t>0, 6, 0, 3, 1, 2, 7, 1, 4, 4, 2, 1, 1, 8, 4, 8, 0, 0, 8, 1, 0, 0, 0, 1</t>
  </si>
  <si>
    <t>winnipeg electrical contractor</t>
  </si>
  <si>
    <t>1, 1, 1, 0, 0, 0, 1, 0, 0, 0, 0, 0, 0, 0, 0, 0, 0, 0, 0, 0, 0, 0, 0, 1</t>
  </si>
  <si>
    <t>electrical contractor port macquarie</t>
  </si>
  <si>
    <t>electrical contractor victoria</t>
  </si>
  <si>
    <t>2, 0, 1, 2, 3, 1, 1, 0, 0, 1, 0, 0, 0, 0, 0, 0, 0, 0, 0, 0, 0, 0, 0, 1</t>
  </si>
  <si>
    <t>los angeles emergency electrical services</t>
  </si>
  <si>
    <t>electrical installation condition report droxford</t>
  </si>
  <si>
    <t>commercial electrical services red deer</t>
  </si>
  <si>
    <t>electrical panel installation lakewood</t>
  </si>
  <si>
    <t>electrical services cornelius, nc</t>
  </si>
  <si>
    <t>0, 0, 0, 0, 0, 1, 0, 0, 1, 0, 1, 0, 0, 0, 0, 0, 0, 0, 0, 0, 0, 0, 0, 1</t>
  </si>
  <si>
    <t>emergency electrician glenfield</t>
  </si>
  <si>
    <t>electrical panel installation d'iberville</t>
  </si>
  <si>
    <t>0, 0, 0, 0, 1, 0, 0, 1, 2, 0, 0, 0, 0, 0, 0, 0, 0, 0, 0, 0, 0, 0, 0, 1</t>
  </si>
  <si>
    <t>electrical repairs nearby</t>
  </si>
  <si>
    <t>0, 0, 0, 0, 0, 1, 1, 0, 1, 0, 0, 0, 0, 1, 0, 1, 0, 0, 1, 0, 0, 0, 0, 1</t>
  </si>
  <si>
    <t>plumbing and electrical services washington dc</t>
  </si>
  <si>
    <t>electrical field services from resa power</t>
  </si>
  <si>
    <t>insdustrial electrical contractor</t>
  </si>
  <si>
    <t>residential electrical services milwaukee</t>
  </si>
  <si>
    <t>outdoor electrical panel installation</t>
  </si>
  <si>
    <t>0, 0, 1, 0, 0, 0, 0, 0, 1, 0, 0, 1, 0, 0, 0, 0, 0, 0, 0, 0, 0, 0, 0, 1</t>
  </si>
  <si>
    <t>ar electrical &amp; solar services alberton</t>
  </si>
  <si>
    <t>0, 0, 0, 1, 0, 1, 1, 0, 0, 0, 0, 0, 1, 0, 1, 0, 0, 0, 0, 0, 0, 0, 0, 1</t>
  </si>
  <si>
    <t>tools of electrical installation and maintenance</t>
  </si>
  <si>
    <t>electrical services worcester county</t>
  </si>
  <si>
    <t>emergency electrician oakleigh</t>
  </si>
  <si>
    <t>0, 1, 1, 0, 1, 0, 0, 2, 1, 4, 3, 0, 0, 0, 0, 0, 0, 0, 0, 0, 0, 0, 0, 1</t>
  </si>
  <si>
    <t>emc electrical services</t>
  </si>
  <si>
    <t>0, 2, 4, 1, 1, 1, 1, 0, 5, 1, 0, 0, 0, 0, 0, 0, 0, 1, 2, 0, 0, 0, 0, 1</t>
  </si>
  <si>
    <t>emergency electrician lake coogee</t>
  </si>
  <si>
    <t>0, 0, 0, 0, 0, 1, 0, 1, 0, 2, 0, 0, 0, 0, 0, 0, 0, 0, 0, 0, 0, 0, 0, 1</t>
  </si>
  <si>
    <t>mds electrical services</t>
  </si>
  <si>
    <t>1, 0, 0, 1, 0, 0, 0, 1, 0, 0, 0, 0, 0, 0, 0, 0, 0, 0, 0, 0, 0, 0, 0, 1</t>
  </si>
  <si>
    <t>importance of electrical installation</t>
  </si>
  <si>
    <t>0, 0, 0, 0, 2, 0, 0, 0, 0, 0, 0, 0, 0, 2, 0, 0, 0, 0, 0, 0, 0, 0, 0, 1</t>
  </si>
  <si>
    <t>electrical installation in building</t>
  </si>
  <si>
    <t>0, 0, 0, 0, 0, 0, 0, 0, 1, 0, 0, 0, 0, 0, 0, 0, 0, 0, 1, 0, 1, 0, 0, 1</t>
  </si>
  <si>
    <t>electrical vehicle charger installation hampton</t>
  </si>
  <si>
    <t>hobart electrical services</t>
  </si>
  <si>
    <t>0, 0, 0, 0, 1, 1, 0, 0, 0, 0, 1, 0, 1, 0, 0, 0, 0, 0, 0, 0, 0, 0, 0, 1</t>
  </si>
  <si>
    <t>ampco electrical services</t>
  </si>
  <si>
    <t>electrical repairs florence, sc</t>
  </si>
  <si>
    <t>1, 1, 0, 0, 2, 1, 1, 0, 3, 5, 3, 0, 0, 0, 0, 0, 1, 1, 0, 0, 1, 0, 0, 1</t>
  </si>
  <si>
    <t>electrical calibration services near me</t>
  </si>
  <si>
    <t>0, 0, 0, 0, 1, 0, 0, 0, 0, 0, 0, 0, 0, 0, 0, 0, 0, 0, 3, 2, 0, 1, 4, 1</t>
  </si>
  <si>
    <t>electrical installation certificate download</t>
  </si>
  <si>
    <t>0, 0, 0, 0, 0, 0, 0, 0, 0, 1, 0, 3, 4, 0, 0, 5, 2, 0, 0, 2, 0, 0, 1, 1</t>
  </si>
  <si>
    <t>electrical box installation</t>
  </si>
  <si>
    <t>2, 2, 0, 0, 2, 3, 8, 4, 7, 0, 5, 4, 2, 2, 1, 3, 1, 3, 5, 2, 2, 6, 2, 4</t>
  </si>
  <si>
    <t>electrical equipment installation philippines</t>
  </si>
  <si>
    <t>0, 1, 2, 1, 1, 0, 0, 0, 0, 0, 0, 0, 0, 0, 0, 0, 0, 0, 0, 0, 0, 0, 0, 1</t>
  </si>
  <si>
    <t>southfield auto electrical services</t>
  </si>
  <si>
    <t>21, 4, 7, 0, 0, 0, 0, 32, 9, 8, 0, 0, 0, 0, 0, 0, 0, 5, 6, 1, 1, 0, 6, 1</t>
  </si>
  <si>
    <t>independent electrical inspection services</t>
  </si>
  <si>
    <t>emergency electrician belmont</t>
  </si>
  <si>
    <t>dublin emergency electrician</t>
  </si>
  <si>
    <t>electrical engineer services</t>
  </si>
  <si>
    <t>2, 0, 0, 4, 1, 2, 1, 1, 3, 4, 0, 0, 3, 0, 2, 0, 0, 0, 0, 0, 0, 0, 1, 1</t>
  </si>
  <si>
    <t>l&amp;r electrical services</t>
  </si>
  <si>
    <t>value electrical and air conditioning services</t>
  </si>
  <si>
    <t>westline electrical services electrician perth</t>
  </si>
  <si>
    <t>commercial electrical services milton keynes</t>
  </si>
  <si>
    <t>0, 0, 0, 0, 0, 0, 0, 1, 2, 0, 0, 0, 0, 0, 0, 0, 0, 0, 0, 0, 0, 0, 0, 1</t>
  </si>
  <si>
    <t>commercial electrical services richardson tx</t>
  </si>
  <si>
    <t>electrical repair contractor wiggins</t>
  </si>
  <si>
    <t>mv electrical services</t>
  </si>
  <si>
    <t>0, 1, 0, 1, 0, 0, 2, 0, 3, 0, 0, 0, 1, 1, 0, 2, 0, 2, 1, 1, 0, 0, 0, 1</t>
  </si>
  <si>
    <t>installation electrical wiring installation</t>
  </si>
  <si>
    <t>0, 0, 0, 0, 1, 0, 2, 0, 1, 0, 0, 0, 0, 0, 0, 0, 0, 0, 0, 0, 0, 0, 0, 1</t>
  </si>
  <si>
    <t>emergency electrician in vancouver</t>
  </si>
  <si>
    <t>0, 0, 1, 0, 1, 0, 1, 2, 0, 0, 0, 0, 0, 0, 0, 0, 0, 0, 0, 0, 0, 0, 0, 1</t>
  </si>
  <si>
    <t>static electrical services</t>
  </si>
  <si>
    <t>1, 3, 0, 1, 1, 0, 0, 1, 2, 0, 0, 0, 0, 0, 0, 0, 0, 0, 0, 0, 0, 0, 0, 1</t>
  </si>
  <si>
    <t>emergency electrician lynbrook</t>
  </si>
  <si>
    <t>electrical wiring services palm beach fl</t>
  </si>
  <si>
    <t>transignal electrical services</t>
  </si>
  <si>
    <t>electrical services potomac md</t>
  </si>
  <si>
    <t>electrical contractor pittsburgh</t>
  </si>
  <si>
    <t>0, 1, 1, 0, 0, 0, 1, 1, 1, 0, 2, 0, 0, 0, 0, 0, 0, 0, 0, 0, 0, 0, 0, 1</t>
  </si>
  <si>
    <t>electrical repair contractor stafford va</t>
  </si>
  <si>
    <t>electrical switchgear services ltd</t>
  </si>
  <si>
    <t>northern beaches electrical services</t>
  </si>
  <si>
    <t>0, 0, 1, 0, 1, 0, 0, 0, 2, 1, 0, 0, 0, 0, 0, 0, 0, 0, 0, 0, 0, 0, 0, 1</t>
  </si>
  <si>
    <t>jtr electrical services</t>
  </si>
  <si>
    <t>8, 1, 0, 0, 0, 0, 0, 0, 0, 0, 0, 0, 0, 0, 3, 5, 0, 1, 13, 9, 0, 4, 1, 3</t>
  </si>
  <si>
    <t>gsc electrical services roodepoort</t>
  </si>
  <si>
    <t>electrical contractor magazine subscription</t>
  </si>
  <si>
    <t>electrical installation vacancies</t>
  </si>
  <si>
    <t>0, 0, 0, 0, 0, 0, 0, 0, 0, 0, 0, 0, 0, 0, 0, 0, 0, 0, 0, 2, 4, 4, 0, 1</t>
  </si>
  <si>
    <t>rdt electrical services</t>
  </si>
  <si>
    <t>electrical coordination services</t>
  </si>
  <si>
    <t>1, 0, 0, 0, 0, 1, 0, 1, 0, 1, 0, 1, 0, 0, 0, 0, 0, 0, 0, 0, 0, 0, 0, 1</t>
  </si>
  <si>
    <t>licensed electrical contractor zephyrhills</t>
  </si>
  <si>
    <t>residential electrical contractor</t>
  </si>
  <si>
    <t>6, 3, 5, 3, 10, 7, 8, 12, 8, 16, 10, 13, 0, 0, 0, 0, 0, 0, 1, 0, 0, 0, 0, 2</t>
  </si>
  <si>
    <t>electrical service mast installation st paul</t>
  </si>
  <si>
    <t>complete electrical services belconnen</t>
  </si>
  <si>
    <t>electrical services liverpool</t>
  </si>
  <si>
    <t>0, 1, 2, 2, 0, 0, 0, 1, 1, 1, 2, 0, 0, 0, 0, 0, 0, 0, 0, 0, 0, 0, 0, 1</t>
  </si>
  <si>
    <t>electrical equipment installation</t>
  </si>
  <si>
    <t>2, 0, 0, 0, 2, 3, 0, 0, 1, 4, 3, 3, 0, 2, 0, 1, 3, 0, 1, 0, 0, 0, 0, 1</t>
  </si>
  <si>
    <t>electrical services consultants</t>
  </si>
  <si>
    <t>electrical services orlando</t>
  </si>
  <si>
    <t>0, 0, 0, 0, 0, 2, 0, 0, 0, 0, 1, 1, 0, 0, 1, 0, 0, 0, 0, 0, 0, 0, 0, 1</t>
  </si>
  <si>
    <t>commercial electrical repairs tyler tx</t>
  </si>
  <si>
    <t>electrician near me emergency</t>
  </si>
  <si>
    <t>4, 3, 2, 2, 3, 2, 2, 10, 3, 1, 2, 1, 0, 0, 2, 1, 2, 1, 0, 3, 0, 1, 0, 1</t>
  </si>
  <si>
    <t>electrical contractor salary south africa</t>
  </si>
  <si>
    <t>springfield mo electrical contractor</t>
  </si>
  <si>
    <t>commercial electrical services salt lake city ut</t>
  </si>
  <si>
    <t>electrical repairs and installations in boksburg</t>
  </si>
  <si>
    <t>0, 0, 0, 0, 0, 0, 0, 0, 0, 0, 0, 0, 0, 0, 0, 0, 3, 2, 4, 0, 0, 0, 0, 1</t>
  </si>
  <si>
    <t>swimming pool electrical services cherryville, nc</t>
  </si>
  <si>
    <t>matt's electrical services</t>
  </si>
  <si>
    <t>albany electrical panel installation</t>
  </si>
  <si>
    <t>five star electrical services</t>
  </si>
  <si>
    <t>0, 1, 0, 2, 0, 2, 1, 0, 0, 1, 1, 0, 0, 0, 0, 0, 0, 0, 0, 0, 0, 0, 0, 1</t>
  </si>
  <si>
    <t>electrical repairs tauranga</t>
  </si>
  <si>
    <t>0, 0, 0, 0, 0, 0, 1, 1, 1, 0, 2, 1, 0, 0, 0, 0, 0, 0, 0, 0, 0, 0, 0, 1</t>
  </si>
  <si>
    <t>electrical repairs port st. lucie</t>
  </si>
  <si>
    <t>jms electrical services</t>
  </si>
  <si>
    <t>shocking electrical services</t>
  </si>
  <si>
    <t>0, 0, 0, 0, 0, 0, 0, 0, 0, 0, 0, 0, 0, 0, 1, 2, 2, 3, 0, 1, 0, 0, 0, 1</t>
  </si>
  <si>
    <t>schmidt electrical services</t>
  </si>
  <si>
    <t>armadale emergency electrician</t>
  </si>
  <si>
    <t>0, 0, 0, 1, 0, 1, 0, 1, 1, 2, 2, 0, 0, 0, 0, 0, 0, 0, 0, 0, 0, 0, 0, 1</t>
  </si>
  <si>
    <t>electrical installation conditions report</t>
  </si>
  <si>
    <t>electrical services auckland frosterley durham</t>
  </si>
  <si>
    <t>types of electrical installation diagram</t>
  </si>
  <si>
    <t>mj electrical services</t>
  </si>
  <si>
    <t>electrical switchboard installation</t>
  </si>
  <si>
    <t>1, 1, 0, 0, 2, 0, 0, 0, 1, 2, 2, 0, 0, 0, 0, 0, 0, 0, 0, 0, 2, 0, 0, 2</t>
  </si>
  <si>
    <t>electrical contractor contracts chandler heights</t>
  </si>
  <si>
    <t>electrical outlet installation sumter county</t>
  </si>
  <si>
    <t>thunder electrical services</t>
  </si>
  <si>
    <t>electrical assembly services</t>
  </si>
  <si>
    <t>0, 0, 0, 0, 0, 1, 0, 0, 0, 5, 1, 0, 0, 0, 0, 0, 0, 0, 0, 0, 0, 0, 0, 1</t>
  </si>
  <si>
    <t>electrical installation atlanta ga</t>
  </si>
  <si>
    <t>electrical installation products</t>
  </si>
  <si>
    <t>0, 0, 0, 0, 0, 0, 0, 0, 0, 0, 0, 0, 1, 2, 0, 0, 0, 0, 0, 0, 0, 0, 0, 1</t>
  </si>
  <si>
    <t>mag electrical services</t>
  </si>
  <si>
    <t>myers electrical services</t>
  </si>
  <si>
    <t>office electrical installation marietta ga</t>
  </si>
  <si>
    <t>domestic electrical services north london</t>
  </si>
  <si>
    <t>safety advisor for electrical contractor</t>
  </si>
  <si>
    <t>emergency electrician swanley</t>
  </si>
  <si>
    <t>electrical outlet installation marion county</t>
  </si>
  <si>
    <t>emergency electrician stockport</t>
  </si>
  <si>
    <t>l3 electrical installation</t>
  </si>
  <si>
    <t>electrical contractor wagga wagga</t>
  </si>
  <si>
    <t>1, 0, 1, 2, 0, 0, 0, 0, 1, 0, 0, 1, 0, 0, 0, 0, 0, 0, 0, 0, 0, 0, 0, 1</t>
  </si>
  <si>
    <t>emergency electrician sw8</t>
  </si>
  <si>
    <t>teuntin electrical services akasia pretoria</t>
  </si>
  <si>
    <t>middle park emergency electrician</t>
  </si>
  <si>
    <t>0, 0, 0, 2, 0, 0, 0, 1, 1, 0, 0, 0, 0, 0, 0, 0, 0, 0, 0, 0, 0, 0, 0, 1</t>
  </si>
  <si>
    <t>electrical installation tools and equipment</t>
  </si>
  <si>
    <t>0, 0, 0, 1, 0, 0, 0, 0, 3, 0, 0, 0, 1, 0, 0, 0, 0, 2, 0, 1, 0, 0, 3, 3</t>
  </si>
  <si>
    <t>los angeles electrical contractor</t>
  </si>
  <si>
    <t>0, 0, 0, 1, 1, 2, 0, 0, 0, 0, 1, 0, 0, 0, 0, 0, 0, 0, 0, 0, 0, 0, 0, 1</t>
  </si>
  <si>
    <t>emergency electrician framingham ma</t>
  </si>
  <si>
    <t>a american electrical services</t>
  </si>
  <si>
    <t>canadian electrical services</t>
  </si>
  <si>
    <t>0, 1, 0, 0, 0, 1, 1, 0, 0, 1, 1, 1, 0, 0, 0, 0, 0, 0, 0, 0, 0, 0, 0, 1</t>
  </si>
  <si>
    <t>emergency electrician kenwick</t>
  </si>
  <si>
    <t>electrical services lansdowne</t>
  </si>
  <si>
    <t>0, 0, 0, 0, 0, 0, 0, 0, 0, 0, 0, 0, 0, 10, 27, 14, 0, 0, 0, 0, 0, 0, 0, 1</t>
  </si>
  <si>
    <t>largest non union electrical contractor</t>
  </si>
  <si>
    <t>emergency electrician cammeray</t>
  </si>
  <si>
    <t>electrical contractor service software</t>
  </si>
  <si>
    <t>0, 0, 0, 1, 1, 0, 0, 0, 0, 0, 0, 2, 0, 0, 0, 0, 0, 0, 0, 0, 0, 0, 0, 1</t>
  </si>
  <si>
    <t>electrical conduit installation</t>
  </si>
  <si>
    <t>2, 11, 2, 3, 1, 3, 1, 4, 7, 3, 4, 5, 3, 4, 6, 1, 1, 0, 6, 5, 2, 7, 8, 7</t>
  </si>
  <si>
    <t>electrical contractor invoice sample</t>
  </si>
  <si>
    <t>0, 0, 0, 0, 0, 0, 0, 0, 0, 0, 1, 2, 0, 0, 0, 0, 0, 2, 0, 0, 0, 0, 0, 1</t>
  </si>
  <si>
    <t>connecticut electrical contractor</t>
  </si>
  <si>
    <t>electrical contractor insurance georgia</t>
  </si>
  <si>
    <t>1, 0, 1, 1, 0, 0, 0, 0, 0, 0, 2, 0, 0, 0, 0, 0, 0, 0, 0, 0, 0, 0, 0, 1</t>
  </si>
  <si>
    <t>electrical socket repairs</t>
  </si>
  <si>
    <t>largo emergency electrician</t>
  </si>
  <si>
    <t>electrical services portsmouth</t>
  </si>
  <si>
    <t>electrical repairs brisbane</t>
  </si>
  <si>
    <t>1, 2, 2, 4, 3, 0, 3, 3, 1, 3, 2, 0, 2, 1, 0, 0, 0, 0, 0, 0, 0, 3, 1, 2</t>
  </si>
  <si>
    <t>emergency electrician matraville</t>
  </si>
  <si>
    <t>check electrical contractor license</t>
  </si>
  <si>
    <t>0, 2, 0, 0, 0, 0, 0, 0, 0, 0, 0, 0, 2, 0, 0, 0, 0, 0, 0, 0, 0, 0, 0, 1</t>
  </si>
  <si>
    <t>best emergency electrician near me</t>
  </si>
  <si>
    <t>0, 0, 3, 0, 4, 0, 0, 0, 0, 1, 1, 0, 0, 0, 2, 3, 3, 0, 0, 0, 0, 0, 0, 1</t>
  </si>
  <si>
    <t>frankston electrical services</t>
  </si>
  <si>
    <t>electrical services in balmain</t>
  </si>
  <si>
    <t>emergency electrician toronto</t>
  </si>
  <si>
    <t>0, 0, 1, 1, 0, 1, 0, 1, 0, 0, 0, 0, 0, 0, 0, 0, 0, 0, 0, 0, 0, 0, 0, 1</t>
  </si>
  <si>
    <t>electrical contractor tadworth</t>
  </si>
  <si>
    <t>electrical services dallas county</t>
  </si>
  <si>
    <t>car electrical services gurugram</t>
  </si>
  <si>
    <t>0, 0, 0, 0, 0, 0, 2, 0, 1, 2, 0, 0, 0, 0, 0, 0, 0, 0, 0, 0, 0, 0, 0, 1</t>
  </si>
  <si>
    <t>electrical services in roodepoort, gauteng</t>
  </si>
  <si>
    <t>0, 0, 0, 0, 0, 0, 0, 0, 0, 0, 0, 0, 0, 0, 0, 0, 3, 5, 2, 0, 0, 0, 0, 1</t>
  </si>
  <si>
    <t>ab electrical services</t>
  </si>
  <si>
    <t>0, 0, 1, 0, 0, 0, 0, 0, 0, 0, 0, 0, 2, 0, 0, 3, 0, 0, 1, 0, 0, 0, 0, 1</t>
  </si>
  <si>
    <t>electrical contractor ballarat</t>
  </si>
  <si>
    <t>electrical services in annandale</t>
  </si>
  <si>
    <t>electrical services contractor richmond va</t>
  </si>
  <si>
    <t>electrical panel installation baton rouge</t>
  </si>
  <si>
    <t>emergency electrician edinburgh</t>
  </si>
  <si>
    <t>0, 0, 1, 2, 0, 0, 1, 0, 3, 0, 0, 0, 1, 0, 0, 0, 0, 3, 0, 0, 0, 0, 0, 1</t>
  </si>
  <si>
    <t>electrical services hamilton</t>
  </si>
  <si>
    <t>0, 1, 0, 3, 0, 2, 1, 0, 1, 0, 3, 0, 0, 0, 0, 0, 0, 0, 0, 0, 0, 0, 0, 1</t>
  </si>
  <si>
    <t>emergency electrician preston</t>
  </si>
  <si>
    <t>0, 0, 0, 0, 0, 0, 2, 1, 1, 3, 1, 0, 0, 0, 0, 0, 0, 0, 0, 0, 0, 0, 0, 1</t>
  </si>
  <si>
    <t>emergency electrician pittsburgh</t>
  </si>
  <si>
    <t>residential electrical services espanola</t>
  </si>
  <si>
    <t>1, 3, 1, 2, 2, 1, 2, 0, 0, 1, 0, 1, 0, 0, 0, 0, 0, 0, 0, 0, 0, 0, 0, 1</t>
  </si>
  <si>
    <t>yacht electrical services</t>
  </si>
  <si>
    <t>1, 0, 0, 0, 0, 2, 0, 1, 1, 0, 0, 0, 0, 0, 0, 0, 0, 0, 0, 0, 0, 0, 0, 1</t>
  </si>
  <si>
    <t>electrical contractor websites</t>
  </si>
  <si>
    <t>1, 0, 1, 0, 0, 0, 1, 0, 1, 5, 2, 1, 0, 0, 0, 0, 0, 1, 0, 1, 0, 0, 0, 1</t>
  </si>
  <si>
    <t>electrical testing services</t>
  </si>
  <si>
    <t>2, 3, 8, 6, 6, 3, 6, 4, 7, 2, 5, 9, 3, 0, 3, 3, 1, 0, 0, 1, 1, 2, 0, 1</t>
  </si>
  <si>
    <t>emergency commercial electrician melbourne</t>
  </si>
  <si>
    <t>0, 1, 2, 1, 1, 1, 2, 1, 0, 0, 0, 0, 0, 0, 0, 0, 0, 0, 0, 0, 0, 0, 0, 1</t>
  </si>
  <si>
    <t>pompano beach home electrical repair services</t>
  </si>
  <si>
    <t>a&amp;t electrical services</t>
  </si>
  <si>
    <t>0, 0, 0, 0, 0, 0, 0, 0, 1, 0, 0, 0, 0, 0, 0, 1, 1, 0, 0, 0, 0, 0, 0, 1</t>
  </si>
  <si>
    <t>licensed electrical contractor higley</t>
  </si>
  <si>
    <t>electrical services jacksonville, fl</t>
  </si>
  <si>
    <t>tagline for electrical contractor</t>
  </si>
  <si>
    <t>best electrical inspection services</t>
  </si>
  <si>
    <t>0, 0, 0, 0, 1, 1, 0, 1, 2, 1, 0, 0, 0, 0, 0, 0, 0, 0, 0, 0, 0, 0, 0, 1</t>
  </si>
  <si>
    <t>hv electrical system services</t>
  </si>
  <si>
    <t>0, 0, 1, 0, 0, 1, 1, 0, 2, 0, 0, 0, 0, 0, 0, 0, 0, 0, 0, 0, 0, 0, 0, 1</t>
  </si>
  <si>
    <t>sinagra emergency electrician</t>
  </si>
  <si>
    <t>electrical services smeaton grange</t>
  </si>
  <si>
    <t>electrical fault repairs scarborough</t>
  </si>
  <si>
    <t>residential electrical services st louis mo</t>
  </si>
  <si>
    <t>richmond electrical contractor</t>
  </si>
  <si>
    <t>above ground pool electrical installation</t>
  </si>
  <si>
    <t>hvac electrical services</t>
  </si>
  <si>
    <t>0, 0, 0, 0, 0, 0, 0, 0, 4, 0, 3, 0, 0, 0, 0, 0, 1, 0, 0, 0, 0, 0, 0, 1</t>
  </si>
  <si>
    <t>electrical vehicle charger installation esher</t>
  </si>
  <si>
    <t>electrical services diddillibah</t>
  </si>
  <si>
    <t>deepdeene emergency electrician</t>
  </si>
  <si>
    <t>electrical repairs lehigh valley pa</t>
  </si>
  <si>
    <t>caulfield emergency electrician</t>
  </si>
  <si>
    <t>emergency electrician orpington</t>
  </si>
  <si>
    <t>0, 2, 2, 2, 2, 0, 0, 1, 0, 0, 0, 0, 0, 0, 0, 0, 0, 0, 0, 0, 1, 0, 0, 1</t>
  </si>
  <si>
    <t>tp electrical services</t>
  </si>
  <si>
    <t>electrical earthing installation</t>
  </si>
  <si>
    <t>0, 3, 1, 0, 0, 0, 1, 2, 1, 4, 0, 1, 2, 0, 0, 1, 2, 2, 2, 2, 2, 3, 1, 3</t>
  </si>
  <si>
    <t>kp electrical services</t>
  </si>
  <si>
    <t>electrical installation supervisor</t>
  </si>
  <si>
    <t>electrical repairs minnetonka</t>
  </si>
  <si>
    <t>electrical repairs in apollo beach</t>
  </si>
  <si>
    <t>gmo electrical services</t>
  </si>
  <si>
    <t>residential electrical panel installation</t>
  </si>
  <si>
    <t>1, 0, 0, 0, 0, 0, 0, 1, 0, 2, 2, 0, 0, 0, 0, 0, 0, 0, 0, 0, 2, 0, 0, 2</t>
  </si>
  <si>
    <t>electrical installation wolverhampton</t>
  </si>
  <si>
    <t>0, 0, 0, 0, 0, 0, 1, 0, 2, 0, 0, 0, 0, 0, 0, 0, 0, 0, 0, 0, 0, 0, 0, 1</t>
  </si>
  <si>
    <t>emergency electrician heidelberg</t>
  </si>
  <si>
    <t>0, 0, 1, 0, 1, 0, 0, 2, 1, 1, 1, 0, 0, 0, 0, 0, 0, 0, 0, 0, 0, 0, 0, 1</t>
  </si>
  <si>
    <t>montford electrical services</t>
  </si>
  <si>
    <t>0, 0, 0, 0, 0, 6, 1, 0, 0, 0, 0, 0, 0, 0, 0, 0, 0, 0, 0, 0, 0, 0, 0, 1</t>
  </si>
  <si>
    <t>emergency electrician washington county</t>
  </si>
  <si>
    <t>electrical installation apprenticeship near me</t>
  </si>
  <si>
    <t>0, 0, 0, 0, 0, 0, 0, 0, 0, 0, 1, 0, 0, 0, 0, 0, 0, 0, 0, 1, 0, 0, 0, 1</t>
  </si>
  <si>
    <t>electrical services consultant</t>
  </si>
  <si>
    <t>electric electrical services ramona</t>
  </si>
  <si>
    <t>electrical contracting services</t>
  </si>
  <si>
    <t>2, 2, 3, 1, 1, 0, 3, 1, 1, 3, 7, 4, 4, 1, 1, 2, 2, 1, 4, 0, 1, 0, 0, 1</t>
  </si>
  <si>
    <t>electrical panel contractor biloxi</t>
  </si>
  <si>
    <t>gainesville home electrical repair services</t>
  </si>
  <si>
    <t>chicago emergency electrician</t>
  </si>
  <si>
    <t>dudley electrical &amp; plumbing services ltd</t>
  </si>
  <si>
    <t>electrical contractor bill format</t>
  </si>
  <si>
    <t>electrical company services</t>
  </si>
  <si>
    <t>5, 7, 11, 8, 9, 16, 3, 7, 23, 73, 65, 10, 1, 5, 7, 3, 3, 3, 5, 4, 2, 1, 0, 2</t>
  </si>
  <si>
    <t>plumbing and electrical installation</t>
  </si>
  <si>
    <t>0, 0, 0, 0, 0, 0, 0, 1, 0, 0, 1, 1, 0, 1, 0, 0, 0, 0, 0, 0, 0, 0, 0, 1</t>
  </si>
  <si>
    <t>hyperteck electrical services ltd</t>
  </si>
  <si>
    <t>data and electrical services</t>
  </si>
  <si>
    <t>emergency electrician miranda</t>
  </si>
  <si>
    <t>0, 0, 2, 1, 0, 0, 1, 0, 1, 1, 0, 0, 0, 0, 0, 0, 0, 0, 0, 0, 0, 0, 0, 1</t>
  </si>
  <si>
    <t>emergency electrician melrose park</t>
  </si>
  <si>
    <t>emergency electrician grays point</t>
  </si>
  <si>
    <t>0, 2, 0, 0, 0, 1, 0, 0, 0, 0, 1, 0, 1, 0, 0, 0, 0, 0, 0, 0, 0, 0, 0, 1</t>
  </si>
  <si>
    <t>electrical contractor associations</t>
  </si>
  <si>
    <t>lights on electrical services</t>
  </si>
  <si>
    <t>0, 0, 0, 0, 0, 0, 0, 1, 0, 0, 0, 0, 0, 0, 0, 0, 0, 0, 3, 0, 5, 3, 0, 1</t>
  </si>
  <si>
    <t>olathe emergency electrician</t>
  </si>
  <si>
    <t>safe house electrical services</t>
  </si>
  <si>
    <t>commercial electrical services chicago</t>
  </si>
  <si>
    <t>1, 0, 0, 0, 2, 1, 1, 0, 1, 0, 0, 0, 0, 0, 0, 0, 0, 0, 0, 0, 0, 0, 0, 1</t>
  </si>
  <si>
    <t>cherryville electrical services</t>
  </si>
  <si>
    <t>electrical rewiring services yonkers</t>
  </si>
  <si>
    <t>0, 0, 0, 1, 0, 1, 0, 0, 0, 1, 1, 0, 0, 0, 0, 0, 0, 0, 0, 0, 0, 0, 0, 1</t>
  </si>
  <si>
    <t>electrical contractor san antonio tx</t>
  </si>
  <si>
    <t>ahmed electrical services</t>
  </si>
  <si>
    <t>berry electrical services</t>
  </si>
  <si>
    <t>electrical contractor application</t>
  </si>
  <si>
    <t>charleston emergency electrician</t>
  </si>
  <si>
    <t>emergency electrician burraneer</t>
  </si>
  <si>
    <t>0, 0, 0, 0, 0, 2, 0, 0, 0, 1, 0, 0, 2, 0, 0, 0, 0, 0, 0, 0, 0, 0, 0, 1</t>
  </si>
  <si>
    <t>emergency electrician chiswick</t>
  </si>
  <si>
    <t>aussie electrical services</t>
  </si>
  <si>
    <t>electrical services tucson</t>
  </si>
  <si>
    <t>electrical contractor dover nh</t>
  </si>
  <si>
    <t>fredericksburg commercial electrical services</t>
  </si>
  <si>
    <t>electrical installation prices</t>
  </si>
  <si>
    <t>7, 2, 1, 0, 0, 1, 0, 0, 0, 0, 0, 4, 1, 1, 1, 0, 2, 1, 2, 6, 0, 9, 2, 5</t>
  </si>
  <si>
    <t>electrical contractor cambridgeshire</t>
  </si>
  <si>
    <t>jmb electrical services</t>
  </si>
  <si>
    <t>electrical wiring and repairs mount vernon, wa</t>
  </si>
  <si>
    <t>0, 0, 0, 0, 0, 0, 0, 4, 0, 2, 0, 0, 0, 0, 0, 0, 0, 0, 0, 0, 0, 0, 0, 1</t>
  </si>
  <si>
    <t>affordable old home emergency electrician</t>
  </si>
  <si>
    <t>auto electrical services heathmont</t>
  </si>
  <si>
    <t>christie electrical services</t>
  </si>
  <si>
    <t>0, 0, 0, 0, 0, 0, 0, 0, 0, 0, 0, 0, 0, 0, 0, 0, 1, 0, 0, 0, 12, 0, 0, 1</t>
  </si>
  <si>
    <t>emergency electrician mckinney tx</t>
  </si>
  <si>
    <t>henderson emergency electrician</t>
  </si>
  <si>
    <t>0, 0, 0, 0, 0, 0, 2, 1, 0, 1, 1, 0, 0, 1, 0, 0, 0, 0, 0, 0, 0, 0, 0, 1</t>
  </si>
  <si>
    <t>electrical installation inspection report</t>
  </si>
  <si>
    <t>0, 0, 0, 0, 0, 1, 3, 2, 0, 0, 0, 0, 0, 0, 1, 0, 0, 0, 0, 0, 1, 1, 0, 2</t>
  </si>
  <si>
    <t>electrical contractor project manager salary</t>
  </si>
  <si>
    <t>california electrical contractor license</t>
  </si>
  <si>
    <t>home electrical services minnesota</t>
  </si>
  <si>
    <t>peninsula electrical services</t>
  </si>
  <si>
    <t>electrical services description</t>
  </si>
  <si>
    <t>0, 0, 0, 0, 0, 0, 0, 0, 1, 0, 2, 2, 0, 0, 0, 0, 0, 0, 0, 1, 0, 0, 0, 1</t>
  </si>
  <si>
    <t>electrical contractor redding ca</t>
  </si>
  <si>
    <t>qualified electrician jobs cape town</t>
  </si>
  <si>
    <t>emergency electrician in colorado springs</t>
  </si>
  <si>
    <t>auto electrician jobs in cape town</t>
  </si>
  <si>
    <t>electrical contractor google guaranteed</t>
  </si>
  <si>
    <t>electrical services calgary</t>
  </si>
  <si>
    <t>1, 0, 1, 2, 4, 2, 0, 4, 2, 2, 2, 1, 0, 0, 0, 0, 0, 0, 0, 0, 0, 0, 0, 1</t>
  </si>
  <si>
    <t>emergency electrician wakefield</t>
  </si>
  <si>
    <t>0, 1, 1, 0, 1, 1, 0, 1, 1, 2, 0, 0, 1, 0, 0, 0, 0, 0, 0, 0, 0, 0, 0, 1</t>
  </si>
  <si>
    <t>electrical services centennial</t>
  </si>
  <si>
    <t>0, 0, 1, 0, 2, 0, 0, 1, 1, 2, 0, 1, 0, 0, 0, 0, 0, 0, 0, 0, 0, 0, 0, 1</t>
  </si>
  <si>
    <t>jds electrical services</t>
  </si>
  <si>
    <t>0, 0, 0, 0, 0, 0, 3, 0, 0, 6, 0, 3, 5, 2, 3, 0, 0, 1, 0, 1, 0, 2, 0, 2</t>
  </si>
  <si>
    <t>reliant electrical services</t>
  </si>
  <si>
    <t>0, 1, 1, 0, 0, 0, 0, 0, 0, 0, 0, 0, 1, 0, 0, 0, 0, 0, 0, 4, 0, 0, 0, 1</t>
  </si>
  <si>
    <t>electrical services chicago north shore</t>
  </si>
  <si>
    <t>mnm electrical services</t>
  </si>
  <si>
    <t>electrical services bedford va</t>
  </si>
  <si>
    <t>0, 0, 0, 0, 0, 0, 3, 1, 1, 2, 2, 0, 0, 0, 0, 0, 0, 0, 0, 0, 0, 0, 0, 1</t>
  </si>
  <si>
    <t>emergency electrician albert park</t>
  </si>
  <si>
    <t>0, 0, 0, 0, 1, 1, 1, 0, 3, 0, 1, 0, 0, 0, 0, 0, 0, 0, 0, 0, 0, 0, 0, 1</t>
  </si>
  <si>
    <t>electrical installation cost estimation south africa</t>
  </si>
  <si>
    <t>auto electrician retreat cape town</t>
  </si>
  <si>
    <t>electrical services la plata, ma</t>
  </si>
  <si>
    <t>0, 0, 0, 0, 0, 0, 0, 2, 0, 1, 0, 0, 1, 0, 0, 0, 0, 0, 0, 0, 0, 0, 0, 1</t>
  </si>
  <si>
    <t>local emergency electrician near me</t>
  </si>
  <si>
    <t>0, 1, 0, 0, 0, 1, 0, 0, 1, 2, 1, 0, 0, 0, 0, 0, 0, 0, 0, 0, 0, 0, 0, 1</t>
  </si>
  <si>
    <t>rl electrical services</t>
  </si>
  <si>
    <t>bc electrical contractor</t>
  </si>
  <si>
    <t>0, 0, 0, 0, 0, 1, 0, 0, 0, 1, 1, 0, 0, 0, 0, 0, 0, 0, 0, 0, 0, 0, 0, 1</t>
  </si>
  <si>
    <t>electrical services fort worth</t>
  </si>
  <si>
    <t>0, 0, 0, 0, 0, 1, 2, 2, 1, 1, 2, 0, 0, 0, 0, 0, 0, 0, 0, 0, 0, 0, 0, 1</t>
  </si>
  <si>
    <t>electrical and telecommunications contractor</t>
  </si>
  <si>
    <t>your electrical services</t>
  </si>
  <si>
    <t>0, 0, 0, 2, 0, 0, 0, 0, 0, 0, 0, 0, 0, 1, 1, 0, 0, 0, 1, 1, 4, 2, 0, 3</t>
  </si>
  <si>
    <t>electrical services tennessee</t>
  </si>
  <si>
    <t>electrical services georgetown</t>
  </si>
  <si>
    <t>electrical contractor darwin</t>
  </si>
  <si>
    <t>electrical installation level 2 pdf</t>
  </si>
  <si>
    <t>electrical contractor clear lake shores</t>
  </si>
  <si>
    <t>electrical services in toronto</t>
  </si>
  <si>
    <t>electrical contractor olden</t>
  </si>
  <si>
    <t>emergency electrician potts point</t>
  </si>
  <si>
    <t>electrical services in alexandria</t>
  </si>
  <si>
    <t>sans standards for electrical installation</t>
  </si>
  <si>
    <t>1, 0, 1, 0, 1, 0, 1, 2, 0, 0, 1, 0, 6, 0, 5, 3, 0, 0, 0, 4, 1, 1, 3, 3</t>
  </si>
  <si>
    <t>electrical contractor grand haven mi</t>
  </si>
  <si>
    <t>electrical installation nvq level 3</t>
  </si>
  <si>
    <t>commercial electrical services denver co</t>
  </si>
  <si>
    <t>0, 0, 0, 0, 0, 0, 0, 1, 1, 3, 1, 0, 0, 0, 0, 0, 0, 0, 0, 0, 0, 0, 0, 1</t>
  </si>
  <si>
    <t>electrical contractor orlando</t>
  </si>
  <si>
    <t>0, 2, 1, 2, 1, 3, 1, 0, 3, 3, 3, 2, 0, 0, 0, 0, 0, 0, 0, 0, 0, 0, 0, 1</t>
  </si>
  <si>
    <t>electrical installation pictures</t>
  </si>
  <si>
    <t>12, 11, 8, 7, 5, 5, 8, 3, 2, 3, 2, 2, 4, 7, 6, 0, 3, 5, 0, 1, 5, 5, 8, 9</t>
  </si>
  <si>
    <t>electrical installation design pdf</t>
  </si>
  <si>
    <t>0, 4, 0, 1, 0, 0, 0, 0, 0, 1, 2, 0, 1, 0, 0, 1, 3, 1, 0, 0, 0, 0, 0, 1</t>
  </si>
  <si>
    <t>adams electrical services</t>
  </si>
  <si>
    <t>live wire electrical services</t>
  </si>
  <si>
    <t>auto electrical installation</t>
  </si>
  <si>
    <t>2, 1, 0, 0, 0, 1, 0, 0, 0, 0, 0, 0, 0, 0, 0, 3, 0, 0, 0, 0, 0, 0, 0, 1</t>
  </si>
  <si>
    <t>home electrical services st paul mn</t>
  </si>
  <si>
    <t>2018 electrical installation guide</t>
  </si>
  <si>
    <t>electrical handyman services</t>
  </si>
  <si>
    <t>2, 1, 2, 3, 2, 3, 0, 1, 2, 6, 7, 1, 2, 0, 0, 0, 0, 1, 0, 0, 1, 0, 0, 1</t>
  </si>
  <si>
    <t>national electrical services</t>
  </si>
  <si>
    <t>0, 1, 0, 0, 0, 0, 0, 1, 0, 0, 2, 1, 0, 3, 0, 2, 1, 0, 4, 3, 2, 2, 3, 4</t>
  </si>
  <si>
    <t>emergency electrical repairs euless tx</t>
  </si>
  <si>
    <t>electrical contractor bundaberg</t>
  </si>
  <si>
    <t>best electrical repairs near me</t>
  </si>
  <si>
    <t>0, 1, 2, 3, 3, 3, 0, 3, 0, 1, 0, 3, 1, 0, 2, 0, 2, 0, 0, 1, 1, 1, 0, 2</t>
  </si>
  <si>
    <t>retail electrical contractor essex</t>
  </si>
  <si>
    <t>electrical inspections services</t>
  </si>
  <si>
    <t>orlando electrical contractor</t>
  </si>
  <si>
    <t>mac electrical services</t>
  </si>
  <si>
    <t>electrical services steamboat springs</t>
  </si>
  <si>
    <t>mlr electrical services</t>
  </si>
  <si>
    <t>electrical service mast installation</t>
  </si>
  <si>
    <t>sjs electrical services</t>
  </si>
  <si>
    <t>edgewater electrical panel installation</t>
  </si>
  <si>
    <t>swot analysis electrical contractor</t>
  </si>
  <si>
    <t>electrical repairs montgomery county pa</t>
  </si>
  <si>
    <t>electrical installation services cairns</t>
  </si>
  <si>
    <t>russell electrical services</t>
  </si>
  <si>
    <t>0, 3, 1, 1, 0, 1, 1, 1, 1, 2, 0, 0, 0, 0, 0, 1, 1, 1, 0, 0, 0, 1, 0, 1</t>
  </si>
  <si>
    <t>expert electrical services</t>
  </si>
  <si>
    <t>0, 2, 1, 2, 1, 1, 0, 1, 4, 1, 2, 1, 0, 0, 0, 0, 0, 0, 0, 0, 1, 0, 0, 1</t>
  </si>
  <si>
    <t>electrical repairs savannah ga</t>
  </si>
  <si>
    <t>shalom electrical services</t>
  </si>
  <si>
    <t>0, 0, 0, 0, 0, 0, 0, 0, 0, 0, 1, 0, 2, 1, 1, 0, 0, 0, 0, 0, 0, 0, 0, 1</t>
  </si>
  <si>
    <t>electrical engineering services new mexico</t>
  </si>
  <si>
    <t>electrical testing services gosport</t>
  </si>
  <si>
    <t>electrical services gosford</t>
  </si>
  <si>
    <t>electrical pat testing services manchester</t>
  </si>
  <si>
    <t>commercial electrical services st paul</t>
  </si>
  <si>
    <t>electrical installation tools and their uses</t>
  </si>
  <si>
    <t>electrical contractor st.louis</t>
  </si>
  <si>
    <t>fleming electrical services</t>
  </si>
  <si>
    <t>commercial electrical services san marcos tx</t>
  </si>
  <si>
    <t>houma electrical repairs</t>
  </si>
  <si>
    <t>electrical installation durham</t>
  </si>
  <si>
    <t>commercial electrical services west virginia</t>
  </si>
  <si>
    <t>electrical company web design services</t>
  </si>
  <si>
    <t>1, 0, 1, 1, 1, 0, 0, 2, 0, 4, 3, 0, 0, 0, 0, 0, 0, 0, 0, 0, 0, 0, 0, 1</t>
  </si>
  <si>
    <t>residential electrical services plano tx</t>
  </si>
  <si>
    <t>electrician/electrical contractor</t>
  </si>
  <si>
    <t>eg electrical services</t>
  </si>
  <si>
    <t>1, 2, 0, 0, 0, 0, 0, 0, 0, 0, 0, 0, 0, 0, 0, 0, 0, 0, 0, 0, 0, 0, 0, 1</t>
  </si>
  <si>
    <t>electrical services for data centres</t>
  </si>
  <si>
    <t>electrical services columbus</t>
  </si>
  <si>
    <t>maryborough commercial electrical contractor</t>
  </si>
  <si>
    <t>electrical contractor tips</t>
  </si>
  <si>
    <t>emergency electrician redruth</t>
  </si>
  <si>
    <t>0, 0, 0, 0, 0, 0, 0, 0, 1, 2, 1, 1, 0, 0, 0, 0, 0, 0, 0, 0, 0, 0, 0, 1</t>
  </si>
  <si>
    <t>testing electrical installation</t>
  </si>
  <si>
    <t>1, 1, 0, 0, 0, 0, 0, 0, 0, 0, 1, 0, 0, 0, 0, 0, 0, 9, 0, 2, 0, 0, 4, 1</t>
  </si>
  <si>
    <t>electrical system repairs orlando</t>
  </si>
  <si>
    <t>gmf electrical and engineering services</t>
  </si>
  <si>
    <t>pond electrical installation</t>
  </si>
  <si>
    <t>0, 0, 0, 0, 1, 1, 0, 0, 0, 0, 0, 1, 0, 0, 0, 0, 0, 0, 0, 0, 0, 0, 0, 1</t>
  </si>
  <si>
    <t>electrical contractor cayman</t>
  </si>
  <si>
    <t>0, 0, 0, 0, 0, 1, 0, 1, 2, 1, 0, 2, 0, 0, 0, 0, 0, 0, 0, 0, 0, 0, 0, 2</t>
  </si>
  <si>
    <t>looking for electrical contractor</t>
  </si>
  <si>
    <t>albany electrical services</t>
  </si>
  <si>
    <t>electrical repairs charlotte, nc</t>
  </si>
  <si>
    <t>electrical powerpoint installation</t>
  </si>
  <si>
    <t>0, 0, 1, 0, 1, 1, 4, 0, 2, 2, 0, 4, 0, 0, 2, 0, 0, 0, 0, 0, 0, 0, 0, 1</t>
  </si>
  <si>
    <t>hillman emergency electrician</t>
  </si>
  <si>
    <t>electrical services in stellenbosch, south africa</t>
  </si>
  <si>
    <t>electrical services mesa</t>
  </si>
  <si>
    <t>0, 0, 0, 5, 2, 0, 1, 0, 1, 0, 1, 0, 0, 0, 0, 0, 0, 0, 0, 0, 0, 0, 0, 1</t>
  </si>
  <si>
    <t>24 hour emergency electrician near me</t>
  </si>
  <si>
    <t>5, 1, 2, 3, 6, 6, 2, 4, 5, 4, 5, 4, 2, 1, 0, 3, 3, 8, 1, 0, 3, 1, 2, 1</t>
  </si>
  <si>
    <t>precision electrical services</t>
  </si>
  <si>
    <t>field electrical services</t>
  </si>
  <si>
    <t>0, 0, 0, 0, 0, 0, 1, 0, 0, 1, 0, 1, 0, 0, 0, 1, 0, 0, 0, 0, 0, 0, 0, 1</t>
  </si>
  <si>
    <t>lucas electrical services</t>
  </si>
  <si>
    <t>0, 0, 0, 0, 0, 0, 0, 0, 1, 0, 1, 0, 0, 0, 0, 0, 0, 0, 1, 0, 0, 0, 0, 1</t>
  </si>
  <si>
    <t>electrical contractor apprenticeship</t>
  </si>
  <si>
    <t>emergency electrician springfield lakes</t>
  </si>
  <si>
    <t>scottsdale electrical services</t>
  </si>
  <si>
    <t>electrical wiring repairs auckland</t>
  </si>
  <si>
    <t>wizard electrical services pretoria</t>
  </si>
  <si>
    <t>edgewater electrical outlet repairs</t>
  </si>
  <si>
    <t>raleigh electrical outlet installation</t>
  </si>
  <si>
    <t>emergency electrician service brisbane</t>
  </si>
  <si>
    <t>1, 0, 0, 2, 1, 1, 0, 2, 1, 1, 0, 0, 0, 2, 0, 0, 0, 0, 0, 0, 0, 0, 0, 1</t>
  </si>
  <si>
    <t>key electrical services</t>
  </si>
  <si>
    <t>0, 0, 1, 0, 0, 0, 0, 0, 0, 1, 0, 1, 0, 0, 0, 0, 0, 0, 0, 0, 0, 0, 0, 1</t>
  </si>
  <si>
    <t>electrical contractor colorado springs</t>
  </si>
  <si>
    <t>0, 1, 0, 1, 2, 1, 2, 0, 1, 1, 1, 0, 1, 0, 0, 0, 0, 0, 0, 0, 1, 0, 0, 1</t>
  </si>
  <si>
    <t>electrical appliance repairs in kempton park</t>
  </si>
  <si>
    <t>emergency electrician coffs harbour</t>
  </si>
  <si>
    <t>commercial electrical inspection services</t>
  </si>
  <si>
    <t>emergency electrician pelham</t>
  </si>
  <si>
    <t>electrical equipment calibration services</t>
  </si>
  <si>
    <t>0, 1, 0, 3, 0, 0, 0, 0, 0, 0, 1, 0, 0, 0, 0, 0, 0, 0, 2, 0, 0, 0, 1, 1</t>
  </si>
  <si>
    <t>bryanston electrical services</t>
  </si>
  <si>
    <t>white plains emergency electrician</t>
  </si>
  <si>
    <t>electrical fit out contractor scotland</t>
  </si>
  <si>
    <t>emergency electrical repairs in kent</t>
  </si>
  <si>
    <t>commercial electrical services graeagle</t>
  </si>
  <si>
    <t>emergency electrician northampton</t>
  </si>
  <si>
    <t>special locations electrical installation</t>
  </si>
  <si>
    <t>home electrical repair services los angeles</t>
  </si>
  <si>
    <t>winston-salem electrical services</t>
  </si>
  <si>
    <t>electrical services in randwick</t>
  </si>
  <si>
    <t>honesty electrical services</t>
  </si>
  <si>
    <t>electrical installation noosaville dc</t>
  </si>
  <si>
    <t>emergency electrician midlothian</t>
  </si>
  <si>
    <t>emergency electrician little bay</t>
  </si>
  <si>
    <t>7 electrical services</t>
  </si>
  <si>
    <t>comprehensive electrical services</t>
  </si>
  <si>
    <t>1, 2, 1, 2, 0, 1, 0, 2, 0, 0, 0, 1, 0, 0, 0, 0, 0, 0, 0, 0, 1, 0, 0, 1</t>
  </si>
  <si>
    <t>requirement for electrical installation pdf</t>
  </si>
  <si>
    <t>electrical contractor business owner salary</t>
  </si>
  <si>
    <t>1, 0, 0, 0, 1, 2, 1, 3, 0, 0, 1, 0, 2, 0, 0, 0, 0, 0, 1, 0, 0, 0, 0, 1</t>
  </si>
  <si>
    <t>spencer electrical services</t>
  </si>
  <si>
    <t>0, 0, 0, 0, 0, 0, 0, 0, 0, 4, 0, 0, 0, 0, 0, 0, 0, 0, 0, 0, 0, 0, 0, 1</t>
  </si>
  <si>
    <t>electrical contractor wakeman oh</t>
  </si>
  <si>
    <t>commercial electrical services linden</t>
  </si>
  <si>
    <t>emergency electrician moorabbin</t>
  </si>
  <si>
    <t>0, 0, 3, 0, 2, 2, 0, 2, 1, 1, 1, 0, 0, 0, 0, 0, 0, 0, 0, 0, 0, 0, 0, 1</t>
  </si>
  <si>
    <t>installation in electrical engineering</t>
  </si>
  <si>
    <t>electrical repairs centennial co</t>
  </si>
  <si>
    <t>0, 0, 0, 0, 3, 0, 1, 0, 2, 0, 0, 0, 0, 0, 0, 0, 0, 0, 0, 0, 0, 0, 0, 1</t>
  </si>
  <si>
    <t>electrical contractor grapevine</t>
  </si>
  <si>
    <t>0, 1, 1, 2, 0, 0, 0, 0, 0, 0, 0, 0, 0, 0, 0, 0, 0, 0, 0, 0, 0, 0, 0, 1</t>
  </si>
  <si>
    <t>florence home electrical repair services</t>
  </si>
  <si>
    <t>gold medal services electrical</t>
  </si>
  <si>
    <t>emergency electrician maitland</t>
  </si>
  <si>
    <t>1, 0, 0, 0, 0, 0, 0, 2, 2, 1, 1, 0, 0, 0, 0, 0, 0, 0, 0, 0, 0, 0, 0, 1</t>
  </si>
  <si>
    <t>cairns electrician emergency</t>
  </si>
  <si>
    <t>switch phase electrical services llc</t>
  </si>
  <si>
    <t>sydney emergency electrician</t>
  </si>
  <si>
    <t>0, 0, 2, 1, 0, 1, 2, 0, 0, 0, 2, 0, 0, 0, 0, 0, 0, 0, 0, 0, 0, 0, 0, 1</t>
  </si>
  <si>
    <t>dallas electrical contractor</t>
  </si>
  <si>
    <t>1, 0, 0, 0, 0, 0, 0, 0, 2, 0, 1, 0, 0, 0, 0, 0, 0, 0, 0, 0, 0, 0, 0, 1</t>
  </si>
  <si>
    <t>electrical installation quote template</t>
  </si>
  <si>
    <t>emergency electrician wentworthville</t>
  </si>
  <si>
    <t>dallas emergency electrician</t>
  </si>
  <si>
    <t>0, 0, 0, 0, 0, 2, 1, 0, 0, 0, 1, 1, 0, 0, 0, 0, 0, 0, 0, 0, 0, 0, 0, 1</t>
  </si>
  <si>
    <t>electrical services in kempton park, south africa</t>
  </si>
  <si>
    <t>emergency electrician crofton park</t>
  </si>
  <si>
    <t>ns electrical services</t>
  </si>
  <si>
    <t>0, 0, 0, 0, 0, 0, 0, 0, 0, 0, 0, 0, 0, 0, 6, 0, 3, 4, 0, 0, 0, 0, 5, 3</t>
  </si>
  <si>
    <t>electrical services company profile pdf</t>
  </si>
  <si>
    <t>emergency electrician illawarra</t>
  </si>
  <si>
    <t>westline electrical services</t>
  </si>
  <si>
    <t>top one electrical services ltd</t>
  </si>
  <si>
    <t>electrical generator installation worcester</t>
  </si>
  <si>
    <t>blue line electrical services</t>
  </si>
  <si>
    <t>electrical installation pdf books</t>
  </si>
  <si>
    <t>fort worth electrical services</t>
  </si>
  <si>
    <t>electrical marine services</t>
  </si>
  <si>
    <t>0, 1, 1, 0, 2, 1, 0, 1, 0, 1, 0, 1, 0, 1, 0, 0, 0, 0, 1, 0, 0, 0, 1, 1</t>
  </si>
  <si>
    <t>electrical installation calculations pdf</t>
  </si>
  <si>
    <t>emergency electrician mona vale</t>
  </si>
  <si>
    <t>emergency electrician greta</t>
  </si>
  <si>
    <t>boston electrical services</t>
  </si>
  <si>
    <t>electrical testing services wellington</t>
  </si>
  <si>
    <t>0, 0, 0, 0, 0, 0, 2, 0, 0, 0, 3, 0, 0, 0, 0, 0, 0, 0, 0, 0, 0, 0, 0, 1</t>
  </si>
  <si>
    <t>strata electrical services central coast</t>
  </si>
  <si>
    <t>2, 0, 0, 0, 0, 0, 0, 0, 2, 0, 1, 0, 0, 0, 0, 0, 1, 0, 0, 0, 0, 0, 0, 1</t>
  </si>
  <si>
    <t>emergency electrician yokine</t>
  </si>
  <si>
    <t>0, 0, 0, 0, 0, 0, 0, 1, 1, 0, 3, 0, 0, 0, 0, 0, 0, 0, 0, 0, 0, 0, 0, 1</t>
  </si>
  <si>
    <t>clearwater home electrical repair services</t>
  </si>
  <si>
    <t>electrical services in new york</t>
  </si>
  <si>
    <t>3, 1, 0, 0, 0, 0, 0, 0, 0, 0, 0, 0, 0, 0, 0, 0, 0, 0, 0, 0, 0, 0, 0, 1</t>
  </si>
  <si>
    <t>electrical installation oxford</t>
  </si>
  <si>
    <t>residential electrical contractor chicago</t>
  </si>
  <si>
    <t>santa rosa electrical services</t>
  </si>
  <si>
    <t>electrical installation brookfield wi</t>
  </si>
  <si>
    <t>home electrical services franklin square</t>
  </si>
  <si>
    <t>electrical services in chicago</t>
  </si>
  <si>
    <t>a plus electrical services</t>
  </si>
  <si>
    <t>2, 0, 1, 0, 0, 0, 0, 0, 0, 0, 0, 0, 1, 0, 0, 0, 0, 0, 0, 0, 0, 0, 0, 1</t>
  </si>
  <si>
    <t>electrical contractor az</t>
  </si>
  <si>
    <t>electrical services flyer template</t>
  </si>
  <si>
    <t>ml electrical services</t>
  </si>
  <si>
    <t>city auto electrical services</t>
  </si>
  <si>
    <t>emergency electrician bolivia nc</t>
  </si>
  <si>
    <t>1, 0, 2, 1, 1, 0, 0, 0, 1, 0, 0, 1, 0, 0, 0, 0, 0, 0, 0, 0, 0, 0, 0, 1</t>
  </si>
  <si>
    <t>commercial electrical services wesley chapel</t>
  </si>
  <si>
    <t>knoxfield emergency electrician</t>
  </si>
  <si>
    <t>0, 0, 5, 2, 1, 0, 0, 0, 0, 0, 0, 0, 0, 0, 0, 0, 0, 0, 0, 0, 0, 0, 0, 1</t>
  </si>
  <si>
    <t>electrical installation certificate editable pdf</t>
  </si>
  <si>
    <t>1, 1, 0, 0, 0, 0, 1, 0, 1, 4, 0, 2, 0, 1, 0, 0, 0, 0, 0, 0, 0, 0, 0, 1</t>
  </si>
  <si>
    <t>shively emergency electrician</t>
  </si>
  <si>
    <t>neil's electrical services</t>
  </si>
  <si>
    <t>0, 0, 0, 0, 0, 0, 0, 0, 0, 0, 0, 0, 0, 0, 0, 2, 0, 0, 0, 0, 0, 0, 0, 1</t>
  </si>
  <si>
    <t>city and guilds electrical installation</t>
  </si>
  <si>
    <t>electrical services logo design</t>
  </si>
  <si>
    <t>0, 1, 1, 1, 2, 0, 0, 0, 0, 0, 3, 0, 0, 2, 1, 1, 0, 1, 0, 0, 0, 0, 0, 1</t>
  </si>
  <si>
    <t>cw electrical services</t>
  </si>
  <si>
    <t>0, 0, 1, 0, 0, 0, 0, 1, 0, 0, 0, 0, 0, 0, 0, 0, 0, 0, 0, 0, 1, 1, 1, 2</t>
  </si>
  <si>
    <t>right electrical services</t>
  </si>
  <si>
    <t>1, 1, 4, 1, 1, 0, 1, 1, 0, 0, 0, 0, 0, 0, 0, 0, 0, 0, 0, 0, 0, 1, 0, 2</t>
  </si>
  <si>
    <t>electrical installation tools and materials</t>
  </si>
  <si>
    <t>0, 0, 0, 0, 0, 0, 0, 0, 0, 0, 2, 0, 0, 0, 0, 1, 0, 0, 0, 0, 0, 6, 2, 4</t>
  </si>
  <si>
    <t>commercial electrical services shrewsbury</t>
  </si>
  <si>
    <t>electrical installation rates</t>
  </si>
  <si>
    <t>0, 2, 0, 0, 0, 3, 0, 2, 0, 0, 3, 0, 0, 0, 2, 2, 0, 0, 0, 3, 0, 0, 0, 1</t>
  </si>
  <si>
    <t>tim brown electrical services</t>
  </si>
  <si>
    <t>emergency electrician pendle hill</t>
  </si>
  <si>
    <t>service level agreement for electrical services</t>
  </si>
  <si>
    <t>industrial domestic electrical services</t>
  </si>
  <si>
    <t>0, 0, 1, 1, 0, 0, 2, 1, 0, 2, 1, 1, 0, 0, 0, 0, 0, 0, 0, 0, 0, 0, 0, 1</t>
  </si>
  <si>
    <t>orange park electrical services</t>
  </si>
  <si>
    <t>register electrical contractor</t>
  </si>
  <si>
    <t>0, 5, 1, 2, 2, 0, 1, 0, 1, 0, 0, 0, 1, 2, 3, 1, 1, 3, 2, 5, 0, 0, 0, 1</t>
  </si>
  <si>
    <t>beachcomber 320 hot tub electrical installation</t>
  </si>
  <si>
    <t>commercial electrical contractor riverside</t>
  </si>
  <si>
    <t>0, 0, 0, 0, 0, 1, 1, 2, 1, 1, 0, 0, 0, 0, 0, 0, 0, 0, 0, 0, 0, 0, 0, 1</t>
  </si>
  <si>
    <t>w becker electrical contractor</t>
  </si>
  <si>
    <t>electrical installation florence, sc</t>
  </si>
  <si>
    <t>0, 1, 1, 0, 1, 0, 1, 2, 1, 4, 1, 0, 0, 0, 0, 0, 0, 0, 0, 0, 0, 0, 0, 1</t>
  </si>
  <si>
    <t>specialty electrical services</t>
  </si>
  <si>
    <t>average hourly rate for electrical contractor</t>
  </si>
  <si>
    <t>0, 0, 0, 3, 0, 0, 1, 1, 0, 0, 0, 0, 0, 0, 0, 0, 0, 0, 0, 0, 0, 1, 0, 1</t>
  </si>
  <si>
    <t>electrical installation service round rock</t>
  </si>
  <si>
    <t>electrical contractor hervey bay</t>
  </si>
  <si>
    <t>francis electrical services</t>
  </si>
  <si>
    <t>0, 0, 0, 0, 0, 2, 1, 4, 2, 1, 25, 2, 3, 5, 1, 3, 1, 1, 3, 1, 0, 0, 0, 1</t>
  </si>
  <si>
    <t>columbus electrical services</t>
  </si>
  <si>
    <t>los angeles emergency electrician</t>
  </si>
  <si>
    <t>1, 0, 1, 0, 0, 0, 0, 0, 0, 1, 0, 0, 0, 0, 0, 0, 0, 0, 0, 0, 0, 0, 0, 1</t>
  </si>
  <si>
    <t>emergency electrician cherryville, nc</t>
  </si>
  <si>
    <t>rcd in electrical installation</t>
  </si>
  <si>
    <t>electrical services owasso ok</t>
  </si>
  <si>
    <t>trunking system in electrical installation</t>
  </si>
  <si>
    <t>0, 0, 0, 0, 0, 0, 0, 0, 0, 0, 0, 0, 0, 0, 0, 0, 0, 0, 0, 3, 0, 0, 0, 1</t>
  </si>
  <si>
    <t>electrical outlet installation minnesota</t>
  </si>
  <si>
    <t>commercial electrical repairs near me</t>
  </si>
  <si>
    <t>0, 0, 1, 0, 2, 0, 2, 0, 0, 3, 1, 1, 0, 0, 0, 0, 0, 0, 0, 0, 0, 0, 0, 1</t>
  </si>
  <si>
    <t>r and b electrical services</t>
  </si>
  <si>
    <t>0, 0, 0, 0, 0, 0, 0, 0, 0, 0, 0, 0, 0, 0, 0, 3, 0, 1, 0, 0, 0, 0, 0, 1</t>
  </si>
  <si>
    <t>electrical technician services</t>
  </si>
  <si>
    <t>0, 0, 0, 2, 1, 2, 0, 0, 0, 6, 1, 6, 1, 0, 0, 0, 2, 0, 0, 0, 0, 0, 0, 1</t>
  </si>
  <si>
    <t>electrical contractor dayton ohio</t>
  </si>
  <si>
    <t>0, 0, 0, 2, 0, 0, 0, 0, 1, 0, 2, 0, 0, 0, 0, 0, 0, 0, 0, 0, 1, 0, 0, 1</t>
  </si>
  <si>
    <t>emergency electrician eurobodalla</t>
  </si>
  <si>
    <t>galaxy electrical services ltd</t>
  </si>
  <si>
    <t>0, 0, 0, 0, 0, 0, 0, 0, 0, 0, 1, 0, 0, 0, 0, 2, 0, 0, 0, 0, 0, 0, 0, 1</t>
  </si>
  <si>
    <t>owl electrical services</t>
  </si>
  <si>
    <t>0, 0, 0, 0, 0, 0, 0, 0, 0, 1, 0, 0, 0, 0, 0, 1, 1, 1, 1, 1, 2, 2, 0, 2</t>
  </si>
  <si>
    <t>emergency electrician ryde</t>
  </si>
  <si>
    <t>24 hour emergency electrician leeds</t>
  </si>
  <si>
    <t>0, 0, 0, 0, 0, 0, 0, 0, 0, 3, 1, 0, 0, 0, 0, 0, 0, 0, 0, 0, 0, 0, 0, 1</t>
  </si>
  <si>
    <t>electrical services highlands ranch</t>
  </si>
  <si>
    <t>teuntin electrical services cc</t>
  </si>
  <si>
    <t>sterling electrical services</t>
  </si>
  <si>
    <t>electrical installation asheville, nc</t>
  </si>
  <si>
    <t>emergency electrical repairs irving tx</t>
  </si>
  <si>
    <t>pool heater electrical installation</t>
  </si>
  <si>
    <t>0, 0, 0, 0, 0, 0, 0, 0, 0, 1, 1, 0, 0, 0, 0, 0, 0, 0, 0, 0, 0, 0, 1, 1</t>
  </si>
  <si>
    <t>electrical hob repairs auckland</t>
  </si>
  <si>
    <t>electrical contractor woodbury</t>
  </si>
  <si>
    <t>sic code for electrical contractor</t>
  </si>
  <si>
    <t>0, 0, 1, 3, 0, 1, 3, 3, 3, 1, 3, 3, 1, 1, 1, 1, 1, 2, 0, 0, 0, 0, 0, 1</t>
  </si>
  <si>
    <t>d &amp; d electrical services</t>
  </si>
  <si>
    <t>da electrical services</t>
  </si>
  <si>
    <t>0, 0, 0, 2, 0, 0, 0, 0, 0, 0, 1, 1, 2, 3, 0, 0, 0, 0, 1, 0, 0, 0, 1, 1</t>
  </si>
  <si>
    <t>iec standards for electrical installation pdf</t>
  </si>
  <si>
    <t>newark electrical services</t>
  </si>
  <si>
    <t>0, 1, 0, 0, 0, 0, 0, 1, 1, 2, 2, 0, 0, 0, 0, 0, 0, 0, 0, 0, 0, 0, 0, 1</t>
  </si>
  <si>
    <t>electrical conduit installation wall</t>
  </si>
  <si>
    <t>0, 0, 0, 0, 0, 0, 0, 0, 0, 0, 0, 0, 0, 0, 0, 0, 0, 0, 1, 0, 2, 1, 2, 3</t>
  </si>
  <si>
    <t>electrical installation procedure pdf</t>
  </si>
  <si>
    <t>0, 2, 0, 0, 0, 2, 0, 1, 0, 2, 2, 1, 1, 1, 2, 2, 0, 1, 1, 0, 0, 0, 0, 1</t>
  </si>
  <si>
    <t>electrical installation companies in polokwane</t>
  </si>
  <si>
    <t>property electrical services</t>
  </si>
  <si>
    <t>1, 0, 0, 0, 1, 0, 0, 2, 0, 0, 0, 0, 0, 1, 1, 0, 0, 0, 0, 1, 0, 0, 0, 1</t>
  </si>
  <si>
    <t>commercial electrical services fresno</t>
  </si>
  <si>
    <t>0, 1, 1, 2, 0, 0, 2, 1, 2, 1, 1, 1, 0, 0, 0, 0, 0, 0, 0, 0, 0, 0, 0, 1</t>
  </si>
  <si>
    <t>electrical contractor jobs near me</t>
  </si>
  <si>
    <t>5, 0, 4, 2, 0, 0, 0, 0, 0, 2, 2, 1, 2, 3, 0, 0, 0, 1, 2, 1, 0, 0, 0, 1</t>
  </si>
  <si>
    <t>c and j electrical services</t>
  </si>
  <si>
    <t>0, 1, 1, 0, 0, 0, 0, 0, 1, 1, 1, 0, 0, 0, 0, 0, 0, 0, 0, 0, 0, 2, 0, 2</t>
  </si>
  <si>
    <t>new electrical panel installation auburn</t>
  </si>
  <si>
    <t>electrical services minneapolis mn</t>
  </si>
  <si>
    <t>aeim air electrical services</t>
  </si>
  <si>
    <t>electrical panel installation washington county</t>
  </si>
  <si>
    <t>electrical installation / maintenance</t>
  </si>
  <si>
    <t>electrical panel installation johnson county</t>
  </si>
  <si>
    <t>level 3 electrical installation exam</t>
  </si>
  <si>
    <t>electrical contractor in mount prospect il</t>
  </si>
  <si>
    <t>0, 0, 0, 0, 0, 0, 0, 0, 2, 1, 1, 3, 0, 0, 0, 0, 0, 0, 0, 0, 0, 0, 0, 1</t>
  </si>
  <si>
    <t>emergency electrician ingleside</t>
  </si>
  <si>
    <t>harrisburg emergency electrician</t>
  </si>
  <si>
    <t>emergency electrician kiara</t>
  </si>
  <si>
    <t>electrical repairs salt lake city</t>
  </si>
  <si>
    <t>electrical contractor etobicoke</t>
  </si>
  <si>
    <t>electrical sales and services</t>
  </si>
  <si>
    <t>electrical repairs northfield</t>
  </si>
  <si>
    <t>emergency electrician minneapolis</t>
  </si>
  <si>
    <t>emergency electrical services brentwood</t>
  </si>
  <si>
    <t>electrical contractor clemmons nc</t>
  </si>
  <si>
    <t>+brinsmead +electrical +contractor</t>
  </si>
  <si>
    <t>electrical services franklin square</t>
  </si>
  <si>
    <t>emergency electrician ramsgate</t>
  </si>
  <si>
    <t>jdp electrical services</t>
  </si>
  <si>
    <t>electrical contractor letterhead word format</t>
  </si>
  <si>
    <t>0, 0, 0, 2, 0, 0, 1, 0, 0, 0, 1, 0, 0, 0, 0, 0, 0, 0, 0, 0, 0, 0, 0, 1</t>
  </si>
  <si>
    <t>alkimos emergency electrician</t>
  </si>
  <si>
    <t>0, 0, 0, 0, 0, 0, 2, 0, 5, 0, 1, 0, 0, 0, 0, 0, 0, 0, 0, 0, 0, 0, 0, 1</t>
  </si>
  <si>
    <t>top phoenix electrical contractor</t>
  </si>
  <si>
    <t>electrical installation db board</t>
  </si>
  <si>
    <t>reason for earthing in electrical installation</t>
  </si>
  <si>
    <t>0, 0, 1, 1, 1, 2, 0, 1, 1, 2, 1, 1, 2, 3, 1, 1, 0, 0, 0, 2, 0, 0, 0, 1</t>
  </si>
  <si>
    <t>emergency electrician san marcos tx</t>
  </si>
  <si>
    <t>residential electrical services cairns</t>
  </si>
  <si>
    <t>industrial and electrical services nashville tn</t>
  </si>
  <si>
    <t>electrical installation and design</t>
  </si>
  <si>
    <t>kitchen electrical services burlington</t>
  </si>
  <si>
    <t>colchester electrical services</t>
  </si>
  <si>
    <t>electrical contractor north shore</t>
  </si>
  <si>
    <t>commercial electrical services tennessee</t>
  </si>
  <si>
    <t>electrical services crawford county</t>
  </si>
  <si>
    <t>universal electrical services</t>
  </si>
  <si>
    <t>professional electrical services hicksville ny</t>
  </si>
  <si>
    <t>emergency electrician knox</t>
  </si>
  <si>
    <t>0, 0, 1, 1, 2, 0, 0, 1, 0, 0, 0, 0, 0, 0, 0, 0, 0, 0, 0, 0, 0, 0, 0, 1</t>
  </si>
  <si>
    <t>electrical contractor slogan</t>
  </si>
  <si>
    <t>1, 0, 1, 3, 1, 0, 0, 0, 0, 0, 0, 0, 0, 0, 0, 0, 0, 0, 0, 0, 0, 0, 0, 1</t>
  </si>
  <si>
    <t>electrical services in polokwane</t>
  </si>
  <si>
    <t>electrical contractor licence</t>
  </si>
  <si>
    <t>2, 1, 2, 0, 1, 0, 5, 0, 3, 5, 4, 2, 1, 5, 0, 1, 1, 0, 3, 0, 3, 3, 1, 4</t>
  </si>
  <si>
    <t>electrical repairs king george va</t>
  </si>
  <si>
    <t>electrical contractor vancouver bc</t>
  </si>
  <si>
    <t>0, 0, 0, 0, 0, 0, 1, 0, 3, 0, 1, 0, 0, 0, 0, 0, 0, 0, 0, 0, 0, 0, 0, 1</t>
  </si>
  <si>
    <t>electrical maintenance services near me</t>
  </si>
  <si>
    <t>2, 2, 0, 0, 2, 0, 0, 0, 0, 0, 0, 0, 0, 0, 0, 0, 0, 0, 0, 0, 0, 0, 0, 1</t>
  </si>
  <si>
    <t>iet electrical installation design guide pdf</t>
  </si>
  <si>
    <t>ccs electrical services</t>
  </si>
  <si>
    <t>0, 0, 0, 0, 0, 0, 0, 0, 0, 0, 0, 0, 0, 0, 0, 0, 0, 1, 0, 1, 0, 0, 0, 1</t>
  </si>
  <si>
    <t>aitsa refrigeration &amp; electrical repairs</t>
  </si>
  <si>
    <t>0, 0, 0, 0, 0, 0, 0, 0, 0, 0, 0, 0, 0, 0, 0, 0, 0, 0, 4, 5, 3, 1, 0, 1</t>
  </si>
  <si>
    <t>bms electrical services</t>
  </si>
  <si>
    <t>1, 1, 0, 0, 1, 0, 1, 1, 0, 1, 0, 0, 0, 0, 0, 0, 0, 0, 0, 0, 0, 0, 0, 1</t>
  </si>
  <si>
    <t>electrical contractor names</t>
  </si>
  <si>
    <t>0, 1, 0, 0, 2, 2, 0, 0, 1, 0, 1, 0, 0, 2, 0, 2, 1, 0, 0, 0, 0, 3, 0, 2</t>
  </si>
  <si>
    <t>starting electrical contractor business</t>
  </si>
  <si>
    <t>mechanical electrical services</t>
  </si>
  <si>
    <t>0, 0, 0, 1, 0, 0, 0, 1, 0, 0, 0, 0, 0, 0, 0, 0, 0, 0, 0, 0, 0, 1, 0, 2</t>
  </si>
  <si>
    <t>emr electrical services</t>
  </si>
  <si>
    <t>electrical services quincy il</t>
  </si>
  <si>
    <t>gateway electrical services</t>
  </si>
  <si>
    <t>sparkys electrical services</t>
  </si>
  <si>
    <t>new electrical panel installation</t>
  </si>
  <si>
    <t>0, 0, 1, 2, 1, 1, 0, 2, 4, 9, 3, 0, 0, 0, 0, 0, 0, 0, 1, 0, 0, 0, 0, 1</t>
  </si>
  <si>
    <t>sparky electrical services</t>
  </si>
  <si>
    <t>1, 5, 0, 2, 5, 2, 2, 7, 1, 0, 4, 1, 2, 6, 2, 0, 0, 3, 2, 8, 0, 0, 0, 1</t>
  </si>
  <si>
    <t>electrical installation means</t>
  </si>
  <si>
    <t>commercial electrical installation bolton</t>
  </si>
  <si>
    <t>0, 0, 0, 2, 0, 1, 0, 0, 0, 0, 0, 0, 0, 0, 0, 0, 0, 0, 0, 0, 0, 0, 0, 1</t>
  </si>
  <si>
    <t>emergency electrician hull</t>
  </si>
  <si>
    <t>aberdeen electrical services</t>
  </si>
  <si>
    <t>0, 0, 0, 0, 0, 0, 0, 0, 0, 0, 0, 3, 0, 0, 0, 0, 0, 1, 0, 0, 0, 0, 0, 1</t>
  </si>
  <si>
    <t>inspection electrical installation</t>
  </si>
  <si>
    <t>0, 0, 0, 0, 0, 0, 0, 0, 0, 0, 0, 2, 0, 0, 0, 1, 1, 0, 0, 3, 0, 1, 0, 1</t>
  </si>
  <si>
    <t>city of knoxville electrical contractor bond</t>
  </si>
  <si>
    <t>electrical switch installation rowlett</t>
  </si>
  <si>
    <t>emergency electrician clinton county</t>
  </si>
  <si>
    <t>emergency electrician langwarrin</t>
  </si>
  <si>
    <t>stanley electrical services</t>
  </si>
  <si>
    <t>electrical services fayette county</t>
  </si>
  <si>
    <t>electrical services monroe</t>
  </si>
  <si>
    <t>0, 0, 0, 0, 0, 1, 1, 1, 0, 0, 1, 0, 0, 0, 0, 0, 0, 0, 0, 0, 0, 0, 0, 1</t>
  </si>
  <si>
    <t>electrical contractor boise id</t>
  </si>
  <si>
    <t>benco electrical services</t>
  </si>
  <si>
    <t>tk electrical services</t>
  </si>
  <si>
    <t>0, 1, 0, 1, 0, 0, 1, 0, 0, 0, 0, 0, 0, 1, 0, 0, 0, 0, 0, 0, 0, 0, 0, 1</t>
  </si>
  <si>
    <t>emergency electrician telford</t>
  </si>
  <si>
    <t>emergency electrician fort myers</t>
  </si>
  <si>
    <t>electrical services billerica ma</t>
  </si>
  <si>
    <t>electrical led light installation near me</t>
  </si>
  <si>
    <t>tag electrical services</t>
  </si>
  <si>
    <t>electrical installation certificate example</t>
  </si>
  <si>
    <t>1, 1, 1, 6, 1, 8, 0, 1, 1, 2, 0, 0, 0, 1, 1, 7, 0, 0, 0, 2, 0, 0, 0, 1</t>
  </si>
  <si>
    <t>north shore electrical services</t>
  </si>
  <si>
    <t>requirements to register as electrical contractor</t>
  </si>
  <si>
    <t>electrical repair services wesley chapel</t>
  </si>
  <si>
    <t>emergency electrician maryland</t>
  </si>
  <si>
    <t>wired electrical services inc</t>
  </si>
  <si>
    <t>electrical contractor training</t>
  </si>
  <si>
    <t>0, 0, 0, 0, 0, 0, 0, 0, 0, 0, 0, 1, 1, 0, 0, 0, 0, 0, 0, 0, 0, 0, 0, 1</t>
  </si>
  <si>
    <t>ked electrical services</t>
  </si>
  <si>
    <t>home electrical repairs lakeland</t>
  </si>
  <si>
    <t>electrical services in north west</t>
  </si>
  <si>
    <t>0, 1, 0, 0, 0, 1, 0, 0, 0, 1, 0, 28, 4, 2, 0, 0, 0, 0, 0, 1, 4, 8, 5, 7</t>
  </si>
  <si>
    <t>watt electrical services</t>
  </si>
  <si>
    <t>0, 0, 0, 0, 0, 0, 2, 0, 0, 0, 0, 1, 0, 0, 0, 0, 0, 0, 0, 0, 0, 0, 0, 1</t>
  </si>
  <si>
    <t>eddies electrical services photos</t>
  </si>
  <si>
    <t>alight electrical services</t>
  </si>
  <si>
    <t>electrical waste management services</t>
  </si>
  <si>
    <t>electrical car services</t>
  </si>
  <si>
    <t>1, 1, 1, 0, 1, 0, 1, 1, 1, 0, 1, 0, 0, 0, 1, 0, 0, 0, 2, 0, 0, 0, 0, 1</t>
  </si>
  <si>
    <t>electrical contractor letterhead</t>
  </si>
  <si>
    <t>1, 1, 0, 0, 0, 0, 1, 1, 0, 0, 0, 0, 0, 0, 1, 0, 1, 2, 1, 1, 2, 0, 0, 2</t>
  </si>
  <si>
    <t>electrical contractor albuquerque nm</t>
  </si>
  <si>
    <t>1, 0, 0, 0, 0, 0, 1, 0, 1, 0, 1, 0, 0, 0, 0, 0, 0, 0, 0, 0, 0, 0, 0, 1</t>
  </si>
  <si>
    <t>electrical repair services port macquarie</t>
  </si>
  <si>
    <t>d&amp;k electrical services</t>
  </si>
  <si>
    <t>electrician emergency near me</t>
  </si>
  <si>
    <t>6, 0, 6, 5, 4, 1, 5, 8, 7, 5, 0, 0, 1, 0, 1, 0, 1, 1, 1, 8, 2, 0, 0, 2</t>
  </si>
  <si>
    <t>express auto electrical repairs cape town</t>
  </si>
  <si>
    <t>11, 18, 30, 23, 17, 12, 1, 0, 0, 0, 0, 0, 0, 0, 0, 0, 0, 0, 0, 0, 0, 0, 0, 2</t>
  </si>
  <si>
    <t>electrical contractor insurance nevada</t>
  </si>
  <si>
    <t>andrews electrical services</t>
  </si>
  <si>
    <t>robertson electrical services</t>
  </si>
  <si>
    <t>electrical installation service clifton park</t>
  </si>
  <si>
    <t>electrical contractor basildon</t>
  </si>
  <si>
    <t>spa electrical services san bernardino ca</t>
  </si>
  <si>
    <t>alton electrical services</t>
  </si>
  <si>
    <t>1, 1, 1, 0, 0, 0, 0, 0, 3, 0, 1, 2, 1, 2, 1, 0, 0, 0, 0, 0, 0, 6, 2, 4</t>
  </si>
  <si>
    <t>lv electrical services</t>
  </si>
  <si>
    <t>0, 0, 0, 0, 1, 0, 0, 1, 0, 1, 0, 0, 0, 0, 0, 0, 0, 0, 0, 0, 0, 0, 0, 1</t>
  </si>
  <si>
    <t>eric electrical services</t>
  </si>
  <si>
    <t>harding electrical services</t>
  </si>
  <si>
    <t>real-estate electrical contractor</t>
  </si>
  <si>
    <t>electrical services hemel hempstead</t>
  </si>
  <si>
    <t>electrical installation condition report uk</t>
  </si>
  <si>
    <t>0, 0, 0, 1, 0, 1, 1, 0, 1, 0, 1, 0, 1, 0, 0, 1, 0, 0, 0, 0, 0, 0, 0, 1</t>
  </si>
  <si>
    <t>emergency electrician in adelaide</t>
  </si>
  <si>
    <t>dock electrical services cherryville, nc</t>
  </si>
  <si>
    <t>0, 0, 0, 0, 0, 0, 0, 0, 1, 1, 0, 1, 0, 0, 0, 0, 0, 0, 0, 0, 0, 0, 0, 1</t>
  </si>
  <si>
    <t>emergency electrician victoria</t>
  </si>
  <si>
    <t>0, 0, 0, 1, 1, 0, 1, 1, 2, 0, 0, 1, 0, 0, 0, 0, 0, 0, 0, 0, 0, 0, 0, 1</t>
  </si>
  <si>
    <t>emergency electrician st. kilda</t>
  </si>
  <si>
    <t>electrical contractor registration number</t>
  </si>
  <si>
    <t>7, 1, 0, 1, 4, 0, 3, 0, 1, 0, 0, 0, 1, 0, 2, 3, 0, 2, 6, 2, 6, 3, 3, 2</t>
  </si>
  <si>
    <t>emergency electrician carlingford</t>
  </si>
  <si>
    <t>electrical contractor registration south africa</t>
  </si>
  <si>
    <t>electrical contractor services gilbert</t>
  </si>
  <si>
    <t>electrical installation in residential building</t>
  </si>
  <si>
    <t>emergency electrician st leonards</t>
  </si>
  <si>
    <t>technical electrical field services</t>
  </si>
  <si>
    <t>outsource electrical engineering services</t>
  </si>
  <si>
    <t>0, 0, 0, 0, 0, 2, 0, 1, 0, 1, 0, 0, 0, 0, 0, 0, 0, 0, 0, 0, 0, 0, 0, 1</t>
  </si>
  <si>
    <t>electrical motor services</t>
  </si>
  <si>
    <t>2, 4, 1, 1, 2, 1, 0, 1, 0, 1, 1, 0, 1, 0, 0, 0, 0, 0, 2, 1, 3, 3, 2, 4</t>
  </si>
  <si>
    <t>electrical installation condition report guidance</t>
  </si>
  <si>
    <t>0, 1, 0, 0, 0, 0, 0, 0, 1, 1, 0, 0, 0, 1, 0, 1, 0, 0, 0, 0, 0, 0, 0, 1</t>
  </si>
  <si>
    <t>temporary electrical installation regulations</t>
  </si>
  <si>
    <t>1, 2, 1, 3, 0, 0, 1, 0, 1, 2, 3, 1, 0, 1, 1, 0, 0, 0, 1, 0, 0, 0, 0, 1</t>
  </si>
  <si>
    <t>electrical installation audit report</t>
  </si>
  <si>
    <t>0, 1, 0, 1, 2, 3, 0, 1, 3, 1, 2, 3, 0, 0, 0, 1, 0, 0, 0, 0, 1, 0, 0, 1</t>
  </si>
  <si>
    <t>st louis electrical contractor</t>
  </si>
  <si>
    <t>electrical services advertisement</t>
  </si>
  <si>
    <t>2, 0, 3, 1, 0, 0, 0, 1, 0, 2, 3, 0, 0, 1, 0, 0, 0, 0, 0, 0, 0, 0, 0, 1</t>
  </si>
  <si>
    <t>electrical repair services brighton</t>
  </si>
  <si>
    <t>0, 1, 3, 0, 0, 0, 0, 0, 0, 0, 0, 0, 0, 0, 0, 0, 0, 0, 0, 0, 0, 0, 0, 1</t>
  </si>
  <si>
    <t>fremont home electrical repair services</t>
  </si>
  <si>
    <t>electrical contractor bradford</t>
  </si>
  <si>
    <t>0, 0, 0, 0, 1, 0, 0, 0, 0, 0, 3, 0, 0, 0, 0, 0, 0, 0, 0, 0, 0, 0, 0, 1</t>
  </si>
  <si>
    <t>electrical and lighting installation</t>
  </si>
  <si>
    <t>twin falls electrical outlet repairs</t>
  </si>
  <si>
    <t>electrical contractor bidding</t>
  </si>
  <si>
    <t>c&amp;g level 3 electrical installation</t>
  </si>
  <si>
    <t>home electrical repair services brea</t>
  </si>
  <si>
    <t>find electrical contractor</t>
  </si>
  <si>
    <t>0, 0, 0, 1, 0, 0, 0, 0, 0, 0, 1, 0, 0, 0, 1, 0, 0, 0, 0, 0, 0, 0, 0, 1</t>
  </si>
  <si>
    <t>temporary electrical services</t>
  </si>
  <si>
    <t>electrical domestic installation</t>
  </si>
  <si>
    <t>1, 6, 5, 2, 0, 0, 0, 0, 0, 0, 0, 0, 0, 3, 1, 1, 0, 0, 0, 0, 0, 0, 0, 1</t>
  </si>
  <si>
    <t>emergency electrician gordon</t>
  </si>
  <si>
    <t>electrical testing services glasgow</t>
  </si>
  <si>
    <t>types of cables used in electrical installation</t>
  </si>
  <si>
    <t>2, 0, 2, 3, 0, 0, 0, 0, 0, 0, 1, 1, 5, 2, 0, 2, 0, 0, 0, 0, 0, 3, 0, 2</t>
  </si>
  <si>
    <t>emergency electrician torquay</t>
  </si>
  <si>
    <t>electrical contractor westcliff on sea</t>
  </si>
  <si>
    <t>viper electrical services</t>
  </si>
  <si>
    <t>electrical switch installation guide</t>
  </si>
  <si>
    <t>0, 0, 0, 0, 0, 0, 0, 1, 0, 2, 0, 0, 0, 0, 0, 0, 0, 1, 0, 0, 0, 0, 0, 1</t>
  </si>
  <si>
    <t>electrical repairs owasso ok</t>
  </si>
  <si>
    <t>kaufman electrical services</t>
  </si>
  <si>
    <t>city and guilds electrical installation level 3</t>
  </si>
  <si>
    <t>1, 0, 1, 2, 0, 0, 2, 2, 1, 0, 4, 0, 0, 1, 1, 1, 1, 0, 2, 0, 1, 1, 2, 1</t>
  </si>
  <si>
    <t>electrical services in diep river, south africa</t>
  </si>
  <si>
    <t>0, 0, 0, 0, 0, 0, 0, 0, 0, 0, 0, 0, 0, 0, 0, 0, 3, 4, 0, 0, 0, 0, 0, 1</t>
  </si>
  <si>
    <t>level 3 diploma electrical installation</t>
  </si>
  <si>
    <t>0, 0, 1, 0, 0, 0, 0, 0, 0, 1, 2, 0, 0, 0, 0, 0, 0, 0, 0, 0, 0, 0, 0, 1</t>
  </si>
  <si>
    <t>electrical contractor petawawa</t>
  </si>
  <si>
    <t>0, 1, 1, 1, 1, 2, 0, 0, 2, 1, 1, 0, 0, 0, 0, 0, 0, 0, 0, 0, 0, 0, 0, 1</t>
  </si>
  <si>
    <t>electrical estimator services</t>
  </si>
  <si>
    <t>0, 0, 0, 0, 0, 0, 0, 0, 0, 2, 2, 1, 0, 2, 1, 1, 0, 1, 1, 0, 0, 0, 0, 1</t>
  </si>
  <si>
    <t>protect electrical services</t>
  </si>
  <si>
    <t>electrical contractor video marketing</t>
  </si>
  <si>
    <t>mundijong emergency electrician</t>
  </si>
  <si>
    <t>0, 0, 0, 0, 0, 1, 0, 0, 1, 0, 1, 2, 0, 0, 0, 0, 0, 0, 0, 0, 0, 0, 0, 1</t>
  </si>
  <si>
    <t>electrical contractor local seo</t>
  </si>
  <si>
    <t>domestic electrical installation certificate pdf</t>
  </si>
  <si>
    <t>0, 0, 0, 0, 0, 0, 0, 2, 1, 0, 0, 1, 0, 0, 0, 0, 0, 0, 0, 0, 0, 1, 0, 1</t>
  </si>
  <si>
    <t>low voltage electrical services vernal ut</t>
  </si>
  <si>
    <t>1, 1, 0, 0, 0, 1, 0, 0, 0, 0, 0, 0, 0, 0, 0, 0, 0, 0, 0, 0, 0, 0, 0, 1</t>
  </si>
  <si>
    <t>electrical panel installation riverside mo</t>
  </si>
  <si>
    <t>brisbane electrical services</t>
  </si>
  <si>
    <t>0, 0, 0, 0, 0, 2, 1, 0, 0, 2, 1, 0, 0, 0, 0, 0, 0, 1, 0, 0, 0, 0, 0, 1</t>
  </si>
  <si>
    <t>industrial electrical contractor colchester</t>
  </si>
  <si>
    <t>r.m.u electrical installation</t>
  </si>
  <si>
    <t>jet electrical services</t>
  </si>
  <si>
    <t>denver apartment electrical services</t>
  </si>
  <si>
    <t>bowman electrical services</t>
  </si>
  <si>
    <t>licensed electrical contractor supplier</t>
  </si>
  <si>
    <t>home electrical repairs</t>
  </si>
  <si>
    <t>2, 9, 13, 10, 20, 20, 5, 8, 25, 55, 51, 0, 1, 1, 0, 6, 6, 4, 1, 2, 3, 2, 0, 3</t>
  </si>
  <si>
    <t>consumer electrical services inc</t>
  </si>
  <si>
    <t>electrical vehicle charger installation toronto</t>
  </si>
  <si>
    <t>amp electrical services</t>
  </si>
  <si>
    <t>0, 0, 1, 0, 0, 1, 0, 0, 1, 1, 0, 3, 10, 3, 2, 1, 1, 5, 1, 6, 4, 0, 0, 1</t>
  </si>
  <si>
    <t>hamilton electrical services</t>
  </si>
  <si>
    <t>0, 0, 0, 1, 0, 0, 0, 1, 0, 0, 3, 0, 0, 0, 0, 0, 0, 0, 0, 0, 0, 0, 0, 1</t>
  </si>
  <si>
    <t>electrical contractor symbol</t>
  </si>
  <si>
    <t>0, 0, 0, 1, 0, 0, 0, 0, 0, 0, 0, 0, 0, 0, 0, 0, 0, 1, 0, 2, 0, 0, 1, 1</t>
  </si>
  <si>
    <t>commercial electrical contractor halifax</t>
  </si>
  <si>
    <t>ems electrical services</t>
  </si>
  <si>
    <t>residential electrical services southlake tx</t>
  </si>
  <si>
    <t>electrical contractor bidding software</t>
  </si>
  <si>
    <t>0, 0, 0, 0, 0, 0, 0, 0, 1, 3, 4, 0, 0, 0, 0, 0, 0, 0, 0, 0, 0, 0, 0, 1</t>
  </si>
  <si>
    <t>electrical outlet installation cherokee county</t>
  </si>
  <si>
    <t>collison electrical services</t>
  </si>
  <si>
    <t>0, 0, 0, 0, 0, 0, 0, 0, 0, 0, 0, 0, 0, 0, 0, 0, 0, 1, 0, 1, 1, 0, 0, 1</t>
  </si>
  <si>
    <t>san jose electrical repairs</t>
  </si>
  <si>
    <t>sms electrical services</t>
  </si>
  <si>
    <t>1, 2, 2, 1, 1, 0, 0, 0, 1, 0, 1, 0, 1, 0, 1, 0, 0, 0, 1, 1, 1, 1, 1, 1</t>
  </si>
  <si>
    <t>best electrical services near me</t>
  </si>
  <si>
    <t>0, 0, 0, 0, 0, 1, 0, 1, 0, 0, 0, 0, 0, 1, 0, 0, 0, 0, 0, 0, 0, 0, 0, 1</t>
  </si>
  <si>
    <t>electrical wall box installation</t>
  </si>
  <si>
    <t>11, 10, 1, 0, 0, 1, 2, 0, 1, 3, 0, 1, 0, 5, 1, 2, 0, 0, 0, 0, 0, 0, 3, 1</t>
  </si>
  <si>
    <t>a to z electrical services</t>
  </si>
  <si>
    <t>0, 0, 0, 0, 0, 0, 0, 1, 1, 1, 1, 0, 0, 0, 0, 0, 0, 0, 0, 0, 1, 0, 0, 1</t>
  </si>
  <si>
    <t>emergency electrician castle cove</t>
  </si>
  <si>
    <t>emergency electrician charleston sc</t>
  </si>
  <si>
    <t>us electrical services inc</t>
  </si>
  <si>
    <t>0, 0, 1, 0, 0, 0, 0, 0, 0, 0, 0, 2, 0, 0, 0, 0, 1, 0, 0, 0, 0, 0, 0, 1</t>
  </si>
  <si>
    <t>electrical contractor bernecker</t>
  </si>
  <si>
    <t>0, 0, 0, 0, 0, 0, 2, 0, 0, 1, 1, 0, 0, 0, 0, 0, 0, 0, 0, 0, 0, 0, 0, 1</t>
  </si>
  <si>
    <t>electrical services victoria bc</t>
  </si>
  <si>
    <t>1, 0, 0, 0, 0, 0, 1, 0, 1, 2, 0, 0, 0, 0, 0, 0, 0, 0, 0, 0, 0, 0, 0, 1</t>
  </si>
  <si>
    <t>electrical services in nairobi</t>
  </si>
  <si>
    <t>emergency electrician epsom</t>
  </si>
  <si>
    <t>0, 0, 1, 1, 0, 1, 1, 1, 0, 2, 0, 0, 0, 0, 0, 0, 0, 0, 0, 0, 0, 0, 0, 1</t>
  </si>
  <si>
    <t>lume electrical services</t>
  </si>
  <si>
    <t>mn electrical services</t>
  </si>
  <si>
    <t>electrical installation course subjects</t>
  </si>
  <si>
    <t>ellis electrical services</t>
  </si>
  <si>
    <t>0, 0, 0, 0, 0, 0, 0, 1, 0, 0, 0, 1, 0, 1, 0, 0, 4, 0, 0, 0, 2, 2, 2, 1</t>
  </si>
  <si>
    <t>kyle and son electrical services</t>
  </si>
  <si>
    <t>electrical services lawrence county</t>
  </si>
  <si>
    <t>electrical contractor responsibilities</t>
  </si>
  <si>
    <t>0, 0, 0, 0, 0, 0, 0, 0, 0, 0, 0, 2, 0, 0, 0, 0, 0, 2, 0, 0, 0, 0, 0, 1</t>
  </si>
  <si>
    <t>electrical contractor markham</t>
  </si>
  <si>
    <t>0, 0, 2, 3, 0, 3, 0, 2, 1, 2, 2, 2, 0, 0, 0, 0, 0, 0, 0, 0, 0, 0, 0, 1</t>
  </si>
  <si>
    <t>emergency electrician pickens county</t>
  </si>
  <si>
    <t>emergency electrician blue mountains</t>
  </si>
  <si>
    <t>0, 0, 0, 0, 1, 0, 0, 2, 0, 0, 0, 0, 0, 0, 0, 0, 0, 0, 0, 0, 0, 0, 0, 1</t>
  </si>
  <si>
    <t>supreme electrical services</t>
  </si>
  <si>
    <t>emergency electrician zanesville ohio</t>
  </si>
  <si>
    <t>l&amp;l electrical services</t>
  </si>
  <si>
    <t>electrical contractor seo</t>
  </si>
  <si>
    <t>0, 0, 0, 0, 0, 1, 1, 0, 1, 0, 3, 2, 0, 0, 0, 0, 0, 0, 0, 0, 0, 0, 0, 1</t>
  </si>
  <si>
    <t>smart home electrical services mooresville, nc</t>
  </si>
  <si>
    <t>1, 0, 0, 0, 0, 0, 0, 1, 2, 2, 1, 0, 0, 0, 0, 0, 0, 0, 0, 0, 0, 0, 0, 1</t>
  </si>
  <si>
    <t>emergency electrician denver</t>
  </si>
  <si>
    <t>0, 0, 1, 0, 0, 0, 0, 1, 0, 0, 2, 0, 0, 0, 0, 0, 0, 0, 0, 0, 0, 0, 0, 1</t>
  </si>
  <si>
    <t>emergency electrical repairs gold coast</t>
  </si>
  <si>
    <t>0, 2, 6, 7, 1, 1, 0, 0, 0, 0, 0, 0, 0, 0, 0, 0, 0, 0, 0, 0, 0, 0, 0, 1</t>
  </si>
  <si>
    <t>a and e electrical services</t>
  </si>
  <si>
    <t>lucid electrical services</t>
  </si>
  <si>
    <t>electrical repairs in</t>
  </si>
  <si>
    <t>electrical automation services</t>
  </si>
  <si>
    <t>0, 1, 1, 1, 3, 0, 5, 1, 2, 2, 2, 3, 0, 1, 0, 0, 0, 0, 1, 0, 0, 0, 0, 1</t>
  </si>
  <si>
    <t>winward electrical services inc</t>
  </si>
  <si>
    <t>0, 0, 0, 0, 1, 0, 0, 1, 0, 2, 0, 0, 0, 0, 0, 0, 0, 0, 0, 0, 0, 0, 0, 1</t>
  </si>
  <si>
    <t>ht electrical contractor</t>
  </si>
  <si>
    <t>renewable energy electrical contractor ireland</t>
  </si>
  <si>
    <t>electrical contractor insurance colorado</t>
  </si>
  <si>
    <t>residential electrical services san diego, ca</t>
  </si>
  <si>
    <t>barton electrical services</t>
  </si>
  <si>
    <t>clark electrical services</t>
  </si>
  <si>
    <t>0, 0, 0, 0, 0, 0, 0, 0, 0, 0, 0, 0, 0, 0, 0, 0, 1, 1, 1, 0, 0, 0, 0, 1</t>
  </si>
  <si>
    <t>electrical installation test sheet wa</t>
  </si>
  <si>
    <t>0, 0, 1, 0, 1, 0, 0, 0, 0, 0, 1, 0, 0, 0, 0, 0, 0, 0, 0, 0, 0, 0, 0, 1</t>
  </si>
  <si>
    <t>electrical contractor email strategy</t>
  </si>
  <si>
    <t>electrical installation guide pdf</t>
  </si>
  <si>
    <t>6, 1, 1, 2, 0, 0, 1, 0, 1, 0, 0, 1, 2, 0, 2, 15, 0, 1, 1, 2, 1, 0, 0, 1</t>
  </si>
  <si>
    <t>can a contractor do electrical work</t>
  </si>
  <si>
    <t>0, 0, 0, 0, 1, 0, 0, 0, 0, 0, 0, 0, 0, 0, 1, 0, 0, 0, 0, 0, 0, 0, 0, 1</t>
  </si>
  <si>
    <t>gas and electrical appliance repairs</t>
  </si>
  <si>
    <t>electrical contractor fort myers</t>
  </si>
  <si>
    <t>heat pump electrical installation</t>
  </si>
  <si>
    <t>0, 0, 0, 4, 0, 0, 0, 0, 0, 0, 0, 0, 0, 0, 0, 0, 0, 0, 0, 0, 0, 1, 0, 1</t>
  </si>
  <si>
    <t>manning emergency electrician</t>
  </si>
  <si>
    <t>24 hour emergency electrician perth</t>
  </si>
  <si>
    <t>electrical services electrician banner design</t>
  </si>
  <si>
    <t>electrical contractor company anna maria beach fl</t>
  </si>
  <si>
    <t>residential electrical services london</t>
  </si>
  <si>
    <t>electrical installation risk assessment doc</t>
  </si>
  <si>
    <t>4, 17, 19, 14, 6, 13, 9, 34, 21, 9, 17, 2, 6, 4, 4, 1, 0, 1, 7, 4, 3, 13, 3, 7</t>
  </si>
  <si>
    <t>electrical installation practicals</t>
  </si>
  <si>
    <t>symmetry electrical services pty ltd</t>
  </si>
  <si>
    <t>emergency electrician whitby</t>
  </si>
  <si>
    <t>0, 0, 0, 0, 1, 0, 3, 1, 2, 1, 0, 0, 0, 0, 0, 0, 0, 0, 0, 0, 0, 0, 0, 1</t>
  </si>
  <si>
    <t>extra electrical outlets services in loudon</t>
  </si>
  <si>
    <t>0, 0, 0, 0, 0, 0, 0, 0, 1, 0, 0, 0, 3, 0, 1, 0, 0, 1, 2, 0, 0, 0, 0, 1</t>
  </si>
  <si>
    <t>stewart electrical services</t>
  </si>
  <si>
    <t>0, 0, 0, 0, 0, 0, 0, 0, 0, 1, 0, 0, 3, 0, 0, 0, 0, 0, 1, 3, 2, 0, 1, 1</t>
  </si>
  <si>
    <t>mrm electrical projects and services</t>
  </si>
  <si>
    <t>sic code electrical contractor</t>
  </si>
  <si>
    <t>1, 1, 3, 0, 0, 0, 1, 1, 0, 1, 0, 0, 0, 0, 0, 0, 1, 0, 0, 0, 0, 0, 0, 1</t>
  </si>
  <si>
    <t>san jose electrical services</t>
  </si>
  <si>
    <t>svq electrical installation</t>
  </si>
  <si>
    <t>electrical equipment recycling services</t>
  </si>
  <si>
    <t>0, 0, 0, 1, 1, 1, 0, 0, 1, 0, 1, 0, 0, 0, 0, 0, 0, 0, 0, 0, 0, 0, 0, 1</t>
  </si>
  <si>
    <t>electrical services &amp; upgrades</t>
  </si>
  <si>
    <t>emergency electrician kings cross</t>
  </si>
  <si>
    <t>pro elec electrical services</t>
  </si>
  <si>
    <t>electrical services in perth</t>
  </si>
  <si>
    <t>0, 0, 0, 0, 0, 0, 0, 1, 0, 0, 2, 0, 0, 0, 0, 0, 0, 0, 0, 0, 0, 1, 0, 1</t>
  </si>
  <si>
    <t>snh electrical services</t>
  </si>
  <si>
    <t>electrical appliance repairs &amp; parts</t>
  </si>
  <si>
    <t>professional electrical contractor sebastopol ca</t>
  </si>
  <si>
    <t>electrical contractor nyc</t>
  </si>
  <si>
    <t>0, 1, 0, 0, 1, 1, 0, 0, 0, 0, 1, 0, 0, 0, 0, 0, 0, 0, 0, 0, 0, 0, 0, 1</t>
  </si>
  <si>
    <t>tampa electrical services</t>
  </si>
  <si>
    <t>electrical services pottstown pa</t>
  </si>
  <si>
    <t>park electrical services</t>
  </si>
  <si>
    <t>0, 0, 0, 1, 0, 1, 1, 0, 0, 0, 0, 0, 0, 1, 0, 0, 0, 0, 0, 0, 0, 1, 0, 1</t>
  </si>
  <si>
    <t>emergency electrician hackney</t>
  </si>
  <si>
    <t>0, 0, 0, 0, 0, 0, 2, 1, 0, 0, 1, 0, 0, 0, 0, 0, 0, 0, 0, 0, 0, 0, 0, 1</t>
  </si>
  <si>
    <t>electrical repair contractor hattiesburg</t>
  </si>
  <si>
    <t>0, 0, 0, 0, 1, 1, 2, 0, 0, 0, 0, 0, 0, 0, 0, 0, 0, 0, 0, 0, 0, 0, 0, 1</t>
  </si>
  <si>
    <t>electrical contractor espanola</t>
  </si>
  <si>
    <t>0, 0, 1, 1, 0, 0, 0, 0, 0, 0, 1, 1, 0, 0, 0, 0, 0, 0, 0, 0, 0, 0, 0, 1</t>
  </si>
  <si>
    <t>installation certificate electrical</t>
  </si>
  <si>
    <t>0, 0, 0, 0, 0, 0, 1, 1, 4, 1, 4, 4, 0, 4, 6, 3, 3, 1, 1, 0, 1, 0, 0, 1</t>
  </si>
  <si>
    <t>electrical license for contractor</t>
  </si>
  <si>
    <t>0, 0, 0, 0, 0, 0, 1, 0, 0, 1, 0, 0, 0, 0, 0, 1, 0, 0, 0, 1, 1, 0, 0, 1</t>
  </si>
  <si>
    <t>emergency electrical services nyc</t>
  </si>
  <si>
    <t>alabama electrical contractor board</t>
  </si>
  <si>
    <t>athlone auto electrical services cape town</t>
  </si>
  <si>
    <t>electrical appliance services in thane</t>
  </si>
  <si>
    <t>0, 0, 0, 0, 0, 1, 0, 0, 1, 1, 1, 0, 0, 0, 0, 0, 0, 0, 0, 0, 0, 0, 0, 1</t>
  </si>
  <si>
    <t>emergency electrician brighton mi</t>
  </si>
  <si>
    <t>electrical generator installation charlotte, nc</t>
  </si>
  <si>
    <t>dng electrical services</t>
  </si>
  <si>
    <t>24 hour emergency electrician richmond</t>
  </si>
  <si>
    <t>1, 0, 0, 2, 3, 1, 2, 1, 1, 0, 1, 0, 0, 0, 0, 0, 0, 0, 0, 0, 0, 0, 0, 1</t>
  </si>
  <si>
    <t>design &amp; build electrical contractor braintree</t>
  </si>
  <si>
    <t>electrical panel installation mchenry</t>
  </si>
  <si>
    <t>0, 0, 0, 0, 1, 1, 0, 2, 1, 0, 0, 0, 0, 0, 0, 0, 0, 0, 0, 0, 0, 0, 0, 1</t>
  </si>
  <si>
    <t>in-house electrical services</t>
  </si>
  <si>
    <t>1, 0, 0, 0, 0, 1, 3, 1, 3, 0, 1, 2, 0, 0, 0, 0, 0, 0, 0, 0, 0, 0, 0, 1</t>
  </si>
  <si>
    <t>electrical installation fortville in</t>
  </si>
  <si>
    <t>electrical contractor waco tx</t>
  </si>
  <si>
    <t>electrical outlet installation service</t>
  </si>
  <si>
    <t>0, 2, 2, 0, 3, 1, 2, 1, 2, 3, 1, 6, 1, 0, 0, 0, 0, 0, 0, 0, 0, 0, 0, 1</t>
  </si>
  <si>
    <t>electrical contractor driggs</t>
  </si>
  <si>
    <t>0, 0, 0, 0, 0, 0, 0, 1, 0, 0, 2, 0, 0, 0, 0, 0, 0, 0, 0, 0, 0, 0, 0, 1</t>
  </si>
  <si>
    <t>brandt electrical services</t>
  </si>
  <si>
    <t>0, 0, 0, 0, 0, 0, 1, 0, 0, 0, 0, 0, 0, 0, 0, 0, 0, 0, 0, 1, 0, 0, 0, 1</t>
  </si>
  <si>
    <t>electrical contractor tacoma wa</t>
  </si>
  <si>
    <t>electrical license contractor</t>
  </si>
  <si>
    <t>0, 0, 0, 0, 2, 0, 0, 0, 0, 0, 1, 0, 0, 0, 0, 0, 0, 0, 0, 0, 0, 0, 0, 1</t>
  </si>
  <si>
    <t>oilfield electrical services</t>
  </si>
  <si>
    <t>0, 0, 2, 0, 0, 1, 0, 0, 0, 0, 0, 0, 0, 0, 0, 0, 0, 0, 0, 0, 0, 0, 0, 1</t>
  </si>
  <si>
    <t>electrical installation guide 2022 pdf</t>
  </si>
  <si>
    <t>electrical contractor company in singapore</t>
  </si>
  <si>
    <t>electrical services near me open now</t>
  </si>
  <si>
    <t>0, 0, 2, 0, 2, 2, 2, 0, 0, 0, 0, 0, 1, 1, 3, 0, 0, 0, 0, 0, 0, 0, 0, 1</t>
  </si>
  <si>
    <t>cottesloe emergency electrician</t>
  </si>
  <si>
    <t>electrical contractor employee handbook</t>
  </si>
  <si>
    <t>0, 1, 1, 1, 2, 2, 0, 0, 0, 1, 0, 0, 0, 0, 0, 0, 0, 0, 0, 0, 0, 0, 0, 1</t>
  </si>
  <si>
    <t>inspection in electrical installation</t>
  </si>
  <si>
    <t>emergency electrician bishopbriggs</t>
  </si>
  <si>
    <t>0, 1, 2, 0, 0, 1, 0, 0, 0, 0, 0, 0, 0, 0, 0, 0, 0, 0, 0, 0, 0, 0, 0, 1</t>
  </si>
  <si>
    <t>electrical services washington county</t>
  </si>
  <si>
    <t>electrical installation noosa north shore</t>
  </si>
  <si>
    <t>bg electrical services</t>
  </si>
  <si>
    <t>0, 0, 0, 0, 0, 0, 0, 1, 0, 0, 0, 0, 0, 0, 0, 0, 0, 1, 0, 0, 0, 0, 0, 1</t>
  </si>
  <si>
    <t>dent electrical services</t>
  </si>
  <si>
    <t>sydney energy electrical services</t>
  </si>
  <si>
    <t>efficient electrical services</t>
  </si>
  <si>
    <t>1, 0, 0, 1, 0, 0, 0, 0, 2, 0, 1, 2, 0, 0, 0, 0, 0, 1, 1, 2, 1, 0, 1, 2</t>
  </si>
  <si>
    <t>sd electrical and mechanical services ltd</t>
  </si>
  <si>
    <t>electrical mri coil repairs</t>
  </si>
  <si>
    <t>electrical installation cornwall</t>
  </si>
  <si>
    <t>commercial electrical repairs fishhawk</t>
  </si>
  <si>
    <t>electrical services camarillo</t>
  </si>
  <si>
    <t>0, 0, 0, 0, 0, 0, 0, 0, 0, 0, 1, 0, 1, 0, 0, 2, 0, 0, 0, 0, 0, 0, 0, 1</t>
  </si>
  <si>
    <t>terms used in electrical installation</t>
  </si>
  <si>
    <t>electrical installation condition report sample</t>
  </si>
  <si>
    <t>electrical services wilmington, nc</t>
  </si>
  <si>
    <t>0, 0, 0, 0, 1, 2, 0, 0, 2, 0, 2, 0, 0, 0, 0, 0, 1, 1, 0, 0, 0, 0, 0, 1</t>
  </si>
  <si>
    <t>commercial electrical services ryde</t>
  </si>
  <si>
    <t>sanford electrical services</t>
  </si>
  <si>
    <t>electrical installation test sheet template</t>
  </si>
  <si>
    <t>2, 1, 0, 0, 0, 0, 0, 0, 0, 0, 1, 1, 0, 0, 0, 0, 0, 0, 0, 0, 0, 0, 0, 1</t>
  </si>
  <si>
    <t>nvq electrical installation level 3</t>
  </si>
  <si>
    <t>1, 0, 0, 0, 0, 0, 0, 1, 0, 0, 2, 0, 1, 0, 0, 0, 0, 0, 0, 0, 0, 0, 0, 1</t>
  </si>
  <si>
    <t>electrical installation fort lauderdale</t>
  </si>
  <si>
    <t>electrical contractor database</t>
  </si>
  <si>
    <t>can a general contractor do electrical work</t>
  </si>
  <si>
    <t>0, 0, 0, 0, 0, 2, 0, 1, 1, 1, 0, 0, 0, 0, 0, 0, 0, 0, 0, 0, 2, 1, 0, 2</t>
  </si>
  <si>
    <t>dillon electrical services</t>
  </si>
  <si>
    <t>0, 0, 0, 0, 1, 0, 0, 0, 0, 0, 0, 0, 0, 0, 0, 0, 0, 0, 1, 0, 0, 0, 0, 1</t>
  </si>
  <si>
    <t>electrical installation guide 2023 pdf</t>
  </si>
  <si>
    <t>2, 2, 0, 0, 0, 0, 0, 0, 0, 1, 0, 0, 0, 0, 0, 0, 1, 0, 0, 0, 0, 0, 0, 1</t>
  </si>
  <si>
    <t>emergency electrician harrisburg</t>
  </si>
  <si>
    <t>0, 1, 0, 2, 0, 0, 0, 0, 1, 4, 0, 0, 0, 0, 0, 0, 1, 1, 0, 0, 0, 0, 0, 1</t>
  </si>
  <si>
    <t>pompano beach emergency electrician</t>
  </si>
  <si>
    <t>emergency electrician in sydney</t>
  </si>
  <si>
    <t>emergency electrician irmo</t>
  </si>
  <si>
    <t>0, 0, 0, 0, 0, 0, 0, 0, 1, 2, 0, 0, 0, 0, 0, 0, 0, 0, 0, 1, 0, 0, 0, 1</t>
  </si>
  <si>
    <t>chicago electrical services</t>
  </si>
  <si>
    <t>0, 2, 0, 0, 0, 0, 0, 0, 0, 0, 0, 0, 0, 0, 0, 0, 0, 0, 0, 0, 0, 0, 1, 1</t>
  </si>
  <si>
    <t>electrical installation of building</t>
  </si>
  <si>
    <t>0, 0, 0, 2, 0, 2, 0, 0, 0, 0, 0, 0, 1, 0, 0, 1, 0, 0, 0, 0, 0, 0, 0, 1</t>
  </si>
  <si>
    <t>electrical contractor contract template</t>
  </si>
  <si>
    <t>1, 1, 0, 1, 2, 0, 0, 0, 0, 1, 4, 0, 1, 0, 0, 4, 2, 1, 0, 1, 2, 4, 1, 1</t>
  </si>
  <si>
    <t>electrical services for education</t>
  </si>
  <si>
    <t>1, 0, 0, 0, 0, 0, 0, 0, 0, 0, 3, 0, 0, 0, 0, 0, 0, 0, 0, 0, 0, 0, 0, 1</t>
  </si>
  <si>
    <t>robs electrical services</t>
  </si>
  <si>
    <t>services electrical</t>
  </si>
  <si>
    <t>0, 1, 3, 2, 3, 3, 1, 1, 8, 4, 1, 0, 0, 1, 0, 0, 0, 0, 0, 0, 0, 0, 0, 1</t>
  </si>
  <si>
    <t>electrical services danvers ma</t>
  </si>
  <si>
    <t>electrical services island bay</t>
  </si>
  <si>
    <t>commercial electrical contracting services</t>
  </si>
  <si>
    <t>0, 0, 4, 3, 2, 0, 1, 1, 3, 1, 4, 0, 0, 1, 0, 0, 0, 0, 0, 0, 2, 0, 0, 2</t>
  </si>
  <si>
    <t>commercial electrical services denver</t>
  </si>
  <si>
    <t>0, 0, 0, 0, 0, 0, 1, 1, 0, 3, 2, 0, 0, 0, 0, 0, 0, 0, 0, 0, 0, 0, 0, 1</t>
  </si>
  <si>
    <t>electrical maintenance and installation</t>
  </si>
  <si>
    <t>2, 4, 2, 0, 2, 0, 0, 1, 2, 0, 2, 1, 3, 0, 0, 0, 0, 0, 1, 0, 0, 0, 0, 1</t>
  </si>
  <si>
    <t>electrical maintenance services kuwait</t>
  </si>
  <si>
    <t>0, 0, 0, 0, 0, 0, 0, 2, 0, 0, 1, 1, 0, 0, 0, 0, 0, 0, 0, 0, 0, 0, 0, 1</t>
  </si>
  <si>
    <t>electrical contractor introduction letter sample</t>
  </si>
  <si>
    <t>strata electrical services</t>
  </si>
  <si>
    <t>0, 0, 0, 1, 0, 0, 2, 2, 3, 4, 0, 3, 0, 0, 0, 0, 0, 0, 0, 0, 0, 0, 0, 1</t>
  </si>
  <si>
    <t>auto electrical services witbank</t>
  </si>
  <si>
    <t>emergency electrician canning-vale</t>
  </si>
  <si>
    <t>0, 0, 0, 1, 0, 0, 1, 0, 0, 1, 0, 0, 1, 0, 0, 0, 0, 0, 0, 0, 0, 0, 0, 1</t>
  </si>
  <si>
    <t>j&amp;l electrical services</t>
  </si>
  <si>
    <t>electrical outlet installation washington county</t>
  </si>
  <si>
    <t>emergency electrician lewisham</t>
  </si>
  <si>
    <t>0, 0, 0, 0, 1, 1, 0, 0, 0, 0, 6, 0, 0, 0, 0, 0, 0, 0, 0, 0, 0, 0, 0, 1</t>
  </si>
  <si>
    <t>electrical repairs idaho</t>
  </si>
  <si>
    <t>electrical repairs southern suburbs cape town</t>
  </si>
  <si>
    <t>koebec electrical and engineering services</t>
  </si>
  <si>
    <t>0, 0, 0, 0, 0, 0, 0, 9, 12, 2, 0, 0, 0, 0, 0, 0, 0, 0, 0, 4, 2, 0, 8, 1</t>
  </si>
  <si>
    <t>siemens electrical installation handbook pdf</t>
  </si>
  <si>
    <t>0, 0, 0, 0, 1, 0, 0, 0, 0, 0, 0, 0, 1, 0, 0, 0, 0, 1, 2, 0, 5, 1, 0, 3</t>
  </si>
  <si>
    <t>basic electrical installation work pdf</t>
  </si>
  <si>
    <t>0, 0, 0, 0, 0, 0, 1, 0, 0, 0, 0, 1, 0, 0, 0, 1, 0, 10, 3, 3, 0, 7, 0, 1</t>
  </si>
  <si>
    <t>electrical contractor network</t>
  </si>
  <si>
    <t>0, 0, 0, 0, 0, 1, 1, 0, 4, 1, 0, 0, 0, 0, 0, 0, 0, 0, 0, 0, 0, 0, 0, 1</t>
  </si>
  <si>
    <t>electrical installation cost south africa</t>
  </si>
  <si>
    <t>pa electrical services</t>
  </si>
  <si>
    <t>electrical product design services</t>
  </si>
  <si>
    <t>0, 0, 0, 0, 2, 0, 0, 0, 0, 1, 0, 0, 0, 0, 0, 0, 0, 0, 0, 0, 0, 0, 0, 1</t>
  </si>
  <si>
    <t>emergency electrician asquith</t>
  </si>
  <si>
    <t>cheap electrical repairs near me</t>
  </si>
  <si>
    <t>0, 0, 0, 0, 0, 0, 0, 0, 0, 0, 0, 0, 0, 0, 1, 1, 2, 2, 1, 0, 0, 0, 0, 1</t>
  </si>
  <si>
    <t>emergency electrician burleigh</t>
  </si>
  <si>
    <t>0, 0, 0, 0, 1, 0, 0, 0, 1, 1, 0, 0, 0, 0, 0, 0, 0, 0, 0, 0, 0, 0, 0, 1</t>
  </si>
  <si>
    <t>worcester electrical services</t>
  </si>
  <si>
    <t>paradise electrical services</t>
  </si>
  <si>
    <t>electrical contractor risk assessment</t>
  </si>
  <si>
    <t>trunking in electrical installation</t>
  </si>
  <si>
    <t>1, 6, 5, 3, 1, 0, 0, 4, 1, 1, 1, 3, 1, 0, 0, 2, 1, 1, 1, 1, 2, 0, 0, 2</t>
  </si>
  <si>
    <t>electrical contractor insurance cost</t>
  </si>
  <si>
    <t>1, 2, 3, 1, 3, 1, 4, 10, 7, 14, 8, 4, 9, 4, 1, 2, 0, 0, 1, 0, 0, 0, 0, 1</t>
  </si>
  <si>
    <t>electrical services in westville, south africa</t>
  </si>
  <si>
    <t>0, 0, 0, 0, 0, 0, 0, 0, 0, 0, 0, 0, 0, 0, 0, 0, 0, 3, 4, 0, 0, 0, 0, 1</t>
  </si>
  <si>
    <t>emergency electrician pymble</t>
  </si>
  <si>
    <t>24 hour emergency electrician in vaucluse</t>
  </si>
  <si>
    <t>emergency electrician greene county</t>
  </si>
  <si>
    <t>emergency electrician sonoma county</t>
  </si>
  <si>
    <t>electrical compliance certificate cost johannesburg</t>
  </si>
  <si>
    <t>american electrical services inc</t>
  </si>
  <si>
    <t>virginia beach electrical services</t>
  </si>
  <si>
    <t>electrical remodeling services near me</t>
  </si>
  <si>
    <t>0, 0, 0, 1, 2, 0, 0, 0, 1, 1, 2, 0, 0, 0, 0, 0, 0, 0, 0, 0, 0, 0, 0, 1</t>
  </si>
  <si>
    <t>cost of electrical installation condition report</t>
  </si>
  <si>
    <t>electrical wiring installation in house pdf</t>
  </si>
  <si>
    <t>5, 3, 5, 2, 0, 2, 1, 0, 1, 0, 1, 2, 3, 2, 0, 0, 0, 0, 0, 0, 0, 0, 0, 1</t>
  </si>
  <si>
    <t>electrical repairs in zephyrhills</t>
  </si>
  <si>
    <t>electrical services lehigh valley pa</t>
  </si>
  <si>
    <t>maryborough industrial electrical contractor</t>
  </si>
  <si>
    <t>residential electrical services midlothian tx</t>
  </si>
  <si>
    <t>emergency electrician colorado</t>
  </si>
  <si>
    <t>value of electrical contractor business</t>
  </si>
  <si>
    <t>1, 1, 0, 0, 0, 0, 0, 0, 0, 0, 1, 0, 0, 0, 0, 0, 0, 0, 0, 0, 0, 0, 0, 1</t>
  </si>
  <si>
    <t>erb electrical services</t>
  </si>
  <si>
    <t>oban electrical services</t>
  </si>
  <si>
    <t>mechanical and electrical design services</t>
  </si>
  <si>
    <t>domestic electrical repairs geelong</t>
  </si>
  <si>
    <t>24 hour emergency electrician in botany</t>
  </si>
  <si>
    <t>residential electrical contractor king george</t>
  </si>
  <si>
    <t>0, 1, 0, 0, 1, 1, 0, 0, 1, 1, 0, 0, 0, 0, 0, 0, 0, 0, 0, 0, 0, 0, 0, 1</t>
  </si>
  <si>
    <t>grid electrical services ltd</t>
  </si>
  <si>
    <t>jefferson wa electrical contractor</t>
  </si>
  <si>
    <t>electrical installation nvq</t>
  </si>
  <si>
    <t>electrical contractor katy tx</t>
  </si>
  <si>
    <t>1, 0, 1, 0, 1, 0, 0, 0, 0, 0, 0, 0, 0, 0, 0, 0, 0, 0, 0, 0, 0, 0, 0, 1</t>
  </si>
  <si>
    <t>electrical installation pdf free download</t>
  </si>
  <si>
    <t>24 hour emergency electrician brisbane</t>
  </si>
  <si>
    <t>1, 0, 0, 1, 0, 2, 1, 1, 2, 0, 2, 0, 2, 4, 2, 0, 0, 0, 0, 0, 0, 0, 0, 1</t>
  </si>
  <si>
    <t>electrical services cary</t>
  </si>
  <si>
    <t>electrical engineering services syracuse</t>
  </si>
  <si>
    <t>electrical contractor islington</t>
  </si>
  <si>
    <t>0, 0, 0, 1, 0, 1, 0, 1, 0, 1, 0, 0, 0, 0, 0, 0, 0, 0, 0, 0, 0, 0, 0, 1</t>
  </si>
  <si>
    <t>learn electrical installation</t>
  </si>
  <si>
    <t>electrical contractor companies</t>
  </si>
  <si>
    <t>1, 0, 0, 0, 0, 0, 0, 2, 1, 2, 3, 1, 2, 1, 2, 0, 0, 2, 1, 0, 1, 0, 0, 1</t>
  </si>
  <si>
    <t>electrical installation companies london</t>
  </si>
  <si>
    <t>electrical contractor bellevue</t>
  </si>
  <si>
    <t>emergency electrician dalkeith</t>
  </si>
  <si>
    <t>0, 0, 0, 0, 0, 0, 0, 1, 2, 1, 1, 0, 0, 0, 0, 0, 0, 0, 0, 0, 0, 0, 0, 1</t>
  </si>
  <si>
    <t>emergency electrician cardinia</t>
  </si>
  <si>
    <t>electrical wiring services saint paul</t>
  </si>
  <si>
    <t>electrical pole installation contractors</t>
  </si>
  <si>
    <t>0, 0, 0, 3, 2, 0, 2, 0, 0, 1, 0, 0, 0, 0, 2, 1, 0, 0, 0, 0, 2, 0, 0, 2</t>
  </si>
  <si>
    <t>short course in electrical installation</t>
  </si>
  <si>
    <t>3, 3, 0, 0, 0, 0, 0, 0, 0, 0, 0, 0, 0, 0, 0, 1, 1, 6, 2, 2, 0, 0, 0, 1</t>
  </si>
  <si>
    <t>electrical services st louis park mn</t>
  </si>
  <si>
    <t>0, 0, 0, 0, 1, 0, 1, 1, 2, 1, 1, 3, 0, 0, 0, 0, 0, 0, 0, 0, 0, 0, 0, 1</t>
  </si>
  <si>
    <t>types of electrical contractor</t>
  </si>
  <si>
    <t>electrical contractor orlando fl</t>
  </si>
  <si>
    <t>0, 2, 0, 1, 0, 1, 0, 2, 2, 0, 1, 0, 0, 0, 0, 0, 0, 0, 0, 0, 0, 0, 0, 1</t>
  </si>
  <si>
    <t>rocket electrical services</t>
  </si>
  <si>
    <t>eal electrical installation level 3</t>
  </si>
  <si>
    <t>atascadero emergency electrician</t>
  </si>
  <si>
    <t>electrical contractor website template</t>
  </si>
  <si>
    <t>0, 0, 0, 0, 0, 0, 1, 1, 1, 0, 0, 0, 0, 0, 0, 0, 0, 0, 0, 0, 2, 0, 0, 2</t>
  </si>
  <si>
    <t>industrial electrical installation team</t>
  </si>
  <si>
    <t>0, 0, 0, 0, 0, 0, 0, 0, 0, 0, 0, 0, 0, 0, 0, 0, 0, 0, 0, 0, 0, 1, 14, 6</t>
  </si>
  <si>
    <t>autocad electrical installation</t>
  </si>
  <si>
    <t>2, 2, 0, 1, 1, 1, 0, 2, 1, 1, 1, 1, 1, 1, 1, 0, 0, 0, 0, 2, 0, 0, 0, 1</t>
  </si>
  <si>
    <t>electrical vehicle charger installation hudson fl</t>
  </si>
  <si>
    <t>ortega commercial electrical contractor near me</t>
  </si>
  <si>
    <t>elec-tech electrical services ltd</t>
  </si>
  <si>
    <t>encore electrical services</t>
  </si>
  <si>
    <t>0, 0, 0, 0, 0, 1, 0, 1, 0, 0, 0, 1, 0, 0, 0, 0, 0, 1, 0, 0, 0, 0, 0, 1</t>
  </si>
  <si>
    <t>types of test in electrical installation</t>
  </si>
  <si>
    <t>4, 1, 2, 1, 0, 0, 0, 1, 0, 0, 0, 3, 0, 0, 1, 0, 0, 0, 0, 0, 1, 0, 1, 2</t>
  </si>
  <si>
    <t>electrical services north brisbane</t>
  </si>
  <si>
    <t>1, 0, 0, 0, 0, 0, 0, 1, 0, 2, 0, 0, 0, 0, 0, 0, 0, 0, 0, 0, 0, 0, 0, 1</t>
  </si>
  <si>
    <t>hot tub electrical installation in epsom</t>
  </si>
  <si>
    <t>0, 0, 0, 0, 0, 0, 0, 1, 0, 0, 0, 0, 1, 1, 0, 0, 2, 0, 0, 0, 0, 0, 0, 1</t>
  </si>
  <si>
    <t>latest electrical installation regulations</t>
  </si>
  <si>
    <t>emergency electrical services ottawa</t>
  </si>
  <si>
    <t>electrical safety audit services</t>
  </si>
  <si>
    <t>0, 0, 0, 0, 0, 0, 0, 0, 1, 0, 0, 0, 0, 0, 0, 0, 0, 0, 0, 0, 0, 0, 1, 1</t>
  </si>
  <si>
    <t>mpi electrical services</t>
  </si>
  <si>
    <t>home electrical repairs near me</t>
  </si>
  <si>
    <t>1, 0, 0, 1, 0, 0, 0, 0, 0, 0, 2, 0, 0, 0, 1, 0, 0, 0, 0, 0, 0, 0, 0, 1</t>
  </si>
  <si>
    <t>industrial electrical services inc</t>
  </si>
  <si>
    <t>2, 0, 2, 0, 0, 0, 0, 0, 0, 0, 0, 0, 0, 0, 0, 0, 0, 0, 0, 1, 0, 0, 0, 1</t>
  </si>
  <si>
    <t>electrical services charlotte, nc</t>
  </si>
  <si>
    <t>electrical panel services temecula ca</t>
  </si>
  <si>
    <t>emergency electrician worksop</t>
  </si>
  <si>
    <t>electrical services for wind farm</t>
  </si>
  <si>
    <t>1, 0, 0, 0, 0, 0, 0, 1, 1, 0, 0, 0, 0, 0, 0, 0, 0, 0, 0, 0, 0, 0, 0, 1</t>
  </si>
  <si>
    <t>emergency electrician manning</t>
  </si>
  <si>
    <t>0, 0, 0, 0, 0, 0, 1, 3, 1, 0, 0, 0, 0, 0, 1, 0, 0, 0, 0, 0, 0, 0, 0, 1</t>
  </si>
  <si>
    <t>electrical installation and electronics</t>
  </si>
  <si>
    <t>0, 0, 0, 2, 0, 0, 0, 1, 0, 0, 0, 0, 0, 0, 0, 0, 1, 0, 0, 2, 0, 0, 0, 1</t>
  </si>
  <si>
    <t>electrical services brisbane</t>
  </si>
  <si>
    <t>1, 6, 3, 1, 3, 1, 7, 1, 4, 10, 3, 3, 0, 0, 0, 0, 0, 0, 0, 0, 0, 0, 0, 1</t>
  </si>
  <si>
    <t>price for electrical outlet installation</t>
  </si>
  <si>
    <t>1, 2, 0, 1, 0, 0, 0, 0, 1, 3, 1, 0, 0, 1, 0, 1, 0, 1, 0, 0, 0, 0, 0, 1</t>
  </si>
  <si>
    <t>aw electrical services</t>
  </si>
  <si>
    <t>electrical contractor gauteng</t>
  </si>
  <si>
    <t>natal electrical services</t>
  </si>
  <si>
    <t>5 ways to save on electrical repairs</t>
  </si>
  <si>
    <t>maintenance of electrical installation</t>
  </si>
  <si>
    <t>1, 2, 0, 2, 0, 0, 0, 0, 0, 0, 0, 1, 1, 0, 0, 0, 0, 0, 0, 0, 0, 0, 0, 1</t>
  </si>
  <si>
    <t>walk in tub electrical installation</t>
  </si>
  <si>
    <t>emergency electrician pennant hills</t>
  </si>
  <si>
    <t>mitech electrical services</t>
  </si>
  <si>
    <t>basic electrical wiring installation</t>
  </si>
  <si>
    <t>1, 2, 4, 4, 0, 0, 1, 5, 1, 0, 0, 0, 1, 0, 0, 4, 5, 5, 7, 14, 6, 0, 3, 4</t>
  </si>
  <si>
    <t>santa clarita electrical services</t>
  </si>
  <si>
    <t>newnan electrical services</t>
  </si>
  <si>
    <t>pool and hot tub electrical services</t>
  </si>
  <si>
    <t>denver electrical services</t>
  </si>
  <si>
    <t>0, 0, 1, 1, 0, 2, 0, 0, 5, 0, 7, 0, 0, 0, 0, 0, 0, 0, 0, 0, 0, 0, 0, 1</t>
  </si>
  <si>
    <t>ge electrical services</t>
  </si>
  <si>
    <t>1, 0, 2, 0, 0, 1, 1, 0, 0, 2, 0, 0, 0, 0, 0, 0, 0, 0, 0, 0, 0, 0, 0, 1</t>
  </si>
  <si>
    <t>emergency electrician woronora</t>
  </si>
  <si>
    <t>electrical minor installation works certificate</t>
  </si>
  <si>
    <t>0, 1, 0, 0, 0, 0, 0, 1, 0, 1, 0, 0, 0, 0, 0, 0, 0, 0, 0, 0, 0, 0, 0, 1</t>
  </si>
  <si>
    <t>electrical wiring services deerfield beach fl</t>
  </si>
  <si>
    <t>electrical contractor montreal</t>
  </si>
  <si>
    <t>1, 1, 6, 2, 3, 2, 0, 2, 2, 0, 0, 1, 0, 0, 0, 0, 0, 0, 0, 0, 0, 0, 0, 1</t>
  </si>
  <si>
    <t>austin electrical services</t>
  </si>
  <si>
    <t>naics electrical contractor</t>
  </si>
  <si>
    <t>ormond electrical repairs</t>
  </si>
  <si>
    <t>vehicle electrical services</t>
  </si>
  <si>
    <t>0, 0, 0, 3, 0, 0, 0, 0, 0, 0, 2, 0, 0, 1, 0, 0, 1, 1, 0, 0, 0, 0, 0, 1</t>
  </si>
  <si>
    <t>hk electrical services</t>
  </si>
  <si>
    <t>emergency electrical repairs bedford</t>
  </si>
  <si>
    <t>u.s. electrical services inc</t>
  </si>
  <si>
    <t>0, 1, 0, 0, 0, 0, 0, 0, 0, 0, 0, 0, 0, 0, 0, 0, 1, 0, 0, 0, 0, 0, 0, 1</t>
  </si>
  <si>
    <t>emergency electrician calgary</t>
  </si>
  <si>
    <t>0, 0, 0, 1, 2, 0, 1, 3, 2, 2, 0, 0, 1, 0, 0, 0, 0, 0, 0, 0, 0, 0, 0, 1</t>
  </si>
  <si>
    <t>electrician emergency call out near me</t>
  </si>
  <si>
    <t>1, 1, 0, 0, 0, 0, 0, 1, 0, 0, 0, 0, 0, 0, 0, 0, 0, 0, 0, 0, 0, 0, 0, 1</t>
  </si>
  <si>
    <t>emergency electrical repairs medina, oh</t>
  </si>
  <si>
    <t>0, 0, 0, 0, 0, 0, 0, 1, 0, 3, 0, 0, 0, 0, 0, 0, 0, 0, 0, 0, 0, 0, 0, 1</t>
  </si>
  <si>
    <t>emergency electrician lane cove</t>
  </si>
  <si>
    <t>naval-base emergency electrician</t>
  </si>
  <si>
    <t>0, 0, 0, 0, 0, 0, 1, 0, 0, 0, 2, 0, 0, 1, 0, 0, 0, 0, 0, 0, 0, 0, 0, 1</t>
  </si>
  <si>
    <t>emergency electrician armadale</t>
  </si>
  <si>
    <t>0, 0, 1, 1, 0, 0, 1, 0, 1, 1, 0, 0, 0, 0, 0, 0, 0, 0, 0, 0, 0, 0, 0, 1</t>
  </si>
  <si>
    <t>extra electrical outlets services in bow</t>
  </si>
  <si>
    <t>0, 0, 0, 0, 0, 0, 0, 0, 1, 0, 1, 0, 0, 0, 0, 0, 0, 0, 0, 0, 4, 1, 0, 3</t>
  </si>
  <si>
    <t>north coast electrical services</t>
  </si>
  <si>
    <t>emergency electrician edenhill</t>
  </si>
  <si>
    <t>te electrical services</t>
  </si>
  <si>
    <t>electrical design-build services</t>
  </si>
  <si>
    <t>0, 0, 1, 1, 1, 0, 0, 0, 1, 0, 1, 0, 0, 0, 0, 0, 0, 0, 0, 0, 0, 0, 0, 1</t>
  </si>
  <si>
    <t>midlothian home electrical repair services</t>
  </si>
  <si>
    <t>insurance for electrical contractor</t>
  </si>
  <si>
    <t>electrical services hackham</t>
  </si>
  <si>
    <t>electrical repairs denver co</t>
  </si>
  <si>
    <t>0, 0, 0, 0, 2, 0, 0, 1, 2, 1, 1, 0, 0, 0, 0, 0, 0, 0, 0, 0, 0, 0, 0, 1</t>
  </si>
  <si>
    <t>electrical contractor bedford tx</t>
  </si>
  <si>
    <t>schneider electrical installation guide 2020 pdf</t>
  </si>
  <si>
    <t>electrical installation costs</t>
  </si>
  <si>
    <t>0, 0, 0, 0, 0, 0, 0, 0, 2, 1, 0, 0, 1, 0, 0, 1, 1, 1, 0, 0, 0, 1, 0, 1</t>
  </si>
  <si>
    <t>commercial electrical services kentucky</t>
  </si>
  <si>
    <t>electrical installation australian standards</t>
  </si>
  <si>
    <t>inspection of electrical installation</t>
  </si>
  <si>
    <t>0, 0, 2, 0, 1, 1, 1, 1, 0, 0, 0, 0, 0, 0, 1, 0, 1, 0, 1, 4, 0, 0, 1, 2</t>
  </si>
  <si>
    <t>emergency electrician collingwood</t>
  </si>
  <si>
    <t>electrical services dallas tx</t>
  </si>
  <si>
    <t>electrical contractor wimbledon</t>
  </si>
  <si>
    <t>1, 2, 0, 0, 1, 0, 0, 0, 0, 0, 0, 0, 0, 0, 0, 0, 0, 0, 0, 0, 0, 0, 0, 1</t>
  </si>
  <si>
    <t>emergency electrician sunbury</t>
  </si>
  <si>
    <t>industrial electrical contractor irving tx</t>
  </si>
  <si>
    <t>electrical outlet installation services</t>
  </si>
  <si>
    <t>0, 0, 0, 0, 0, 0, 0, 0, 0, 1, 0, 0, 0, 0, 0, 0, 0, 0, 1, 0, 0, 0, 0, 1</t>
  </si>
  <si>
    <t>electrical installation los angeles</t>
  </si>
  <si>
    <t>0, 1, 1, 0, 0, 0, 1, 1, 0, 3, 4, 0, 1, 0, 0, 0, 0, 0, 0, 0, 0, 0, 0, 1</t>
  </si>
  <si>
    <t>electrical services perth electrician</t>
  </si>
  <si>
    <t>0, 1, 1, 0, 4, 0, 0, 1, 0, 0, 0, 0, 0, 0, 0, 0, 0, 0, 0, 0, 0, 0, 0, 1</t>
  </si>
  <si>
    <t>p j electrical services</t>
  </si>
  <si>
    <t>electrical services placentia</t>
  </si>
  <si>
    <t>residential electrical services sudbury</t>
  </si>
  <si>
    <t>2, 5, 3, 2, 2, 0, 1, 2, 0, 0, 1, 0, 0, 0, 0, 0, 0, 0, 0, 0, 0, 0, 0, 1</t>
  </si>
  <si>
    <t>electrical services wakefield</t>
  </si>
  <si>
    <t>electrical services website template</t>
  </si>
  <si>
    <t>0, 0, 0, 0, 0, 0, 0, 0, 0, 0, 0, 2, 1, 0, 0, 0, 0, 0, 0, 1, 0, 1, 0, 1</t>
  </si>
  <si>
    <t>electrical repairs wilmington</t>
  </si>
  <si>
    <t>0, 2, 1, 4, 4, 2, 0, 2, 1, 5, 11, 0, 0, 0, 0, 0, 1, 0, 0, 0, 0, 0, 0, 1</t>
  </si>
  <si>
    <t>electrical contractor york</t>
  </si>
  <si>
    <t>bt electrical services</t>
  </si>
  <si>
    <t>0, 0, 0, 1, 0, 0, 0, 0, 0, 0, 0, 0, 0, 0, 0, 0, 0, 0, 0, 1, 0, 0, 0, 1</t>
  </si>
  <si>
    <t>emergency electrician basingstoke</t>
  </si>
  <si>
    <t>electrical installation in seattle</t>
  </si>
  <si>
    <t>s&amp;h electrical services ltd</t>
  </si>
  <si>
    <t>0, 0, 0, 0, 1, 0, 0, 3, 0, 0, 1, 0, 0, 3, 0, 0, 0, 0, 0, 0, 0, 0, 0, 1</t>
  </si>
  <si>
    <t>as electrical services ltd</t>
  </si>
  <si>
    <t>newbury electrical services</t>
  </si>
  <si>
    <t>brian scaddan electrical installation work pdf</t>
  </si>
  <si>
    <t>gmg electrical services</t>
  </si>
  <si>
    <t>electrical services woolacombe</t>
  </si>
  <si>
    <t>electrical contractor company spartanburg sc</t>
  </si>
  <si>
    <t>electrical services wangaratta</t>
  </si>
  <si>
    <t>0, 0, 0, 0, 1, 0, 1, 1, 0, 3, 0, 0, 0, 0, 0, 0, 0, 0, 0, 0, 0, 0, 0, 1</t>
  </si>
  <si>
    <t>electrical wiring and repairs bellingham, wa</t>
  </si>
  <si>
    <t>0, 0, 0, 0, 0, 0, 0, 0, 1, 0, 2, 1, 0, 0, 0, 0, 0, 0, 0, 0, 0, 0, 0, 1</t>
  </si>
  <si>
    <t>jp electrical services</t>
  </si>
  <si>
    <t>4, 1, 0, 3, 4, 3, 0, 5, 1, 2, 5, 0, 0, 0, 0, 0, 1, 0, 0, 0, 0, 0, 0, 1</t>
  </si>
  <si>
    <t>electrical engineering services schenectady</t>
  </si>
  <si>
    <t>electrical services glasgow</t>
  </si>
  <si>
    <t>1, 0, 1, 0, 1, 0, 0, 0, 0, 1, 0, 0, 0, 0, 0, 0, 0, 0, 0, 0, 0, 0, 0, 1</t>
  </si>
  <si>
    <t>hr electrical services</t>
  </si>
  <si>
    <t>1, 0, 1, 1, 0, 0, 0, 0, 0, 0, 0, 0, 0, 1, 1, 0, 0, 0, 0, 0, 0, 0, 0, 1</t>
  </si>
  <si>
    <t>milwaukee electrical services</t>
  </si>
  <si>
    <t>0, 0, 0, 0, 0, 0, 1, 1, 2, 0, 0, 0, 0, 0, 0, 0, 0, 0, 0, 0, 0, 0, 0, 1</t>
  </si>
  <si>
    <t>wirelec electrical services</t>
  </si>
  <si>
    <t>professional electrical contractor san rafael ca</t>
  </si>
  <si>
    <t>emergency electrical services knoxville</t>
  </si>
  <si>
    <t>1, 1, 1, 0, 0, 1, 0, 0, 0, 0, 0, 0, 0, 0, 0, 0, 0, 0, 0, 0, 0, 0, 0, 1</t>
  </si>
  <si>
    <t>electrical repairs fullerton pa</t>
  </si>
  <si>
    <t>emergency electrician summerville</t>
  </si>
  <si>
    <t>0, 0, 0, 1, 0, 1, 0, 0, 1, 1, 2, 0, 0, 0, 0, 0, 0, 0, 0, 0, 0, 0, 0, 1</t>
  </si>
  <si>
    <t>db electrical services</t>
  </si>
  <si>
    <t>0, 0, 0, 0, 4, 1, 1, 1, 2, 2, 2, 2, 2, 0, 0, 0, 0, 3, 0, 0, 0, 0, 0, 1</t>
  </si>
  <si>
    <t>an electrical contractor is given</t>
  </si>
  <si>
    <t>electrical installation testing</t>
  </si>
  <si>
    <t>0, 7, 1, 1, 2, 1, 4, 1, 2, 1, 3, 0, 3, 0, 2, 1, 1, 1, 1, 0, 1, 0, 0, 1</t>
  </si>
  <si>
    <t>masonry electrical box installation</t>
  </si>
  <si>
    <t>0, 0, 0, 0, 2, 0, 0, 0, 1, 3, 1, 0, 0, 2, 0, 0, 0, 0, 0, 0, 0, 0, 0, 1</t>
  </si>
  <si>
    <t>leland electrical services</t>
  </si>
  <si>
    <t>0, 0, 0, 0, 0, 0, 0, 0, 0, 0, 3, 0, 0, 0, 0, 0, 0, 1, 0, 0, 0, 0, 0, 1</t>
  </si>
  <si>
    <t>emergency electrician queens cliff</t>
  </si>
  <si>
    <t>moorabbin emergency electrician</t>
  </si>
  <si>
    <t>emergency electrician orange county</t>
  </si>
  <si>
    <t>shaun electrical services</t>
  </si>
  <si>
    <t>0, 0, 0, 0, 0, 0, 0, 0, 0, 0, 0, 0, 1, 1, 2, 0, 0, 0, 1, 0, 0, 0, 0, 1</t>
  </si>
  <si>
    <t>cost of electrical power socket installation</t>
  </si>
  <si>
    <t>oakland park electrical services</t>
  </si>
  <si>
    <t>0, 0, 1, 0, 0, 0, 2, 3, 3, 4, 4, 1, 0, 0, 0, 0, 0, 0, 0, 0, 0, 0, 0, 1</t>
  </si>
  <si>
    <t>energized electrical services</t>
  </si>
  <si>
    <t>mw electrical services</t>
  </si>
  <si>
    <t>all electrical repairs</t>
  </si>
  <si>
    <t>electrical contractor edmonton</t>
  </si>
  <si>
    <t>0, 1, 1, 0, 2, 2, 1, 1, 2, 2, 1, 0, 0, 1, 0, 0, 0, 0, 0, 0, 0, 0, 0, 1</t>
  </si>
  <si>
    <t>electrician milnerton cape town</t>
  </si>
  <si>
    <t>emergency electrical services indianapolis in</t>
  </si>
  <si>
    <t>0, 0, 0, 0, 0, 1, 0, 0, 0, 0, 3, 1, 0, 0, 0, 0, 0, 0, 0, 0, 0, 0, 0, 1</t>
  </si>
  <si>
    <t>electrical contractor template</t>
  </si>
  <si>
    <t>0, 0, 0, 1, 0, 0, 1, 0, 2, 0, 3, 0, 0, 0, 0, 0, 0, 0, 0, 0, 0, 0, 0, 1</t>
  </si>
  <si>
    <t>emergency electrician deepdene</t>
  </si>
  <si>
    <t>method statement for electrical installation pdf</t>
  </si>
  <si>
    <t>union electrical contractor</t>
  </si>
  <si>
    <t>emergency electrician bournemouth</t>
  </si>
  <si>
    <t>electrical underfloor heating installation</t>
  </si>
  <si>
    <t>electrical contractor company hartford ct</t>
  </si>
  <si>
    <t>electrical outlet installation menomonee falls wi</t>
  </si>
  <si>
    <t>0, 0, 0, 0, 1, 1, 0, 1, 0, 0, 0, 2, 0, 0, 0, 0, 0, 0, 0, 0, 0, 0, 0, 1</t>
  </si>
  <si>
    <t>does burglar alrm class as electrician emergency</t>
  </si>
  <si>
    <t>electrical contractor accounting software</t>
  </si>
  <si>
    <t>0, 0, 0, 0, 2, 0, 0, 0, 1, 1, 2, 0, 0, 1, 0, 0, 1, 1, 0, 0, 0, 0, 0, 1</t>
  </si>
  <si>
    <t>gsb electrical services</t>
  </si>
  <si>
    <t>electrical services hsn code</t>
  </si>
  <si>
    <t>0, 0, 0, 0, 0, 1, 0, 0, 0, 0, 1, 0, 0, 0, 1, 1, 0, 0, 0, 0, 0, 0, 0, 1</t>
  </si>
  <si>
    <t>emergency electrician huddersfield</t>
  </si>
  <si>
    <t>electrical contractor digital marketing company</t>
  </si>
  <si>
    <t>electrical contractor asheville nc</t>
  </si>
  <si>
    <t>domestic electrical services in wolverhampton</t>
  </si>
  <si>
    <t>electrical services ramsey</t>
  </si>
  <si>
    <t>emergency electrician petawawa</t>
  </si>
  <si>
    <t>0, 0, 0, 2, 3, 0, 1, 1, 0, 1, 1, 1, 0, 0, 0, 0, 0, 0, 0, 0, 0, 0, 0, 1</t>
  </si>
  <si>
    <t>emergency electrician greenwich</t>
  </si>
  <si>
    <t>0, 0, 1, 1, 0, 1, 1, 0, 0, 1, 1, 0, 0, 0, 0, 0, 0, 0, 0, 0, 0, 0, 0, 1</t>
  </si>
  <si>
    <t>rr electrical services</t>
  </si>
  <si>
    <t>0, 0, 0, 1, 0, 0, 0, 0, 0, 0, 0, 1, 0, 0, 1, 1, 0, 1, 0, 0, 0, 0, 0, 1</t>
  </si>
  <si>
    <t>electrical contractor loans</t>
  </si>
  <si>
    <t>emergency electrician devon meadows</t>
  </si>
  <si>
    <t>emergency electrician caulfield south</t>
  </si>
  <si>
    <t>0, 0, 1, 0, 0, 0, 0, 0, 1, 0, 1, 0, 0, 0, 0, 0, 1, 0, 0, 0, 0, 0, 0, 1</t>
  </si>
  <si>
    <t>commercial electrical services in epsom</t>
  </si>
  <si>
    <t>0, 0, 0, 0, 0, 0, 0, 0, 1, 0, 1, 0, 0, 0, 0, 0, 0, 0, 0, 1, 0, 0, 1, 1</t>
  </si>
  <si>
    <t>car electrical repairs point cook</t>
  </si>
  <si>
    <t>electrical contractor media</t>
  </si>
  <si>
    <t>cost of electrical installation</t>
  </si>
  <si>
    <t>0, 0, 0, 2, 2, 0, 0, 0, 1, 0, 1, 0, 0, 0, 0, 0, 0, 1, 0, 0, 0, 0, 0, 1</t>
  </si>
  <si>
    <t>requirements for electrical contractor license</t>
  </si>
  <si>
    <t>auto electrician southern suburbs cape town</t>
  </si>
  <si>
    <t>Automotive industry</t>
  </si>
  <si>
    <t>electrical services midwest city</t>
  </si>
  <si>
    <t>electrical contractor vacancies</t>
  </si>
  <si>
    <t>0, 0, 0, 0, 4, 0, 0, 3, 1, 1, 0, 1, 0, 0, 0, 0, 0, 0, 0, 3, 2, 4, 1, 1</t>
  </si>
  <si>
    <t>gsc electrical services</t>
  </si>
  <si>
    <t>0, 0, 0, 0, 0, 0, 0, 0, 0, 0, 0, 0, 0, 0, 0, 0, 3, 0, 1, 1, 7, 3, 10, 2</t>
  </si>
  <si>
    <t>electrical installation depreciation rate</t>
  </si>
  <si>
    <t>marine electrical repairs</t>
  </si>
  <si>
    <t>total electrical services</t>
  </si>
  <si>
    <t>polarised electrical services</t>
  </si>
  <si>
    <t>0, 0, 0, 0, 0, 0, 0, 0, 1, 0, 1, 3, 1, 0, 2, 0, 1, 0, 0, 4, 2, 0, 1, 2</t>
  </si>
  <si>
    <t>emergency electrician hawthorn</t>
  </si>
  <si>
    <t>0, 1, 0, 7, 3, 2, 1, 3, 2, 1, 9, 0, 0, 0, 0, 0, 0, 0, 0, 0, 0, 0, 0, 1</t>
  </si>
  <si>
    <t>electrical power control systems installation</t>
  </si>
  <si>
    <t>electrical wiring services california</t>
  </si>
  <si>
    <t>electrical safety inspection services</t>
  </si>
  <si>
    <t>0, 0, 0, 0, 3, 1, 1, 2, 2, 1, 9, 0, 0, 1, 0, 0, 0, 0, 0, 0, 0, 0, 0, 1</t>
  </si>
  <si>
    <t>electrical services in</t>
  </si>
  <si>
    <t>emergency electrician illawong</t>
  </si>
  <si>
    <t>electrical repairs in lake buena vista</t>
  </si>
  <si>
    <t>commercial electrical services clinton county</t>
  </si>
  <si>
    <t>electrical repairs hartland mi</t>
  </si>
  <si>
    <t>electrical contractor naics code</t>
  </si>
  <si>
    <t>electrical panel installation overland park</t>
  </si>
  <si>
    <t>0, 0, 2, 0, 0, 0, 0, 0, 0, 3, 1, 0, 0, 0, 0, 0, 0, 0, 0, 0, 0, 0, 0, 1</t>
  </si>
  <si>
    <t>green light electrical services</t>
  </si>
  <si>
    <t>0, 0, 0, 0, 0, 0, 1, 1, 1, 0, 1, 0, 0, 0, 0, 0, 1, 0, 1, 0, 0, 0, 0, 1</t>
  </si>
  <si>
    <t>electrical repair services in deerfield</t>
  </si>
  <si>
    <t>electrical wiring installation louisville ky</t>
  </si>
  <si>
    <t>24 7 electrical services</t>
  </si>
  <si>
    <t>2, 1, 1, 0, 4, 2, 4, 2, 1, 2, 13, 6, 2, 0, 2, 0, 0, 0, 1, 0, 1, 0, 0, 1</t>
  </si>
  <si>
    <t>equipment for electrical installation</t>
  </si>
  <si>
    <t>5, 7, 2, 3, 4, 3, 4, 8, 3, 1, 3, 3, 6, 9, 10, 3, 0, 3, 0, 0, 1, 0, 0, 1</t>
  </si>
  <si>
    <t>atkinson electrical services</t>
  </si>
  <si>
    <t>atlanta emergency electrician</t>
  </si>
  <si>
    <t>emergency electrician bankstown</t>
  </si>
  <si>
    <t>electrical appliance repairs bloemfontein</t>
  </si>
  <si>
    <t>electrical services butler county</t>
  </si>
  <si>
    <t>24 hour emergency electrician bristol</t>
  </si>
  <si>
    <t>1, 1, 0, 0, 1, 0, 0, 1, 0, 1, 1, 0, 0, 0, 0, 0, 0, 0, 0, 0, 0, 0, 0, 1</t>
  </si>
  <si>
    <t>electrical services noarlunga</t>
  </si>
  <si>
    <t>average electrical installation cost</t>
  </si>
  <si>
    <t>electrical repairs cornelius, nc</t>
  </si>
  <si>
    <t>0, 0, 0, 0, 0, 0, 0, 0, 0, 3, 2, 0, 0, 0, 0, 0, 0, 0, 0, 0, 0, 0, 0, 1</t>
  </si>
  <si>
    <t>northern electrical and data services</t>
  </si>
  <si>
    <t>chicago electrical contractor</t>
  </si>
  <si>
    <t>0, 2, 1, 2, 0, 0, 0, 1, 2, 0, 1, 0, 1, 0, 0, 0, 0, 0, 0, 0, 0, 0, 0, 1</t>
  </si>
  <si>
    <t>emergency electrician in brixton</t>
  </si>
  <si>
    <t>basics of electrical installation</t>
  </si>
  <si>
    <t>craig electrical services</t>
  </si>
  <si>
    <t>0, 0, 0, 2, 0, 1, 0, 1, 0, 1, 1, 1, 1, 0, 1, 1, 1, 1, 1, 0, 2, 0, 0, 2</t>
  </si>
  <si>
    <t>outdoor electrical outlet installation</t>
  </si>
  <si>
    <t>electrical repairs edwardsville il</t>
  </si>
  <si>
    <t>emi electrical contractor</t>
  </si>
  <si>
    <t>i e s electrical services</t>
  </si>
  <si>
    <t>electrical installation testers</t>
  </si>
  <si>
    <t>0, 0, 2, 0, 0, 0, 0, 1, 0, 0, 0, 0, 0, 2, 0, 0, 1, 0, 0, 0, 0, 0, 0, 1</t>
  </si>
  <si>
    <t>emergency electrician corrimal</t>
  </si>
  <si>
    <t>electrical services putney</t>
  </si>
  <si>
    <t>0, 0, 0, 0, 0, 0, 1, 0, 0, 0, 0, 0, 0, 0, 0, 1, 0, 0, 0, 0, 0, 0, 0, 1</t>
  </si>
  <si>
    <t>a and b electrical services</t>
  </si>
  <si>
    <t>emergency electrician wallington</t>
  </si>
  <si>
    <t>electrical services sand springs, ok</t>
  </si>
  <si>
    <t>0, 0, 0, 0, 0, 0, 0, 0, 1, 1, 1, 2, 0, 1, 0, 1, 0, 0, 0, 0, 0, 0, 0, 1</t>
  </si>
  <si>
    <t>v&amp;r electrical services</t>
  </si>
  <si>
    <t>electrical services nantwich</t>
  </si>
  <si>
    <t>aj electrical services</t>
  </si>
  <si>
    <t>2, 0, 0, 0, 0, 0, 3, 3, 0, 0, 1, 0, 0, 1, 1, 2, 0, 0, 0, 1, 0, 0, 0, 1</t>
  </si>
  <si>
    <t>emergency electrician franklin</t>
  </si>
  <si>
    <t>full-service electrical contractor</t>
  </si>
  <si>
    <t>electrical installation notes pdf</t>
  </si>
  <si>
    <t>0, 0, 0, 0, 0, 1, 0, 4, 1, 0, 1, 0, 0, 0, 1, 2, 0, 3, 1, 0, 0, 0, 0, 1</t>
  </si>
  <si>
    <t>electrical installation qualification</t>
  </si>
  <si>
    <t>winnipeg electrical services</t>
  </si>
  <si>
    <t>carrollwood electrical services</t>
  </si>
  <si>
    <t>electrical repairs in san antonio</t>
  </si>
  <si>
    <t>electrical repairs geelong</t>
  </si>
  <si>
    <t>emergency electrician missouri</t>
  </si>
  <si>
    <t>electrical services st louis</t>
  </si>
  <si>
    <t>emergency electrician lilli pilli</t>
  </si>
  <si>
    <t>commercial electrical services savannah ga</t>
  </si>
  <si>
    <t>aa auto electrical services</t>
  </si>
  <si>
    <t>0, 0, 0, 0, 0, 0, 0, 0, 0, 0, 0, 0, 0, 0, 0, 0, 0, 0, 0, 7, 9, 4, 2, 6</t>
  </si>
  <si>
    <t>evj electrical services</t>
  </si>
  <si>
    <t>electrical contractor greenville</t>
  </si>
  <si>
    <t>0, 0, 0, 0, 0, 0, 0, 0, 1, 1, 1, 1, 0, 0, 0, 0, 0, 0, 0, 0, 0, 0, 0, 1</t>
  </si>
  <si>
    <t>emergency electrician anderson</t>
  </si>
  <si>
    <t>electrical car services near me</t>
  </si>
  <si>
    <t>0, 2, 2, 2, 1, 0, 0, 0, 2, 1, 0, 1, 0, 0, 1, 0, 0, 0, 2, 2, 1, 0, 0, 1</t>
  </si>
  <si>
    <t>electrical contractor surety bond</t>
  </si>
  <si>
    <t>0, 0, 0, 0, 0, 1, 0, 1, 1, 0, 0, 1, 0, 0, 0, 0, 0, 0, 0, 0, 0, 0, 0, 1</t>
  </si>
  <si>
    <t>24 hour electrical services</t>
  </si>
  <si>
    <t>4, 0, 0, 0, 2, 3, 2, 3, 4, 1, 1, 7, 0, 1, 0, 0, 1, 0, 0, 0, 0, 0, 0, 1</t>
  </si>
  <si>
    <t>underground electrical cable trench installation</t>
  </si>
  <si>
    <t>0, 0, 0, 0, 0, 0, 0, 0, 0, 0, 0, 0, 0, 0, 0, 0, 0, 0, 0, 0, 3, 1, 0, 2</t>
  </si>
  <si>
    <t>emco electrical services</t>
  </si>
  <si>
    <t>0, 0, 0, 1, 0, 0, 0, 0, 0, 0, 1, 0, 0, 0, 0, 1, 0, 0, 0, 0, 0, 0, 0, 1</t>
  </si>
  <si>
    <t>emergency electrician woburn sands</t>
  </si>
  <si>
    <t>electrical services st paul</t>
  </si>
  <si>
    <t>0, 0, 0, 0, 0, 1, 1, 0, 1, 2, 0, 0, 0, 0, 0, 0, 0, 0, 0, 0, 0, 0, 0, 1</t>
  </si>
  <si>
    <t>cockburn-central emergency electrician</t>
  </si>
  <si>
    <t>0, 0, 0, 1, 0, 1, 0, 1, 2, 0, 0, 0, 0, 0, 0, 0, 0, 0, 0, 0, 0, 0, 0, 1</t>
  </si>
  <si>
    <t>commercial electrical emergency services</t>
  </si>
  <si>
    <t>0, 0, 0, 1, 0, 0, 0, 1, 0, 0, 0, 1, 0, 0, 0, 0, 0, 0, 0, 0, 0, 0, 0, 1</t>
  </si>
  <si>
    <t>business plan for electrical contractor</t>
  </si>
  <si>
    <t>0, 0, 0, 1, 2, 13, 3, 3, 0, 3, 1, 0, 2, 0, 0, 0, 3, 0, 1, 0, 1, 0, 0, 1</t>
  </si>
  <si>
    <t>residential electrical repairs</t>
  </si>
  <si>
    <t>2, 3, 3, 2, 1, 5, 6, 2, 7, 18, 8, 0, 0, 0, 0, 2, 0, 0, 1, 0, 1, 1, 1, 2</t>
  </si>
  <si>
    <t>electrical services lawrence ma</t>
  </si>
  <si>
    <t>wood electrical services</t>
  </si>
  <si>
    <t>rjn electrical services</t>
  </si>
  <si>
    <t>electrical installation course level 3</t>
  </si>
  <si>
    <t>emergency electrician gosnells</t>
  </si>
  <si>
    <t>emergency electrical repairs</t>
  </si>
  <si>
    <t>1, 0, 4, 4, 5, 8, 7, 3, 12, 7, 6, 0, 1, 0, 0, 0, 1, 3, 6, 0, 0, 1, 0, 1</t>
  </si>
  <si>
    <t>electrical services brown county</t>
  </si>
  <si>
    <t>pool light installation electrical</t>
  </si>
  <si>
    <t>3, 9, 2, 7, 10, 2, 5, 0, 2, 3, 2, 4, 0, 3, 0, 4, 2, 1, 2, 1, 0, 1, 1, 2</t>
  </si>
  <si>
    <t>electrical contractor logo design</t>
  </si>
  <si>
    <t>0, 0, 4, 3, 0, 0, 2, 2, 1, 5, 2, 0, 0, 3, 2, 1, 0, 0, 0, 1, 0, 2, 1, 2</t>
  </si>
  <si>
    <t>home electrical outlet installation near me</t>
  </si>
  <si>
    <t>0, 0, 0, 0, 2, 0, 0, 1, 0, 0, 1, 0, 0, 0, 0, 0, 0, 0, 0, 0, 0, 0, 0, 1</t>
  </si>
  <si>
    <t>powertrip electrical services</t>
  </si>
  <si>
    <t>emergency electrician oyster bay</t>
  </si>
  <si>
    <t>2, 1, 0, 1, 0, 1, 1, 0, 0, 0, 0, 0, 0, 0, 0, 0, 0, 0, 0, 0, 0, 0, 0, 1</t>
  </si>
  <si>
    <t>electrical switchgear installation</t>
  </si>
  <si>
    <t>0, 2, 0, 0, 0, 0, 0, 0, 0, 0, 0, 0, 0, 0, 0, 1, 0, 0, 1, 0, 0, 3, 1, 2</t>
  </si>
  <si>
    <t>free electrical contractor logos</t>
  </si>
  <si>
    <t>extra electrical outlets services in chichester</t>
  </si>
  <si>
    <t>0, 0, 0, 0, 0, 0, 0, 0, 0, 1, 0, 0, 0, 0, 0, 1, 0, 0, 3, 0, 0, 0, 0, 2</t>
  </si>
  <si>
    <t>emergency electrician jackson</t>
  </si>
  <si>
    <t>campbell electrical services</t>
  </si>
  <si>
    <t>contractor in electrical engineering</t>
  </si>
  <si>
    <t>0, 0, 0, 2, 0, 0, 0, 0, 0, 0, 0, 0, 0, 0, 0, 1, 0, 2, 0, 1, 0, 0, 0, 1</t>
  </si>
  <si>
    <t>electrical services cape coral</t>
  </si>
  <si>
    <t>emergency electrician florence, sc</t>
  </si>
  <si>
    <t>1, 0, 0, 0, 1, 1, 0, 0, 0, 0, 5, 0, 0, 0, 0, 0, 0, 0, 0, 0, 0, 0, 0, 1</t>
  </si>
  <si>
    <t>emergency electrician beverly hills</t>
  </si>
  <si>
    <t>electrical contractor bentleigh east</t>
  </si>
  <si>
    <t>0, 0, 0, 0, 0, 1, 0, 3, 0, 0, 1, 0, 0, 0, 0, 0, 0, 0, 0, 0, 0, 0, 0, 1</t>
  </si>
  <si>
    <t>commercial electrical contractor el paso tx</t>
  </si>
  <si>
    <t>1, 1, 0, 0, 0, 2, 0, 0, 0, 0, 0, 0, 0, 0, 0, 0, 0, 0, 0, 0, 0, 0, 0, 1</t>
  </si>
  <si>
    <t>emergency electrician stamford</t>
  </si>
  <si>
    <t>emergency electrician ponteland</t>
  </si>
  <si>
    <t>td electrical services</t>
  </si>
  <si>
    <t>0, 0, 0, 0, 0, 0, 0, 0, 0, 0, 2, 0, 1, 0, 0, 0, 1, 0, 0, 0, 0, 0, 0, 1</t>
  </si>
  <si>
    <t>commercial electrical services birmingham</t>
  </si>
  <si>
    <t>1, 0, 0, 0, 1, 0, 1, 2, 2, 0, 1, 0, 0, 0, 0, 0, 0, 0, 0, 0, 0, 0, 0, 1</t>
  </si>
  <si>
    <t>industrial electrical installation acworth ga</t>
  </si>
  <si>
    <t>plant electrical contractor greenville sc</t>
  </si>
  <si>
    <t>elextric ltd emergency electrician</t>
  </si>
  <si>
    <t>emergency electrician westchester ny</t>
  </si>
  <si>
    <t>electrician electrical contractor logo</t>
  </si>
  <si>
    <t>electrical services in ogden</t>
  </si>
  <si>
    <t>electrical outlet installation morris county</t>
  </si>
  <si>
    <t>tg electrical services</t>
  </si>
  <si>
    <t>tesla electrical services</t>
  </si>
  <si>
    <t>0, 2, 1, 1, 1, 0, 0, 1, 1, 0, 0, 2, 0, 0, 0, 0, 0, 0, 0, 0, 0, 2, 0, 2</t>
  </si>
  <si>
    <t>electrical installation questions</t>
  </si>
  <si>
    <t>glenferrie emergency electrician</t>
  </si>
  <si>
    <t>electrical services uae</t>
  </si>
  <si>
    <t>commercial electrical services jasper county</t>
  </si>
  <si>
    <t>electrical services newquay</t>
  </si>
  <si>
    <t>electrical light installation</t>
  </si>
  <si>
    <t>1, 0, 0, 0, 0, 1, 4, 2, 4, 1, 0, 1, 6, 1, 1, 1, 0, 0, 2, 0, 0, 0, 0, 1</t>
  </si>
  <si>
    <t>electrical contractor brampton</t>
  </si>
  <si>
    <t>0, 1, 2, 3, 1, 0, 1, 2, 0, 1, 0, 0, 0, 0, 0, 0, 0, 0, 0, 0, 0, 0, 0, 1</t>
  </si>
  <si>
    <t>eaton electrical services and systems</t>
  </si>
  <si>
    <t>electrical services arlington heights il</t>
  </si>
  <si>
    <t>electrical contractor hastings</t>
  </si>
  <si>
    <t>residential electrical socket installation</t>
  </si>
  <si>
    <t>0, 1, 0, 1, 0, 0, 3, 0, 1, 0, 0, 0, 0, 0, 0, 0, 0, 0, 0, 0, 0, 0, 0, 1</t>
  </si>
  <si>
    <t>charleston electrical services</t>
  </si>
  <si>
    <t>0, 0, 2, 0, 0, 0, 1, 0, 0, 0, 2, 2, 0, 0, 0, 0, 0, 0, 0, 0, 0, 0, 0, 1</t>
  </si>
  <si>
    <t>electrical contractor westmount</t>
  </si>
  <si>
    <t>0, 2, 3, 0, 2, 0, 1, 0, 1, 1, 0, 0, 0, 0, 0, 0, 0, 0, 0, 0, 0, 0, 0, 1</t>
  </si>
  <si>
    <t>jj electrical services</t>
  </si>
  <si>
    <t>0, 1, 0, 0, 0, 0, 2, 1, 0, 0, 0, 0, 1, 2, 2, 1, 1, 1, 1, 1, 0, 1, 3, 2</t>
  </si>
  <si>
    <t>king george residential electrical contractor</t>
  </si>
  <si>
    <t>0, 0, 0, 0, 2, 1, 0, 0, 0, 0, 1, 0, 0, 0, 0, 0, 0, 0, 0, 0, 0, 0, 0, 1</t>
  </si>
  <si>
    <t>commercial maintenance electrical repairs</t>
  </si>
  <si>
    <t>0, 1, 0, 0, 0, 1, 0, 1, 0, 0, 0, 0, 0, 0, 0, 0, 0, 0, 0, 0, 0, 0, 0, 1</t>
  </si>
  <si>
    <t>switch on electrical services</t>
  </si>
  <si>
    <t>electrical wiring and installation pdf</t>
  </si>
  <si>
    <t>3, 0, 1, 1, 0, 0, 3, 2, 1, 1, 1, 0, 0, 1, 0, 2, 0, 0, 0, 0, 1, 0, 0, 1</t>
  </si>
  <si>
    <t>electrical installation condition report eicr</t>
  </si>
  <si>
    <t>0, 0, 1, 0, 0, 0, 0, 2, 1, 2, 0, 0, 0, 0, 0, 0, 0, 0, 0, 0, 0, 0, 0, 1</t>
  </si>
  <si>
    <t>wilmington home electrical repair services</t>
  </si>
  <si>
    <t>emergency new castle electrician</t>
  </si>
  <si>
    <t>0, 0, 0, 1, 0, 1, 1, 0, 0, 2, 3, 0, 0, 0, 0, 0, 0, 0, 0, 0, 0, 0, 0, 1</t>
  </si>
  <si>
    <t>electrical contractor supply near me</t>
  </si>
  <si>
    <t>0, 1, 0, 1, 0, 0, 0, 1, 3, 1, 0, 0, 0, 0, 1, 0, 0, 0, 0, 0, 1, 0, 1, 1</t>
  </si>
  <si>
    <t>regal electrical services</t>
  </si>
  <si>
    <t>quality control plan for electrical contractor</t>
  </si>
  <si>
    <t>alpha electrical services</t>
  </si>
  <si>
    <t>2, 0, 0, 0, 0, 0, 0, 1, 0, 0, 0, 0, 1, 0, 0, 0, 0, 0, 0, 1, 0, 0, 0, 1</t>
  </si>
  <si>
    <t>master electrician vs electrical contractor</t>
  </si>
  <si>
    <t>electrical repairs petitcodiac</t>
  </si>
  <si>
    <t>0, 0, 1, 0, 0, 1, 1, 0, 0, 0, 1, 0, 0, 0, 0, 0, 0, 0, 0, 0, 0, 0, 0, 1</t>
  </si>
  <si>
    <t>business card for electrical contractor</t>
  </si>
  <si>
    <t>electrical contractor athens</t>
  </si>
  <si>
    <t>1, 1, 0, 0, 0, 0, 1, 1, 1, 1, 1, 1, 0, 0, 0, 0, 0, 0, 0, 0, 0, 0, 0, 1</t>
  </si>
  <si>
    <t>emergency electrician canada bay</t>
  </si>
  <si>
    <t>endeavour hills emergency electrician</t>
  </si>
  <si>
    <t>d b electrical services</t>
  </si>
  <si>
    <t>aircon and electrical services</t>
  </si>
  <si>
    <t>1, 0, 0, 1, 0, 0, 0, 0, 2, 1, 3, 1, 2, 0, 0, 0, 1, 0, 1, 1, 3, 1, 1, 1</t>
  </si>
  <si>
    <t>electrical installation level 1 pdf</t>
  </si>
  <si>
    <t>0, 0, 1, 0, 0, 0, 0, 0, 1, 0, 0, 0, 0, 0, 0, 2, 0, 0, 0, 0, 1, 0, 0, 4</t>
  </si>
  <si>
    <t>electrical repairs noarlunga</t>
  </si>
  <si>
    <t>emergency electrician brookvale</t>
  </si>
  <si>
    <t>0, 1, 1, 0, 4, 0, 0, 0, 0, 0, 1, 0, 0, 0, 0, 0, 0, 0, 0, 0, 0, 0, 0, 1</t>
  </si>
  <si>
    <t>nationwide mechanical and electrical services</t>
  </si>
  <si>
    <t>electrical repairs missoula mt</t>
  </si>
  <si>
    <t>0, 0, 0, 0, 2, 1, 0, 0, 1, 2, 1, 0, 0, 0, 0, 0, 0, 0, 0, 0, 0, 0, 0, 1</t>
  </si>
  <si>
    <t>emergency electrician number</t>
  </si>
  <si>
    <t>0, 0, 0, 0, 0, 0, 0, 0, 0, 0, 1, 1, 0, 0, 0, 0, 0, 2, 2, 0, 3, 0, 1, 1</t>
  </si>
  <si>
    <t>electrical contractor columbus</t>
  </si>
  <si>
    <t>eal electrical installation level 3 exams</t>
  </si>
  <si>
    <t>24 hour emergency electrician liverpool</t>
  </si>
  <si>
    <t>express auto electrical repairs</t>
  </si>
  <si>
    <t>0, 0, 0, 6, 1, 5, 0, 0, 0, 0, 0, 0, 0, 0, 0, 0, 0, 0, 0, 0, 0, 0, 0, 1</t>
  </si>
  <si>
    <t>emergency electrician bondi junction</t>
  </si>
  <si>
    <t>pw electrical services</t>
  </si>
  <si>
    <t>emergency electrician wattleup</t>
  </si>
  <si>
    <t>electrical repairs london</t>
  </si>
  <si>
    <t>0, 0, 0, 1, 2, 1, 1, 0, 1, 1, 3, 1, 0, 0, 1, 2, 0, 0, 0, 0, 0, 0, 0, 1</t>
  </si>
  <si>
    <t>electrical contractor pi insurance</t>
  </si>
  <si>
    <t>emergency electrician killarney heights</t>
  </si>
  <si>
    <t>electrical contractor safety manual template</t>
  </si>
  <si>
    <t>emergency electrical services sydney</t>
  </si>
  <si>
    <t>0, 0, 1, 2, 2, 1, 4, 0, 0, 0, 1, 0, 0, 0, 0, 0, 0, 0, 0, 0, 0, 0, 0, 1</t>
  </si>
  <si>
    <t>electrical sub contractor jobs</t>
  </si>
  <si>
    <t>2, 5, 2, 1, 4, 4, 4, 4, 5, 7, 0, 0, 0, 2, 2, 0, 3, 1, 7, 0, 1, 0, 1, 1</t>
  </si>
  <si>
    <t>strong electrical services</t>
  </si>
  <si>
    <t>0, 0, 0, 0, 1, 0, 0, 1, 2, 2, 2, 0, 0, 0, 0, 0, 0, 0, 0, 0, 0, 0, 0, 1</t>
  </si>
  <si>
    <t>find an electrical contractor</t>
  </si>
  <si>
    <t>electrical lamp repairs near me</t>
  </si>
  <si>
    <t>0, 3, 0, 1, 1, 2, 0, 2, 2, 0, 0, 0, 4, 1, 1, 0, 0, 0, 0, 0, 0, 1, 0, 1</t>
  </si>
  <si>
    <t>hunter electrical services</t>
  </si>
  <si>
    <t>0, 0, 1, 2, 0, 0, 0, 0, 0, 0, 0, 0, 0, 0, 0, 0, 3, 0, 0, 0, 0, 0, 0, 1</t>
  </si>
  <si>
    <t>katy emergency electrician</t>
  </si>
  <si>
    <t>electrical contractor taunton</t>
  </si>
  <si>
    <t>1, 0, 0, 0, 0, 0, 1, 1, 0, 0, 0, 0, 0, 0, 0, 0, 0, 0, 0, 0, 0, 0, 0, 1</t>
  </si>
  <si>
    <t>ashfield emergency electrician</t>
  </si>
  <si>
    <t>level 2 electrical installation practical exam</t>
  </si>
  <si>
    <t>0, 0, 0, 0, 0, 0, 0, 0, 0, 0, 0, 3, 0, 0, 0, 0, 0, 0, 0, 0, 0, 1, 0, 1</t>
  </si>
  <si>
    <t>electrical sub contractor rates</t>
  </si>
  <si>
    <t>2, 0, 2, 1, 0, 2, 0, 0, 0, 0, 0, 0, 1, 0, 0, 0, 0, 1, 0, 0, 0, 1, 0, 1</t>
  </si>
  <si>
    <t>cl electrical services</t>
  </si>
  <si>
    <t>industrial electrical services adelaide</t>
  </si>
  <si>
    <t>0, 1, 0, 1, 0, 0, 0, 1, 0, 1, 0, 0, 0, 0, 0, 0, 0, 0, 0, 0, 0, 0, 0, 1</t>
  </si>
  <si>
    <t>electrical installation systems</t>
  </si>
  <si>
    <t>pocomoke city home electrical repair services</t>
  </si>
  <si>
    <t>electrical contractor job description</t>
  </si>
  <si>
    <t>1, 0, 0, 2, 0, 0, 3, 0, 0, 1, 0, 1, 0, 6, 0, 0, 0, 4, 0, 1, 0, 0, 1, 1</t>
  </si>
  <si>
    <t>electrical repairs and installations in worcester</t>
  </si>
  <si>
    <t>0, 0, 0, 0, 0, 0, 0, 0, 0, 0, 0, 0, 0, 0, 0, 6, 2, 2, 0, 0, 0, 0, 0, 1</t>
  </si>
  <si>
    <t>electrical installation services cincinnati</t>
  </si>
  <si>
    <t>0, 0, 0, 0, 0, 0, 0, 0, 0, 3, 0, 0, 0, 0, 0, 0, 0, 0, 0, 0, 0, 0, 0, 1</t>
  </si>
  <si>
    <t>earthmoving and electrical service installation</t>
  </si>
  <si>
    <t>1, 2, 0, 0, 0, 0, 0, 1, 0, 0, 0, 0, 0, 0, 0, 0, 0, 0, 0, 0, 0, 0, 0, 1</t>
  </si>
  <si>
    <t>electrical services etobicoke</t>
  </si>
  <si>
    <t>electrical installation condition reporting</t>
  </si>
  <si>
    <t>proffesional electrical contractor</t>
  </si>
  <si>
    <t>0, 0, 0, 0, 0, 0, 0, 0, 0, 0, 0, 0, 0, 0, 0, 0, 0, 0, 0, 2, 4, 11, 7, 8</t>
  </si>
  <si>
    <t>all star electrical services</t>
  </si>
  <si>
    <t>0, 0, 0, 0, 0, 1, 0, 0, 1, 1, 6, 1, 1, 0, 0, 0, 0, 0, 0, 0, 0, 1, 0, 1</t>
  </si>
  <si>
    <t>electrical services in benoni</t>
  </si>
  <si>
    <t>0, 0, 0, 0, 0, 0, 0, 0, 0, 0, 0, 0, 0, 0, 0, 0, 3, 0, 5, 0, 0, 0, 0, 1</t>
  </si>
  <si>
    <t>emergency electrician toorak</t>
  </si>
  <si>
    <t>george electrical services</t>
  </si>
  <si>
    <t>9, 0, 6, 8, 6, 6, 14, 5, 4, 2, 2, 3, 5, 9, 0, 6, 7, 1, 1, 0, 0, 2, 0, 2</t>
  </si>
  <si>
    <t>electrical installation and upgrades</t>
  </si>
  <si>
    <t>emergency electrician hurstville</t>
  </si>
  <si>
    <t>0, 0, 0, 0, 0, 1, 0, 0, 3, 0, 0, 0, 0, 0, 0, 0, 0, 0, 0, 0, 0, 0, 0, 1</t>
  </si>
  <si>
    <t>house electrical installation diagram</t>
  </si>
  <si>
    <t>1, 2, 1, 2, 1, 8, 5, 0, 5, 1, 2, 2, 3, 0, 1, 0, 0, 0, 0, 0, 0, 0, 0, 1</t>
  </si>
  <si>
    <t>tuscaloosa electrical services</t>
  </si>
  <si>
    <t>electrical contractor invoices</t>
  </si>
  <si>
    <t>0, 2, 1, 0, 1, 1, 1, 0, 0, 1, 0, 0, 0, 0, 0, 0, 0, 2, 0, 0, 0, 0, 0, 1</t>
  </si>
  <si>
    <t>emergency electrician derby</t>
  </si>
  <si>
    <t>electrical services benton county</t>
  </si>
  <si>
    <t>electrical wiring installation in barbados</t>
  </si>
  <si>
    <t>volt electrical contractor</t>
  </si>
  <si>
    <t>course to be electrical contractor</t>
  </si>
  <si>
    <t>0, 0, 0, 0, 0, 0, 0, 0, 0, 0, 0, 0, 0, 5, 6, 0, 0, 0, 0, 0, 0, 0, 0, 1</t>
  </si>
  <si>
    <t>electrical installation rules and regulations</t>
  </si>
  <si>
    <t>retail electrical contractor glasgow</t>
  </si>
  <si>
    <t>electrical installation equipment and tools</t>
  </si>
  <si>
    <t>emergency electrician burleson tx</t>
  </si>
  <si>
    <t>emergency electrician wellington</t>
  </si>
  <si>
    <t>0, 1, 0, 0, 0, 0, 0, 3, 1, 1, 0, 3, 0, 0, 0, 0, 0, 0, 0, 0, 0, 0, 0, 1</t>
  </si>
  <si>
    <t>kenilworth electrical services</t>
  </si>
  <si>
    <t>0, 0, 0, 0, 0, 0, 0, 0, 0, 0, 1, 0, 0, 1, 1, 0, 0, 0, 0, 0, 0, 1, 0, 1</t>
  </si>
  <si>
    <t>24 hours electrical services</t>
  </si>
  <si>
    <t>electrical services in geelong</t>
  </si>
  <si>
    <t>electrical socket installation cost</t>
  </si>
  <si>
    <t>0, 1, 0, 4, 0, 3, 1, 1, 0, 0, 0, 5, 0, 0, 0, 0, 2, 0, 1, 1, 1, 0, 0, 1</t>
  </si>
  <si>
    <t>commercial mechanical and electrical services</t>
  </si>
  <si>
    <t>wattleup emergency electrician</t>
  </si>
  <si>
    <t>0, 0, 0, 0, 0, 2, 0, 1, 0, 1, 4, 0, 0, 0, 0, 0, 0, 0, 0, 0, 0, 0, 0, 1</t>
  </si>
  <si>
    <t>types of hazards in electrical installation</t>
  </si>
  <si>
    <t>plumber electrical services</t>
  </si>
  <si>
    <t>0, 0, 0, 0, 0, 0, 0, 0, 0, 0, 0, 0, 1, 0, 0, 0, 1, 0, 0, 1, 0, 1, 0, 1</t>
  </si>
  <si>
    <t>electrical installation rutherford</t>
  </si>
  <si>
    <t>0, 0, 0, 0, 0, 1, 1, 2, 0, 0, 2, 0, 0, 0, 0, 0, 0, 0, 0, 0, 0, 0, 0, 1</t>
  </si>
  <si>
    <t>r g electrical services</t>
  </si>
  <si>
    <t>electrical sub panel installation marysville</t>
  </si>
  <si>
    <t>electrical appliance repairs somerset west</t>
  </si>
  <si>
    <t>electrical repairs central coast</t>
  </si>
  <si>
    <t>0, 0, 0, 0, 1, 0, 0, 0, 1, 3, 1, 0, 0, 0, 0, 0, 0, 0, 0, 0, 0, 0, 0, 1</t>
  </si>
  <si>
    <t>electrical installation exam questions</t>
  </si>
  <si>
    <t>0, 1, 1, 0, 1, 0, 0, 0, 0, 1, 1, 0, 0, 0, 0, 0, 0, 0, 0, 0, 0, 2, 1, 2</t>
  </si>
  <si>
    <t>platinum electrical services</t>
  </si>
  <si>
    <t>0, 0, 0, 1, 0, 0, 0, 0, 0, 0, 0, 1, 0, 0, 0, 0, 0, 0, 1, 0, 1, 0, 0, 1</t>
  </si>
  <si>
    <t>sparks electrical services</t>
  </si>
  <si>
    <t>2, 2, 0, 0, 0, 1, 1, 1, 0, 0, 1, 0, 0, 0, 0, 0, 1, 0, 0, 0, 0, 0, 0, 1</t>
  </si>
  <si>
    <t>electrical connector installation</t>
  </si>
  <si>
    <t>electrical systems installation west chester</t>
  </si>
  <si>
    <t>commercial electrical services garland tx</t>
  </si>
  <si>
    <t>emergency electrician hook</t>
  </si>
  <si>
    <t>professional electrical services cairns</t>
  </si>
  <si>
    <t>electrical contractor bridgend</t>
  </si>
  <si>
    <t>electrical weatherhead installation</t>
  </si>
  <si>
    <t>electrical services pflugerville</t>
  </si>
  <si>
    <t>miramar electrical services</t>
  </si>
  <si>
    <t>0, 0, 0, 1, 0, 1, 0, 5, 3, 2, 5, 1, 0, 0, 0, 0, 0, 0, 0, 0, 0, 0, 0, 1</t>
  </si>
  <si>
    <t>electrical repairs mabank</t>
  </si>
  <si>
    <t>messina electrical services inc</t>
  </si>
  <si>
    <t>0, 1, 0, 0, 0, 1, 0, 0, 0, 0, 0, 0, 1, 1, 0, 0, 0, 0, 0, 0, 0, 0, 0, 1</t>
  </si>
  <si>
    <t>emergency electrician east-rockingham</t>
  </si>
  <si>
    <t>0, 0, 0, 0, 1, 0, 0, 1, 1, 0, 1, 0, 0, 0, 0, 0, 0, 0, 0, 0, 0, 0, 0, 1</t>
  </si>
  <si>
    <t>electrical system installation &amp; commissioning</t>
  </si>
  <si>
    <t>commercial electrical services king george</t>
  </si>
  <si>
    <t>emergency electrician kirribilli</t>
  </si>
  <si>
    <t>in charge electrical services</t>
  </si>
  <si>
    <t>emergency electrician mint hill, nc</t>
  </si>
  <si>
    <t>electrical installation licence</t>
  </si>
  <si>
    <t>0, 0, 1, 0, 0, 0, 1, 0, 0, 0, 0, 0, 0, 0, 0, 0, 0, 0, 0, 0, 1, 0, 0, 2</t>
  </si>
  <si>
    <t>reasons for earthing an electrical installation</t>
  </si>
  <si>
    <t>0, 0, 1, 1, 0, 2, 1, 0, 0, 0, 0, 0, 0, 0, 1, 1, 0, 0, 0, 0, 0, 0, 0, 1</t>
  </si>
  <si>
    <t>best phoenix electrical contractor</t>
  </si>
  <si>
    <t>emergency electrician henley brook</t>
  </si>
  <si>
    <t>0, 0, 0, 0, 1, 0, 2, 1, 0, 1, 0, 0, 0, 0, 0, 0, 0, 0, 0, 0, 0, 0, 0, 1</t>
  </si>
  <si>
    <t>eastern electrical repairs</t>
  </si>
  <si>
    <t>safety in electrical installation</t>
  </si>
  <si>
    <t>a electrical services</t>
  </si>
  <si>
    <t>electrical contractor advertising</t>
  </si>
  <si>
    <t>0, 4, 0, 1, 0, 1, 6, 0, 4, 2, 3, 1, 0, 0, 0, 0, 0, 4, 0, 0, 0, 0, 1, 1</t>
  </si>
  <si>
    <t>cox electrical services</t>
  </si>
  <si>
    <t>0, 0, 0, 0, 0, 0, 0, 0, 0, 0, 0, 1, 0, 0, 0, 5, 2, 2, 1, 0, 0, 0, 0, 1</t>
  </si>
  <si>
    <t>electrical outlet installation cherokee</t>
  </si>
  <si>
    <t>residential emergency electrician sydney</t>
  </si>
  <si>
    <t>0, 0, 0, 0, 0, 0, 2, 0, 1, 0, 0, 0, 0, 0, 0, 0, 0, 0, 0, 0, 0, 0, 2, 2</t>
  </si>
  <si>
    <t>electrical water heater installation</t>
  </si>
  <si>
    <t>0, 1, 0, 2, 0, 0, 0, 0, 0, 0, 0, 0, 0, 0, 0, 0, 0, 0, 0, 0, 0, 0, 0, 1</t>
  </si>
  <si>
    <t>metering electrician jobs cape town</t>
  </si>
  <si>
    <t>electrician near plumstead, cape town</t>
  </si>
  <si>
    <t>art electrical services</t>
  </si>
  <si>
    <t>emergency electrician mulgrave</t>
  </si>
  <si>
    <t>0, 0, 1, 5, 0, 0, 0, 1, 1, 0, 0, 0, 0, 0, 0, 0, 0, 0, 0, 0, 0, 0, 0, 1</t>
  </si>
  <si>
    <t>job hazard analysis for electrical installation</t>
  </si>
  <si>
    <t>a r electrical services</t>
  </si>
  <si>
    <t>jpd electrical services</t>
  </si>
  <si>
    <t>0, 0, 0, 0, 4, 0, 0, 4, 0, 0, 0, 0, 0, 0, 0, 0, 0, 0, 0, 0, 0, 0, 0, 1</t>
  </si>
  <si>
    <t>electrical services image</t>
  </si>
  <si>
    <t>0, 0, 0, 0, 0, 0, 0, 0, 0, 2, 2, 0, 0, 1, 0, 0, 0, 0, 0, 0, 0, 0, 0, 1</t>
  </si>
  <si>
    <t>electrical services college station</t>
  </si>
  <si>
    <t>0, 1, 0, 1, 0, 1, 1, 0, 1, 0, 0, 0, 0, 0, 0, 0, 0, 0, 0, 0, 0, 0, 0, 1</t>
  </si>
  <si>
    <t>emergency electrician kew</t>
  </si>
  <si>
    <t>0, 0, 1, 1, 1, 0, 0, 2, 1, 0, 0, 0, 0, 0, 0, 0, 0, 0, 0, 0, 0, 0, 0, 1</t>
  </si>
  <si>
    <t>davies electrical services</t>
  </si>
  <si>
    <t>0, 0, 0, 0, 0, 0, 0, 0, 2, 0, 0, 0, 0, 0, 0, 0, 0, 0, 0, 0, 0, 0, 2, 1</t>
  </si>
  <si>
    <t>electrical services garfield county</t>
  </si>
  <si>
    <t>electrical meter box installation cost</t>
  </si>
  <si>
    <t>electrical panel installation polk county</t>
  </si>
  <si>
    <t>emergency electrician melville</t>
  </si>
  <si>
    <t>0, 0, 0, 1, 0, 1, 0, 0, 1, 0, 1, 0, 0, 1, 0, 0, 2, 0, 0, 0, 0, 1, 0, 1</t>
  </si>
  <si>
    <t>electrician job in cape town</t>
  </si>
  <si>
    <t>a &amp; e electrical services</t>
  </si>
  <si>
    <t>emergency electrician canterbury</t>
  </si>
  <si>
    <t>0, 1, 0, 2, 0, 0, 0, 1, 0, 2, 0, 0, 0, 0, 0, 0, 0, 0, 0, 0, 0, 0, 0, 1</t>
  </si>
  <si>
    <t>new electrical installation in jacksonville</t>
  </si>
  <si>
    <t>emergency electrician norwood</t>
  </si>
  <si>
    <t>0, 0, 1, 1, 2, 1, 1, 2, 0, 0, 0, 2, 0, 0, 0, 0, 0, 0, 0, 0, 0, 0, 0, 1</t>
  </si>
  <si>
    <t>electrical services navasota</t>
  </si>
  <si>
    <t>electrical repairs king george</t>
  </si>
  <si>
    <t>0, 0, 0, 1, 0, 0, 0, 1, 1, 1, 1, 1, 0, 0, 0, 0, 0, 0, 0, 0, 0, 0, 0, 1</t>
  </si>
  <si>
    <t>electrical services blacktown</t>
  </si>
  <si>
    <t>0, 0, 0, 0, 1, 1, 0, 0, 3, 1, 1, 0, 0, 0, 0, 0, 0, 0, 0, 0, 0, 0, 0, 1</t>
  </si>
  <si>
    <t>electrician cape town southern suburbs</t>
  </si>
  <si>
    <t>electrical services co</t>
  </si>
  <si>
    <t>electrical services helderberg</t>
  </si>
  <si>
    <t>electrical contractor wolverhampton</t>
  </si>
  <si>
    <t>martinez electrical services</t>
  </si>
  <si>
    <t>electrical contractor gmp</t>
  </si>
  <si>
    <t>0, 0, 0, 0, 1, 1, 0, 0, 2, 4, 8, 5, 0, 0, 0, 0, 0, 0, 0, 0, 0, 0, 0, 1</t>
  </si>
  <si>
    <t>commercial electrical contractor singapore</t>
  </si>
  <si>
    <t>0, 0, 0, 1, 2, 0, 2, 1, 0, 2, 1, 0, 0, 0, 0, 0, 0, 0, 0, 0, 0, 0, 0, 1</t>
  </si>
  <si>
    <t>electrical services company names</t>
  </si>
  <si>
    <t>0, 0, 0, 0, 0, 0, 0, 0, 0, 0, 3, 2, 0, 0, 0, 0, 0, 0, 0, 0, 0, 0, 0, 1</t>
  </si>
  <si>
    <t>london electrical contractor</t>
  </si>
  <si>
    <t>nga electrical services</t>
  </si>
  <si>
    <t>electrical db installation uae</t>
  </si>
  <si>
    <t>electrical outlet installation kernersville</t>
  </si>
  <si>
    <t>lakeland electrical services</t>
  </si>
  <si>
    <t>mactus electrical services</t>
  </si>
  <si>
    <t>electrical contractor insurance oregon</t>
  </si>
  <si>
    <t>0, 1, 1, 0, 0, 0, 0, 1, 0, 0, 0, 0, 0, 0, 0, 0, 0, 0, 0, 0, 0, 0, 0, 1</t>
  </si>
  <si>
    <t>emergency electrician skye</t>
  </si>
  <si>
    <t>electrical contractor wolcottville in</t>
  </si>
  <si>
    <t>about electrical installation and maintenance</t>
  </si>
  <si>
    <t>pauls electrical services</t>
  </si>
  <si>
    <t>contractor for electrical work</t>
  </si>
  <si>
    <t>0, 0, 0, 0, 1, 0, 0, 0, 2, 0, 0, 0, 0, 0, 0, 0, 0, 0, 0, 1, 0, 1, 0, 1</t>
  </si>
  <si>
    <t>ohs act electrical installation regulations</t>
  </si>
  <si>
    <t>0, 1, 0, 1, 0, 0, 2, 1, 0, 18, 8, 7, 2, 6, 2, 3, 9, 0, 3, 14, 2, 0, 0, 2</t>
  </si>
  <si>
    <t>jg electrical services</t>
  </si>
  <si>
    <t>0, 0, 0, 0, 0, 0, 0, 0, 0, 0, 0, 2, 0, 0, 0, 0, 3, 0, 0, 0, 0, 0, 0, 1</t>
  </si>
  <si>
    <t>orlando emergency electrician</t>
  </si>
  <si>
    <t>0, 1, 0, 2, 2, 3, 0, 2, 0, 0, 0, 0, 0, 0, 0, 0, 0, 0, 0, 0, 0, 0, 0, 1</t>
  </si>
  <si>
    <t>data centre electrical contractor ireland</t>
  </si>
  <si>
    <t>1, 1, 2, 0, 1, 0, 0, 0, 0, 0, 0, 0, 0, 0, 0, 0, 0, 0, 0, 0, 0, 0, 0, 1</t>
  </si>
  <si>
    <t>electrical contractor quality plan</t>
  </si>
  <si>
    <t>electrical services mint hill, nc</t>
  </si>
  <si>
    <t>barlow electrical services ltd</t>
  </si>
  <si>
    <t>cambridge electrical services</t>
  </si>
  <si>
    <t>herriman electrical services</t>
  </si>
  <si>
    <t>emergency electrician crystal palace</t>
  </si>
  <si>
    <t>emergency electrician new castle county</t>
  </si>
  <si>
    <t>0, 0, 0, 0, 1, 0, 0, 0, 1, 4, 2, 0, 0, 0, 0, 0, 0, 0, 0, 0, 0, 0, 0, 1</t>
  </si>
  <si>
    <t>rv electrical repairs</t>
  </si>
  <si>
    <t>renewal of electrical contractor license</t>
  </si>
  <si>
    <t>1, 0, 0, 0, 0, 0, 0, 0, 0, 0, 0, 0, 0, 0, 0, 0, 0, 1, 2, 0, 0, 2, 0, 2</t>
  </si>
  <si>
    <t>electrical services bristol</t>
  </si>
  <si>
    <t>1, 1, 0, 1, 0, 0, 1, 0, 0, 0, 0, 3, 0, 0, 0, 0, 0, 0, 0, 0, 0, 0, 0, 1</t>
  </si>
  <si>
    <t>electrical installation at school</t>
  </si>
  <si>
    <t>mechanical and electrical contractor cardiff</t>
  </si>
  <si>
    <t>old work electrical box installation</t>
  </si>
  <si>
    <t>emergency electrician jolimont</t>
  </si>
  <si>
    <t>sc electrical contractor license</t>
  </si>
  <si>
    <t>0, 1, 0, 0, 0, 1, 0, 0, 0, 0, 1, 1, 0, 0, 0, 0, 0, 0, 0, 0, 0, 0, 0, 1</t>
  </si>
  <si>
    <t>electrical circuit installation</t>
  </si>
  <si>
    <t>0, 1, 0, 0, 0, 1, 0, 0, 0, 1, 0, 5, 0, 2, 0, 3, 2, 0, 0, 0, 0, 0, 0, 1</t>
  </si>
  <si>
    <t>electrical contractor stamp</t>
  </si>
  <si>
    <t>rk electrical services</t>
  </si>
  <si>
    <t>kawuleza electrical services (pty) ltd</t>
  </si>
  <si>
    <t>electrical services for rtms london</t>
  </si>
  <si>
    <t>commercial electrical services north essex</t>
  </si>
  <si>
    <t>licensed electrical contractor winter park</t>
  </si>
  <si>
    <t>electrical repairs north lakes</t>
  </si>
  <si>
    <t>infrared electrical inspection services</t>
  </si>
  <si>
    <t>0, 4, 0, 0, 0, 0, 0, 0, 0, 0, 1, 0, 0, 0, 0, 0, 0, 0, 0, 0, 0, 0, 0, 1</t>
  </si>
  <si>
    <t>voltlink electrical services</t>
  </si>
  <si>
    <t>electrical contractor arlington</t>
  </si>
  <si>
    <t>florida electrical contractor</t>
  </si>
  <si>
    <t>virginia beach emergency electrician</t>
  </si>
  <si>
    <t>j h electrical services</t>
  </si>
  <si>
    <t>electrical safety services sydney</t>
  </si>
  <si>
    <t>emergency electrician mosman</t>
  </si>
  <si>
    <t>richardson electrical services</t>
  </si>
  <si>
    <t>contractor electrical burley id</t>
  </si>
  <si>
    <t>ama electrical services</t>
  </si>
  <si>
    <t>mechanical and electrical engineering services</t>
  </si>
  <si>
    <t>0, 2, 1, 2, 2, 0, 1, 2, 0, 4, 3, 0, 2, 1, 0, 2, 0, 0, 2, 0, 0, 0, 0, 1</t>
  </si>
  <si>
    <t>knysna electrical appliance repairs</t>
  </si>
  <si>
    <t>electrical contractor sydney</t>
  </si>
  <si>
    <t>1, 0, 0, 2, 0, 1, 2, 0, 2, 1, 0, 0, 0, 0, 0, 0, 0, 0, 0, 0, 0, 0, 0, 1</t>
  </si>
  <si>
    <t>electrical installation specification</t>
  </si>
  <si>
    <t>0, 0, 0, 2, 0, 0, 1, 3, 0, 0, 0, 2, 0, 2, 1, 0, 0, 0, 0, 0, 0, 0, 0, 1</t>
  </si>
  <si>
    <t>emergency electrician howell mi</t>
  </si>
  <si>
    <t>commercial electrical services bakersfield</t>
  </si>
  <si>
    <t>commercial electrical services florida</t>
  </si>
  <si>
    <t>0, 0, 2, 2, 0, 0, 2, 2, 2, 1, 1, 2, 0, 0, 0, 0, 0, 0, 0, 0, 0, 0, 0, 1</t>
  </si>
  <si>
    <t>electrical repair contractor</t>
  </si>
  <si>
    <t>emergency electrical repairs tampa</t>
  </si>
  <si>
    <t>electrical contractor in richmond hil</t>
  </si>
  <si>
    <t>electrical mast installation</t>
  </si>
  <si>
    <t>commercial electrical contractor menifee</t>
  </si>
  <si>
    <t>electrical services melton</t>
  </si>
  <si>
    <t>0, 0, 1, 0, 0, 2, 0, 1, 0, 0, 1, 0, 0, 0, 0, 0, 0, 0, 0, 0, 0, 0, 0, 1</t>
  </si>
  <si>
    <t>electrical services in bloubergrant, south africa</t>
  </si>
  <si>
    <t>0, 0, 0, 0, 0, 0, 0, 0, 0, 0, 0, 0, 0, 0, 0, 2, 0, 4, 0, 0, 0, 0, 0, 1</t>
  </si>
  <si>
    <t>electrical services in pembroke</t>
  </si>
  <si>
    <t>0, 0, 0, 0, 0, 0, 0, 0, 0, 0, 0, 1, 0, 0, 0, 0, 1, 0, 0, 1, 0, 1, 0, 1</t>
  </si>
  <si>
    <t>electrical installation tester</t>
  </si>
  <si>
    <t>3, 2, 3, 3, 2, 5, 3, 4, 3, 3, 3, 6, 6, 3, 1, 3, 2, 2, 6, 3, 9, 3, 4, 6</t>
  </si>
  <si>
    <t>electrical services jacksonville</t>
  </si>
  <si>
    <t>24hr electrical services ltd</t>
  </si>
  <si>
    <t>2, 2, 2, 1, 5, 4, 0, 1, 3, 5, 4, 0, 0, 0, 0, 0, 0, 0, 0, 0, 2, 0, 0, 2</t>
  </si>
  <si>
    <t>industrial electrical contractor seward ne</t>
  </si>
  <si>
    <t>abb electrical installation guide 2019 pdf</t>
  </si>
  <si>
    <t>electrical services redmond wa</t>
  </si>
  <si>
    <t>0, 0, 0, 0, 0, 0, 0, 1, 3, 1, 3, 1, 0, 0, 0, 0, 0, 0, 0, 0, 0, 0, 0, 1</t>
  </si>
  <si>
    <t>electrical contractor seattle wa</t>
  </si>
  <si>
    <t>0, 0, 0, 0, 0, 0, 1, 1, 1, 0, 0, 2, 0, 0, 0, 0, 0, 1, 1, 0, 0, 0, 0, 1</t>
  </si>
  <si>
    <t>charlies electrical services</t>
  </si>
  <si>
    <t>electrical panel surge protector installation</t>
  </si>
  <si>
    <t>0, 0, 0, 0, 1, 0, 1, 1, 0, 0, 1, 0, 0, 0, 0, 0, 2, 3, 0, 0, 0, 1, 2, 2</t>
  </si>
  <si>
    <t>dalkeith electrical services</t>
  </si>
  <si>
    <t>0, 0, 0, 0, 0, 1, 0, 1, 1, 2, 0, 0, 0, 0, 0, 0, 0, 0, 0, 0, 0, 0, 0, 1</t>
  </si>
  <si>
    <t>emergency power cut electrician</t>
  </si>
  <si>
    <t>0, 0, 0, 0, 0, 0, 0, 0, 0, 0, 0, 0, 0, 0, 0, 0, 0, 0, 0, 0, 0, 0, 7, 3</t>
  </si>
  <si>
    <t>electrical installation check</t>
  </si>
  <si>
    <t>coc electrical installation</t>
  </si>
  <si>
    <t>0, 0, 0, 0, 0, 0, 0, 0, 0, 0, 0, 0, 0, 0, 0, 0, 0, 0, 0, 0, 1, 4, 2, 1</t>
  </si>
  <si>
    <t>electrical contractor miami</t>
  </si>
  <si>
    <t>4, 0, 2, 1, 0, 2, 1, 1, 1, 4, 1, 0, 0, 0, 0, 0, 0, 0, 0, 0, 0, 0, 0, 1</t>
  </si>
  <si>
    <t>electrician southern suburbs cape town</t>
  </si>
  <si>
    <t>0, 0, 0, 0, 0, 0, 1, 2, 4, 4, 3, 2, 0, 0, 0, 0, 0, 0, 0, 0, 0, 0, 0, 1</t>
  </si>
  <si>
    <t>charlotte commercial electrical services</t>
  </si>
  <si>
    <t>lane electrical services</t>
  </si>
  <si>
    <t>0, 0, 0, 0, 0, 0, 0, 0, 0, 0, 0, 1, 0, 0, 0, 1, 0, 2, 0, 0, 0, 0, 0, 1</t>
  </si>
  <si>
    <t>pro efficient electrical services</t>
  </si>
  <si>
    <t>prokop electrical services</t>
  </si>
  <si>
    <t>emergency electrician perthairport</t>
  </si>
  <si>
    <t>0, 0, 0, 0, 0, 0, 0, 1, 4, 0, 0, 0, 0, 0, 0, 0, 0, 0, 0, 0, 0, 0, 0, 1</t>
  </si>
  <si>
    <t>electrical instrument calibration services</t>
  </si>
  <si>
    <t>1, 0, 0, 0, 0, 0, 0, 0, 0, 1, 1, 0, 0, 0, 0, 0, 0, 0, 0, 0, 0, 0, 0, 1</t>
  </si>
  <si>
    <t>polar electrical services</t>
  </si>
  <si>
    <t>electrician emergency service</t>
  </si>
  <si>
    <t>3, 4, 5, 3, 4, 7, 7, 6, 16, 21, 15, 7, 1, 1, 0, 0, 0, 3, 1, 0, 0, 1, 3, 1</t>
  </si>
  <si>
    <t>emergency electrician clarkson</t>
  </si>
  <si>
    <t>knipex 5 in 1 electrical installation pliers</t>
  </si>
  <si>
    <t>0, 0, 0, 0, 0, 0, 1, 0, 1, 0, 0, 0, 0, 0, 1, 0, 0, 4, 0, 0, 2, 0, 0, 1</t>
  </si>
  <si>
    <t>electrical installation and maintenance examples</t>
  </si>
  <si>
    <t>2, 0, 0, 0, 0, 0, 0, 0, 0, 1, 0, 0, 2, 0, 0, 0, 0, 0, 0, 1, 0, 0, 0, 1</t>
  </si>
  <si>
    <t>commercial electrical repairs pebble creek</t>
  </si>
  <si>
    <t>emergency electrician fort erie</t>
  </si>
  <si>
    <t>electrical installation eim logo design</t>
  </si>
  <si>
    <t>electrical contractor newmarket</t>
  </si>
  <si>
    <t>electrical services contractor fort smith ar</t>
  </si>
  <si>
    <t>surrey electrical contractor</t>
  </si>
  <si>
    <t>emergency electrician doubleview</t>
  </si>
  <si>
    <t>emergency electrician ardross</t>
  </si>
  <si>
    <t>0, 0, 0, 0, 1, 0, 1, 1, 0, 2, 0, 0, 0, 0, 0, 0, 0, 0, 0, 0, 0, 0, 0, 1</t>
  </si>
  <si>
    <t>commercial electrical services frederick county</t>
  </si>
  <si>
    <t>electrical installation topics</t>
  </si>
  <si>
    <t>reference letter for electrical contractor</t>
  </si>
  <si>
    <t>emergency electrician niagara falls</t>
  </si>
  <si>
    <t>electrical installation wiring diagram pdf</t>
  </si>
  <si>
    <t>0, 0, 1, 0, 0, 0, 0, 0, 0, 0, 0, 0, 0, 2, 0, 0, 0, 0, 0, 0, 0, 1, 0, 1</t>
  </si>
  <si>
    <t>stuart electrical services</t>
  </si>
  <si>
    <t>0, 0, 0, 1, 1, 0, 0, 1, 0, 0, 0, 0, 0, 0, 0, 0, 0, 0, 0, 3, 0, 0, 0, 1</t>
  </si>
  <si>
    <t>certificate in electrical installation</t>
  </si>
  <si>
    <t>1, 1, 0, 0, 1, 0, 3, 1, 4, 1, 1, 1, 0, 0, 0, 0, 0, 0, 1, 0, 1, 0, 0, 1</t>
  </si>
  <si>
    <t>electrical and pump services</t>
  </si>
  <si>
    <t>electrical wiring house installation</t>
  </si>
  <si>
    <t>0, 0, 0, 0, 0, 0, 0, 0, 0, 0, 0, 0, 0, 0, 0, 0, 0, 0, 0, 0, 1, 4, 0, 1</t>
  </si>
  <si>
    <t>jdl electrical services</t>
  </si>
  <si>
    <t>0, 0, 0, 0, 0, 0, 0, 0, 0, 0, 0, 0, 0, 0, 1, 0, 3, 3, 1, 0, 0, 0, 0, 1</t>
  </si>
  <si>
    <t>broomall electrical contractor</t>
  </si>
  <si>
    <t>0, 0, 0, 0, 0, 2, 0, 0, 0, 0, 0, 1, 0, 2, 1, 0, 0, 0, 0, 0, 0, 0, 0, 1</t>
  </si>
  <si>
    <t>ev electrical installation</t>
  </si>
  <si>
    <t>1, 0, 0, 0, 0, 0, 0, 0, 0, 0, 0, 0, 0, 0, 0, 0, 0, 0, 0, 0, 0, 1, 1, 1</t>
  </si>
  <si>
    <t>license electrical contractor near me</t>
  </si>
  <si>
    <t>0, 0, 1, 0, 0, 0, 0, 0, 0, 0, 0, 0, 0, 1, 0, 0, 0, 0, 0, 0, 0, 0, 0, 1</t>
  </si>
  <si>
    <t>niceic electrical installation certificate</t>
  </si>
  <si>
    <t>boston commercial electrical services</t>
  </si>
  <si>
    <t>residential electrical services chesterfield mo</t>
  </si>
  <si>
    <t>commercial electrical services shelby county</t>
  </si>
  <si>
    <t>commercial electrical services irving tx</t>
  </si>
  <si>
    <t>electrical services in lorton</t>
  </si>
  <si>
    <t>emergency electrician winston hills</t>
  </si>
  <si>
    <t>0, 0, 0, 0, 1, 1, 0, 0, 0, 1, 1, 0, 0, 0, 0, 0, 0, 0, 0, 0, 0, 0, 0, 1</t>
  </si>
  <si>
    <t>gas electrical services</t>
  </si>
  <si>
    <t>0, 0, 0, 0, 0, 0, 0, 0, 0, 0, 1, 1, 0, 2, 0, 0, 0, 0, 0, 1, 0, 0, 0, 1</t>
  </si>
  <si>
    <t>residential electrical services salt lake city ut</t>
  </si>
  <si>
    <t>electrical contractor jacksonville fl</t>
  </si>
  <si>
    <t>electrical services la crosse</t>
  </si>
  <si>
    <t>electrical installation plan</t>
  </si>
  <si>
    <t>2, 0, 0, 3, 0, 1, 0, 1, 0, 0, 0, 0, 0, 2, 1, 0, 1, 2, 0, 0, 0, 0, 2, 2</t>
  </si>
  <si>
    <t>industrial electrical installation glasgow</t>
  </si>
  <si>
    <t>ds electrical services</t>
  </si>
  <si>
    <t>leo electrical services ltd</t>
  </si>
  <si>
    <t>0, 0, 0, 0, 0, 0, 0, 0, 0, 0, 0, 0, 0, 0, 1, 0, 0, 0, 0, 1, 0, 0, 0, 1</t>
  </si>
  <si>
    <t>certified electrical contractor florida</t>
  </si>
  <si>
    <t>electrical services fremont</t>
  </si>
  <si>
    <t>0, 0, 0, 0, 0, 0, 0, 0, 0, 0, 0, 0, 1, 0, 0, 2, 1, 0, 0, 0, 0, 0, 0, 1</t>
  </si>
  <si>
    <t>goddard electrical services</t>
  </si>
  <si>
    <t>emergency electrician barnsley</t>
  </si>
  <si>
    <t>industrial electrical services glasgow</t>
  </si>
  <si>
    <t>electrical services darwin</t>
  </si>
  <si>
    <t>electrical maintenance services tingalpa</t>
  </si>
  <si>
    <t>electrical calibration services</t>
  </si>
  <si>
    <t>0, 4, 2, 0, 1, 1, 1, 0, 2, 5, 3, 2, 0, 0, 0, 1, 0, 1, 1, 3, 0, 0, 0, 1</t>
  </si>
  <si>
    <t>electrical contractor profile sample</t>
  </si>
  <si>
    <t>emergency electrician dorking</t>
  </si>
  <si>
    <t>electrical panel installation ooltewah</t>
  </si>
  <si>
    <t>0, 0, 0, 0, 0, 0, 1, 0, 0, 0, 0, 2, 0, 0, 0, 0, 0, 0, 0, 0, 0, 0, 0, 1</t>
  </si>
  <si>
    <t>emergency electrician leighton buzzard</t>
  </si>
  <si>
    <t>pace electrical services</t>
  </si>
  <si>
    <t>0, 1, 0, 0, 0, 0, 0, 0, 1, 0, 1, 0, 0, 0, 2, 0, 0, 0, 0, 0, 0, 0, 0, 1</t>
  </si>
  <si>
    <t>electrical contractor allentown pa</t>
  </si>
  <si>
    <t>electrical services cedar park</t>
  </si>
  <si>
    <t>victoria electrical contractor</t>
  </si>
  <si>
    <t>top rated electrical contractor near me</t>
  </si>
  <si>
    <t>electrical installation level 2 eas</t>
  </si>
  <si>
    <t>electrical installation training courses</t>
  </si>
  <si>
    <t>0, 0, 0, 0, 0, 0, 5, 1, 3, 6, 0, 0, 3, 2, 0, 1, 3, 1, 0, 1, 1, 0, 0, 1</t>
  </si>
  <si>
    <t>electrical contractor arlington tx</t>
  </si>
  <si>
    <t>0, 1, 2, 1, 0, 0, 0, 0, 0, 0, 0, 0, 0, 0, 0, 0, 0, 0, 0, 0, 0, 0, 0, 1</t>
  </si>
  <si>
    <t>electrical services farmingdale</t>
  </si>
  <si>
    <t>electrical contractor rock hill</t>
  </si>
  <si>
    <t>0, 0, 0, 0, 0, 0, 2, 1, 0, 0, 2, 0, 0, 0, 0, 0, 0, 0, 0, 0, 0, 0, 0, 1</t>
  </si>
  <si>
    <t>electrical services gloucester, va</t>
  </si>
  <si>
    <t>0, 0, 0, 0, 0, 0, 0, 1, 0, 2, 0, 2, 1, 0, 0, 0, 0, 0, 0, 0, 0, 4, 0, 2</t>
  </si>
  <si>
    <t>oceanside electrical services</t>
  </si>
  <si>
    <t>wilmington emergency electrician</t>
  </si>
  <si>
    <t>all power electrical services</t>
  </si>
  <si>
    <t>bayou electrical services</t>
  </si>
  <si>
    <t>0, 0, 0, 0, 0, 0, 2, 0, 0, 0, 0, 2, 0, 0, 0, 0, 0, 0, 0, 0, 0, 0, 0, 1</t>
  </si>
  <si>
    <t>electrical contractor north carolina</t>
  </si>
  <si>
    <t>emergency electrician calista</t>
  </si>
  <si>
    <t>0, 0, 0, 0, 0, 1, 1, 0, 2, 1, 0, 0, 1, 0, 0, 0, 0, 0, 0, 0, 0, 0, 0, 1</t>
  </si>
  <si>
    <t>electrical contractor logo</t>
  </si>
  <si>
    <t>1, 6, 2, 3, 6, 5, 2, 2, 3, 1, 4, 2, 1, 1, 0, 2, 6, 3, 8, 1, 2, 5, 1, 1</t>
  </si>
  <si>
    <t>การติดตั้งระบบไฟฟ้า electrical installation</t>
  </si>
  <si>
    <t>24 hour emergency electrician prahran</t>
  </si>
  <si>
    <t>whitfield electrical services</t>
  </si>
  <si>
    <t>0, 0, 0, 0, 0, 1, 0, 0, 0, 0, 0, 0, 0, 0, 0, 0, 0, 1, 2, 0, 0, 0, 0, 1</t>
  </si>
  <si>
    <t>lincoln electrical services</t>
  </si>
  <si>
    <t>1, 1, 0, 0, 0, 0, 0, 1, 0, 0, 0, 0, 0, 0, 0, 2, 0, 0, 0, 0, 0, 1, 0, 1</t>
  </si>
  <si>
    <t>electrical services parow</t>
  </si>
  <si>
    <t>0, 0, 0, 0, 0, 0, 0, 0, 0, 0, 0, 0, 0, 0, 0, 21, 15, 0, 1, 0, 0, 0, 0, 1</t>
  </si>
  <si>
    <t>robin electrical services</t>
  </si>
  <si>
    <t>0, 0, 0, 0, 0, 0, 0, 0, 0, 0, 0, 0, 0, 0, 0, 0, 0, 0, 5, 0, 0, 0, 1, 2</t>
  </si>
  <si>
    <t>jbl electrical services</t>
  </si>
  <si>
    <t>electrical contractor kallangur</t>
  </si>
  <si>
    <t>fowler electrical services</t>
  </si>
  <si>
    <t>burner and electrical services</t>
  </si>
  <si>
    <t>electrical mdb installation uae</t>
  </si>
  <si>
    <t>full service electrical contractor</t>
  </si>
  <si>
    <t>1, 0, 1, 2, 0, 1, 0, 4, 2, 7, 11, 16, 10, 8, 2, 0, 1, 4, 1, 2, 1, 0, 0, 1</t>
  </si>
  <si>
    <t>electrical contractor fort wayne</t>
  </si>
  <si>
    <t>substation electrical contractor</t>
  </si>
  <si>
    <t>commercial electrical contractor ct</t>
  </si>
  <si>
    <t>rivers electrical services</t>
  </si>
  <si>
    <t>electrical contractor profile pdf</t>
  </si>
  <si>
    <t>0, 1, 0, 0, 0, 0, 0, 0, 0, 0, 0, 0, 1, 0, 0, 0, 0, 0, 0, 0, 0, 0, 0, 1</t>
  </si>
  <si>
    <t>emergency electrical repairs grand prairie tx</t>
  </si>
  <si>
    <t>electrical contractor business management software</t>
  </si>
  <si>
    <t>0, 0, 0, 0, 0, 0, 0, 1, 0, 2, 2, 0, 0, 0, 0, 0, 0, 1, 0, 0, 0, 0, 0, 1</t>
  </si>
  <si>
    <t>electrical services castle hill</t>
  </si>
  <si>
    <t>onsite electrical services</t>
  </si>
  <si>
    <t>0, 0, 0, 0, 0, 1, 0, 0, 1, 1, 0, 4, 1, 0, 0, 0, 0, 0, 0, 0, 0, 4, 0, 1</t>
  </si>
  <si>
    <t>battery experts &amp; auto electrical repairs</t>
  </si>
  <si>
    <t>0, 0, 0, 0, 0, 0, 0, 0, 0, 0, 0, 0, 7, 7, 3, 0, 0, 0, 0, 0, 2, 0, 1, 1</t>
  </si>
  <si>
    <t>commercial electrical services plano tx</t>
  </si>
  <si>
    <t>0, 1, 0, 1, 0, 0, 0, 0, 0, 0, 1, 0, 0, 0, 0, 0, 0, 0, 0, 0, 0, 0, 0, 1</t>
  </si>
  <si>
    <t>electrical installation and plumbing</t>
  </si>
  <si>
    <t>emergency electrician sydney cbd</t>
  </si>
  <si>
    <t>electrical repairs and installations in lansdowne</t>
  </si>
  <si>
    <t>commercial electrical services huntsville</t>
  </si>
  <si>
    <t>cms electrical services</t>
  </si>
  <si>
    <t>commercial electrical services st paul mn</t>
  </si>
  <si>
    <t>0, 0, 0, 0, 0, 1, 0, 0, 1, 3, 0, 1, 0, 0, 0, 0, 0, 0, 0, 0, 0, 0, 0, 1</t>
  </si>
  <si>
    <t>emergency electrician menifee ca</t>
  </si>
  <si>
    <t>electrical contractor business mindset</t>
  </si>
  <si>
    <t>free electrical contractor contract template</t>
  </si>
  <si>
    <t>electrical contractor news</t>
  </si>
  <si>
    <t>0, 0, 1, 0, 1, 0, 2, 0, 0, 1, 2, 0, 0, 0, 0, 0, 0, 1, 0, 0, 0, 1, 0, 1</t>
  </si>
  <si>
    <t>commercial electrical repairs littleton co</t>
  </si>
  <si>
    <t>emergency electrician perry county</t>
  </si>
  <si>
    <t>amps electrical services</t>
  </si>
  <si>
    <t>0, 0, 0, 0, 0, 0, 0, 0, 0, 4, 1, 1, 0, 2, 1, 2, 1, 1, 0, 2, 1, 0, 0, 1</t>
  </si>
  <si>
    <t>emergency electrician near egham</t>
  </si>
  <si>
    <t>0, 1, 0, 0, 0, 1, 0, 0, 1, 0, 0, 0, 0, 0, 0, 0, 0, 0, 0, 0, 0, 0, 0, 1</t>
  </si>
  <si>
    <t>dianella emergency electrician</t>
  </si>
  <si>
    <t>electrical services in lake buena vista</t>
  </si>
  <si>
    <t>l &amp; d electrical services reviews</t>
  </si>
  <si>
    <t>0, 0, 3, 0, 1, 0, 0, 0, 0, 0, 0, 0, 0, 0, 0, 0, 0, 0, 0, 0, 0, 0, 0, 1</t>
  </si>
  <si>
    <t>dj's plumbing &amp; electrical services</t>
  </si>
  <si>
    <t>expert electrical services baltimore county</t>
  </si>
  <si>
    <t>safe work procedure for electrical installation</t>
  </si>
  <si>
    <t>0, 0, 0, 0, 0, 0, 0, 0, 0, 0, 0, 2, 7, 0, 0, 0, 0, 0, 0, 0, 0, 0, 0, 1</t>
  </si>
  <si>
    <t>emergency electrician sydney</t>
  </si>
  <si>
    <t>1, 7, 9, 4, 3, 8, 7, 4, 14, 12, 9, 0, 2, 2, 3, 0, 4, 2, 1, 0, 0, 0, 0, 1</t>
  </si>
  <si>
    <t>hot tub electrical installation near me</t>
  </si>
  <si>
    <t>0, 0, 1, 0, 1, 1, 0, 1, 2, 2, 0, 0, 0, 0, 0, 0, 0, 0, 0, 0, 0, 0, 0, 1</t>
  </si>
  <si>
    <t>emergency electrician norbury</t>
  </si>
  <si>
    <t>electrical contractor keller tx</t>
  </si>
  <si>
    <t>emergency electrician 24 hours</t>
  </si>
  <si>
    <t>0, 0, 0, 0, 0, 0, 0, 0, 1, 3, 0, 0, 2, 0, 0, 0, 1, 0, 0, 0, 0, 0, 0, 1</t>
  </si>
  <si>
    <t>eb electrical services</t>
  </si>
  <si>
    <t>a&amp;s electrical services</t>
  </si>
  <si>
    <t>apprenticeship in electrical installation</t>
  </si>
  <si>
    <t>claremont electrical services</t>
  </si>
  <si>
    <t>0, 0, 0, 0, 0, 0, 0, 1, 0, 0, 0, 0, 1, 0, 4, 3, 1, 2, 4, 0, 0, 1, 0, 1</t>
  </si>
  <si>
    <t>electrical contractor seattle</t>
  </si>
  <si>
    <t>0, 0, 0, 1, 0, 3, 1, 1, 3, 1, 2, 3, 1, 0, 0, 0, 0, 0, 0, 0, 0, 1, 0, 1</t>
  </si>
  <si>
    <t>types of pipes used in electrical installation</t>
  </si>
  <si>
    <t>0, 1, 0, 0, 0, 0, 0, 0, 0, 3, 0, 0, 2, 0, 1, 0, 0, 0, 2, 0, 2, 0, 0, 2</t>
  </si>
  <si>
    <t>electrical services davie fl</t>
  </si>
  <si>
    <t>electrical installation services in london</t>
  </si>
  <si>
    <t>electrical contractor orange</t>
  </si>
  <si>
    <t>electrical outlet installation columbia county</t>
  </si>
  <si>
    <t>united electrical services</t>
  </si>
  <si>
    <t>electrical appliance repairs centurion</t>
  </si>
  <si>
    <t>inglewood emergency electrician</t>
  </si>
  <si>
    <t>0, 0, 0, 0, 0, 0, 0, 1, 2, 0, 1, 0, 0, 0, 0, 0, 0, 0, 0, 0, 0, 0, 0, 1</t>
  </si>
  <si>
    <t>24 7 electrical services llc</t>
  </si>
  <si>
    <t>5, 1, 4, 0, 0, 3, 1, 0, 6, 14, 2, 0, 0, 0, 0, 0, 0, 0, 0, 0, 0, 0, 0, 1</t>
  </si>
  <si>
    <t>electrical installation pflugerville</t>
  </si>
  <si>
    <t>electrical installation testing record sheet</t>
  </si>
  <si>
    <t>0, 0, 0, 0, 0, 0, 0, 0, 0, 2, 0, 0, 0, 0, 0, 0, 0, 0, 1, 2, 0, 0, 0, 1</t>
  </si>
  <si>
    <t>maxim electrical services</t>
  </si>
  <si>
    <t>emergency electrician leawood</t>
  </si>
  <si>
    <t>0, 0, 0, 0, 0, 0, 0, 0, 2, 1, 2, 0, 0, 0, 0, 0, 0, 0, 0, 0, 0, 0, 0, 1</t>
  </si>
  <si>
    <t>electrical panel repair services</t>
  </si>
  <si>
    <t>0, 1, 0, 1, 0, 0, 1, 0, 0, 0, 1, 0, 0, 0, 0, 0, 0, 0, 0, 1, 0, 0, 0, 1</t>
  </si>
  <si>
    <t>midland electrical services</t>
  </si>
  <si>
    <t>emergency electrician deepdeene</t>
  </si>
  <si>
    <t>jolt electrical services</t>
  </si>
  <si>
    <t>0, 0, 0, 0, 0, 0, 0, 0, 0, 0, 0, 1, 0, 0, 1, 0, 1, 1, 0, 0, 0, 0, 0, 1</t>
  </si>
  <si>
    <t>electrical installation derby</t>
  </si>
  <si>
    <t>emergency electrician heathmont</t>
  </si>
  <si>
    <t>emergency electrician karragullen</t>
  </si>
  <si>
    <t>emergency level 2 electrician</t>
  </si>
  <si>
    <t>0, 1, 0, 0, 1, 2, 1, 0, 0, 1, 0, 0, 0, 0, 0, 0, 0, 0, 0, 0, 0, 0, 0, 1</t>
  </si>
  <si>
    <t>electrical services hancock county</t>
  </si>
  <si>
    <t>emergency electrical contractor near me</t>
  </si>
  <si>
    <t>electrical services colchester</t>
  </si>
  <si>
    <t>mid penn electrical services, inc.</t>
  </si>
  <si>
    <t>sparky's electrical services</t>
  </si>
  <si>
    <t>1, 0, 0, 0, 1, 0, 2, 0, 0, 0, 0, 1, 0, 0, 0, 0, 0, 0, 0, 0, 0, 0, 0, 1</t>
  </si>
  <si>
    <t>portland electrical services</t>
  </si>
  <si>
    <t>0, 0, 0, 0, 0, 0, 0, 0, 0, 0, 1, 0, 0, 0, 0, 0, 0, 0, 0, 0, 0, 0, 0, 2</t>
  </si>
  <si>
    <t>residential electrical services fort smith</t>
  </si>
  <si>
    <t>penshurst auto electrical services</t>
  </si>
  <si>
    <t>home electrical service panel installation durham</t>
  </si>
  <si>
    <t>electrical repairs gold coast</t>
  </si>
  <si>
    <t>electrical installation calgary</t>
  </si>
  <si>
    <t>0, 0, 0, 0, 2, 0, 0, 1, 0, 1, 0, 0, 0, 0, 0, 0, 0, 0, 0, 0, 0, 0, 0, 1</t>
  </si>
  <si>
    <t>emergency electrician strathmore</t>
  </si>
  <si>
    <t>0, 0, 0, 1, 0, 1, 0, 0, 0, 0, 2, 0, 0, 0, 0, 0, 0, 0, 0, 0, 0, 0, 0, 1</t>
  </si>
  <si>
    <t>electrical repairs durham north carolina</t>
  </si>
  <si>
    <t>r and a electrical services</t>
  </si>
  <si>
    <t>electrical outlet installation in medfield</t>
  </si>
  <si>
    <t>electrical installation basics</t>
  </si>
  <si>
    <t>7, 3, 8, 7, 1, 0, 0, 0, 1, 0, 1, 0, 1, 0, 1, 0, 0, 0, 0, 0, 0, 0, 2, 1</t>
  </si>
  <si>
    <t>licensed electrical contractor nyc</t>
  </si>
  <si>
    <t>0, 0, 1, 0, 0, 0, 1, 0, 0, 0, 2, 0, 0, 0, 0, 0, 0, 0, 0, 0, 0, 0, 0, 1</t>
  </si>
  <si>
    <t>electrical contractor california</t>
  </si>
  <si>
    <t>local electrical services box hill</t>
  </si>
  <si>
    <t>electrical contractor business forms</t>
  </si>
  <si>
    <t>electrical services in sunset beach, western cape</t>
  </si>
  <si>
    <t>0, 0, 0, 0, 0, 0, 0, 0, 0, 0, 0, 0, 0, 0, 0, 0, 0, 3, 1, 0, 0, 0, 0, 1</t>
  </si>
  <si>
    <t>hancock electrical services</t>
  </si>
  <si>
    <t>electrical installation supplies</t>
  </si>
  <si>
    <t>0, 0, 0, 0, 1, 0, 0, 0, 0, 1, 2, 0, 0, 0, 1, 0, 0, 1, 1, 0, 0, 6, 0, 3</t>
  </si>
  <si>
    <t>electrical switch installation near me</t>
  </si>
  <si>
    <t>0, 0, 0, 0, 0, 0, 0, 2, 0, 0, 2, 0, 0, 0, 0, 0, 0, 0, 0, 0, 0, 0, 0, 1</t>
  </si>
  <si>
    <t>electrical installation guide 2020</t>
  </si>
  <si>
    <t>electrical contractor rate sheet</t>
  </si>
  <si>
    <t>0, 3, 0, 0, 0, 0, 0, 0, 0, 0, 0, 0, 0, 0, 0, 0, 0, 0, 0, 0, 0, 0, 0, 1</t>
  </si>
  <si>
    <t>electrical services contractors</t>
  </si>
  <si>
    <t>electrical installation hackett ar</t>
  </si>
  <si>
    <t>electrical contractor estimating software</t>
  </si>
  <si>
    <t>1, 0, 2, 1, 0, 0, 2, 0, 0, 2, 1, 0, 0, 1, 0, 0, 0, 0, 1, 0, 0, 0, 0, 1</t>
  </si>
  <si>
    <t>new building electrical installation</t>
  </si>
  <si>
    <t>motor electrical repairs</t>
  </si>
  <si>
    <t>2, 0, 1, 0, 0, 1, 0, 0, 0, 0, 2, 0, 0, 1, 0, 0, 0, 0, 0, 0, 0, 0, 0, 1</t>
  </si>
  <si>
    <t>industrial electrical services candia nh</t>
  </si>
  <si>
    <t>0, 0, 0, 0, 0, 0, 0, 0, 0, 0, 1, 2, 0, 0, 0, 1, 0, 0, 1, 0, 0, 0, 0, 1</t>
  </si>
  <si>
    <t>reason for earthing an electrical installation</t>
  </si>
  <si>
    <t>doms electrical services</t>
  </si>
  <si>
    <t>a &amp; d plumbing and electrical services</t>
  </si>
  <si>
    <t>aes auto electrical services</t>
  </si>
  <si>
    <t>hazardous area electrical contractor manchester</t>
  </si>
  <si>
    <t>durham electrical repairs</t>
  </si>
  <si>
    <t>solidworks electrical installation error</t>
  </si>
  <si>
    <t>ceiling fan electrical installation</t>
  </si>
  <si>
    <t>0, 0, 0, 0, 0, 1, 0, 0, 0, 0, 0, 0, 1, 0, 0, 0, 0, 0, 0, 0, 0, 0, 0, 1</t>
  </si>
  <si>
    <t>electrical services in rondebosch, western cape</t>
  </si>
  <si>
    <t>electrical installation calculations</t>
  </si>
  <si>
    <t>ohm electrical services</t>
  </si>
  <si>
    <t>0, 0, 0, 0, 0, 0, 0, 0, 0, 0, 0, 0, 0, 1, 0, 1, 1, 0, 0, 0, 1, 0, 1, 5</t>
  </si>
  <si>
    <t>emergency electrician philly</t>
  </si>
  <si>
    <t>promise electrical services</t>
  </si>
  <si>
    <t>electrical services bellville</t>
  </si>
  <si>
    <t>0, 0, 0, 0, 0, 0, 0, 0, 0, 0, 0, 0, 0, 0, 21, 13, 0, 0, 0, 0, 0, 0, 0, 1</t>
  </si>
  <si>
    <t>electrical services stoneham ma</t>
  </si>
  <si>
    <t>emergency electrician herne hill</t>
  </si>
  <si>
    <t>commercial electrical services morgantown wv</t>
  </si>
  <si>
    <t>0, 1, 0, 1, 0, 1, 0, 0, 0, 0, 2, 0, 0, 0, 0, 0, 0, 0, 0, 0, 0, 0, 0, 1</t>
  </si>
  <si>
    <t>jim's electrical services</t>
  </si>
  <si>
    <t>emergency electrician lakeland</t>
  </si>
  <si>
    <t>emergency electrician lathlain</t>
  </si>
  <si>
    <t>0, 0, 0, 0, 0, 0, 0, 0, 3, 1, 0, 0, 0, 0, 0, 0, 0, 0, 0, 0, 0, 0, 0, 1</t>
  </si>
  <si>
    <t>electrical lighting repairs near me</t>
  </si>
  <si>
    <t>0, 0, 2, 0, 0, 0, 0, 1, 0, 0, 0, 0, 0, 0, 0, 0, 0, 2, 0, 1, 0, 3, 0, 2</t>
  </si>
  <si>
    <t>margate electrical services</t>
  </si>
  <si>
    <t>0, 1, 1, 0, 1, 0, 1, 5, 2, 5, 0, 0, 0, 0, 0, 0, 0, 1, 0, 0, 0, 0, 0, 1</t>
  </si>
  <si>
    <t>electrical contractor required</t>
  </si>
  <si>
    <t>0, 0, 0, 0, 0, 0, 0, 0, 1, 0, 0, 0, 0, 0, 0, 0, 0, 1, 0, 0, 0, 0, 0, 1</t>
  </si>
  <si>
    <t>electrical contractor supplies</t>
  </si>
  <si>
    <t>0, 2, 0, 0, 0, 0, 1, 0, 2, 0, 2, 0, 0, 0, 0, 0, 0, 0, 0, 0, 0, 0, 0, 1</t>
  </si>
  <si>
    <t>electrical cable repairs</t>
  </si>
  <si>
    <t>jmc electrical services</t>
  </si>
  <si>
    <t>jme electrical services</t>
  </si>
  <si>
    <t>eastman electrical services</t>
  </si>
  <si>
    <t>24 7 emergency electrician</t>
  </si>
  <si>
    <t>1, 5, 3, 2, 2, 4, 2, 3, 4, 10, 8, 0, 1, 0, 0, 0, 0, 0, 0, 0, 1, 0, 0, 1</t>
  </si>
  <si>
    <t>electrical services luton</t>
  </si>
  <si>
    <t>electrical contractor cornelius, nc</t>
  </si>
  <si>
    <t>electrical work services</t>
  </si>
  <si>
    <t>1, 1, 2, 0, 0, 0, 2, 0, 0, 2, 8, 1, 1, 0, 0, 2, 0, 0, 0, 0, 0, 0, 0, 1</t>
  </si>
  <si>
    <t>spalding electrical services</t>
  </si>
  <si>
    <t>0, 1, 0, 0, 0, 0, 0, 1, 0, 0, 0, 0, 0, 0, 0, 0, 0, 1, 0, 0, 0, 0, 0, 1</t>
  </si>
  <si>
    <t>london emergency electrician</t>
  </si>
  <si>
    <t>level 4 electrical installation courses</t>
  </si>
  <si>
    <t>0, 0, 0, 0, 0, 1, 0, 0, 0, 0, 0, 0, 0, 0, 0, 0, 2, 0, 0, 0, 0, 0, 0, 1</t>
  </si>
  <si>
    <t>electrical outlet with usb installation</t>
  </si>
  <si>
    <t>emergency electrician shrewsbury</t>
  </si>
  <si>
    <t>1, 0, 1, 0, 0, 0, 0, 1, 0, 0, 0, 1, 0, 0, 0, 0, 0, 0, 0, 0, 0, 0, 0, 1</t>
  </si>
  <si>
    <t>ash electrical services</t>
  </si>
  <si>
    <t>0, 0, 0, 0, 0, 2, 0, 0, 0, 0, 0, 0, 1, 0, 0, 0, 0, 0, 0, 1, 0, 0, 0, 1</t>
  </si>
  <si>
    <t>new electrical installation</t>
  </si>
  <si>
    <t>6, 3, 3, 5, 1, 1, 2, 3, 1, 4, 2, 7, 1, 0, 0, 0, 0, 0, 3, 0, 0, 0, 1, 1</t>
  </si>
  <si>
    <t>emergency electrician oatlands</t>
  </si>
  <si>
    <t>jays electrical services</t>
  </si>
  <si>
    <t>0, 1, 0, 0, 5, 0, 0, 0, 0, 0, 0, 2, 0, 0, 1, 0, 0, 2, 4, 0, 2, 5, 0, 3</t>
  </si>
  <si>
    <t>powerline electrical services</t>
  </si>
  <si>
    <t>auto electrical repairs in brandon fl</t>
  </si>
  <si>
    <t>design electrical services</t>
  </si>
  <si>
    <t>0, 0, 0, 0, 1, 3, 1, 2, 0, 1, 0, 0, 0, 0, 0, 0, 0, 0, 0, 0, 0, 0, 0, 1</t>
  </si>
  <si>
    <t>redline electrical services</t>
  </si>
  <si>
    <t>0, 0, 0, 0, 0, 0, 0, 1, 0, 0, 0, 0, 0, 0, 0, 0, 1, 1, 0, 0, 0, 0, 0, 1</t>
  </si>
  <si>
    <t>commercial electrical services sydney</t>
  </si>
  <si>
    <t>0, 1, 0, 1, 1, 3, 2, 1, 2, 5, 2, 0, 0, 0, 0, 0, 0, 0, 0, 0, 0, 0, 0, 1</t>
  </si>
  <si>
    <t>electrical services bellevue, wa</t>
  </si>
  <si>
    <t>0, 0, 0, 0, 0, 0, 0, 2, 0, 2, 1, 0, 0, 0, 0, 1, 0, 0, 0, 0, 0, 0, 0, 1</t>
  </si>
  <si>
    <t>electrical contractor missoula</t>
  </si>
  <si>
    <t>0, 0, 0, 1, 0, 0, 1, 2, 2, 0, 0, 0, 0, 0, 0, 0, 0, 0, 0, 0, 0, 0, 0, 1</t>
  </si>
  <si>
    <t>electrical installation kildare</t>
  </si>
  <si>
    <t>electrical panel installation dallas county</t>
  </si>
  <si>
    <t>electrical services in pebble creek</t>
  </si>
  <si>
    <t>o'brien electrical services</t>
  </si>
  <si>
    <t>voltix electrical services ltd</t>
  </si>
  <si>
    <t>mobile electrical services</t>
  </si>
  <si>
    <t>2, 0, 0, 0, 0, 0, 0, 0, 0, 0, 0, 0, 0, 1, 0, 0, 0, 0, 0, 0, 0, 0, 0, 1</t>
  </si>
  <si>
    <t>dock electrical services matthews, nc</t>
  </si>
  <si>
    <t>electrical contractor in las vegas</t>
  </si>
  <si>
    <t>norris electrical services</t>
  </si>
  <si>
    <t>electrical contractor johor bahru</t>
  </si>
  <si>
    <t>electrical facility services</t>
  </si>
  <si>
    <t>0, 0, 0, 0, 0, 0, 2, 0, 0, 0, 1, 0, 0, 0, 0, 0, 0, 0, 0, 0, 0, 0, 0, 1</t>
  </si>
  <si>
    <t>commercial electrical services west london</t>
  </si>
  <si>
    <t>abbey electrical services</t>
  </si>
  <si>
    <t>0, 0, 0, 0, 0, 0, 0, 1, 0, 0, 0, 0, 0, 0, 3, 0, 0, 0, 0, 0, 0, 0, 0, 1</t>
  </si>
  <si>
    <t>emergency electrician in liverpool</t>
  </si>
  <si>
    <t>emergency electrician denistone</t>
  </si>
  <si>
    <t>houston emergency electrician</t>
  </si>
  <si>
    <t>phase 1 electrical services</t>
  </si>
  <si>
    <t>electrical installation cairns</t>
  </si>
  <si>
    <t>mechanical and electrical contractor</t>
  </si>
  <si>
    <t>0, 0, 0, 0, 0, 0, 1, 1, 1, 0, 1, 1, 0, 0, 0, 0, 0, 0, 0, 0, 0, 0, 0, 1</t>
  </si>
  <si>
    <t>electrical installation price</t>
  </si>
  <si>
    <t>1, 3, 2, 2, 1, 3, 7, 1, 4, 3, 1, 1, 0, 8, 2, 0, 0, 6, 3, 1, 0, 1, 1, 2</t>
  </si>
  <si>
    <t>byron electrical services</t>
  </si>
  <si>
    <t>tools used for electrical installation</t>
  </si>
  <si>
    <t>1, 3, 0, 3, 2, 0, 0, 2, 2, 0, 2, 0, 0, 0, 0, 0, 0, 0, 1, 1, 0, 0, 0, 1</t>
  </si>
  <si>
    <t>emergency electrician gastonia, nc</t>
  </si>
  <si>
    <t>lee electrical services</t>
  </si>
  <si>
    <t>0, 0, 0, 1, 0, 0, 0, 0, 0, 0, 0, 0, 0, 0, 0, 0, 0, 0, 0, 0, 0, 1, 0, 2</t>
  </si>
  <si>
    <t>adelaide emergency electrician</t>
  </si>
  <si>
    <t>santa rosa emergency electrical services</t>
  </si>
  <si>
    <t>emergency electrician call out fee</t>
  </si>
  <si>
    <t>canning-vale emergency electrician</t>
  </si>
  <si>
    <t>0, 0, 0, 1, 0, 0, 1, 0, 1, 1, 0, 0, 0, 0, 0, 0, 0, 0, 0, 0, 0, 0, 0, 1</t>
  </si>
  <si>
    <t>electrical installation and maintenance service</t>
  </si>
  <si>
    <t>0, 1, 0, 0, 0, 0, 0, 0, 0, 0, 2, 1, 0, 0, 0, 0, 0, 0, 0, 0, 0, 0, 0, 1</t>
  </si>
  <si>
    <t>emergency electrician campsie</t>
  </si>
  <si>
    <t>electrical installation in building pdf</t>
  </si>
  <si>
    <t>woods electrical services</t>
  </si>
  <si>
    <t>ad electrical services</t>
  </si>
  <si>
    <t>electrical contractor services list</t>
  </si>
  <si>
    <t>diy electrical installation</t>
  </si>
  <si>
    <t>1, 1, 1, 0, 0, 0, 0, 0, 0, 0, 0, 0, 0, 0, 1, 0, 2, 0, 0, 0, 0, 0, 0, 1</t>
  </si>
  <si>
    <t>electrical services cecil county</t>
  </si>
  <si>
    <t>building electrical installation pdf</t>
  </si>
  <si>
    <t>2, 0, 0, 0, 0, 0, 0, 0, 0, 0, 0, 0, 0, 0, 1, 0, 0, 0, 0, 0, 0, 0, 0, 1</t>
  </si>
  <si>
    <t>electrical contractor funding</t>
  </si>
  <si>
    <t>electrical contractor st louis</t>
  </si>
  <si>
    <t>0, 0, 1, 0, 0, 1, 0, 1, 0, 1, 0, 1, 0, 0, 0, 0, 0, 0, 0, 0, 0, 0, 0, 1</t>
  </si>
  <si>
    <t>electrical educational services</t>
  </si>
  <si>
    <t>dac electrical services</t>
  </si>
  <si>
    <t>electrical services kildare</t>
  </si>
  <si>
    <t>in house electrical services</t>
  </si>
  <si>
    <t>electrical repairs and installations in springs</t>
  </si>
  <si>
    <t>0, 0, 0, 0, 0, 0, 0, 0, 0, 0, 0, 0, 0, 0, 2, 2, 3, 3, 0, 0, 0, 0, 0, 1</t>
  </si>
  <si>
    <t>garbage disposal electrical installation</t>
  </si>
  <si>
    <t>electrical installation procedures</t>
  </si>
  <si>
    <t>electrical panel installation louisiana</t>
  </si>
  <si>
    <t>e-care electrical services</t>
  </si>
  <si>
    <t>ak electrical services</t>
  </si>
  <si>
    <t>1, 0, 0, 1, 0, 0, 1, 2, 0, 2, 1, 0, 0, 0, 0, 0, 0, 0, 0, 0, 0, 0, 0, 1</t>
  </si>
  <si>
    <t>emergency electrician may villa</t>
  </si>
  <si>
    <t>electrical substation installation</t>
  </si>
  <si>
    <t>0, 0, 0, 0, 0, 0, 1, 1, 0, 0, 1, 0, 0, 0, 0, 0, 0, 0, 0, 1, 1, 0, 0, 1</t>
  </si>
  <si>
    <t>s&amp;h electrical services</t>
  </si>
  <si>
    <t>electrical plant services sc</t>
  </si>
  <si>
    <t>1, 0, 0, 0, 0, 1, 0, 0, 0, 1, 0, 0, 0, 0, 0, 0, 0, 0, 0, 0, 0, 0, 0, 1</t>
  </si>
  <si>
    <t>electrical services grand rapids</t>
  </si>
  <si>
    <t>0, 0, 0, 0, 0, 1, 1, 0, 1, 0, 0, 1, 0, 0, 0, 0, 0, 0, 0, 0, 0, 0, 0, 1</t>
  </si>
  <si>
    <t>emergency electrician glenferrie</t>
  </si>
  <si>
    <t>first class electrical services</t>
  </si>
  <si>
    <t>tng electrical services</t>
  </si>
  <si>
    <t>0, 0, 4, 1, 1, 0, 0, 0, 0, 0, 0, 0, 0, 0, 0, 0, 0, 0, 0, 0, 0, 0, 0, 1</t>
  </si>
  <si>
    <t>electrical services stafford va</t>
  </si>
  <si>
    <t>es electrical services</t>
  </si>
  <si>
    <t>residential electrical services frisco tx</t>
  </si>
  <si>
    <t>electrical contractor ppc services</t>
  </si>
  <si>
    <t>equipment used in electrical installation</t>
  </si>
  <si>
    <t>1, 0, 0, 0, 0, 0, 0, 0, 1, 0, 0, 1, 1, 0, 0, 1, 0, 0, 0, 0, 0, 0, 0, 1</t>
  </si>
  <si>
    <t>electrical tools repairs near me</t>
  </si>
  <si>
    <t>electrical installation - notes</t>
  </si>
  <si>
    <t>electrical installation evanston wy</t>
  </si>
  <si>
    <t>walk-in tub electrical installation</t>
  </si>
  <si>
    <t>electrical contractor bakersfield</t>
  </si>
  <si>
    <t>underground electrical wire services in fl</t>
  </si>
  <si>
    <t>bristol emergency electrician</t>
  </si>
  <si>
    <t>1, 1, 2, 1, 0, 1, 0, 1, 2, 0, 0, 0, 0, 0, 0, 0, 0, 0, 0, 0, 0, 0, 0, 1</t>
  </si>
  <si>
    <t>electrical contractor ottawa</t>
  </si>
  <si>
    <t>1, 0, 0, 0, 0, 2, 0, 1, 0, 1, 1, 0, 0, 0, 0, 0, 0, 0, 0, 0, 0, 0, 0, 1</t>
  </si>
  <si>
    <t>electrical maintenance services purvis</t>
  </si>
  <si>
    <t>electrical contractor marketing strategy</t>
  </si>
  <si>
    <t>0, 0, 0, 1, 0, 0, 0, 0, 1, 0, 2, 0, 0, 0, 0, 0, 0, 0, 0, 0, 0, 0, 1, 1</t>
  </si>
  <si>
    <t>electrical contractor license arizona</t>
  </si>
  <si>
    <t>electrical handyman services sudbury</t>
  </si>
  <si>
    <t>electrical contractor miami county</t>
  </si>
  <si>
    <t>ream electrical services</t>
  </si>
  <si>
    <t>long island electrical inspection services</t>
  </si>
  <si>
    <t>nvq in electrical installation</t>
  </si>
  <si>
    <t>calgary electrical repair services</t>
  </si>
  <si>
    <t>electrical contractor requirements</t>
  </si>
  <si>
    <t>1, 0, 2, 1, 1, 0, 0, 0, 0, 1, 0, 0, 4, 3, 7, 4, 0, 3, 2, 2, 3, 2, 0, 3</t>
  </si>
  <si>
    <t>commercial electrical installation in seattle</t>
  </si>
  <si>
    <t>emergency electrician cambridge ohio</t>
  </si>
  <si>
    <t>best electrical installation books pdf</t>
  </si>
  <si>
    <t>electrical contractor maplewood</t>
  </si>
  <si>
    <t>industrial electrical services milton keynes</t>
  </si>
  <si>
    <t>emergency electrician paisley</t>
  </si>
  <si>
    <t>electrical services tutukaka</t>
  </si>
  <si>
    <t>0, 0, 0, 0, 0, 0, 0, 1, 1, 0, 0, 0, 1, 0, 1, 0, 0, 0, 0, 0, 0, 0, 0, 1</t>
  </si>
  <si>
    <t>electrical services in berwick</t>
  </si>
  <si>
    <t>commercial electrical contractor dallas</t>
  </si>
  <si>
    <t>0, 0, 0, 0, 0, 0, 0, 0, 0, 0, 1, 0, 0, 0, 0, 0, 0, 1, 1, 0, 0, 0, 0, 1</t>
  </si>
  <si>
    <t>melbourne electrical contractor</t>
  </si>
  <si>
    <t>eden hill emergency electrician</t>
  </si>
  <si>
    <t>0, 0, 0, 0, 1, 0, 2, 0, 0, 0, 2, 0, 0, 0, 0, 0, 0, 0, 0, 0, 0, 0, 0, 1</t>
  </si>
  <si>
    <t>electrical installation canberra</t>
  </si>
  <si>
    <t>industrial electrical services near me</t>
  </si>
  <si>
    <t>1, 0, 0, 0, 0, 0, 0, 2, 2, 0, 0, 0, 0, 0, 0, 0, 0, 0, 0, 0, 0, 0, 0, 1</t>
  </si>
  <si>
    <t>water feature electrical installation</t>
  </si>
  <si>
    <t>electrical installation hazards</t>
  </si>
  <si>
    <t>0, 2, 2, 5, 0, 0, 1, 0, 0, 5, 0, 0, 1, 2, 1, 5, 0, 3, 1, 0, 0, 0, 2, 2</t>
  </si>
  <si>
    <t>automotive electrical repairs</t>
  </si>
  <si>
    <t>0, 0, 0, 0, 2, 1, 0, 0, 1, 1, 1, 1, 0, 0, 1, 0, 0, 0, 0, 0, 0, 0, 0, 1</t>
  </si>
  <si>
    <t>industrial electrical contractor waverly ne</t>
  </si>
  <si>
    <t>0, 0, 1, 1, 0, 0, 0, 0, 1, 2, 0, 0, 0, 0, 0, 0, 0, 0, 0, 0, 0, 0, 0, 1</t>
  </si>
  <si>
    <t>alberta electrical services</t>
  </si>
  <si>
    <t>tampa emergency electrician</t>
  </si>
  <si>
    <t>electrical services marcoola</t>
  </si>
  <si>
    <t>electrical installation regulations uk</t>
  </si>
  <si>
    <t>nursing home electrical services north york</t>
  </si>
  <si>
    <t>nationwide electrical services</t>
  </si>
  <si>
    <t>electrical trunking installation guide</t>
  </si>
  <si>
    <t>home electrical plug installation</t>
  </si>
  <si>
    <t>luke's electrical services</t>
  </si>
  <si>
    <t>0, 0, 0, 1, 0, 0, 0, 0, 0, 0, 0, 0, 0, 0, 0, 0, 1, 0, 0, 0, 0, 0, 0, 1</t>
  </si>
  <si>
    <t>electrical installation regulations 2019</t>
  </si>
  <si>
    <t>hempstead electrical services</t>
  </si>
  <si>
    <t>electrical contractor local seo marketing</t>
  </si>
  <si>
    <t>fleet electrical services</t>
  </si>
  <si>
    <t>0, 0, 0, 0, 0, 1, 0, 0, 0, 1, 0, 0, 0, 0, 0, 1, 0, 0, 0, 0, 0, 0, 0, 1</t>
  </si>
  <si>
    <t>anaheim electrical contractor</t>
  </si>
  <si>
    <t>auto electrical services sydney</t>
  </si>
  <si>
    <t>electrical services price list</t>
  </si>
  <si>
    <t>0, 0, 0, 0, 0, 2, 0, 4, 0, 0, 2, 0, 0, 0, 0, 0, 0, 0, 1, 0, 0, 0, 0, 1</t>
  </si>
  <si>
    <t>electrical services port st. lucie</t>
  </si>
  <si>
    <t>0, 0, 0, 0, 0, 0, 1, 0, 0, 2, 0, 0, 0, 0, 0, 0, 0, 0, 0, 0, 0, 0, 0, 1</t>
  </si>
  <si>
    <t>electrical wiring installation gastonia</t>
  </si>
  <si>
    <t>electrical installation course durham</t>
  </si>
  <si>
    <t>north texas electrical services</t>
  </si>
  <si>
    <t>continuity test in electrical installation</t>
  </si>
  <si>
    <t>1, 0, 0, 0, 0, 0, 0, 0, 2, 0, 0, 0, 0, 0, 0, 1, 0, 0, 0, 0, 1, 0, 0, 1</t>
  </si>
  <si>
    <t>electrical contractor westwood</t>
  </si>
  <si>
    <t>0, 0, 0, 0, 1, 0, 1, 1, 0, 0, 2, 0, 0, 0, 0, 0, 0, 0, 0, 0, 0, 0, 0, 1</t>
  </si>
  <si>
    <t>emergency electrician ballina</t>
  </si>
  <si>
    <t>emergency electrician madison county</t>
  </si>
  <si>
    <t>electrical pedestal installation</t>
  </si>
  <si>
    <t>electrical contractor opportunities</t>
  </si>
  <si>
    <t>0, 0, 0, 0, 0, 0, 0, 0, 0, 0, 1, 0, 3, 0, 0, 0, 0, 0, 0, 0, 0, 0, 0, 1</t>
  </si>
  <si>
    <t>electrical services wellington</t>
  </si>
  <si>
    <t>0, 0, 0, 0, 0, 1, 0, 0, 3, 0, 2, 0, 0, 0, 1, 0, 0, 0, 0, 0, 0, 0, 0, 1</t>
  </si>
  <si>
    <t>building services electrical design</t>
  </si>
  <si>
    <t>electrical services advertising</t>
  </si>
  <si>
    <t>electrical installation for commercial buildings</t>
  </si>
  <si>
    <t>0, 1, 1, 2, 5, 2, 0, 2, 1, 0, 0, 0, 0, 0, 0, 0, 0, 0, 0, 0, 0, 0, 0, 1</t>
  </si>
  <si>
    <t>electrical services bendigo</t>
  </si>
  <si>
    <t>0, 0, 1, 1, 0, 0, 1, 0, 0, 0, 1, 0, 0, 0, 0, 0, 0, 0, 0, 0, 0, 0, 0, 1</t>
  </si>
  <si>
    <t>electrical contractor utah</t>
  </si>
  <si>
    <t>0, 0, 1, 0, 0, 0, 1, 1, 0, 0, 0, 0, 0, 0, 0, 0, 0, 0, 0, 0, 0, 0, 0, 1</t>
  </si>
  <si>
    <t>electrical contractor canberra</t>
  </si>
  <si>
    <t>electrical contractor st. louis</t>
  </si>
  <si>
    <t>electrical services in burke</t>
  </si>
  <si>
    <t>emergency electrician swanbourne</t>
  </si>
  <si>
    <t>0, 0, 0, 1, 1, 0, 1, 1, 1, 0, 0, 0, 0, 0, 0, 0, 0, 0, 0, 0, 0, 0, 0, 1</t>
  </si>
  <si>
    <t>commercial electrical services southlake tx</t>
  </si>
  <si>
    <t>mount lawley emergency electrician</t>
  </si>
  <si>
    <t>0, 0, 0, 0, 0, 0, 0, 0, 0, 2, 2, 2, 0, 0, 0, 0, 0, 0, 0, 0, 0, 0, 0, 1</t>
  </si>
  <si>
    <t>electrical repairs huntsville</t>
  </si>
  <si>
    <t>am to pm electrical services</t>
  </si>
  <si>
    <t>commercial electrical services madison county</t>
  </si>
  <si>
    <t>electrical contractor kentucky</t>
  </si>
  <si>
    <t>electrical services monrovia ca</t>
  </si>
  <si>
    <t>electrical repairs hamburg ny</t>
  </si>
  <si>
    <t>electrical services malta</t>
  </si>
  <si>
    <t>mechanical &amp; electrical services</t>
  </si>
  <si>
    <t>1, 0, 1, 1, 0, 2, 1, 1, 0, 2, 2, 0, 0, 0, 0, 0, 0, 0, 0, 0, 0, 0, 0, 1</t>
  </si>
  <si>
    <t>ascot electrical services</t>
  </si>
  <si>
    <t>vehicle electrical services near me</t>
  </si>
  <si>
    <t>electrical contractor list</t>
  </si>
  <si>
    <t>0, 1, 0, 0, 1, 0, 0, 0, 1, 1, 0, 1, 0, 0, 0, 0, 0, 0, 0, 0, 0, 0, 0, 1</t>
  </si>
  <si>
    <t>electrical services denver</t>
  </si>
  <si>
    <t>0, 3, 0, 0, 1, 1, 1, 1, 5, 5, 6, 0, 0, 0, 0, 0, 0, 0, 0, 0, 0, 0, 0, 1</t>
  </si>
  <si>
    <t>fast electrical services</t>
  </si>
  <si>
    <t>0, 0, 0, 1, 0, 0, 2, 1, 0, 0, 2, 1, 0, 0, 1, 0, 0, 0, 3, 0, 0, 1, 2, 1</t>
  </si>
  <si>
    <t>dallas ga electrical repairs</t>
  </si>
  <si>
    <t>industrial electrician cape town</t>
  </si>
  <si>
    <t>perfect electrical services</t>
  </si>
  <si>
    <t>electrical maintenance services ipswich</t>
  </si>
  <si>
    <t>electrical contractor london</t>
  </si>
  <si>
    <t>0, 0, 1, 0, 2, 1, 4, 1, 4, 3, 2, 4, 0, 2, 0, 1, 1, 1, 0, 0, 0, 0, 0, 1</t>
  </si>
  <si>
    <t>certificate of electrical installation</t>
  </si>
  <si>
    <t>0, 1, 4, 0, 0, 4, 0, 0, 0, 0, 1, 0, 2, 2, 4, 2, 0, 0, 0, 1, 0, 1, 0, 1</t>
  </si>
  <si>
    <t>electrical contractor mississauga</t>
  </si>
  <si>
    <t>3, 1, 0, 1, 1, 1, 0, 2, 0, 1, 1, 0, 0, 0, 0, 0, 0, 0, 0, 0, 0, 0, 0, 1</t>
  </si>
  <si>
    <t>commercial electrical services brown county</t>
  </si>
  <si>
    <t>electrical contractor newfoundland</t>
  </si>
  <si>
    <t>1, 0, 0, 0, 1, 0, 0, 0, 1, 1, 0, 0, 0, 0, 0, 0, 0, 0, 0, 0, 0, 0, 0, 1</t>
  </si>
  <si>
    <t>electrical installation augusta</t>
  </si>
  <si>
    <t>electrical services west jordan</t>
  </si>
  <si>
    <t>electrical contractor sittingbourne</t>
  </si>
  <si>
    <t>emergency electrician kingsford</t>
  </si>
  <si>
    <t>emergency electrician coogee</t>
  </si>
  <si>
    <t>0, 0, 0, 0, 0, 3, 0, 1, 1, 4, 2, 0, 0, 0, 0, 0, 0, 0, 0, 0, 0, 0, 0, 1</t>
  </si>
  <si>
    <t>emergency electrician kirrawee</t>
  </si>
  <si>
    <t>0, 0, 0, 1, 0, 0, 0, 0, 0, 0, 0, 0, 1, 1, 0, 0, 0, 0, 0, 0, 0, 0, 0, 1</t>
  </si>
  <si>
    <t>electrical contractor manchester</t>
  </si>
  <si>
    <t>0, 2, 0, 1, 0, 1, 0, 1, 2, 3, 0, 4, 0, 0, 0, 0, 0, 0, 0, 0, 0, 0, 0, 1</t>
  </si>
  <si>
    <t>electrical contractor invoice template free</t>
  </si>
  <si>
    <t>0, 0, 0, 1, 0, 0, 0, 0, 0, 0, 0, 0, 0, 0, 0, 0, 0, 0, 1, 1, 0, 1, 0, 1</t>
  </si>
  <si>
    <t>mls electrical services</t>
  </si>
  <si>
    <t>electrician hourly rate cape town</t>
  </si>
  <si>
    <t>0, 0, 0, 0, 0, 0, 0, 0, 0, 0, 0, 0, 0, 0, 0, 0, 0, 1, 3, 0, 0, 0, 0, 1</t>
  </si>
  <si>
    <t>electrical services in mesa</t>
  </si>
  <si>
    <t>0, 1, 1, 0, 0, 1, 1, 0, 0, 0, 0, 0, 0, 0, 0, 0, 0, 0, 0, 0, 0, 0, 0, 1</t>
  </si>
  <si>
    <t>emergency electrician bonbeach</t>
  </si>
  <si>
    <t>commercial electrical services slidell</t>
  </si>
  <si>
    <t>0, 0, 0, 0, 0, 0, 0, 3, 1, 0, 3, 1, 0, 0, 0, 0, 0, 0, 0, 0, 0, 0, 0, 1</t>
  </si>
  <si>
    <t>electrical repairs shop near me</t>
  </si>
  <si>
    <t>0, 0, 1, 0, 0, 3, 0, 0, 0, 0, 3, 2, 2, 0, 0, 0, 6, 1, 0, 0, 0, 1, 3, 2</t>
  </si>
  <si>
    <t>electrical contractor conway</t>
  </si>
  <si>
    <t>0, 0, 0, 2, 1, 0, 0, 0, 0, 2, 3, 0, 0, 0, 0, 0, 0, 0, 0, 0, 0, 0, 0, 1</t>
  </si>
  <si>
    <t>emergency electrician pascoe vale</t>
  </si>
  <si>
    <t>electrical services in kent</t>
  </si>
  <si>
    <t>boss electrical services</t>
  </si>
  <si>
    <t>0, 0, 0, 0, 0, 0, 0, 0, 0, 0, 0, 0, 0, 2, 0, 0, 1, 2, 0, 0, 0, 0, 0, 1</t>
  </si>
  <si>
    <t>ryans electrical services</t>
  </si>
  <si>
    <t>0, 0, 1, 0, 0, 0, 0, 0, 0, 1, 0, 0, 0, 0, 0, 0, 0, 0, 0, 2, 0, 0, 0, 1</t>
  </si>
  <si>
    <t>industrial electrical installation project</t>
  </si>
  <si>
    <t>0, 0, 0, 0, 0, 0, 0, 0, 0, 0, 0, 0, 0, 0, 0, 0, 0, 0, 0, 0, 0, 0, 14, 6</t>
  </si>
  <si>
    <t>electrical services in buildings pdf</t>
  </si>
  <si>
    <t>tester electrical services</t>
  </si>
  <si>
    <t>emergency electrician glasgow</t>
  </si>
  <si>
    <t>0, 0, 2, 1, 3, 1, 2, 3, 3, 0, 2, 0, 1, 0, 0, 0, 0, 0, 1, 0, 0, 0, 0, 1</t>
  </si>
  <si>
    <t>general electrical services noarlunga</t>
  </si>
  <si>
    <t>emergency electrician beamsville</t>
  </si>
  <si>
    <t>southaven electrical services</t>
  </si>
  <si>
    <t>electrical services oshawa</t>
  </si>
  <si>
    <t>0, 0, 1, 0, 0, 1, 0, 0, 1, 0, 1, 0, 0, 0, 0, 0, 0, 0, 0, 0, 0, 0, 0, 1</t>
  </si>
  <si>
    <t>car electrical services dubai</t>
  </si>
  <si>
    <t>emergency electrician near feltham</t>
  </si>
  <si>
    <t>longview electrical services</t>
  </si>
  <si>
    <t>british standard for electrical installation</t>
  </si>
  <si>
    <t>electrical installation regulations ohs</t>
  </si>
  <si>
    <t>spe electrical services</t>
  </si>
  <si>
    <t>0, 0, 0, 0, 0, 0, 0, 0, 1, 0, 0, 2, 0, 0, 0, 1, 0, 0, 0, 0, 0, 0, 0, 1</t>
  </si>
  <si>
    <t>emergency electrician caulfield</t>
  </si>
  <si>
    <t>naples electrical contractor</t>
  </si>
  <si>
    <t>0, 0, 0, 0, 0, 1, 1, 0, 0, 1, 0, 0, 0, 0, 0, 0, 0, 0, 0, 0, 0, 0, 0, 1</t>
  </si>
  <si>
    <t>electrical services kingfisher oklahoma</t>
  </si>
  <si>
    <t>electrical repairs greenwood village</t>
  </si>
  <si>
    <t>electrical house installation</t>
  </si>
  <si>
    <t>2, 0, 3, 3, 1, 1, 5, 4, 4, 4, 2, 1, 2, 0, 3, 2, 1, 1, 1, 4, 1, 0, 0, 1</t>
  </si>
  <si>
    <t>emergency electrician darwin</t>
  </si>
  <si>
    <t>electrical services cherokee county</t>
  </si>
  <si>
    <t>electrical power point installation</t>
  </si>
  <si>
    <t>1, 3, 1, 3, 2, 0, 0, 1, 3, 3, 2, 1, 0, 0, 0, 0, 0, 0, 0, 0, 0, 2, 1, 2</t>
  </si>
  <si>
    <t>wiring and electrical installation</t>
  </si>
  <si>
    <t>1, 0, 0, 0, 0, 0, 0, 0, 0, 0, 0, 1, 0, 0, 1, 0, 2, 0, 0, 0, 0, 2, 0, 1</t>
  </si>
  <si>
    <t>palm coast home electrical repair services</t>
  </si>
  <si>
    <t>lkt electrical services ltd</t>
  </si>
  <si>
    <t>0, 0, 0, 0, 0, 0, 0, 0, 0, 0, 0, 0, 0, 0, 4, 1, 0, 0, 0, 0, 0, 0, 0, 1</t>
  </si>
  <si>
    <t>emergency electrician in bristol</t>
  </si>
  <si>
    <t>0, 0, 0, 0, 1, 0, 1, 0, 1, 0, 1, 1, 0, 0, 0, 0, 0, 0, 0, 0, 0, 0, 0, 1</t>
  </si>
  <si>
    <t>terms and conditions for electrical repairs</t>
  </si>
  <si>
    <t>electrical services west woombye</t>
  </si>
  <si>
    <t>emergency electrician rose bay</t>
  </si>
  <si>
    <t>electrical services hampshire</t>
  </si>
  <si>
    <t>industrial electrical contractor clemson</t>
  </si>
  <si>
    <t>rn electrical services</t>
  </si>
  <si>
    <t>underground electrical feeder repairs</t>
  </si>
  <si>
    <t>commercial electrical services san rafael ca</t>
  </si>
  <si>
    <t>0, 1, 1, 1, 0, 0, 1, 0, 0, 0, 0, 0, 0, 0, 0, 0, 0, 0, 0, 0, 0, 0, 0, 1</t>
  </si>
  <si>
    <t>chris auto electrical spares &amp; repairs cc</t>
  </si>
  <si>
    <t>jse electrical services</t>
  </si>
  <si>
    <t>thorold electrical services</t>
  </si>
  <si>
    <t>0, 1, 0, 2, 0, 0, 0, 1, 0, 0, 0, 0, 0, 0, 0, 0, 0, 0, 0, 0, 0, 0, 0, 1</t>
  </si>
  <si>
    <t>elevator electrical services</t>
  </si>
  <si>
    <t>0, 0, 1, 0, 0, 0, 0, 1, 4, 0, 2, 0, 0, 0, 0, 0, 0, 0, 0, 0, 0, 0, 0, 1</t>
  </si>
  <si>
    <t>electrical repairs in huntsville al</t>
  </si>
  <si>
    <t>a practical guide to electrical installation</t>
  </si>
  <si>
    <t>1, 0, 0, 0, 1, 1, 1, 0, 0, 0, 0, 0, 0, 0, 0, 0, 0, 0, 0, 0, 0, 0, 0, 1</t>
  </si>
  <si>
    <t>industrial electrical controls services nh</t>
  </si>
  <si>
    <t>0, 0, 0, 0, 0, 0, 0, 0, 0, 1, 0, 1, 0, 1, 0, 0, 0, 0, 1, 0, 0, 0, 0, 1</t>
  </si>
  <si>
    <t>annexure 3 electrical contractor</t>
  </si>
  <si>
    <t>0, 0, 0, 2, 0, 0, 0, 0, 0, 0, 0, 0, 0, 0, 2, 1, 0, 0, 1, 4, 8, 0, 0, 4</t>
  </si>
  <si>
    <t>electric electrical services scottsdale</t>
  </si>
  <si>
    <t>aggregate electrical services</t>
  </si>
  <si>
    <t>electrical contractor qualifications</t>
  </si>
  <si>
    <t>0, 0, 0, 0, 0, 0, 0, 0, 0, 1, 0, 0, 1, 0, 0, 1, 0, 1, 0, 0, 0, 0, 0, 1</t>
  </si>
  <si>
    <t>electrical repairs fredericksburg va</t>
  </si>
  <si>
    <t>emergency electrician coulsdon</t>
  </si>
  <si>
    <t>electrical installation lake butler</t>
  </si>
  <si>
    <t>emergency electrician exeter</t>
  </si>
  <si>
    <t>emergency electrician chessington</t>
  </si>
  <si>
    <t>electrical installation equipment list</t>
  </si>
  <si>
    <t>1, 2, 0, 2, 0, 0, 1, 1, 0, 3, 0, 4, 2, 0, 2, 7, 0, 1, 1, 2, 0, 3, 0, 2</t>
  </si>
  <si>
    <t>electrical repairs edmonton</t>
  </si>
  <si>
    <t>electrical installation handbook pdf</t>
  </si>
  <si>
    <t>0, 0, 3, 0, 0, 0, 2, 1, 1, 0, 0, 0, 1, 0, 0, 0, 0, 0, 0, 0, 0, 0, 0, 1</t>
  </si>
  <si>
    <t>installation methods electrical</t>
  </si>
  <si>
    <t>0, 0, 0, 0, 0, 0, 1, 0, 0, 0, 0, 0, 1, 1, 0, 0, 0, 0, 0, 0, 0, 0, 1, 1</t>
  </si>
  <si>
    <t>dhm electrical services</t>
  </si>
  <si>
    <t>dudley electrical services</t>
  </si>
  <si>
    <t>abc electrical services</t>
  </si>
  <si>
    <t>1, 1, 1, 0, 0, 1, 1, 1, 0, 1, 1, 0, 6, 0, 0, 1, 0, 1, 2, 2, 0, 2, 0, 2</t>
  </si>
  <si>
    <t>sogudt electrical appliances repairs</t>
  </si>
  <si>
    <t>electrical contracting services denver</t>
  </si>
  <si>
    <t>castle hayne electrical services</t>
  </si>
  <si>
    <t>0, 0, 0, 0, 0, 0, 0, 0, 0, 0, 1, 2, 0, 0, 0, 0, 0, 0, 1, 0, 0, 0, 0, 1</t>
  </si>
  <si>
    <t>24 hour emergency electrician murfreesboro</t>
  </si>
  <si>
    <t>electrical installation technician resume summary</t>
  </si>
  <si>
    <t>electrical repairs morphett vale</t>
  </si>
  <si>
    <t>jake electrical services</t>
  </si>
  <si>
    <t>d and d electrical services</t>
  </si>
  <si>
    <t>0, 0, 0, 1, 1, 0, 0, 0, 0, 0, 0, 0, 0, 1, 0, 1, 0, 1, 0, 0, 0, 0, 0, 1</t>
  </si>
  <si>
    <t>electrical services asheville, nc</t>
  </si>
  <si>
    <t>electrical communication services christchurch</t>
  </si>
  <si>
    <t>residential electrical contractor davis county</t>
  </si>
  <si>
    <t>auto electrician courses cape town</t>
  </si>
  <si>
    <t>electrical instrumentation services</t>
  </si>
  <si>
    <t>0, 0, 0, 1, 0, 1, 1, 0, 0, 1, 0, 0, 0, 0, 0, 0, 0, 1, 0, 0, 0, 0, 0, 1</t>
  </si>
  <si>
    <t>electrical installation courses near me</t>
  </si>
  <si>
    <t>1, 0, 0, 0, 0, 0, 0, 1, 0, 0, 1, 0, 1, 0, 1, 1, 0, 0, 1, 0, 4, 0, 0, 2</t>
  </si>
  <si>
    <t>mes electrical services</t>
  </si>
  <si>
    <t>0, 1, 0, 0, 0, 2, 4, 0, 1, 0, 0, 0, 0, 0, 0, 0, 0, 0, 0, 0, 0, 1, 0, 1</t>
  </si>
  <si>
    <t>mobile auto electrical services cape town</t>
  </si>
  <si>
    <t>0, 0, 0, 0, 6, 0, 4, 0, 0, 0, 0, 0, 0, 0, 0, 0, 0, 0, 0, 0, 0, 0, 0, 1</t>
  </si>
  <si>
    <t>emergency electrician glossop</t>
  </si>
  <si>
    <t>emergency electrician des moines</t>
  </si>
  <si>
    <t>0, 0, 0, 1, 0, 0, 2, 0, 1, 0, 1, 0, 0, 0, 0, 0, 0, 0, 0, 0, 0, 0, 0, 1</t>
  </si>
  <si>
    <t>emergency electrician berwick</t>
  </si>
  <si>
    <t>electrical services baton rouge</t>
  </si>
  <si>
    <t>electrical contractor peterborough</t>
  </si>
  <si>
    <t>0, 0, 0, 0, 0, 0, 1, 4, 0, 0, 2, 0, 0, 0, 0, 0, 0, 0, 0, 0, 0, 0, 0, 1</t>
  </si>
  <si>
    <t>vancouver electrical contractor</t>
  </si>
  <si>
    <t>0, 0, 0, 0, 1, 1, 0, 0, 0, 0, 1, 1, 0, 0, 0, 0, 0, 0, 0, 0, 0, 0, 0, 1</t>
  </si>
  <si>
    <t>city &amp; guilds electrical installation</t>
  </si>
  <si>
    <t>ma electrical services</t>
  </si>
  <si>
    <t>building electrical installation</t>
  </si>
  <si>
    <t>9, 4, 1, 4, 7, 5, 3, 4, 5, 1, 1, 3, 3, 1, 5, 5, 3, 4, 2, 1, 2, 0, 0, 2</t>
  </si>
  <si>
    <t>emergency electrician 24 hr</t>
  </si>
  <si>
    <t>1, 2, 1, 5, 1, 2, 1, 3, 4, 7, 13, 8, 0, 0, 0, 0, 0, 0, 0, 0, 0, 0, 0, 1</t>
  </si>
  <si>
    <t>electrical installation skills</t>
  </si>
  <si>
    <t>0, 0, 0, 1, 0, 0, 0, 3, 0, 0, 0, 0, 0, 0, 0, 1, 0, 0, 1, 0, 3, 0, 0, 1</t>
  </si>
  <si>
    <t>electrical building services engineer salary</t>
  </si>
  <si>
    <t>electrical services orange</t>
  </si>
  <si>
    <t>pdi electrical services</t>
  </si>
  <si>
    <t>gt electrical services</t>
  </si>
  <si>
    <t>electrical engineering services india</t>
  </si>
  <si>
    <t>electrical services slough</t>
  </si>
  <si>
    <t>electrical services in kraaifontein, south africa</t>
  </si>
  <si>
    <t>0, 0, 0, 0, 0, 0, 0, 0, 0, 0, 0, 0, 0, 0, 2, 3, 2, 0, 0, 0, 0, 0, 0, 1</t>
  </si>
  <si>
    <t>all electrical services</t>
  </si>
  <si>
    <t>0, 1, 5, 2, 2, 2, 7, 0, 2, 3, 1, 0, 0, 0, 1, 1, 0, 0, 0, 0, 1, 1, 0, 1</t>
  </si>
  <si>
    <t>emergency electrician lexington</t>
  </si>
  <si>
    <t>quinn electrical services</t>
  </si>
  <si>
    <t>bespoke electrical services</t>
  </si>
  <si>
    <t>emergency electrician cambridge</t>
  </si>
  <si>
    <t>electrical contractor prahran</t>
  </si>
  <si>
    <t>0, 0, 0, 0, 0, 0, 0, 1, 2, 2, 1, 3, 0, 0, 0, 0, 0, 0, 0, 0, 0, 0, 0, 1</t>
  </si>
  <si>
    <t>first call electrical services</t>
  </si>
  <si>
    <t>global lighting electrical services</t>
  </si>
  <si>
    <t>electrical panel repairs near me</t>
  </si>
  <si>
    <t>0, 0, 0, 0, 0, 0, 0, 1, 0, 0, 0, 0, 0, 0, 0, 0, 0, 0, 0, 1, 0, 0, 0, 1</t>
  </si>
  <si>
    <t>charlotte nc electrical contractor</t>
  </si>
  <si>
    <t>0, 0, 0, 1, 1, 0, 1, 0, 0, 0, 0, 0, 0, 0, 0, 0, 0, 0, 0, 0, 0, 0, 0, 1</t>
  </si>
  <si>
    <t>emergency electrical services marrickville</t>
  </si>
  <si>
    <t>electrical contractor northwest arkansas</t>
  </si>
  <si>
    <t>0, 0, 0, 1, 0, 0, 0, 2, 3, 0, 0, 0, 0, 0, 0, 0, 0, 0, 0, 0, 0, 0, 0, 1</t>
  </si>
  <si>
    <t>electrical contractor electrical proposal</t>
  </si>
  <si>
    <t>3, 1, 4, 0, 2, 1, 2, 2, 0, 0, 0, 0, 0, 0, 0, 0, 0, 0, 0, 0, 0, 0, 0, 1</t>
  </si>
  <si>
    <t>custom electrical installation westchester ny</t>
  </si>
  <si>
    <t>electrical installation interview questions</t>
  </si>
  <si>
    <t>a c electrical services</t>
  </si>
  <si>
    <t>electrical installation house wiring</t>
  </si>
  <si>
    <t>1, 2, 0, 0, 1, 1, 1, 2, 2, 5, 0, 1, 1, 6, 2, 3, 1, 0, 0, 1, 1, 2, 1, 2</t>
  </si>
  <si>
    <t>cz electric licensed electrical contractor</t>
  </si>
  <si>
    <t>1, 1, 0, 1, 0, 0, 0, 0, 0, 0, 0, 0, 0, 0, 0, 0, 0, 0, 0, 0, 0, 0, 0, 1</t>
  </si>
  <si>
    <t>auto electrical repairs service tullamarine</t>
  </si>
  <si>
    <t>residential and commercial electrical services</t>
  </si>
  <si>
    <t>1, 3, 2, 2, 0, 0, 0, 0, 1, 1, 0, 0, 1, 0, 0, 0, 0, 0, 0, 0, 0, 0, 0, 1</t>
  </si>
  <si>
    <t>emergency electrician ealing</t>
  </si>
  <si>
    <t>emergency electrician bideford</t>
  </si>
  <si>
    <t>electrical installation report eastbourne</t>
  </si>
  <si>
    <t>electrical services business card</t>
  </si>
  <si>
    <t>1, 0, 0, 7, 0, 0, 0, 0, 0, 3, 0, 0, 1, 0, 1, 0, 0, 0, 0, 0, 1, 1, 0, 2</t>
  </si>
  <si>
    <t>electrical services clifton park ny</t>
  </si>
  <si>
    <t>household electrical services</t>
  </si>
  <si>
    <t>0, 0, 0, 0, 0, 0, 0, 0, 0, 0, 0, 0, 0, 1, 0, 1, 0, 0, 0, 0, 2, 0, 0, 1</t>
  </si>
  <si>
    <t>prestige electrical services</t>
  </si>
  <si>
    <t>electrical contractor license bc</t>
  </si>
  <si>
    <t>electrical contractor grand rapids mi</t>
  </si>
  <si>
    <t>electrical contractor carrum downs</t>
  </si>
  <si>
    <t>0, 0, 0, 0, 0, 0, 1, 1, 1, 1, 3, 1, 0, 0, 0, 0, 0, 0, 0, 0, 0, 0, 0, 1</t>
  </si>
  <si>
    <t>commercial electrical services north london</t>
  </si>
  <si>
    <t>ajs electrical services</t>
  </si>
  <si>
    <t>1, 0, 0, 0, 0, 2, 0, 2, 0, 1, 1, 0, 0, 0, 0, 0, 0, 0, 0, 0, 0, 0, 0, 1</t>
  </si>
  <si>
    <t>affordable electrical services in bow</t>
  </si>
  <si>
    <t>0, 0, 0, 0, 0, 0, 0, 0, 0, 0, 0, 0, 0, 0, 0, 0, 0, 0, 1, 0, 1, 2, 2, 1</t>
  </si>
  <si>
    <t>register as an electrical contractor</t>
  </si>
  <si>
    <t>new electrical panel installation newton</t>
  </si>
  <si>
    <t>electrical services boston ma</t>
  </si>
  <si>
    <t>commercial electrical services hancock county</t>
  </si>
  <si>
    <t>champaign electrical panel installation</t>
  </si>
  <si>
    <t>naples electrical services</t>
  </si>
  <si>
    <t>0, 1, 0, 1, 0, 0, 1, 0, 2, 1, 5, 1, 0, 0, 0, 0, 0, 0, 0, 0, 0, 0, 0, 1</t>
  </si>
  <si>
    <t>emergency electrician singleton</t>
  </si>
  <si>
    <t>0, 0, 0, 0, 2, 0, 1, 1, 0, 1, 0, 0, 0, 0, 0, 0, 0, 0, 0, 0, 0, 0, 0, 1</t>
  </si>
  <si>
    <t>rush electrical services</t>
  </si>
  <si>
    <t>0, 0, 1, 0, 0, 0, 0, 0, 0, 0, 0, 0, 0, 0, 0, 1, 0, 0, 0, 2, 0, 0, 0, 1</t>
  </si>
  <si>
    <t>electrical contractor time saving</t>
  </si>
  <si>
    <t>electrical contractor in bristol</t>
  </si>
  <si>
    <t>electrical contractor power electrical logo</t>
  </si>
  <si>
    <t>electrical panel installation cherryville, nc</t>
  </si>
  <si>
    <t>electrical installation guide 2021 pdf</t>
  </si>
  <si>
    <t>awesome electrical services</t>
  </si>
  <si>
    <t>0, 0, 0, 0, 0, 0, 0, 2, 1, 1, 0, 1, 1, 0, 2, 2, 0, 3, 1, 0, 0, 0, 0, 1</t>
  </si>
  <si>
    <t>company profile format for electrical contractor</t>
  </si>
  <si>
    <t>bmw electrical services</t>
  </si>
  <si>
    <t>0, 0, 0, 0, 0, 0, 1, 0, 0, 0, 0, 0, 1, 0, 0, 0, 1, 0, 0, 0, 0, 0, 1, 1</t>
  </si>
  <si>
    <t>north attleborough electrical services</t>
  </si>
  <si>
    <t>forest electrical services</t>
  </si>
  <si>
    <t>electrical installation drawing</t>
  </si>
  <si>
    <t>2, 0, 2, 0, 0, 0, 1, 0, 0, 2, 0, 1, 0, 1, 2, 1, 0, 0, 0, 1, 0, 0, 0, 1</t>
  </si>
  <si>
    <t>define electrical contractor</t>
  </si>
  <si>
    <t>electrical repairs houston tx</t>
  </si>
  <si>
    <t>electrical installation certificate report</t>
  </si>
  <si>
    <t>1, 0, 0, 0, 2, 0, 1, 0, 0, 0, 0, 1, 0, 1, 0, 0, 0, 0, 0, 0, 0, 0, 0, 1</t>
  </si>
  <si>
    <t>bedford electrical services</t>
  </si>
  <si>
    <t>electrical contractor leads</t>
  </si>
  <si>
    <t>2, 1, 1, 1, 2, 0, 3, 2, 0, 2, 2, 5, 0, 0, 0, 2, 0, 0, 0, 1, 0, 0, 0, 1</t>
  </si>
  <si>
    <t>electrical contractor pasadena texas</t>
  </si>
  <si>
    <t>matthews electrical services</t>
  </si>
  <si>
    <t>emergency call out rate electrician</t>
  </si>
  <si>
    <t>2, 1, 1, 0, 0, 1, 0, 0, 0, 0, 0, 4, 1, 0, 1, 0, 0, 0, 0, 0, 0, 0, 0, 1</t>
  </si>
  <si>
    <t>residential electrical services bakersfield</t>
  </si>
  <si>
    <t>registration as an electrical contractor</t>
  </si>
  <si>
    <t>electrical services in australia</t>
  </si>
  <si>
    <t>1, 0, 0, 0, 0, 0, 0, 0, 2, 0, 0, 1, 0, 0, 0, 0, 0, 0, 0, 0, 0, 0, 0, 1</t>
  </si>
  <si>
    <t>north electrical services</t>
  </si>
  <si>
    <t>electrical contractor tortilla flat</t>
  </si>
  <si>
    <t>emergency electrician bayside</t>
  </si>
  <si>
    <t>1, 0, 0, 1, 1, 0, 0, 1, 0, 0, 2, 0, 0, 0, 0, 0, 0, 0, 0, 0, 0, 0, 0, 1</t>
  </si>
  <si>
    <t>emergency electrician st louis</t>
  </si>
  <si>
    <t>electrical services minneapolis</t>
  </si>
  <si>
    <t>0, 2, 0, 0, 1, 0, 0, 1, 0, 0, 0, 0, 0, 0, 0, 0, 0, 0, 0, 0, 0, 0, 0, 1</t>
  </si>
  <si>
    <t>emergency electrician murfreesboro</t>
  </si>
  <si>
    <t>electrical services douglas county</t>
  </si>
  <si>
    <t>auto electrician maitland cape town</t>
  </si>
  <si>
    <t>specialized electrical installation codes</t>
  </si>
  <si>
    <t>0, 0, 0, 0, 0, 0, 0, 1, 0, 0, 0, 0, 0, 0, 0, 0, 0, 0, 0, 0, 4, 0, 0, 1</t>
  </si>
  <si>
    <t>barlow electrical services ltd.</t>
  </si>
  <si>
    <t>jacksonville electrical contractor</t>
  </si>
  <si>
    <t>0, 0, 0, 1, 0, 1, 0, 0, 1, 2, 0, 0, 0, 0, 0, 0, 0, 0, 0, 0, 0, 0, 0, 1</t>
  </si>
  <si>
    <t>electrical repairs philadelphia</t>
  </si>
  <si>
    <t>powell electrical services</t>
  </si>
  <si>
    <t>0, 0, 0, 0, 0, 0, 0, 1, 0, 1, 0, 0, 0, 0, 0, 0, 0, 0, 0, 0, 1, 0, 0, 1</t>
  </si>
  <si>
    <t>portland oregon electrical contractor</t>
  </si>
  <si>
    <t>electrical distributor services</t>
  </si>
  <si>
    <t>industrial electrical contracting services</t>
  </si>
  <si>
    <t>0, 1, 1, 1, 0, 3, 0, 2, 1, 3, 1, 1, 0, 0, 0, 0, 0, 0, 0, 0, 0, 0, 0, 1</t>
  </si>
  <si>
    <t>electrical transformer installation</t>
  </si>
  <si>
    <t>0, 1, 0, 1, 1, 0, 1, 3, 0, 1, 0, 0, 0, 5, 0, 0, 2, 2, 4, 2, 1, 0, 2, 2</t>
  </si>
  <si>
    <t>houston electrical services</t>
  </si>
  <si>
    <t>1, 1, 3, 1, 2, 0, 2, 1, 0, 1, 3, 0, 1, 0, 0, 0, 3, 0, 0, 0, 0, 0, 0, 1</t>
  </si>
  <si>
    <t>sans electrical installation regulations</t>
  </si>
  <si>
    <t>1, 0, 1, 0, 1, 3, 1, 1, 0, 1, 0, 0, 5, 4, 4, 2, 1, 1, 1, 2, 1, 2, 2, 2</t>
  </si>
  <si>
    <t>2, 2, 2, 2, 2, 2, 2, 2, 2, 2, 2, 2</t>
  </si>
  <si>
    <t>Certification; Technical reference; Technology</t>
  </si>
  <si>
    <t>electrical contractor company greenville sc</t>
  </si>
  <si>
    <t>electrical repairs coventry</t>
  </si>
  <si>
    <t>emergency electrician 24 7</t>
  </si>
  <si>
    <t>4, 1, 3, 5, 2, 4, 4, 1, 2, 4, 9, 13, 0, 2, 0, 0, 0, 0, 0, 0, 2, 0, 3, 1</t>
  </si>
  <si>
    <t>gold coast industrial electrical services</t>
  </si>
  <si>
    <t>augusta electrical services</t>
  </si>
  <si>
    <t>industrial electrical services amesbury ma</t>
  </si>
  <si>
    <t>0, 0, 0, 0, 0, 0, 0, 0, 0, 0, 0, 0, 0, 0, 0, 0, 0, 0, 0, 0, 1, 3, 1, 3</t>
  </si>
  <si>
    <t>electrical installation system in building</t>
  </si>
  <si>
    <t>electrical contractor dispatch software</t>
  </si>
  <si>
    <t>0, 0, 0, 0, 1, 0, 1, 0, 0, 0, 0, 0, 0, 0, 0, 0, 0, 1, 0, 0, 0, 0, 0, 1</t>
  </si>
  <si>
    <t>electrical contractor industrial</t>
  </si>
  <si>
    <t>0, 0, 0, 0, 1, 1, 0, 0, 0, 0, 1, 1, 0, 0, 0, 0, 0, 0, 0, 0, 1, 0, 0, 1</t>
  </si>
  <si>
    <t>electrical services east york</t>
  </si>
  <si>
    <t>0, 0, 2, 1, 1, 0, 2, 0, 2, 0, 0, 1, 0, 0, 0, 0, 0, 0, 0, 0, 0, 0, 0, 1</t>
  </si>
  <si>
    <t>fort lauderdale electrical services</t>
  </si>
  <si>
    <t>electrical services in south tampa</t>
  </si>
  <si>
    <t>ammonite electrical services</t>
  </si>
  <si>
    <t>bc electrical services</t>
  </si>
  <si>
    <t>southfield auto electrical services cape town</t>
  </si>
  <si>
    <t>9, 16, 9, 8, 1, 2, 0, 0, 0, 0, 0, 0, 0, 0, 0, 0, 0, 0, 0, 0, 0, 0, 0, 1</t>
  </si>
  <si>
    <t>electrical services images</t>
  </si>
  <si>
    <t>2, 3, 7, 4, 2, 8, 4, 4, 3, 4, 3, 7, 3, 4, 1, 3, 3, 1, 2, 0, 1, 2, 0, 2</t>
  </si>
  <si>
    <t>emergency electrician petersham</t>
  </si>
  <si>
    <t>electrical installation course units</t>
  </si>
  <si>
    <t>lexington emergency electrician</t>
  </si>
  <si>
    <t>residential electrical services arlington</t>
  </si>
  <si>
    <t>hertel electrical services</t>
  </si>
  <si>
    <t>electrical repairs in huntsville alabama</t>
  </si>
  <si>
    <t>residential electrical contractor orlando</t>
  </si>
  <si>
    <t>1, 0, 0, 0, 0, 0, 0, 0, 1, 2, 0, 0, 0, 0, 0, 0, 1, 0, 0, 0, 0, 0, 0, 1</t>
  </si>
  <si>
    <t>emergency wiring electrician</t>
  </si>
  <si>
    <t>emergency electrician joplin</t>
  </si>
  <si>
    <t>0, 0, 0, 1, 0, 0, 0, 0, 3, 0, 1, 0, 0, 0, 0, 0, 0, 0, 0, 0, 0, 0, 0, 1</t>
  </si>
  <si>
    <t>emergency electrician wayne county</t>
  </si>
  <si>
    <t>registration for electrical contractor</t>
  </si>
  <si>
    <t>0, 1, 0, 0, 1, 0, 0, 0, 0, 0, 0, 0, 0, 1, 0, 0, 0, 0, 0, 0, 0, 0, 0, 1</t>
  </si>
  <si>
    <t>electrical contractor pittsburgh pa</t>
  </si>
  <si>
    <t>electrical services in durban, kwazulu-natal</t>
  </si>
  <si>
    <t>0, 0, 0, 0, 0, 0, 0, 0, 0, 0, 0, 0, 0, 0, 0, 2, 3, 6, 0, 0, 0, 0, 0, 1</t>
  </si>
  <si>
    <t>electrical services espanola</t>
  </si>
  <si>
    <t>0, 0, 0, 1, 0, 0, 1, 2, 1, 0, 1, 0, 0, 0, 0, 0, 0, 0, 0, 0, 0, 0, 0, 1</t>
  </si>
  <si>
    <t>electrical contractor services mesa</t>
  </si>
  <si>
    <t>electrical installation condition report</t>
  </si>
  <si>
    <t>5, 3, 10, 7, 5, 6, 3, 7, 6, 8, 13, 5, 3, 4, 3, 1, 7, 5, 5, 7, 2, 1, 3, 3</t>
  </si>
  <si>
    <t>emergency electrician mandurah</t>
  </si>
  <si>
    <t>arlington electrical contractor</t>
  </si>
  <si>
    <t>j electrical services</t>
  </si>
  <si>
    <t>types of electrical services</t>
  </si>
  <si>
    <t>2, 1, 0, 1, 1, 2, 1, 4, 3, 3, 1, 2, 1, 0, 0, 1, 1, 2, 3, 0, 3, 1, 0, 1</t>
  </si>
  <si>
    <t>warrington electrical services</t>
  </si>
  <si>
    <t>emergency electrician floreat</t>
  </si>
  <si>
    <t>0, 0, 0, 1, 0, 1, 1, 0, 0, 5, 0, 0, 0, 0, 0, 0, 0, 0, 0, 0, 0, 0, 0, 1</t>
  </si>
  <si>
    <t>electrical installation, electrician</t>
  </si>
  <si>
    <t>0, 0, 0, 0, 0, 0, 0, 0, 0, 0, 0, 0, 0, 0, 0, 0, 3, 1, 1, 0, 0, 0, 0, 1</t>
  </si>
  <si>
    <t>emergency electrician nj</t>
  </si>
  <si>
    <t>equipment in electrical installation</t>
  </si>
  <si>
    <t>b electrical services</t>
  </si>
  <si>
    <t>0, 0, 0, 0, 2, 0, 0, 3, 0, 1, 1, 0, 0, 0, 0, 0, 0, 0, 0, 0, 0, 0, 0, 1</t>
  </si>
  <si>
    <t>commercial electrical repairs</t>
  </si>
  <si>
    <t>0, 4, 5, 1, 2, 4, 6, 3, 3, 3, 3, 0, 1, 0, 0, 0, 1, 2, 0, 1, 2, 0, 0, 2</t>
  </si>
  <si>
    <t>ems electrical mechanical services</t>
  </si>
  <si>
    <t>av utility &amp; electrical services</t>
  </si>
  <si>
    <t>electrical repairs raleigh</t>
  </si>
  <si>
    <t>british gas electrical services</t>
  </si>
  <si>
    <t>electrical contractor company middletown ct</t>
  </si>
  <si>
    <t>commercial electrical services cook county</t>
  </si>
  <si>
    <t>emergency electrician alpharetta</t>
  </si>
  <si>
    <t>0, 1, 0, 0, 1, 0, 0, 0, 0, 0, 0, 1, 0, 0, 0, 0, 0, 0, 0, 0, 0, 0, 0, 1</t>
  </si>
  <si>
    <t>beaufort electrical services</t>
  </si>
  <si>
    <t>electrical installation technician</t>
  </si>
  <si>
    <t>0, 1, 1, 0, 2, 0, 0, 2, 3, 1, 0, 0, 0, 0, 0, 1, 0, 0, 0, 2, 1, 0, 2, 2</t>
  </si>
  <si>
    <t>electrical contractor aston</t>
  </si>
  <si>
    <t>business plan for electrical services pdf</t>
  </si>
  <si>
    <t>caravan site electrical installation</t>
  </si>
  <si>
    <t>electrical services ottawa</t>
  </si>
  <si>
    <t>electrical installation for dummies</t>
  </si>
  <si>
    <t>southern electrical services</t>
  </si>
  <si>
    <t>0, 0, 0, 0, 0, 1, 0, 1, 0, 0, 0, 1, 2, 1, 1, 0, 1, 0, 0, 0, 1, 0, 0, 1</t>
  </si>
  <si>
    <t>licensed electrical contractor singapore</t>
  </si>
  <si>
    <t>electrician northern suburbs cape town</t>
  </si>
  <si>
    <t>belleview emergency electrician</t>
  </si>
  <si>
    <t>residential electrical services temecula ca</t>
  </si>
  <si>
    <t>0, 0, 0, 0, 0, 0, 1, 3, 1, 1, 0, 2, 0, 0, 0, 0, 0, 0, 0, 0, 0, 0, 0, 1</t>
  </si>
  <si>
    <t>electrical services knoxville tn</t>
  </si>
  <si>
    <t>0, 2, 1, 0, 1, 1, 1, 0, 1, 0, 1, 0, 0, 0, 0, 0, 0, 0, 0, 0, 0, 0, 0, 1</t>
  </si>
  <si>
    <t>professional emergency electrician in st albans</t>
  </si>
  <si>
    <t>electrical contractor in mumbai</t>
  </si>
  <si>
    <t>electrical submeter installation</t>
  </si>
  <si>
    <t>electrical services tavistock</t>
  </si>
  <si>
    <t>jaguar electrical services</t>
  </si>
  <si>
    <t>electrical installation and wiring</t>
  </si>
  <si>
    <t>0, 14, 3, 0, 0, 1, 2, 0, 3, 1, 1, 1, 3, 1, 3, 1, 1, 3, 0, 1, 0, 0, 0, 1</t>
  </si>
  <si>
    <t>lowell electrical panel installation</t>
  </si>
  <si>
    <t>electrical panel installation poplarville</t>
  </si>
  <si>
    <t>pacific electrical services</t>
  </si>
  <si>
    <t>electrical troubleshooting services</t>
  </si>
  <si>
    <t>1, 0, 0, 2, 0, 0, 0, 1, 2, 3, 2, 2, 0, 1, 1, 0, 0, 0, 0, 0, 1, 1, 2, 1</t>
  </si>
  <si>
    <t>bellingham hot tub electrical installation</t>
  </si>
  <si>
    <t>j b electrical services</t>
  </si>
  <si>
    <t>demand for electrical services in your area</t>
  </si>
  <si>
    <t>affordable home electrical outlet installation</t>
  </si>
  <si>
    <t>heating and electrical services</t>
  </si>
  <si>
    <t>0, 0, 0, 0, 0, 0, 0, 0, 3, 0, 0, 2, 0, 1, 0, 0, 0, 0, 0, 0, 0, 0, 0, 1</t>
  </si>
  <si>
    <t>essential electrical services</t>
  </si>
  <si>
    <t>0, 0, 0, 0, 0, 0, 1, 0, 0, 0, 0, 0, 0, 0, 1, 0, 0, 0, 1, 2, 1, 0, 0, 2</t>
  </si>
  <si>
    <t>electrical services in mosman</t>
  </si>
  <si>
    <t>electrical services hudson ma</t>
  </si>
  <si>
    <t>residential electrical repairs kingfisher</t>
  </si>
  <si>
    <t>1, 0, 0, 0, 0, 0, 0, 1, 0, 1, 0, 0, 0, 0, 0, 0, 0, 0, 0, 0, 0, 0, 0, 1</t>
  </si>
  <si>
    <t>commercial electrical services fuquay-varina, nc</t>
  </si>
  <si>
    <t>j&amp;j electrical services</t>
  </si>
  <si>
    <t>24 hour electrician emergency</t>
  </si>
  <si>
    <t>1, 0, 1, 1, 2, 2, 1, 1, 0, 0, 1, 0, 0, 0, 0, 0, 0, 1, 1, 0, 0, 0, 0, 1</t>
  </si>
  <si>
    <t>electrical contractor in des moines ia</t>
  </si>
  <si>
    <t>0, 0, 0, 0, 1, 1, 3, 0, 0, 0, 0, 0, 0, 0, 0, 0, 0, 0, 0, 0, 0, 0, 0, 1</t>
  </si>
  <si>
    <t>emergency electrician east kilbride</t>
  </si>
  <si>
    <t>chetts electrical services</t>
  </si>
  <si>
    <t>electrical installation cecil county</t>
  </si>
  <si>
    <t>emergency electrician paddington</t>
  </si>
  <si>
    <t>electrical services sebastopol ca</t>
  </si>
  <si>
    <t>certification for electrical installation</t>
  </si>
  <si>
    <t>1, 0, 0, 0, 0, 0, 0, 0, 1, 0, 0, 0, 0, 0, 0, 2, 0, 0, 0, 0, 0, 0, 0, 1</t>
  </si>
  <si>
    <t>free electrical installation courses</t>
  </si>
  <si>
    <t>electrical design services atlanta ga</t>
  </si>
  <si>
    <t>walter electrical services</t>
  </si>
  <si>
    <t>electrical installation apprenticeship london</t>
  </si>
  <si>
    <t>electrical and solar installation technology pdf</t>
  </si>
  <si>
    <t>emergency electrician queens park</t>
  </si>
  <si>
    <t>contractor electrical supply</t>
  </si>
  <si>
    <t>0, 0, 1, 0, 2, 1, 1, 3, 0, 3, 0, 0, 0, 0, 0, 0, 0, 2, 0, 0, 0, 0, 0, 1</t>
  </si>
  <si>
    <t>electrical services in penrith</t>
  </si>
  <si>
    <t>emergency electrician coolangatta</t>
  </si>
  <si>
    <t>0, 0, 0, 0, 0, 1, 1, 0, 2, 0, 0, 0, 0, 0, 0, 0, 0, 0, 0, 0, 0, 0, 0, 1</t>
  </si>
  <si>
    <t>gemini electrical services</t>
  </si>
  <si>
    <t>0, 0, 0, 0, 0, 0, 0, 0, 0, 0, 0, 1, 1, 1, 3, 0, 0, 0, 0, 0, 0, 2, 0, 2</t>
  </si>
  <si>
    <t>electrical services newtown</t>
  </si>
  <si>
    <t>am2pm electrical services</t>
  </si>
  <si>
    <t>24/7 emergency electrician near me</t>
  </si>
  <si>
    <t>3, 1, 1, 4, 5, 6, 1, 2, 4, 2, 2, 0, 0, 0, 0, 0, 1, 2, 0, 0, 1, 0, 0, 1</t>
  </si>
  <si>
    <t>emergency electrical repairs carrolton tx</t>
  </si>
  <si>
    <t>electrical contractor ipswich</t>
  </si>
  <si>
    <t>emergency electrician balwyn</t>
  </si>
  <si>
    <t>0, 0, 1, 1, 0, 0, 1, 0, 0, 2, 0, 1, 0, 0, 0, 0, 0, 0, 0, 0, 0, 0, 0, 1</t>
  </si>
  <si>
    <t>electrical services kelowna</t>
  </si>
  <si>
    <t>electrical installation guidelines</t>
  </si>
  <si>
    <t>0, 1, 0, 1, 0, 0, 6, 0, 0, 0, 0, 1, 2, 0, 0, 1, 0, 0, 0, 0, 0, 0, 0, 1</t>
  </si>
  <si>
    <t>best electrical cable testing services</t>
  </si>
  <si>
    <t>electrical services kalamazoo mi</t>
  </si>
  <si>
    <t>electrical services round rock</t>
  </si>
  <si>
    <t>emergency electrician north london</t>
  </si>
  <si>
    <t>0, 0, 0, 0, 1, 0, 0, 1, 1, 3, 2, 2, 0, 0, 0, 0, 0, 0, 0, 0, 0, 0, 0, 1</t>
  </si>
  <si>
    <t>electrical equipment services launceston</t>
  </si>
  <si>
    <t>sw electrical services</t>
  </si>
  <si>
    <t>0, 0, 0, 0, 0, 0, 0, 2, 0, 1, 0, 0, 0, 0, 0, 0, 0, 0, 0, 0, 2, 0, 0, 2</t>
  </si>
  <si>
    <t>emergency electrician twickenham</t>
  </si>
  <si>
    <t>0, 1, 0, 0, 0, 0, 1, 2, 1, 0, 1, 0, 0, 0, 0, 0, 0, 0, 0, 0, 0, 0, 0, 1</t>
  </si>
  <si>
    <t>electrical installation codes</t>
  </si>
  <si>
    <t>0, 0, 0, 0, 0, 0, 0, 0, 0, 0, 0, 0, 0, 0, 0, 0, 0, 1, 0, 3, 0, 0, 0, 1</t>
  </si>
  <si>
    <t>electrical repairs howick</t>
  </si>
  <si>
    <t>electrical installation aledo</t>
  </si>
  <si>
    <t>plant electrical contractor</t>
  </si>
  <si>
    <t>electrical installation course fees</t>
  </si>
  <si>
    <t>0, 0, 0, 0, 0, 0, 0, 0, 1, 0, 0, 2, 4, 1, 0, 0, 0, 1, 1, 1, 1, 0, 0, 1</t>
  </si>
  <si>
    <t>richmond electrical services</t>
  </si>
  <si>
    <t>electrical services colorado</t>
  </si>
  <si>
    <t>best electrical contractor software</t>
  </si>
  <si>
    <t>1, 0, 1, 0, 0, 1, 0, 4, 1, 0, 4, 0, 0, 0, 0, 0, 0, 0, 0, 0, 0, 0, 0, 1</t>
  </si>
  <si>
    <t>electrical appliance repairs midrand</t>
  </si>
  <si>
    <t>electrical contractor washington</t>
  </si>
  <si>
    <t>electrical services mississippi</t>
  </si>
  <si>
    <t>electrical repairs hackham</t>
  </si>
  <si>
    <t>wired electrical services</t>
  </si>
  <si>
    <t>0, 0, 0, 0, 0, 0, 0, 0, 1, 0, 0, 0, 0, 0, 0, 3, 0, 0, 0, 0, 1, 0, 0, 1</t>
  </si>
  <si>
    <t>do-it-yourself electrical repairs</t>
  </si>
  <si>
    <t>heath electrical services</t>
  </si>
  <si>
    <t>swimming pool electrical services gastonia, nc</t>
  </si>
  <si>
    <t>unlimited electrical contractor license</t>
  </si>
  <si>
    <t>blacktown electrical services</t>
  </si>
  <si>
    <t>electrical installation condition report example</t>
  </si>
  <si>
    <t>shop fit out electrical services</t>
  </si>
  <si>
    <t>emergency electrician plymouth</t>
  </si>
  <si>
    <t>electrical repairs tulsa</t>
  </si>
  <si>
    <t>electrical repairs botany</t>
  </si>
  <si>
    <t>0, 0, 0, 0, 0, 0, 2, 0, 1, 0, 1, 0, 0, 0, 0, 0, 0, 0, 0, 0, 0, 0, 0, 1</t>
  </si>
  <si>
    <t>electrical installation winston salem</t>
  </si>
  <si>
    <t>electrical services chesterfield</t>
  </si>
  <si>
    <t>electrical emergency repairs</t>
  </si>
  <si>
    <t>0, 0, 0, 0, 1, 3, 0, 0, 0, 1, 2, 0, 0, 0, 0, 0, 0, 0, 0, 0, 0, 0, 0, 1</t>
  </si>
  <si>
    <t>industrial electrical contractor elgin il</t>
  </si>
  <si>
    <t>1, 0, 0, 0, 1, 0, 0, 0, 0, 0, 1, 0, 0, 0, 0, 0, 0, 0, 0, 0, 0, 0, 0, 1</t>
  </si>
  <si>
    <t>nvq level 3 in electrical installation</t>
  </si>
  <si>
    <t>electrical contractor thunder bay</t>
  </si>
  <si>
    <t>electrical installation gloucestershire</t>
  </si>
  <si>
    <t>electrical contractor electrical letterhead</t>
  </si>
  <si>
    <t>electrical installation tallahassee</t>
  </si>
  <si>
    <t>electrical services in krugersdorp</t>
  </si>
  <si>
    <t>electrical contractor middlesbrough</t>
  </si>
  <si>
    <t>extra electrical outlets services in pembroke</t>
  </si>
  <si>
    <t>0, 0, 0, 0, 0, 0, 0, 0, 0, 0, 0, 1, 0, 0, 0, 0, 0, 1, 0, 1, 3, 3, 0, 3</t>
  </si>
  <si>
    <t>emergency electrician burwood heights</t>
  </si>
  <si>
    <t>oak hall electrical services</t>
  </si>
  <si>
    <t>electrical government contractor</t>
  </si>
  <si>
    <t>electrical services st. john's</t>
  </si>
  <si>
    <t>electrical contractor jacksonville</t>
  </si>
  <si>
    <t>0, 0, 1, 1, 1, 0, 1, 1, 2, 0, 1, 0, 0, 0, 0, 0, 0, 0, 0, 0, 0, 0, 0, 1</t>
  </si>
  <si>
    <t>commercial electrical services in chichester</t>
  </si>
  <si>
    <t>0, 0, 0, 0, 0, 0, 0, 0, 1, 1, 0, 1, 0, 0, 0, 0, 0, 1, 0, 0, 0, 0, 0, 1</t>
  </si>
  <si>
    <t>emergency electrical repairs farmers branch tx</t>
  </si>
  <si>
    <t>kings-park emergency electrician</t>
  </si>
  <si>
    <t>0, 0, 0, 1, 0, 0, 0, 1, 2, 1, 0, 0, 0, 0, 0, 0, 0, 0, 0, 0, 0, 0, 0, 1</t>
  </si>
  <si>
    <t>network electrical services</t>
  </si>
  <si>
    <t>midlothian electrical services</t>
  </si>
  <si>
    <t>car electrical installation near me</t>
  </si>
  <si>
    <t>electrical contractor halifax</t>
  </si>
  <si>
    <t>0, 0, 0, 1, 0, 0, 0, 1, 0, 1, 1, 0, 0, 0, 0, 0, 0, 0, 0, 0, 0, 0, 0, 1</t>
  </si>
  <si>
    <t>s&amp;d electrical services</t>
  </si>
  <si>
    <t>specialist electrical services</t>
  </si>
  <si>
    <t>0, 0, 0, 0, 1, 0, 0, 0, 1, 1, 0, 0, 0, 0, 0, 0, 0, 0, 0, 1, 0, 0, 1, 2</t>
  </si>
  <si>
    <t>brite electrical services</t>
  </si>
  <si>
    <t>0, 0, 0, 0, 0, 0, 0, 0, 0, 0, 1, 0, 0, 0, 0, 0, 0, 0, 2, 0, 0, 0, 0, 1</t>
  </si>
  <si>
    <t>electrical contractor marketing company</t>
  </si>
  <si>
    <t>titus electrical services</t>
  </si>
  <si>
    <t>5, 2, 4, 1, 0, 0, 0, 1, 3, 1, 0, 0, 1, 0, 0, 0, 1, 1, 1, 0, 1, 0, 0, 1</t>
  </si>
  <si>
    <t>electrical wiring services lancaster pa</t>
  </si>
  <si>
    <t>0, 0, 0, 0, 0, 0, 0, 1, 0, 1, 1, 1, 0, 0, 0, 0, 0, 0, 0, 0, 0, 0, 0, 1</t>
  </si>
  <si>
    <t>electrical outlet installation salem</t>
  </si>
  <si>
    <t>emergency electrician lismore</t>
  </si>
  <si>
    <t>0, 0, 0, 0, 0, 0, 1, 0, 0, 0, 1, 1, 0, 0, 0, 0, 0, 0, 0, 0, 0, 0, 0, 1</t>
  </si>
  <si>
    <t>electrical contractor encino</t>
  </si>
  <si>
    <t>us electrical services</t>
  </si>
  <si>
    <t>0, 0, 1, 0, 0, 0, 1, 1, 0, 1, 0, 1, 0, 0, 0, 0, 0, 0, 0, 0, 0, 0, 0, 1</t>
  </si>
  <si>
    <t>i &amp; j electrical services</t>
  </si>
  <si>
    <t>electrical services in arlington</t>
  </si>
  <si>
    <t>electrical contractor sun valley id</t>
  </si>
  <si>
    <t>new jersey electrical contractor</t>
  </si>
  <si>
    <t>1, 1, 0, 0, 0, 1, 1, 2, 0, 0, 0, 0, 0, 0, 0, 0, 0, 0, 0, 0, 0, 0, 0, 1</t>
  </si>
  <si>
    <t>ohio valley electrical services</t>
  </si>
  <si>
    <t>0, 0, 1, 0, 0, 0, 0, 0, 0, 0, 0, 0, 0, 0, 0, 1, 0, 0, 0, 1, 0, 0, 0, 1</t>
  </si>
  <si>
    <t>electrical protection services</t>
  </si>
  <si>
    <t>extra electrical outlets services in epsom</t>
  </si>
  <si>
    <t>0, 0, 0, 0, 0, 0, 0, 0, 1, 0, 0, 0, 2, 1, 0, 1, 0, 1, 0, 2, 1, 1, 1, 2</t>
  </si>
  <si>
    <t>data center electrical installation</t>
  </si>
  <si>
    <t>0, 0, 0, 0, 1, 0, 2, 0, 2, 0, 1, 0, 0, 0, 0, 0, 0, 0, 0, 1, 0, 0, 0, 1</t>
  </si>
  <si>
    <t>commercial electrical services oak flats</t>
  </si>
  <si>
    <t>commercial electrical services grand prairie tx</t>
  </si>
  <si>
    <t>electrical wiring contractor winter park</t>
  </si>
  <si>
    <t>electrical contractor hourly rate south africa</t>
  </si>
  <si>
    <t>types of earthing in electrical installation</t>
  </si>
  <si>
    <t>0, 0, 0, 1, 0, 0, 0, 0, 0, 0, 0, 0, 0, 0, 0, 0, 2, 1, 0, 2, 0, 1, 0, 1</t>
  </si>
  <si>
    <t>diploma in electrical installation</t>
  </si>
  <si>
    <t>0, 0, 0, 1, 1, 0, 1, 0, 0, 2, 0, 0, 0, 0, 1, 0, 0, 0, 1, 0, 0, 0, 0, 1</t>
  </si>
  <si>
    <t>electrical installation salary</t>
  </si>
  <si>
    <t>5, 2, 6, 4, 3, 11, 11, 8, 3, 6, 5, 0, 1, 0, 3, 1, 2, 3, 3, 0, 1, 0, 0, 1</t>
  </si>
  <si>
    <t>wake forest electrical installation services</t>
  </si>
  <si>
    <t>cm electrical services</t>
  </si>
  <si>
    <t>mechanical and electrical contractor bristol</t>
  </si>
  <si>
    <t>emergency electrician malabar</t>
  </si>
  <si>
    <t>emergency electrician berkhamsted</t>
  </si>
  <si>
    <t>residential electrical contractor stafford</t>
  </si>
  <si>
    <t>commercial electrical services marion county</t>
  </si>
  <si>
    <t>specialised electrical installation codes pdf</t>
  </si>
  <si>
    <t>2, 0, 0, 0, 0, 0, 2, 0, 0, 0, 0, 0, 0, 0, 0, 0, 0, 0, 0, 0, 0, 0, 0, 1</t>
  </si>
  <si>
    <t>electrical contractor newcastle</t>
  </si>
  <si>
    <t>4, 0, 3, 1, 5, 4, 1, 0, 1, 3, 3, 1, 0, 0, 1, 1, 0, 0, 0, 0, 0, 1, 0, 1</t>
  </si>
  <si>
    <t>electrical contractor pricing software</t>
  </si>
  <si>
    <t>amptron electrical services ltd</t>
  </si>
  <si>
    <t>1, 1, 0, 0, 0, 0, 0, 0, 0, 0, 3, 0, 0, 0, 0, 0, 0, 0, 0, 0, 0, 0, 0, 1</t>
  </si>
  <si>
    <t>electrical services adams county</t>
  </si>
  <si>
    <t>electrical repairs fresno</t>
  </si>
  <si>
    <t>0, 1, 1, 0, 3, 4, 1, 5, 1, 1, 1, 0, 0, 0, 0, 0, 0, 0, 0, 0, 0, 0, 0, 1</t>
  </si>
  <si>
    <t>electrical appliance repairs nsw</t>
  </si>
  <si>
    <t>1, 0, 0, 0, 1, 0, 0, 1, 1, 2, 1, 0, 0, 0, 0, 0, 0, 0, 0, 0, 0, 0, 0, 1</t>
  </si>
  <si>
    <t>jdi electrical services</t>
  </si>
  <si>
    <t>0, 0, 0, 0, 0, 0, 0, 0, 0, 3, 0, 0, 0, 0, 0, 0, 0, 0, 1, 0, 0, 0, 0, 1</t>
  </si>
  <si>
    <t>canterbury electrical services</t>
  </si>
  <si>
    <t>0, 0, 0, 0, 0, 2, 0, 0, 0, 0, 0, 0, 1, 0, 0, 0, 0, 0, 0, 0, 0, 0, 0, 1</t>
  </si>
  <si>
    <t>electrical services baltimore</t>
  </si>
  <si>
    <t>zeiss electrical contractor</t>
  </si>
  <si>
    <t>tr electrical services</t>
  </si>
  <si>
    <t>0, 0, 0, 0, 0, 0, 0, 0, 3, 0, 0, 0, 0, 0, 3, 1, 0, 0, 2, 1, 2, 5, 4, 2</t>
  </si>
  <si>
    <t>medium electrical services ltd</t>
  </si>
  <si>
    <t>emergency electrician lincoln county</t>
  </si>
  <si>
    <t>legacy electrical services</t>
  </si>
  <si>
    <t>0, 0, 0, 0, 1, 0, 2, 2, 1, 0, 1, 0, 0, 1, 0, 4, 0, 0, 2, 0, 0, 0, 0, 1</t>
  </si>
  <si>
    <t>reed electrical services</t>
  </si>
  <si>
    <t>0, 0, 0, 0, 0, 0, 0, 0, 0, 0, 0, 0, 0, 1, 0, 0, 0, 0, 1, 3, 0, 2, 0, 1</t>
  </si>
  <si>
    <t>electrical installation for residential building</t>
  </si>
  <si>
    <t>0, 3, 1, 2, 2, 2, 1, 1, 6, 3, 3, 0, 0, 0, 3, 0, 0, 0, 0, 0, 0, 0, 0, 1</t>
  </si>
  <si>
    <t>commercial electrical contractor near me</t>
  </si>
  <si>
    <t>1, 1, 1, 2, 2, 2, 0, 6, 3, 9, 11, 17, 0, 1, 0, 1, 0, 0, 3, 1, 1, 1, 0, 2</t>
  </si>
  <si>
    <t>residential electrical installation waverly ne</t>
  </si>
  <si>
    <t>emergency electrician fairfield</t>
  </si>
  <si>
    <t>0, 0, 0, 0, 0, 0, 0, 0, 0, 0, 1, 0, 0, 0, 1, 0, 0, 0, 0, 0, 0, 0, 0, 1</t>
  </si>
  <si>
    <t>introduction to electrical installation</t>
  </si>
  <si>
    <t>electrical fault repairs kallangur</t>
  </si>
  <si>
    <t>24 hr emergency electrician malvern</t>
  </si>
  <si>
    <t>electrical repair services in springfield</t>
  </si>
  <si>
    <t>kj electrical services</t>
  </si>
  <si>
    <t>0, 2, 0, 0, 0, 1, 1, 0, 0, 0, 0, 0, 0, 0, 0, 0, 2, 2, 0, 0, 0, 0, 0, 1</t>
  </si>
  <si>
    <t>electrical contractor north vancouver</t>
  </si>
  <si>
    <t>proposal letter for electrical installation</t>
  </si>
  <si>
    <t>electrical home repairs</t>
  </si>
  <si>
    <t>0, 1, 1, 1, 1, 2, 0, 0, 0, 0, 1, 2, 0, 0, 0, 0, 0, 0, 1, 0, 0, 0, 0, 1</t>
  </si>
  <si>
    <t>aircraft electrical services</t>
  </si>
  <si>
    <t>electrical contractor king george</t>
  </si>
  <si>
    <t>0, 0, 0, 0, 2, 0, 1, 0, 0, 1, 0, 0, 0, 0, 0, 0, 0, 0, 0, 0, 0, 0, 0, 1</t>
  </si>
  <si>
    <t>emergency electrician claremont</t>
  </si>
  <si>
    <t>0, 0, 0, 0, 0, 0, 1, 1, 0, 5, 2, 0, 0, 0, 0, 1, 1, 0, 0, 2, 0, 0, 0, 1</t>
  </si>
  <si>
    <t>electrical services in randburg, south africa</t>
  </si>
  <si>
    <t>boise electrical services</t>
  </si>
  <si>
    <t>cut out in electrical installation</t>
  </si>
  <si>
    <t>0, 0, 0, 2, 0, 0, 0, 0, 0, 0, 0, 1, 0, 0, 1, 0, 0, 0, 0, 0, 0, 0, 0, 1</t>
  </si>
  <si>
    <t>electrical services mitchell sd</t>
  </si>
  <si>
    <t>electrical services in northern virginia</t>
  </si>
  <si>
    <t>oregon electrical contractor license</t>
  </si>
  <si>
    <t>electrical services mn</t>
  </si>
  <si>
    <t>1, 3, 0, 0, 0, 0, 0, 3, 3, 0, 0, 0, 0, 0, 0, 0, 0, 0, 0, 0, 0, 0, 0, 1</t>
  </si>
  <si>
    <t>emergency electrician riverton</t>
  </si>
  <si>
    <t>0, 0, 0, 0, 1, 1, 0, 0, 1, 0, 1, 0, 0, 0, 0, 0, 0, 0, 0, 0, 0, 0, 0, 1</t>
  </si>
  <si>
    <t>electrical drafting services</t>
  </si>
  <si>
    <t>0, 0, 0, 1, 0, 1, 0, 1, 1, 0, 1, 2, 0, 1, 2, 0, 0, 1, 1, 0, 1, 0, 0, 1</t>
  </si>
  <si>
    <t>optimum electrical services</t>
  </si>
  <si>
    <t>0, 0, 1, 0, 0, 0, 0, 0, 0, 0, 1, 0, 0, 0, 0, 0, 0, 0, 0, 0, 0, 1, 0, 1</t>
  </si>
  <si>
    <t>electrical services for healthcare</t>
  </si>
  <si>
    <t>1, 0, 0, 1, 0, 0, 1, 0, 0, 0, 2, 3, 0, 0, 0, 0, 0, 0, 0, 0, 0, 0, 0, 1</t>
  </si>
  <si>
    <t>electrical contractor wichita falls</t>
  </si>
  <si>
    <t>emergency electrician camellia</t>
  </si>
  <si>
    <t>electrical installation maintenance</t>
  </si>
  <si>
    <t>0, 0, 2, 1, 0, 1, 0, 0, 0, 0, 0, 0, 2, 0, 0, 0, 0, 3, 0, 0, 0, 0, 0, 1</t>
  </si>
  <si>
    <t>industrial electrical service services</t>
  </si>
  <si>
    <t>pool electrical installation louisville ky</t>
  </si>
  <si>
    <t>electrical services durban</t>
  </si>
  <si>
    <t>0, 0, 0, 0, 0, 0, 0, 0, 0, 0, 0, 0, 0, 0, 0, 0, 0, 17, 24, 2, 4, 1, 0, 1</t>
  </si>
  <si>
    <t>mobile auto electrician in epping cape town</t>
  </si>
  <si>
    <t>natchez electrical repairs</t>
  </si>
  <si>
    <t>electrical repairs concord, nc</t>
  </si>
  <si>
    <t>2, 1, 0, 0, 0, 0, 0, 1, 2, 1, 0, 0, 0, 0, 0, 0, 0, 0, 0, 0, 0, 0, 0, 1</t>
  </si>
  <si>
    <t>flash electrical services</t>
  </si>
  <si>
    <t>1, 0, 0, 1, 0, 0, 3, 3, 2, 0, 1, 0, 0, 0, 1, 0, 0, 0, 0, 1, 0, 1, 2, 3</t>
  </si>
  <si>
    <t>maintenance electrician jobs in cape town</t>
  </si>
  <si>
    <t>electrical repair services uk</t>
  </si>
  <si>
    <t>0, 0, 0, 0, 2, 1, 0, 3, 0, 0, 0, 0, 0, 0, 0, 0, 0, 0, 0, 0, 0, 0, 0, 1</t>
  </si>
  <si>
    <t>electrical installation cost calculator</t>
  </si>
  <si>
    <t>1, 2, 1, 2, 3, 1, 0, 3, 1, 3, 4, 1, 2, 3, 0, 1, 0, 0, 1, 2, 0, 0, 0, 1</t>
  </si>
  <si>
    <t>commercial electrical repairs carrollwood</t>
  </si>
  <si>
    <t>electrical services drumheller</t>
  </si>
  <si>
    <t>sph electrical services</t>
  </si>
  <si>
    <t>0, 0, 0, 0, 0, 0, 0, 0, 0, 2, 0, 0, 0, 0, 2, 0, 0, 0, 0, 0, 0, 0, 0, 1</t>
  </si>
  <si>
    <t>electrical panel installation texas</t>
  </si>
  <si>
    <t>emergency electrician merrylands</t>
  </si>
  <si>
    <t>electrical repairs kaufman</t>
  </si>
  <si>
    <t>0, 0, 0, 1, 0, 1, 1, 1, 0, 0, 0, 0, 0, 0, 0, 0, 0, 0, 0, 0, 0, 0, 0, 1</t>
  </si>
  <si>
    <t>local electrical contractor near me</t>
  </si>
  <si>
    <t>0, 0, 0, 0, 0, 1, 0, 0, 3, 2, 1, 0, 0, 0, 0, 0, 0, 0, 1, 0, 0, 1, 0, 2</t>
  </si>
  <si>
    <t>electrical installation drawing symbols</t>
  </si>
  <si>
    <t>0, 0, 0, 0, 1, 0, 0, 0, 0, 0, 0, 1, 0, 1, 0, 0, 0, 0, 0, 0, 2, 0, 0, 1</t>
  </si>
  <si>
    <t>t and j electrical services</t>
  </si>
  <si>
    <t>commercial electrical services university park tx</t>
  </si>
  <si>
    <t>electrical contractor twin falls id</t>
  </si>
  <si>
    <t>work of electrical contractor</t>
  </si>
  <si>
    <t>0, 0, 0, 0, 0, 0, 0, 0, 0, 0, 2, 0, 0, 1, 0, 0, 0, 0, 0, 0, 0, 0, 0, 1</t>
  </si>
  <si>
    <t>ks electrical services</t>
  </si>
  <si>
    <t>t g electrical services</t>
  </si>
  <si>
    <t>residential electrical services coppell tx</t>
  </si>
  <si>
    <t>electrical contractor licence nsw</t>
  </si>
  <si>
    <t>select electrical services</t>
  </si>
  <si>
    <t>0, 0, 0, 2, 2, 0, 0, 2, 0, 0, 1, 0, 0, 0, 0, 0, 0, 0, 0, 0, 0, 0, 0, 1</t>
  </si>
  <si>
    <t>albert park emergency electrician</t>
  </si>
  <si>
    <t>electrical installation fishhawk</t>
  </si>
  <si>
    <t>electrical transformer services</t>
  </si>
  <si>
    <t>2, 0, 0, 0, 0, 0, 0, 0, 0, 0, 0, 0, 0, 1, 0, 0, 0, 0, 0, 0, 0, 0, 0, 3</t>
  </si>
  <si>
    <t>emergency electrician menai</t>
  </si>
  <si>
    <t>0, 0, 0, 0, 0, 0, 0, 0, 2, 1, 0, 0, 0, 0, 0, 0, 0, 0, 0, 0, 0, 0, 0, 1</t>
  </si>
  <si>
    <t>mr emergency electrician</t>
  </si>
  <si>
    <t>24hr emergency electrician near me</t>
  </si>
  <si>
    <t>0, 2, 0, 0, 0, 0, 1, 1, 0, 0, 1, 0, 0, 1, 0, 0, 0, 0, 0, 0, 0, 0, 0, 1</t>
  </si>
  <si>
    <t>electrical equipment repairs</t>
  </si>
  <si>
    <t>0, 0, 0, 2, 0, 0, 0, 0, 0, 0, 0, 0, 2, 0, 0, 2, 0, 2, 1, 0, 1, 0, 0, 1</t>
  </si>
  <si>
    <t>electrical inspection services</t>
  </si>
  <si>
    <t>0, 1, 3, 3, 5, 5, 0, 8, 7, 4, 5, 0, 1, 0, 0, 1, 0, 0, 0, 1, 16, 15, 15, 16</t>
  </si>
  <si>
    <t>emergency electrician grand prairie tx</t>
  </si>
  <si>
    <t>electrical service systems installation inc</t>
  </si>
  <si>
    <t>new electrical panel installation dayton oh</t>
  </si>
  <si>
    <t>handyman electrical services near me</t>
  </si>
  <si>
    <t>0, 0, 0, 0, 0, 0, 0, 0, 0, 0, 0, 0, 0, 0, 1, 0, 0, 1, 2, 1, 1, 1, 0, 2</t>
  </si>
  <si>
    <t>knipex electrical installation pliers</t>
  </si>
  <si>
    <t>3, 3, 0, 2, 3, 3, 1, 2, 2, 2, 3, 0, 1, 0, 0, 0, 0, 0, 0, 1, 0, 0, 1, 1</t>
  </si>
  <si>
    <t>multifunction electrical installation tester</t>
  </si>
  <si>
    <t>0, 0, 1, 0, 0, 0, 1, 0, 1, 0, 0, 0, 0, 0, 0, 0, 5, 1, 1, 0, 0, 0, 1, 1</t>
  </si>
  <si>
    <t>wyoming's elite electrical contractor</t>
  </si>
  <si>
    <t>frontline electrical services</t>
  </si>
  <si>
    <t>0, 1, 1, 0, 0, 0, 0, 0, 0, 0, 0, 0, 0, 0, 0, 1, 0, 0, 0, 0, 0, 0, 0, 1</t>
  </si>
  <si>
    <t>electrical installation city and guilds</t>
  </si>
  <si>
    <t>electrical panel installation prior lake</t>
  </si>
  <si>
    <t>machas electrical services</t>
  </si>
  <si>
    <t>industrial electrical contractor suffolk</t>
  </si>
  <si>
    <t>electrical contractor pueblo</t>
  </si>
  <si>
    <t>chicopee electrical services</t>
  </si>
  <si>
    <t>electrical contractor proposal</t>
  </si>
  <si>
    <t>electrical contractor lexington ky</t>
  </si>
  <si>
    <t>emergency electrician ermington</t>
  </si>
  <si>
    <t>electrical contractor brantford</t>
  </si>
  <si>
    <t>2, 4, 3, 4, 2, 2, 0, 0, 0, 0, 1, 0, 1, 0, 0, 0, 0, 0, 0, 0, 0, 0, 0, 1</t>
  </si>
  <si>
    <t>sds electrical services</t>
  </si>
  <si>
    <t>0, 0, 2, 0, 1, 0, 0, 0, 0, 0, 0, 0, 0, 0, 0, 0, 0, 0, 0, 0, 0, 0, 0, 1</t>
  </si>
  <si>
    <t>beauty machines electrical repairs durban</t>
  </si>
  <si>
    <t>residential electrical contractor charleston</t>
  </si>
  <si>
    <t>emergency electrical services toledo oh</t>
  </si>
  <si>
    <t>electrical solutions services</t>
  </si>
  <si>
    <t>0, 0, 0, 0, 0, 0, 1, 0, 0, 0, 1, 0, 0, 0, 0, 0, 0, 2, 0, 0, 0, 0, 0, 1</t>
  </si>
  <si>
    <t>electrical panel services in oklahoma city</t>
  </si>
  <si>
    <t>electrical appliance repairs kempton park</t>
  </si>
  <si>
    <t>emergency electrician tonbridge</t>
  </si>
  <si>
    <t>emergency electrician cleveland</t>
  </si>
  <si>
    <t>electrical substation design services</t>
  </si>
  <si>
    <t>0, 2, 1, 0, 0, 0, 0, 0, 0, 0, 1, 0, 0, 0, 0, 0, 0, 0, 0, 0, 0, 0, 0, 1</t>
  </si>
  <si>
    <t>electrical services pictures</t>
  </si>
  <si>
    <t>0, 0, 3, 0, 0, 0, 2, 5, 3, 1, 7, 1, 1, 2, 1, 1, 0, 4, 0, 1, 2, 0, 0, 2</t>
  </si>
  <si>
    <t>rapid electrical services</t>
  </si>
  <si>
    <t>0, 0, 0, 1, 0, 0, 0, 0, 0, 0, 1, 1, 0, 0, 0, 0, 0, 0, 1, 0, 0, 0, 0, 1</t>
  </si>
  <si>
    <t>electrical services seattle</t>
  </si>
  <si>
    <t>0, 0, 0, 0, 0, 0, 2, 1, 3, 0, 0, 0, 0, 0, 0, 0, 0, 0, 0, 0, 0, 0, 0, 1</t>
  </si>
  <si>
    <t>mt electrical services</t>
  </si>
  <si>
    <t>0, 0, 0, 0, 1, 0, 0, 0, 1, 1, 0, 0, 0, 1, 0, 0, 0, 0, 0, 1, 0, 0, 0, 1</t>
  </si>
  <si>
    <t>electrical repair services market</t>
  </si>
  <si>
    <t>ap electrical services</t>
  </si>
  <si>
    <t>1, 1, 0, 1, 1, 0, 0, 0, 0, 1, 0, 0, 0, 0, 0, 0, 0, 0, 0, 0, 0, 0, 0, 1</t>
  </si>
  <si>
    <t>civil electrical services</t>
  </si>
  <si>
    <t>electrical contractor app</t>
  </si>
  <si>
    <t>1, 2, 1, 0, 3, 1, 0, 1, 1, 3, 1, 6, 0, 0, 0, 1, 0, 1, 0, 0, 0, 0, 0, 1</t>
  </si>
  <si>
    <t>electrical repairs columbia</t>
  </si>
  <si>
    <t>0, 0, 0, 1, 0, 0, 0, 0, 1, 3, 3, 0, 0, 0, 0, 0, 0, 0, 0, 0, 0, 0, 0, 1</t>
  </si>
  <si>
    <t>introduction to electrical installation pdf</t>
  </si>
  <si>
    <t>0, 0, 0, 0, 0, 2, 0, 0, 0, 0, 0, 0, 0, 0, 0, 0, 1, 0, 0, 0, 0, 0, 0, 1</t>
  </si>
  <si>
    <t>electrical repairs belfast</t>
  </si>
  <si>
    <t>daniel electrical services</t>
  </si>
  <si>
    <t>vehicle electrical repairs near me</t>
  </si>
  <si>
    <t>0, 0, 0, 0, 0, 0, 3, 0, 1, 0, 3, 0, 0, 0, 0, 0, 0, 0, 0, 0, 0, 0, 0, 1</t>
  </si>
  <si>
    <t>prime electrical services</t>
  </si>
  <si>
    <t>1, 0, 0, 0, 0, 0, 0, 0, 1, 1, 0, 2, 0, 0, 0, 0, 0, 0, 0, 0, 1, 0, 0, 1</t>
  </si>
  <si>
    <t>electrical cable installation</t>
  </si>
  <si>
    <t>13, 8, 20, 1, 4, 3, 6, 2, 3, 3, 6, 6, 1, 2, 2, 1, 0, 7, 2, 1, 2, 1, 1, 2</t>
  </si>
  <si>
    <t>huntsville electrical services</t>
  </si>
  <si>
    <t>network electrical services ltd</t>
  </si>
  <si>
    <t>electrical services nelson</t>
  </si>
  <si>
    <t>0, 0, 0, 0, 0, 0, 0, 1, 0, 1, 1, 0, 0, 0, 0, 0, 0, 0, 0, 0, 0, 0, 0, 1</t>
  </si>
  <si>
    <t>hand tools used in electrical installation</t>
  </si>
  <si>
    <t>electrical contractor denver co</t>
  </si>
  <si>
    <t>myrtle beach electrical services</t>
  </si>
  <si>
    <t>0, 0, 0, 0, 0, 0, 1, 0, 0, 1, 3, 0, 2, 0, 0, 0, 0, 0, 0, 0, 0, 0, 0, 1</t>
  </si>
  <si>
    <t>emergency electrician bonnet bay</t>
  </si>
  <si>
    <t>electrical appliance repairs sydney</t>
  </si>
  <si>
    <t>0, 0, 0, 0, 0, 1, 0, 0, 0, 2, 0, 0, 0, 0, 0, 0, 0, 0, 0, 0, 0, 0, 0, 1</t>
  </si>
  <si>
    <t>electrical services in claremont ca</t>
  </si>
  <si>
    <t>cd electrical services</t>
  </si>
  <si>
    <t>0, 0, 0, 0, 0, 0, 0, 0, 1, 0, 0, 0, 1, 0, 5, 1, 0, 0, 0, 1, 0, 0, 0, 1</t>
  </si>
  <si>
    <t>commercial electrical contractor stafford va</t>
  </si>
  <si>
    <t>emergency electrician oxted</t>
  </si>
  <si>
    <t>0, 2, 0, 0, 0, 4, 0, 0, 0, 0, 0, 0, 0, 0, 0, 0, 0, 0, 0, 0, 0, 0, 0, 1</t>
  </si>
  <si>
    <t>amj electrical services cc</t>
  </si>
  <si>
    <t>bespoke electrical design services</t>
  </si>
  <si>
    <t>electrical contractor license application form</t>
  </si>
  <si>
    <t>residential electrical services coquitlam</t>
  </si>
  <si>
    <t>electrical containment installation</t>
  </si>
  <si>
    <t>0, 0, 1, 0, 2, 0, 1, 1, 0, 0, 1, 0, 0, 0, 0, 0, 0, 0, 0, 0, 0, 0, 0, 1</t>
  </si>
  <si>
    <t>electrical contractor service rancho santa fe</t>
  </si>
  <si>
    <t>electrical services methuen ma</t>
  </si>
  <si>
    <t>electrical installation level 1</t>
  </si>
  <si>
    <t>1, 0, 1, 2, 0, 0, 0, 2, 1, 0, 1, 1, 0, 0, 2, 1, 1, 0, 2, 0, 1, 1, 2, 2</t>
  </si>
  <si>
    <t>electrical services langford</t>
  </si>
  <si>
    <t>0, 1, 2, 0, 2, 0, 1, 2, 1, 0, 1, 0, 0, 0, 0, 0, 0, 0, 0, 0, 0, 0, 0, 1</t>
  </si>
  <si>
    <t>tekline electrical services</t>
  </si>
  <si>
    <t>0, 0, 0, 0, 0, 0, 0, 0, 0, 0, 0, 0, 0, 0, 0, 0, 0, 3, 0, 0, 0, 1, 0, 1</t>
  </si>
  <si>
    <t>emergency electrician in leeds</t>
  </si>
  <si>
    <t>highgate emergency electrician</t>
  </si>
  <si>
    <t>emergency electrician chester</t>
  </si>
  <si>
    <t>electrical switch installation kalamazoo mi</t>
  </si>
  <si>
    <t>electrical repair services kingfisher ok</t>
  </si>
  <si>
    <t>0, 2, 0, 0, 0, 0, 0, 1, 0, 2, 0, 0, 0, 0, 0, 0, 0, 0, 0, 0, 0, 0, 0, 1</t>
  </si>
  <si>
    <t>emergency electrician walsall</t>
  </si>
  <si>
    <t>sandringham emergency electrician</t>
  </si>
  <si>
    <t>electrical home services</t>
  </si>
  <si>
    <t>2, 0, 0, 2, 0, 0, 0, 0, 2, 0, 1, 0, 1, 0, 0, 0, 0, 0, 1, 0, 0, 0, 0, 1</t>
  </si>
  <si>
    <t>wolff electrical services</t>
  </si>
  <si>
    <t>0, 0, 0, 0, 0, 0, 0, 0, 0, 0, 0, 0, 0, 0, 0, 5, 0, 0, 0, 0, 0, 0, 0, 1</t>
  </si>
  <si>
    <t>electrical contractor internet marketing agency</t>
  </si>
  <si>
    <t>l2 electrical installation</t>
  </si>
  <si>
    <t>0, 0, 0, 0, 0, 0, 0, 0, 0, 0, 0, 0, 0, 0, 0, 0, 2, 0, 0, 0, 0, 0, 0, 1</t>
  </si>
  <si>
    <t>electrical wiring services delray beach fl</t>
  </si>
  <si>
    <t>electrical repairs adelaide</t>
  </si>
  <si>
    <t>0, 0, 0, 1, 1, 2, 2, 0, 0, 0, 0, 2, 0, 0, 0, 0, 0, 0, 0, 0, 0, 0, 0, 1</t>
  </si>
  <si>
    <t>electrical services middleton</t>
  </si>
  <si>
    <t>ats electrical services</t>
  </si>
  <si>
    <t>auto electrician in cape town</t>
  </si>
  <si>
    <t>motorcycle electrical repairs</t>
  </si>
  <si>
    <t>0, 0, 0, 0, 0, 0, 0, 3, 0, 0, 0, 0, 0, 0, 0, 0, 0, 0, 1, 0, 0, 0, 0, 1</t>
  </si>
  <si>
    <t>brightspark electrical services</t>
  </si>
  <si>
    <t>0, 0, 0, 0, 0, 0, 0, 0, 0, 0, 0, 0, 0, 0, 0, 0, 1, 0, 1, 1, 1, 1, 0, 2</t>
  </si>
  <si>
    <t>c a electrical services</t>
  </si>
  <si>
    <t>0, 0, 4, 2, 0, 0, 2, 0, 5, 0, 3, 2, 1, 1, 2, 0, 1, 1, 0, 0, 0, 0, 0, 1</t>
  </si>
  <si>
    <t>ians electrical services</t>
  </si>
  <si>
    <t>electrical services littleton</t>
  </si>
  <si>
    <t>emergency electrician kent</t>
  </si>
  <si>
    <t>u.s. electrical services market</t>
  </si>
  <si>
    <t>electrical outlet installation louisville ky</t>
  </si>
  <si>
    <t>electrical contractor insurance qld</t>
  </si>
  <si>
    <t>0, 0, 1, 0, 0, 1, 1, 0, 2, 2, 2, 0, 0, 0, 0, 0, 0, 0, 0, 0, 0, 0, 0, 1</t>
  </si>
  <si>
    <t>electrical contractor business card</t>
  </si>
  <si>
    <t>0, 0, 1, 0, 1, 0, 0, 2, 0, 2, 1, 1, 0, 2, 1, 0, 0, 2, 0, 0, 0, 0, 0, 1</t>
  </si>
  <si>
    <t>electrical contractor lake park</t>
  </si>
  <si>
    <t>emergency electrician malaga</t>
  </si>
  <si>
    <t>top notch electrical services</t>
  </si>
  <si>
    <t>0, 0, 0, 0, 1, 4, 0, 0, 0, 0, 0, 0, 0, 0, 0, 1, 0, 1, 0, 0, 0, 1, 1, 2</t>
  </si>
  <si>
    <t>electrical services boynton beach, fl</t>
  </si>
  <si>
    <t>0, 0, 0, 0, 0, 0, 0, 1, 0, 1, 3, 1, 1, 0, 0, 0, 0, 0, 0, 0, 0, 0, 0, 1</t>
  </si>
  <si>
    <t>risk assessment for electrical installation works</t>
  </si>
  <si>
    <t>affordable electrical services</t>
  </si>
  <si>
    <t>1, 1, 0, 3, 0, 0, 2, 1, 2, 2, 4, 0, 0, 1, 1, 2, 0, 0, 0, 0, 0, 0, 0, 1</t>
  </si>
  <si>
    <t>electrical contractor south africa</t>
  </si>
  <si>
    <t>0, 0, 0, 0, 0, 0, 0, 0, 0, 0, 0, 0, 0, 0, 0, 0, 0, 0, 0, 2, 4, 2, 11, 8</t>
  </si>
  <si>
    <t>profit margin for electrical contractor</t>
  </si>
  <si>
    <t>a &amp; i electrical services</t>
  </si>
  <si>
    <t>0, 1, 1, 1, 2, 2, 0, 0, 2, 1, 0, 2, 9, 5, 1, 1, 1, 1, 1, 2, 0, 2, 0, 2</t>
  </si>
  <si>
    <t>electrical equipment repairs near me</t>
  </si>
  <si>
    <t>0, 0, 0, 0, 0, 1, 4, 1, 6, 1, 0, 1, 1, 0, 1, 0, 0, 0, 2, 3, 3, 2, 0, 3</t>
  </si>
  <si>
    <t>australian electrical services</t>
  </si>
  <si>
    <t>electrical contractor in denver</t>
  </si>
  <si>
    <t>caulfield south electrical repairs</t>
  </si>
  <si>
    <t>0, 0, 0, 1, 0, 0, 0, 0, 2, 0, 1, 0, 0, 0, 0, 0, 0, 0, 0, 0, 0, 0, 0, 1</t>
  </si>
  <si>
    <t>morgan electrical services</t>
  </si>
  <si>
    <t>emergency electrician kenthurst</t>
  </si>
  <si>
    <t>electrical and mechanical services department</t>
  </si>
  <si>
    <t>electrical installation condition report scotland</t>
  </si>
  <si>
    <t>electrical repairs in pebble creek</t>
  </si>
  <si>
    <t>even faster electrical services 24/7 roodepoort</t>
  </si>
  <si>
    <t>7, 4, 0, 6, 2, 1, 0, 0, 0, 0, 0, 0, 0, 0, 0, 0, 0, 0, 0, 0, 0, 0, 0, 1</t>
  </si>
  <si>
    <t>al-quraishi electrical services</t>
  </si>
  <si>
    <t>0, 0, 1, 0, 1, 0, 0, 1, 0, 1, 0, 0, 0, 0, 0, 0, 0, 0, 0, 0, 0, 0, 0, 1</t>
  </si>
  <si>
    <t>milton electrical services</t>
  </si>
  <si>
    <t>0, 0, 0, 1, 0, 0, 0, 0, 5, 0, 0, 0, 0, 0, 0, 3, 0, 0, 0, 0, 2, 0, 0, 1</t>
  </si>
  <si>
    <t>electrical outlet repairs canyon tx</t>
  </si>
  <si>
    <t>electrical services commercial</t>
  </si>
  <si>
    <t>2, 3, 2, 1, 3, 4, 5, 8, 6, 9, 11, 11, 0, 0, 0, 0, 0, 0, 0, 0, 0, 0, 0, 2</t>
  </si>
  <si>
    <t>claremont emergency electrician</t>
  </si>
  <si>
    <t>electrical services abu dhabi</t>
  </si>
  <si>
    <t>electrical repairs bellevue</t>
  </si>
  <si>
    <t>electrical installation price per point</t>
  </si>
  <si>
    <t>0, 0, 0, 0, 1, 0, 0, 0, 0, 0, 3, 0, 1, 0, 0, 0, 0, 0, 0, 0, 0, 0, 0, 1</t>
  </si>
  <si>
    <t>cp electrical services</t>
  </si>
  <si>
    <t>falcon electrical services</t>
  </si>
  <si>
    <t>electrical installation appointment</t>
  </si>
  <si>
    <t>electrical services christchurch</t>
  </si>
  <si>
    <t>0, 0, 0, 0, 1, 0, 0, 2, 2, 3, 1, 0, 0, 0, 0, 0, 0, 0, 0, 0, 0, 0, 0, 1</t>
  </si>
  <si>
    <t>server room electrical installation</t>
  </si>
  <si>
    <t>0, 0, 0, 0, 0, 0, 0, 0, 0, 0, 0, 0, 0, 2, 0, 4, 0, 0, 1, 0, 0, 0, 0, 1</t>
  </si>
  <si>
    <t>electrical services in vanderbijlpark, gauteng</t>
  </si>
  <si>
    <t>0, 0, 0, 0, 0, 0, 0, 0, 0, 0, 0, 0, 0, 0, 0, 2, 2, 4, 0, 0, 0, 0, 0, 1</t>
  </si>
  <si>
    <t>cape town electrician jobs</t>
  </si>
  <si>
    <t>0, 0, 0, 0, 3, 0, 0, 14, 7, 0, 0, 0, 0, 0, 0, 1, 1, 0, 0, 0, 0, 0, 0, 1</t>
  </si>
  <si>
    <t>solec electrical services</t>
  </si>
  <si>
    <t>0, 0, 0, 1, 2, 1, 1, 0, 0, 0, 0, 0, 0, 0, 0, 0, 0, 0, 0, 0, 0, 0, 0, 1</t>
  </si>
  <si>
    <t>electrical services huntersville, nc</t>
  </si>
  <si>
    <t>electrical and electronics services</t>
  </si>
  <si>
    <t>0, 0, 0, 0, 0, 0, 0, 3, 0, 0, 0, 0, 0, 0, 0, 0, 0, 1, 0, 1, 0, 0, 0, 1</t>
  </si>
  <si>
    <t>electrical services for factories</t>
  </si>
  <si>
    <t>0, 1, 0, 0, 0, 0, 0, 0, 0, 2, 1, 0, 0, 0, 0, 0, 0, 0, 0, 0, 0, 0, 0, 1</t>
  </si>
  <si>
    <t>emergency electrical services jackson</t>
  </si>
  <si>
    <t>mining electrical contractor</t>
  </si>
  <si>
    <t>1, 0, 0, 3, 0, 0, 0, 0, 0, 0, 1, 0, 0, 0, 0, 0, 0, 0, 1, 0, 0, 0, 0, 1</t>
  </si>
  <si>
    <t>emergency electrician subiaco</t>
  </si>
  <si>
    <t>0, 0, 0, 0, 0, 2, 1, 1, 0, 0, 3, 0, 0, 0, 0, 0, 0, 0, 0, 0, 0, 0, 0, 1</t>
  </si>
  <si>
    <t>electrical maintenance and repairs</t>
  </si>
  <si>
    <t>0, 0, 0, 0, 0, 0, 0, 0, 0, 0, 0, 0, 0, 0, 0, 0, 1, 0, 1, 5, 0, 0, 1, 1</t>
  </si>
  <si>
    <t>l&amp;t electrical contractor</t>
  </si>
  <si>
    <t>5, 0, 0, 0, 0, 0, 0, 0, 0, 0, 0, 0, 0, 0, 0, 0, 0, 0, 0, 0, 0, 0, 0, 1</t>
  </si>
  <si>
    <t>commercial electrical contractor service</t>
  </si>
  <si>
    <t>0, 0, 0, 0, 3, 2, 0, 1, 3, 5, 3, 0, 0, 0, 0, 0, 0, 0, 0, 0, 0, 0, 0, 1</t>
  </si>
  <si>
    <t>electrical contractor tool tracking</t>
  </si>
  <si>
    <t>0, 1, 0, 0, 2, 0, 0, 1, 0, 0, 1, 1, 0, 0, 0, 0, 0, 0, 0, 0, 0, 0, 0, 1</t>
  </si>
  <si>
    <t>emergency electrician dandenong</t>
  </si>
  <si>
    <t>electrical installation jobs in kenya</t>
  </si>
  <si>
    <t>0, 0, 0, 0, 0, 0, 0, 0, 1, 0, 0, 0, 0, 0, 0, 3, 1, 0, 0, 0, 0, 0, 0, 1</t>
  </si>
  <si>
    <t>emergency electrician shoreditch</t>
  </si>
  <si>
    <t>small electrical repairs near me</t>
  </si>
  <si>
    <t>9, 8, 5, 4, 3, 4, 4, 6, 11, 7, 7, 7, 2, 4, 2, 4, 3, 1, 3, 7, 6, 3, 2, 1</t>
  </si>
  <si>
    <t>electrical system installation melbourne fl</t>
  </si>
  <si>
    <t>camden electrical services</t>
  </si>
  <si>
    <t>0, 0, 1, 0, 1, 0, 0, 0, 1, 0, 0, 0, 2, 0, 0, 0, 2, 0, 0, 0, 0, 0, 0, 1</t>
  </si>
  <si>
    <t>electrical contractor jersey city</t>
  </si>
  <si>
    <t>electrical contracting services highland park</t>
  </si>
  <si>
    <t>industrial electrical maintenance services</t>
  </si>
  <si>
    <t>1, 1, 3, 1, 1, 1, 5, 3, 5, 4, 3, 0, 0, 0, 0, 0, 0, 0, 1, 0, 0, 0, 0, 1</t>
  </si>
  <si>
    <t>24 hour emergency electrician glasgow</t>
  </si>
  <si>
    <t>basic electrical installation course</t>
  </si>
  <si>
    <t>0, 1, 0, 0, 0, 0, 0, 3, 2, 1, 0, 0, 0, 0, 0, 1, 3, 0, 0, 0, 0, 2, 0, 1</t>
  </si>
  <si>
    <t>electrical contractor greensboro nc</t>
  </si>
  <si>
    <t>basic wiring and electrical repairs</t>
  </si>
  <si>
    <t>0, 0, 0, 0, 2, 0, 0, 1, 2, 1, 0, 0, 0, 0, 0, 0, 1, 0, 0, 0, 0, 1, 0, 1</t>
  </si>
  <si>
    <t>electrical outlet installation birmingham</t>
  </si>
  <si>
    <t>davis electrical services</t>
  </si>
  <si>
    <t>0, 0, 0, 0, 1, 0, 1, 2, 0, 0, 0, 0, 0, 0, 0, 0, 0, 0, 0, 0, 0, 0, 0, 1</t>
  </si>
  <si>
    <t>testing in electrical installation</t>
  </si>
  <si>
    <t>naics code for electrical contractor</t>
  </si>
  <si>
    <t>0, 0, 0, 1, 0, 0, 0, 0, 0, 1, 2, 0, 0, 0, 0, 0, 0, 0, 0, 0, 0, 0, 0, 1</t>
  </si>
  <si>
    <t>electrical installation anderson</t>
  </si>
  <si>
    <t>jac electrical services</t>
  </si>
  <si>
    <t>0, 0, 0, 0, 0, 0, 0, 0, 0, 0, 2, 0, 0, 0, 0, 0, 0, 1, 0, 2, 0, 0, 1, 1</t>
  </si>
  <si>
    <t>electrical contractor insurance kansas</t>
  </si>
  <si>
    <t>marine electrical services near me</t>
  </si>
  <si>
    <t>electrical repairs seattle wa</t>
  </si>
  <si>
    <t>0, 1, 0, 1, 1, 0, 0, 0, 1, 0, 0, 2, 0, 0, 0, 0, 0, 0, 0, 0, 0, 0, 0, 1</t>
  </si>
  <si>
    <t>heritage electrical services</t>
  </si>
  <si>
    <t>0, 0, 0, 0, 0, 1, 3, 0, 0, 0, 0, 1, 0, 0, 0, 0, 0, 0, 0, 0, 0, 0, 0, 1</t>
  </si>
  <si>
    <t>electrical repairs grafton</t>
  </si>
  <si>
    <t>electrical repairs perth</t>
  </si>
  <si>
    <t>0, 0, 0, 1, 0, 1, 1, 0, 2, 0, 3, 0, 0, 0, 0, 0, 0, 0, 0, 0, 0, 0, 0, 1</t>
  </si>
  <si>
    <t>commercial electrical contractor north essex</t>
  </si>
  <si>
    <t>0, 0, 1, 0, 1, 0, 0, 0, 0, 1, 0, 0, 0, 0, 0, 0, 0, 0, 0, 0, 0, 0, 0, 1</t>
  </si>
  <si>
    <t>commercial electrical services fredericksburg va</t>
  </si>
  <si>
    <t>1, 0, 0, 0, 1, 0, 0, 0, 0, 0, 1, 1, 0, 0, 0, 0, 0, 0, 0, 0, 0, 0, 0, 1</t>
  </si>
  <si>
    <t>gibbs electrical services</t>
  </si>
  <si>
    <t>nebraska commercial electrical services</t>
  </si>
  <si>
    <t>jacksonville emergency electrician</t>
  </si>
  <si>
    <t>links electrical services</t>
  </si>
  <si>
    <t>oak forest emergency electrician company</t>
  </si>
  <si>
    <t>residential electrical repair services</t>
  </si>
  <si>
    <t>0, 1, 2, 0, 1, 0, 1, 0, 0, 0, 1, 0, 0, 0, 0, 0, 0, 0, 0, 0, 1, 0, 0, 1</t>
  </si>
  <si>
    <t>hillsboro beach electrical services</t>
  </si>
  <si>
    <t>1, 1, 1, 1, 1, 1, 1, 5, 1, 0, 1, 0, 0, 0, 0, 0, 0, 0, 0, 0, 0, 0, 0, 1</t>
  </si>
  <si>
    <t>long island emergency electrician</t>
  </si>
  <si>
    <t>electrical outlet &amp; switch installation</t>
  </si>
  <si>
    <t>0, 1, 1, 1, 1, 3, 2, 2, 10, 3, 5, 1, 0, 0, 0, 0, 0, 0, 0, 0, 0, 0, 0, 1</t>
  </si>
  <si>
    <t>cable electrical services</t>
  </si>
  <si>
    <t>2, 0, 0, 1, 0, 0, 1, 0, 0, 1, 0, 0, 0, 1, 0, 0, 0, 0, 0, 0, 0, 0, 0, 1</t>
  </si>
  <si>
    <t>commercial electrical services cass county</t>
  </si>
  <si>
    <t>total power electrical services</t>
  </si>
  <si>
    <t>electrical meter installation</t>
  </si>
  <si>
    <t>1, 1, 1, 0, 0, 1, 3, 1, 1, 1, 1, 5, 3, 8, 6, 1, 4, 1, 3, 0, 2, 1, 1, 2</t>
  </si>
  <si>
    <t>colorado electrical contractor</t>
  </si>
  <si>
    <t>electrical licensed contractor</t>
  </si>
  <si>
    <t>0, 0, 0, 0, 0, 0, 1, 1, 0, 0, 0, 0, 0, 0, 0, 1, 0, 0, 0, 0, 0, 0, 0, 1</t>
  </si>
  <si>
    <t>electrical services aberdeen sd</t>
  </si>
  <si>
    <t>electrician seeking work in cape town</t>
  </si>
  <si>
    <t>jones electrical services</t>
  </si>
  <si>
    <t>singapore electrical services</t>
  </si>
  <si>
    <t>emergency electrician seaford</t>
  </si>
  <si>
    <t>electrical repairs valencia pa</t>
  </si>
  <si>
    <t>residential electrical services coral gables</t>
  </si>
  <si>
    <t>0, 0, 0, 0, 0, 0, 1, 0, 1, 1, 2, 0, 0, 0, 0, 0, 0, 0, 0, 0, 0, 0, 0, 1</t>
  </si>
  <si>
    <t>electrical contractor sarasota fl</t>
  </si>
  <si>
    <t>electrical services haverhill ma</t>
  </si>
  <si>
    <t>maintenance services electrical</t>
  </si>
  <si>
    <t>electrical installation companies near me</t>
  </si>
  <si>
    <t>11, 4, 3, 3, 9, 11, 9, 12, 4, 5, 3, 1, 3, 4, 5, 0, 0, 3, 2, 4, 1, 6, 0, 3</t>
  </si>
  <si>
    <t>electrical fuse box installation london</t>
  </si>
  <si>
    <t>peppermint-grove emergency electrician</t>
  </si>
  <si>
    <t>emergency electrician matthews, nc</t>
  </si>
  <si>
    <t>emergency electrician east london</t>
  </si>
  <si>
    <t>0, 0, 1, 2, 2, 0, 1, 1, 1, 3, 0, 0, 0, 1, 0, 0, 0, 1, 1, 0, 1, 0, 0, 1</t>
  </si>
  <si>
    <t>level 2 electrical installation</t>
  </si>
  <si>
    <t>0, 2, 0, 0, 0, 0, 1, 0, 3, 1, 6, 3, 0, 0, 0, 0, 0, 0, 0, 0, 1, 0, 0, 1</t>
  </si>
  <si>
    <t>electrical installation wembley</t>
  </si>
  <si>
    <t>emergency electrician portslade</t>
  </si>
  <si>
    <t>electrical services bellevue</t>
  </si>
  <si>
    <t>0, 0, 0, 0, 0, 0, 0, 2, 2, 1, 1, 0, 0, 0, 0, 1, 0, 0, 0, 0, 0, 0, 0, 1</t>
  </si>
  <si>
    <t>electrical vehicle charger installation tolworth</t>
  </si>
  <si>
    <t>emergency electrician seaforth</t>
  </si>
  <si>
    <t>electrical contractor murrumba downs</t>
  </si>
  <si>
    <t>electrical contractor pinetown</t>
  </si>
  <si>
    <t>electrical service drop installation cost</t>
  </si>
  <si>
    <t>job openings city electrical contractor</t>
  </si>
  <si>
    <t>0, 0, 0, 2, 2, 1, 0, 2, 0, 1, 1, 0, 0, 0, 0, 0, 0, 0, 0, 0, 0, 0, 0, 1</t>
  </si>
  <si>
    <t>emergency electrical contractor</t>
  </si>
  <si>
    <t>0, 0, 2, 0, 0, 1, 0, 1, 0, 2, 1, 0, 0, 0, 0, 0, 0, 0, 0, 0, 0, 3, 4, 4</t>
  </si>
  <si>
    <t>electrical contractor business profile</t>
  </si>
  <si>
    <t>electrical installation service in barbados</t>
  </si>
  <si>
    <t>electrical services missouri</t>
  </si>
  <si>
    <t>electrical trenching services</t>
  </si>
  <si>
    <t>electrical contractor joplin</t>
  </si>
  <si>
    <t>0, 0, 0, 2, 1, 0, 0, 0, 3, 0, 0, 1, 0, 0, 0, 0, 0, 0, 0, 0, 0, 0, 0, 1</t>
  </si>
  <si>
    <t>electrical solution services</t>
  </si>
  <si>
    <t>hot tub electrical installation ann arbor mi</t>
  </si>
  <si>
    <t>electrical services in riyadh</t>
  </si>
  <si>
    <t>electrical contractor oakland</t>
  </si>
  <si>
    <t>electrical installation college courses</t>
  </si>
  <si>
    <t>0, 0, 0, 0, 0, 0, 0, 0, 0, 0, 0, 0, 0, 2, 0, 1, 0, 0, 0, 1, 0, 0, 0, 1</t>
  </si>
  <si>
    <t>24 hour emergency electrician in kensington</t>
  </si>
  <si>
    <t>electrical services in merrifield</t>
  </si>
  <si>
    <t>rules and regulations of electrical installation</t>
  </si>
  <si>
    <t>emergency electrician scunthorpe</t>
  </si>
  <si>
    <t>home electrical panel installation</t>
  </si>
  <si>
    <t>0, 0, 2, 0, 2, 1, 3, 6, 2, 7, 6, 0, 0, 0, 0, 0, 0, 0, 0, 0, 0, 0, 0, 1</t>
  </si>
  <si>
    <t>marine electrical installation</t>
  </si>
  <si>
    <t>0, 0, 0, 0, 0, 1, 0, 0, 0, 0, 2, 0, 0, 0, 0, 0, 1, 0, 0, 0, 0, 0, 0, 1</t>
  </si>
  <si>
    <t>electrical generator installation gastonia, nc</t>
  </si>
  <si>
    <t>1, 0, 0, 0, 0, 0, 0, 0, 1, 0, 2, 1, 0, 0, 0, 0, 0, 0, 0, 0, 0, 0, 0, 1</t>
  </si>
  <si>
    <t>christian electrical services</t>
  </si>
  <si>
    <t>commercial electrical installation acworth ga</t>
  </si>
  <si>
    <t>emergency electrician kardinya</t>
  </si>
  <si>
    <t>electrical engineering services dayton ohio</t>
  </si>
  <si>
    <t>emergency electrician ottawa</t>
  </si>
  <si>
    <t>electrical design contractor</t>
  </si>
  <si>
    <t>0, 0, 5, 0, 2, 2, 1, 1, 3, 4, 5, 2, 0, 0, 0, 0, 0, 1, 1, 0, 1, 7, 0, 1</t>
  </si>
  <si>
    <t>electranet electrical services</t>
  </si>
  <si>
    <t>24 hour electrical services mt juliet</t>
  </si>
  <si>
    <t>electrical services in maitland</t>
  </si>
  <si>
    <t>electrical repairs lebanon</t>
  </si>
  <si>
    <t>1, 0, 1, 0, 1, 0, 0, 0, 1, 2, 3, 0, 0, 0, 0, 0, 0, 0, 0, 0, 0, 0, 0, 1</t>
  </si>
  <si>
    <t>electrical contractor helensvale</t>
  </si>
  <si>
    <t>electrical outlet installation columbia</t>
  </si>
  <si>
    <t>auto electrician assistant vacancies in cape town</t>
  </si>
  <si>
    <t>24 hour emergency electrician brighton</t>
  </si>
  <si>
    <t>electrical panel installation oklahoma</t>
  </si>
  <si>
    <t>emergency electrician bedford</t>
  </si>
  <si>
    <t>0, 0, 0, 0, 0, 0, 0, 1, 1, 1, 2, 0, 0, 0, 0, 0, 0, 0, 0, 0, 0, 0, 0, 1</t>
  </si>
  <si>
    <t>danley electrical services</t>
  </si>
  <si>
    <t>electrical services league city</t>
  </si>
  <si>
    <t>electrical contractor airdrie</t>
  </si>
  <si>
    <t>completion certificate of electrical installation</t>
  </si>
  <si>
    <t>free electrical repairs near me</t>
  </si>
  <si>
    <t>0, 0, 0, 0, 1, 1, 0, 2, 0, 1, 0, 0, 1, 0, 0, 2, 1, 0, 0, 2, 0, 0, 0, 1</t>
  </si>
  <si>
    <t>electrical contractor woody point</t>
  </si>
  <si>
    <t>chapin electrical services</t>
  </si>
  <si>
    <t>0, 0, 0, 0, 0, 0, 0, 0, 0, 2, 2, 0, 0, 0, 0, 0, 1, 0, 0, 0, 0, 0, 0, 1</t>
  </si>
  <si>
    <t>florence emergency electrician</t>
  </si>
  <si>
    <t>elwood home electrical services</t>
  </si>
  <si>
    <t>0, 0, 1, 0, 0, 0, 0, 1, 0, 1, 1, 0, 0, 0, 0, 0, 0, 0, 0, 0, 0, 0, 0, 1</t>
  </si>
  <si>
    <t>electrical repairs stuart</t>
  </si>
  <si>
    <t>electrical installation and maintenance course</t>
  </si>
  <si>
    <t>2, 1, 1, 2, 0, 1, 0, 1, 0, 3, 1, 0, 1, 0, 4, 1, 0, 2, 0, 0, 0, 0, 0, 1</t>
  </si>
  <si>
    <t>electrical installation and maintenance books pdf</t>
  </si>
  <si>
    <t>0, 0, 1, 0, 0, 0, 0, 0, 0, 0, 0, 0, 0, 0, 0, 0, 0, 0, 0, 0, 0, 1, 0, 1</t>
  </si>
  <si>
    <t>electrical repairs st charles</t>
  </si>
  <si>
    <t>24hr emergency electrician</t>
  </si>
  <si>
    <t>0, 3, 0, 0, 0, 0, 0, 0, 0, 0, 0, 0, 0, 0, 0, 0, 0, 0, 0, 0, 0, 0, 2, 1</t>
  </si>
  <si>
    <t>24 hr emergency electrician prahran</t>
  </si>
  <si>
    <t>guaranteed electrical services</t>
  </si>
  <si>
    <t>0, 0, 0, 0, 0, 0, 3, 0, 0, 0, 0, 0, 0, 0, 0, 0, 0, 0, 1, 0, 1, 1, 0, 2</t>
  </si>
  <si>
    <t>auto electrical services clawson mi</t>
  </si>
  <si>
    <t>electrical contractor salary</t>
  </si>
  <si>
    <t>1, 6, 8, 4, 3, 2, 3, 4, 4, 1, 1, 2, 4, 3, 2, 3, 5, 3, 2, 4, 5, 1, 1, 1</t>
  </si>
  <si>
    <t>electrical services in washington dc</t>
  </si>
  <si>
    <t>commercial electrical installation companies</t>
  </si>
  <si>
    <t>tools in electrical installation and maintenance</t>
  </si>
  <si>
    <t>electrical contractor proposal template</t>
  </si>
  <si>
    <t>1, 0, 0, 0, 0, 0, 0, 0, 0, 0, 0, 0, 4, 0, 0, 0, 0, 0, 1, 0, 0, 0, 0, 1</t>
  </si>
  <si>
    <t>emergency electrical services dickson</t>
  </si>
  <si>
    <t>maryborough electrical contractor</t>
  </si>
  <si>
    <t>electrical appliance repairs &amp; parts london</t>
  </si>
  <si>
    <t>automotive electrical services</t>
  </si>
  <si>
    <t>0, 2, 3, 1, 4, 7, 6, 4, 2, 5, 2, 4, 0, 2, 2, 0, 1, 1, 1, 1, 4, 1, 2, 1</t>
  </si>
  <si>
    <t>electrical repair services lowell</t>
  </si>
  <si>
    <t>cec electrical services</t>
  </si>
  <si>
    <t>electrical panel installation virginia beach</t>
  </si>
  <si>
    <t>commercial electrical services central london</t>
  </si>
  <si>
    <t>electrical control panel installation</t>
  </si>
  <si>
    <t>0, 2, 2, 2, 2, 0, 1, 1, 4, 1, 2, 0, 0, 0, 0, 1, 0, 0, 1, 2, 1, 12, 14, 10</t>
  </si>
  <si>
    <t>electrical fault repairs rothwell</t>
  </si>
  <si>
    <t>list of electrical services</t>
  </si>
  <si>
    <t>5, 2, 1, 3, 0, 1, 0, 1, 1, 0, 0, 0, 2, 2, 0, 0, 0, 0, 0, 0, 2, 1, 2, 3</t>
  </si>
  <si>
    <t>emergency electrician kingsgrove</t>
  </si>
  <si>
    <t>phs electrical services ltd</t>
  </si>
  <si>
    <t>0, 1, 0, 1, 0, 0, 0, 0, 0, 1, 0, 0, 0, 0, 0, 0, 0, 0, 0, 0, 0, 0, 0, 1</t>
  </si>
  <si>
    <t>electrical repairs sunshine coast</t>
  </si>
  <si>
    <t>buzz electrical services</t>
  </si>
  <si>
    <t>0, 0, 0, 0, 1, 1, 0, 1, 0, 0, 0, 0, 0, 0, 0, 0, 1, 0, 0, 0, 0, 0, 0, 1</t>
  </si>
  <si>
    <t>electrical installation materials</t>
  </si>
  <si>
    <t>0, 0, 1, 0, 0, 3, 5, 4, 1, 0, 3, 14, 5, 2, 2, 0, 0, 2, 0, 0, 3, 4, 2, 1</t>
  </si>
  <si>
    <t>industrial electrical services los angeles</t>
  </si>
  <si>
    <t>0, 0, 0, 0, 1, 1, 1, 1, 0, 0, 2, 0, 0, 0, 0, 0, 0, 0, 0, 0, 0, 0, 0, 1</t>
  </si>
  <si>
    <t>electrical contractor exam preparation</t>
  </si>
  <si>
    <t>0, 0, 1, 3, 0, 0, 0, 0, 0, 0, 0, 1, 0, 0, 0, 0, 0, 0, 0, 0, 0, 0, 0, 1</t>
  </si>
  <si>
    <t>emergency electrician millers point</t>
  </si>
  <si>
    <t>auto electrician northern suburbs cape town</t>
  </si>
  <si>
    <t>commercial electrical services montana</t>
  </si>
  <si>
    <t>types of installation in electrical</t>
  </si>
  <si>
    <t>4, 0, 1, 0, 0, 0, 3, 0, 2, 3, 3, 4, 2, 5, 4, 1, 1, 6, 2, 2, 3, 3, 2, 4</t>
  </si>
  <si>
    <t>emergency electrician neutral bay</t>
  </si>
  <si>
    <t>0, 1, 1, 1, 0, 1, 0, 0, 0, 0, 1, 0, 0, 0, 0, 0, 0, 0, 0, 0, 0, 0, 0, 1</t>
  </si>
  <si>
    <t>north bay electrical installation</t>
  </si>
  <si>
    <t>electrical test services</t>
  </si>
  <si>
    <t>0, 1, 2, 0, 1, 0, 0, 0, 1, 0, 1, 0, 0, 0, 0, 0, 0, 0, 0, 0, 0, 0, 1, 1</t>
  </si>
  <si>
    <t>n&amp;n electrical services ltd</t>
  </si>
  <si>
    <t>at electrical services</t>
  </si>
  <si>
    <t>0, 0, 0, 2, 4, 2, 3, 1, 0, 0, 0, 0, 0, 0, 0, 0, 0, 0, 0, 0, 0, 0, 1, 1</t>
  </si>
  <si>
    <t>electrical services banner</t>
  </si>
  <si>
    <t>garbage disposal installation electrical wiring</t>
  </si>
  <si>
    <t>report on electrical installation</t>
  </si>
  <si>
    <t>commercial electrical services corsham</t>
  </si>
  <si>
    <t>emergency electrician ascot</t>
  </si>
  <si>
    <t>0, 0, 0, 0, 0, 0, 0, 1, 1, 0, 1, 2, 0, 0, 0, 0, 0, 0, 0, 0, 0, 0, 0, 1</t>
  </si>
  <si>
    <t>general electrical services huntfield heights</t>
  </si>
  <si>
    <t>metairie emergency electrician</t>
  </si>
  <si>
    <t>0, 0, 0, 0, 0, 0, 3, 1, 0, 0, 0, 0, 0, 0, 0, 0, 0, 0, 0, 0, 0, 0, 0, 1</t>
  </si>
  <si>
    <t>emergency electrical services memphis</t>
  </si>
  <si>
    <t>electrical wiring services bellevue</t>
  </si>
  <si>
    <t>emergency electrician bromsgrove</t>
  </si>
  <si>
    <t>level 3 electrical installation evening course</t>
  </si>
  <si>
    <t>0, 0, 0, 0, 2, 0, 0, 0, 0, 0, 1, 2, 0, 0, 0, 0, 0, 0, 0, 0, 0, 0, 0, 1</t>
  </si>
  <si>
    <t>24 hour emergency electrician in bondi</t>
  </si>
  <si>
    <t>new electrical motor installation</t>
  </si>
  <si>
    <t>lkt electrical services</t>
  </si>
  <si>
    <t>0, 1, 0, 0, 0, 0, 0, 0, 1, 0, 0, 0, 0, 1, 0, 0, 1, 0, 0, 0, 0, 0, 0, 1</t>
  </si>
  <si>
    <t>electrical panel installation clarksville</t>
  </si>
  <si>
    <t>0, 0, 0, 0, 0, 0, 1, 0, 0, 2, 0, 1, 0, 0, 0, 0, 0, 0, 0, 0, 0, 0, 0, 1</t>
  </si>
  <si>
    <t>electrical services online</t>
  </si>
  <si>
    <t>0, 0, 1, 1, 0, 1, 0, 1, 0, 0, 0, 2, 0, 0, 0, 0, 0, 0, 0, 0, 0, 0, 0, 1</t>
  </si>
  <si>
    <t>electrical wiring services sandwich ma</t>
  </si>
  <si>
    <t>electrical services scarborough</t>
  </si>
  <si>
    <t>testing of electrical installation pdf</t>
  </si>
  <si>
    <t>0, 3, 4, 7, 7, 1, 1, 7, 3, 1, 7, 7, 5, 10, 2, 4, 6, 2, 9, 2, 0, 0, 0, 1</t>
  </si>
  <si>
    <t>electrical repairs king of prussia</t>
  </si>
  <si>
    <t>0, 0, 0, 1, 0, 0, 0, 0, 1, 2, 2, 0, 0, 0, 0, 0, 0, 1, 0, 0, 0, 0, 0, 1</t>
  </si>
  <si>
    <t>electrical installation regulations 2009 pdf</t>
  </si>
  <si>
    <t>0, 0, 0, 0, 0, 0, 3, 17, 8, 0, 0, 4, 0, 1, 0, 0, 0, 0, 0, 0, 0, 0, 0, 1</t>
  </si>
  <si>
    <t>commercial electrical services stoughton</t>
  </si>
  <si>
    <t>domestic and industrial electrical installation</t>
  </si>
  <si>
    <t>home electrical installation acworth ga</t>
  </si>
  <si>
    <t>electrical contractor visiting card</t>
  </si>
  <si>
    <t>0, 0, 2, 2, 1, 0, 0, 0, 1, 0, 0, 0, 1, 0, 0, 0, 0, 0, 0, 0, 0, 1, 0, 1</t>
  </si>
  <si>
    <t>terry's electrical services</t>
  </si>
  <si>
    <t>noor electrical services</t>
  </si>
  <si>
    <t>independent electrical contractor</t>
  </si>
  <si>
    <t>0, 0, 0, 0, 0, 0, 0, 0, 0, 1, 0, 0, 0, 0, 1, 0, 0, 1, 0, 0, 0, 0, 0, 1</t>
  </si>
  <si>
    <t>first choice electrical services</t>
  </si>
  <si>
    <t>0, 0, 0, 1, 0, 0, 1, 0, 0, 1, 0, 0, 0, 0, 0, 0, 0, 0, 0, 0, 0, 0, 0, 1</t>
  </si>
  <si>
    <t>electrical contractor elgin</t>
  </si>
  <si>
    <t>oakwood electrical services</t>
  </si>
  <si>
    <t>electrical installation guide</t>
  </si>
  <si>
    <t>5, 2, 0, 2, 0, 0, 0, 2, 4, 10, 4, 1, 2, 4, 1, 5, 0, 0, 1, 0, 0, 1, 1, 1</t>
  </si>
  <si>
    <t>free emergency electrician near me</t>
  </si>
  <si>
    <t>0, 1, 0, 1, 0, 0, 0, 2, 0, 0, 0, 0, 0, 0, 0, 0, 0, 0, 0, 0, 0, 0, 0, 1</t>
  </si>
  <si>
    <t>electrical services norwich</t>
  </si>
  <si>
    <t>electrical remedial repairs</t>
  </si>
  <si>
    <t>emergency electrician services</t>
  </si>
  <si>
    <t>1, 4, 1, 5, 9, 4, 2, 4, 4, 20, 17, 16, 0, 1, 0, 2, 0, 1, 0, 1, 0, 3, 0, 2</t>
  </si>
  <si>
    <t>nj electrical services</t>
  </si>
  <si>
    <t>0, 0, 0, 0, 0, 0, 0, 0, 0, 1, 0, 0, 0, 0, 0, 4, 0, 0, 0, 0, 0, 0, 0, 1</t>
  </si>
  <si>
    <t>electrical installation engineer</t>
  </si>
  <si>
    <t>0, 0, 2, 0, 0, 1, 0, 1, 0, 1, 0, 0, 0, 0, 0, 0, 0, 0, 0, 0, 0, 0, 0, 1</t>
  </si>
  <si>
    <t>electrical repairs orlando</t>
  </si>
  <si>
    <t>electrical services for businesses in chichester</t>
  </si>
  <si>
    <t>0, 0, 0, 0, 0, 0, 0, 1, 0, 1, 0, 0, 0, 0, 0, 0, 0, 0, 0, 0, 2, 1, 0, 2</t>
  </si>
  <si>
    <t>emergency electrician denton tx</t>
  </si>
  <si>
    <t>field electrical and data installation</t>
  </si>
  <si>
    <t>requirement for electrical installation</t>
  </si>
  <si>
    <t>0, 0, 0, 0, 0, 0, 0, 0, 0, 0, 0, 0, 1, 0, 0, 0, 0, 0, 0, 1, 0, 0, 0, 1</t>
  </si>
  <si>
    <t>lawson electrical services</t>
  </si>
  <si>
    <t>0, 0, 0, 0, 0, 0, 0, 0, 0, 0, 0, 0, 0, 0, 0, 1, 0, 1, 0, 0, 0, 0, 0, 1</t>
  </si>
  <si>
    <t>l&amp;f electrical services</t>
  </si>
  <si>
    <t>1, 0, 1, 1, 2, 1, 0, 0, 0, 0, 0, 0, 0, 0, 0, 0, 0, 0, 0, 0, 0, 0, 0, 1</t>
  </si>
  <si>
    <t>wagner electrical services</t>
  </si>
  <si>
    <t>house installation electrical</t>
  </si>
  <si>
    <t>8, 6, 3, 9, 5, 5, 2, 5, 11, 3, 4, 13, 2, 2, 5, 1, 1, 0, 3, 0, 8, 7, 0, 6</t>
  </si>
  <si>
    <t>santa barbara electrical contractor</t>
  </si>
  <si>
    <t>nvq level 2 electrical installation</t>
  </si>
  <si>
    <t>electrical contractor norhridge</t>
  </si>
  <si>
    <t>1, 1, 0, 0, 0, 0, 0, 1, 0, 2, 1, 0, 0, 0, 0, 0, 0, 0, 0, 0, 0, 0, 0, 1</t>
  </si>
  <si>
    <t>emergency electrician northwood</t>
  </si>
  <si>
    <t>electrical contractor rockhampton</t>
  </si>
  <si>
    <t>2, 0, 0, 0, 1, 1, 0, 1, 0, 0, 0, 0, 0, 0, 0, 0, 0, 0, 0, 0, 0, 0, 0, 1</t>
  </si>
  <si>
    <t>commercial electrical services burleson tx</t>
  </si>
  <si>
    <t>emergency electrical repairs burleson tx</t>
  </si>
  <si>
    <t>electrical installation waverly ne</t>
  </si>
  <si>
    <t>marshall electrical services</t>
  </si>
  <si>
    <t>sic code for electrical services</t>
  </si>
  <si>
    <t>3, 0, 2, 1, 0, 0, 1, 2, 0, 6, 2, 1, 0, 0, 2, 0, 0, 0, 0, 1, 0, 0, 0, 1</t>
  </si>
  <si>
    <t>jws electrical services</t>
  </si>
  <si>
    <t>2, 0, 4, 3, 0, 1, 2, 2, 0, 0, 0, 5, 0, 0, 0, 2, 0, 0, 0, 1, 0, 0, 0, 1</t>
  </si>
  <si>
    <t>free electrical contractor website template</t>
  </si>
  <si>
    <t>1, 0, 0, 1, 0, 0, 0, 0, 0, 1, 0, 0, 0, 0, 0, 0, 0, 0, 0, 0, 0, 0, 0, 1</t>
  </si>
  <si>
    <t>electrical contractor company longboat key fl</t>
  </si>
  <si>
    <t>commercial electrical services farmers branch tx</t>
  </si>
  <si>
    <t>electrical contractor ppc marketing</t>
  </si>
  <si>
    <t>graham electrical services</t>
  </si>
  <si>
    <t>1, 0, 0, 0, 0, 1, 2, 0, 2, 0, 0, 0, 8, 1, 0, 0, 0, 0, 0, 0, 0, 0, 0, 1</t>
  </si>
  <si>
    <t>electrical residential services</t>
  </si>
  <si>
    <t>3, 3, 2, 5, 3, 1, 3, 6, 1, 5, 2, 0, 0, 0, 0, 0, 0, 0, 0, 2, 0, 0, 0, 1</t>
  </si>
  <si>
    <t>bayswater emergency electrician</t>
  </si>
  <si>
    <t>electrical ceiling fan installation</t>
  </si>
  <si>
    <t>reeds electrical services</t>
  </si>
  <si>
    <t>0, 0, 0, 0, 0, 1, 3, 2, 0, 0, 0, 0, 0, 0, 0, 0, 0, 0, 0, 0, 0, 0, 0, 1</t>
  </si>
  <si>
    <t>emergency auto electrician</t>
  </si>
  <si>
    <t>0, 0, 1, 0, 0, 0, 0, 0, 1, 0, 1, 0, 3, 1, 0, 0, 4, 0, 0, 2, 0, 0, 0, 1</t>
  </si>
  <si>
    <t>residential electrical services chicagoland</t>
  </si>
  <si>
    <t>electrical contractor los angeles</t>
  </si>
  <si>
    <t>1, 2, 1, 0, 2, 1, 1, 0, 0, 1, 1, 3, 0, 0, 0, 0, 0, 0, 0, 0, 0, 1, 0, 1</t>
  </si>
  <si>
    <t>electrical services for businesses in pittsfield</t>
  </si>
  <si>
    <t>0, 0, 0, 0, 0, 0, 0, 0, 0, 0, 1, 1, 0, 0, 0, 1, 0, 3, 1, 0, 0, 1, 0, 1</t>
  </si>
  <si>
    <t>electrical installation course requirements</t>
  </si>
  <si>
    <t>2, 0, 0, 0, 0, 0, 1, 1, 5, 0, 2, 1, 1, 4, 3, 0, 2, 3, 6, 3, 4, 2, 2, 1</t>
  </si>
  <si>
    <t>electrical products and services</t>
  </si>
  <si>
    <t>0, 0, 2, 0, 1, 0, 0, 0, 0, 0, 1, 0, 0, 0, 0, 0, 0, 0, 0, 0, 1, 0, 0, 1</t>
  </si>
  <si>
    <t>plumbing electrical services</t>
  </si>
  <si>
    <t>0, 0, 0, 0, 0, 0, 0, 1, 0, 0, 0, 1, 1, 1, 0, 0, 0, 0, 0, 0, 0, 0, 0, 1</t>
  </si>
  <si>
    <t>industrial electrical contractor boston ma</t>
  </si>
  <si>
    <t>electrical contractor royston</t>
  </si>
  <si>
    <t>emergency electrician liverpool</t>
  </si>
  <si>
    <t>1, 2, 0, 0, 0, 2, 0, 2, 2, 1, 3, 3, 0, 1, 1, 0, 0, 0, 0, 0, 0, 0, 0, 1</t>
  </si>
  <si>
    <t>electrical contractor gold coast</t>
  </si>
  <si>
    <t>0, 1, 3, 2, 0, 1, 0, 0, 0, 0, 0, 1, 0, 0, 0, 0, 0, 0, 0, 0, 0, 0, 0, 1</t>
  </si>
  <si>
    <t>paris electrical contractor</t>
  </si>
  <si>
    <t>jsk electrical services inc</t>
  </si>
  <si>
    <t>24 7 electrical services las vegas</t>
  </si>
  <si>
    <t>kdm electrical services</t>
  </si>
  <si>
    <t>knight electrical services</t>
  </si>
  <si>
    <t>0, 0, 0, 1, 1, 2, 2, 1, 0, 0, 0, 0, 0, 0, 0, 1, 0, 0, 0, 0, 0, 2, 0, 2</t>
  </si>
  <si>
    <t>electrical service contractor ramona</t>
  </si>
  <si>
    <t>swimming pool electrical services concord, nc</t>
  </si>
  <si>
    <t>0, 0, 0, 0, 0, 0, 0, 0, 2, 0, 3, 0, 0, 1, 0, 0, 0, 0, 0, 0, 0, 0, 0, 1</t>
  </si>
  <si>
    <t>electrician vacancies in cape town</t>
  </si>
  <si>
    <t>2, 25, 0, 0, 0, 0, 0, 0, 1, 0, 0, 0, 0, 0, 0, 0, 0, 11, 5, 0, 0, 0, 0, 1</t>
  </si>
  <si>
    <t>electrical installation westbury</t>
  </si>
  <si>
    <t>materials in electrical installation</t>
  </si>
  <si>
    <t>emergency electrician parkwood</t>
  </si>
  <si>
    <t>0, 0, 0, 0, 0, 0, 1, 0, 1, 1, 0, 0, 0, 0, 0, 0, 0, 0, 0, 0, 0, 0, 0, 2</t>
  </si>
  <si>
    <t>24 hr emergency electrician</t>
  </si>
  <si>
    <t>0, 1, 0, 0, 0, 0, 1, 1, 0, 0, 4, 1, 0, 0, 0, 0, 0, 0, 0, 0, 0, 0, 0, 1</t>
  </si>
  <si>
    <t>electrical repairs in brandon</t>
  </si>
  <si>
    <t>electrical design and installation</t>
  </si>
  <si>
    <t>1, 0, 1, 1, 0, 2, 1, 0, 0, 2, 0, 0, 1, 0, 0, 0, 0, 0, 0, 0, 1, 0, 0, 1</t>
  </si>
  <si>
    <t>city electrical services aust pty ltd</t>
  </si>
  <si>
    <t>emergency electrician rouse hill</t>
  </si>
  <si>
    <t>emergency electrician lewisville tx</t>
  </si>
  <si>
    <t>parmelia emergency electrician</t>
  </si>
  <si>
    <t>0, 0, 0, 0, 0, 1, 0, 0, 1, 0, 0, 1, 0, 1, 0, 0, 0, 0, 0, 0, 0, 0, 0, 1</t>
  </si>
  <si>
    <t>long island electrical services</t>
  </si>
  <si>
    <t>types of conduits used in electrical installation</t>
  </si>
  <si>
    <t>0, 1, 0, 0, 1, 0, 1, 0, 0, 0, 0, 0, 0, 0, 1, 1, 1, 0, 0, 1, 0, 0, 0, 1</t>
  </si>
  <si>
    <t>emergency electrician dromana</t>
  </si>
  <si>
    <t>adb electrical services</t>
  </si>
  <si>
    <t>logan electrical services</t>
  </si>
  <si>
    <t>1, 0, 1, 0, 0, 2, 2, 1, 1, 3, 1, 0, 1, 2, 0, 0, 0, 0, 0, 0, 0, 0, 0, 1</t>
  </si>
  <si>
    <t>gosnells emergency electrician</t>
  </si>
  <si>
    <t>h &amp; a electrical services</t>
  </si>
  <si>
    <t>arellano electrical services</t>
  </si>
  <si>
    <t>electrical services oakville</t>
  </si>
  <si>
    <t>commercial electrical services san antonio</t>
  </si>
  <si>
    <t>scope of work electrical contractor</t>
  </si>
  <si>
    <t>basic electrical installation pdf</t>
  </si>
  <si>
    <t>0, 0, 1, 0, 0, 0, 0, 0, 1, 0, 0, 0, 1, 3, 0, 1, 0, 1, 0, 0, 0, 0, 0, 1</t>
  </si>
  <si>
    <t>marietta emergency electrician</t>
  </si>
  <si>
    <t>electrical contractor rayleigh</t>
  </si>
  <si>
    <t>electrical panel installation harrison county</t>
  </si>
  <si>
    <t>electrical equipment services</t>
  </si>
  <si>
    <t>0, 0, 1, 0, 0, 2, 0, 0, 1, 0, 0, 0, 0, 0, 0, 0, 0, 0, 0, 0, 0, 0, 0, 1</t>
  </si>
  <si>
    <t>electrical services victoria</t>
  </si>
  <si>
    <t>0, 3, 0, 1, 0, 4, 4, 0, 3, 1, 1, 5, 0, 0, 0, 0, 0, 0, 0, 0, 0, 0, 0, 1</t>
  </si>
  <si>
    <t>emergency electrician dolphin coast</t>
  </si>
  <si>
    <t>richmond emergency electrician</t>
  </si>
  <si>
    <t>electrical car charger installation</t>
  </si>
  <si>
    <t>1, 2, 0, 3, 1, 1, 0, 0, 1, 1, 9, 0, 3, 0, 0, 0, 0, 0, 0, 0, 0, 0, 0, 1</t>
  </si>
  <si>
    <t>electrical contractor petrie</t>
  </si>
  <si>
    <t>emergency electrician newquay</t>
  </si>
  <si>
    <t>0, 0, 0, 0, 0, 0, 0, 0, 0, 1, 0, 0, 0, 0, 0, 0, 0, 0, 0, 0, 0, 0, 3, 1</t>
  </si>
  <si>
    <t>electrical installation safety</t>
  </si>
  <si>
    <t>0, 0, 0, 0, 0, 0, 0, 1, 0, 0, 0, 4, 0, 0, 0, 0, 0, 0, 0, 0, 0, 0, 3, 2</t>
  </si>
  <si>
    <t>pyramid electrical services</t>
  </si>
  <si>
    <t>electrical services cedar falls</t>
  </si>
  <si>
    <t>1, 1, 0, 1, 1, 0, 0, 0, 0, 0, 0, 0, 0, 0, 0, 0, 0, 0, 0, 0, 0, 0, 0, 1</t>
  </si>
  <si>
    <t>wired electrical services houston</t>
  </si>
  <si>
    <t>electrical services in mohali</t>
  </si>
  <si>
    <t>classification of electrical installation</t>
  </si>
  <si>
    <t>electrical contractor bethel</t>
  </si>
  <si>
    <t>0, 0, 0, 0, 0, 0, 0, 0, 0, 0, 2, 3, 0, 0, 0, 0, 0, 0, 0, 0, 0, 0, 0, 1</t>
  </si>
  <si>
    <t>peppermint grove emergency electrician</t>
  </si>
  <si>
    <t>0, 0, 0, 0, 0, 0, 0, 1, 0, 1, 2, 2, 0, 0, 0, 0, 0, 0, 0, 0, 0, 0, 0, 1</t>
  </si>
  <si>
    <t>auto electrical services bayswater</t>
  </si>
  <si>
    <t>keysbrook emergency electrician</t>
  </si>
  <si>
    <t>0, 0, 0, 0, 0, 0, 1, 0, 0, 3, 1, 0, 0, 0, 0, 0, 0, 0, 0, 0, 0, 0, 0, 1</t>
  </si>
  <si>
    <t>do it all electrical services</t>
  </si>
  <si>
    <t>emergency electrician carnegie</t>
  </si>
  <si>
    <t>0, 0, 0, 3, 4, 0, 0, 0, 0, 0, 0, 1, 0, 0, 0, 0, 0, 0, 0, 0, 0, 0, 0, 1</t>
  </si>
  <si>
    <t>emergency electrician chichester</t>
  </si>
  <si>
    <t>0, 2, 1, 1, 0, 0, 0, 0, 0, 0, 0, 0, 0, 0, 0, 0, 0, 0, 0, 0, 0, 0, 0, 1</t>
  </si>
  <si>
    <t>s. k. auto electrical and mobile repairs durban</t>
  </si>
  <si>
    <t>emergency electrician pembroke</t>
  </si>
  <si>
    <t>0, 1, 1, 1, 1, 0, 1, 0, 3, 1, 0, 0, 0, 0, 0, 0, 0, 0, 0, 0, 0, 0, 0, 1</t>
  </si>
  <si>
    <t>emergency electrician morningside</t>
  </si>
  <si>
    <t>emergency electrical repairs richmond oh</t>
  </si>
  <si>
    <t>residential electrical services wesley chapel</t>
  </si>
  <si>
    <t>electrical installation videos</t>
  </si>
  <si>
    <t>0, 2, 0, 0, 0, 0, 0, 0, 0, 0, 0, 0, 0, 0, 0, 0, 1, 0, 0, 0, 0, 0, 0, 1</t>
  </si>
  <si>
    <t>hlaba electrical services</t>
  </si>
  <si>
    <t>jsa for electrical panel installation</t>
  </si>
  <si>
    <t>0, 0, 1, 0, 0, 0, 1, 1, 1, 0, 0, 0, 0, 0, 0, 0, 1, 0, 0, 0, 0, 0, 0, 1</t>
  </si>
  <si>
    <t>gold coast electrical services</t>
  </si>
  <si>
    <t>0, 0, 3, 4, 0, 1, 0, 1, 0, 1, 1, 0, 0, 0, 0, 0, 0, 0, 0, 0, 0, 0, 0, 1</t>
  </si>
  <si>
    <t>electrical contractors accounting services</t>
  </si>
  <si>
    <t>electrical installation labour times</t>
  </si>
  <si>
    <t>contractor electrical distributors</t>
  </si>
  <si>
    <t>west houston electrical services</t>
  </si>
  <si>
    <t>electrical contractor insurance louisiana</t>
  </si>
  <si>
    <t>fairfield electrical services</t>
  </si>
  <si>
    <t>irvine electrical contractor</t>
  </si>
  <si>
    <t>electrical contractor atlanta</t>
  </si>
  <si>
    <t>0, 1, 0, 0, 0, 1, 1, 1, 0, 0, 1, 2, 0, 0, 0, 0, 0, 0, 0, 0, 0, 0, 0, 1</t>
  </si>
  <si>
    <t>hot tub electrical installation in pittsfield</t>
  </si>
  <si>
    <t>0, 0, 0, 0, 0, 0, 0, 0, 0, 0, 0, 0, 1, 0, 0, 0, 0, 1, 0, 0, 1, 1, 0, 1</t>
  </si>
  <si>
    <t>dawson electrical services</t>
  </si>
  <si>
    <t>electrical services noble county</t>
  </si>
  <si>
    <t>dents electrical services</t>
  </si>
  <si>
    <t>building services electrical engineer jobs</t>
  </si>
  <si>
    <t>0, 0, 0, 1, 2, 1, 0, 1, 0, 1, 0, 0, 0, 0, 0, 0, 0, 0, 0, 0, 0, 0, 0, 1</t>
  </si>
  <si>
    <t>electrical panel installation madison county</t>
  </si>
  <si>
    <t>fredericksburg electrical repairs</t>
  </si>
  <si>
    <t>electrical repairs glasgow</t>
  </si>
  <si>
    <t>electrical services portland or</t>
  </si>
  <si>
    <t>residential electrical contractor near me</t>
  </si>
  <si>
    <t>2, 1, 1, 3, 5, 6, 2, 3, 2, 2, 6, 0, 0, 0, 0, 0, 0, 1, 0, 0, 1, 0, 0, 1</t>
  </si>
  <si>
    <t>electrical installation guide pdf download</t>
  </si>
  <si>
    <t>0, 0, 0, 0, 0, 0, 0, 0, 1, 0, 1, 0, 0, 0, 5, 0, 1, 0, 0, 0, 0, 0, 0, 1</t>
  </si>
  <si>
    <t>electrical contractor wa</t>
  </si>
  <si>
    <t>electrical services camano island</t>
  </si>
  <si>
    <t>electrical panel installation seaford</t>
  </si>
  <si>
    <t>electrical contractor business insurance</t>
  </si>
  <si>
    <t>emergency electrician woodpark</t>
  </si>
  <si>
    <t>electrical wiring installation south africa</t>
  </si>
  <si>
    <t>0, 0, 0, 0, 0, 0, 0, 0, 0, 0, 0, 0, 0, 0, 0, 0, 0, 0, 0, 0, 0, 4, 0, 1</t>
  </si>
  <si>
    <t>electrical contractor bellevue wa</t>
  </si>
  <si>
    <t>auto electrical repairs berwick</t>
  </si>
  <si>
    <t>0, 0, 0, 0, 0, 1, 0, 0, 0, 1, 3, 0, 0, 0, 0, 0, 0, 0, 0, 0, 0, 0, 0, 1</t>
  </si>
  <si>
    <t>electrical handyman services ottawa</t>
  </si>
  <si>
    <t>business electrical installation houston tx</t>
  </si>
  <si>
    <t>sun prairie electrical installation</t>
  </si>
  <si>
    <t>electrical repairs linville, nc</t>
  </si>
  <si>
    <t>0, 0, 0, 0, 0, 0, 0, 0, 0, 1, 2, 1, 1, 0, 0, 0, 0, 0, 0, 0, 0, 2, 0, 2</t>
  </si>
  <si>
    <t>electrical services for building managers london</t>
  </si>
  <si>
    <t>electrical contractor business invoicing software</t>
  </si>
  <si>
    <t>nhlane electrical and civil contractor</t>
  </si>
  <si>
    <t>commercial electrical services southport</t>
  </si>
  <si>
    <t>emergency electrician centennial park</t>
  </si>
  <si>
    <t>motorcycle electrical repairs near me</t>
  </si>
  <si>
    <t>ameco electrical services ltd</t>
  </si>
  <si>
    <t>hot tub electrical installation cost</t>
  </si>
  <si>
    <t>1, 0, 0, 0, 0, 1, 0, 0, 0, 4, 2, 4, 0, 0, 0, 0, 0, 1, 0, 0, 0, 0, 0, 1</t>
  </si>
  <si>
    <t>dg electrical services</t>
  </si>
  <si>
    <t>emergency electrician darlinghurst</t>
  </si>
  <si>
    <t>electrical installation jobs near me</t>
  </si>
  <si>
    <t>1, 0, 0, 0, 1, 4, 9, 0, 1, 1, 0, 0, 0, 0, 0, 0, 0, 4, 4, 0, 0, 0, 0, 1</t>
  </si>
  <si>
    <t>electrical contractor pearland</t>
  </si>
  <si>
    <t>level 3 electrical installation course near me</t>
  </si>
  <si>
    <t>electrical repair services lakeland fl</t>
  </si>
  <si>
    <t>0, 0, 0, 0, 1, 0, 1, 0, 1, 0, 0, 2, 0, 0, 0, 0, 0, 0, 0, 0, 0, 0, 0, 1</t>
  </si>
  <si>
    <t>allstar electrical services</t>
  </si>
  <si>
    <t>electrical meter installation jobs</t>
  </si>
  <si>
    <t>nc electrical contractor license</t>
  </si>
  <si>
    <t>electrical contractor kingston</t>
  </si>
  <si>
    <t>electrical contractor glendale az</t>
  </si>
  <si>
    <t>electrical contractor company profile sample</t>
  </si>
  <si>
    <t>office fit out electrical contractor</t>
  </si>
  <si>
    <t>jmac electrical services</t>
  </si>
  <si>
    <t>emergency electrician bella vista</t>
  </si>
  <si>
    <t>0, 0, 0, 0, 0, 0, 1, 0, 1, 0, 0, 2, 0, 0, 0, 0, 0, 0, 0, 0, 0, 0, 0, 1</t>
  </si>
  <si>
    <t>electrical installation kensington</t>
  </si>
  <si>
    <t>electrical contractor horizon city tx</t>
  </si>
  <si>
    <t>0, 0, 2, 0, 1, 0, 0, 0, 0, 1, 0, 0, 0, 0, 0, 0, 0, 0, 0, 0, 0, 0, 0, 1</t>
  </si>
  <si>
    <t>electrical contractor norwich</t>
  </si>
  <si>
    <t>electrical contractor insurance texas</t>
  </si>
  <si>
    <t>electrical contractor north lakes</t>
  </si>
  <si>
    <t>electrician vs electrical contractor</t>
  </si>
  <si>
    <t>1, 0, 0, 0, 0, 0, 0, 1, 1, 0, 0, 0, 0, 0, 1, 0, 0, 0, 0, 0, 0, 0, 0, 1</t>
  </si>
  <si>
    <t>auto electrical installation near me</t>
  </si>
  <si>
    <t>electrical repair contractor gulfport</t>
  </si>
  <si>
    <t>emergency electrician glenorie</t>
  </si>
  <si>
    <t>western electrical services</t>
  </si>
  <si>
    <t>0, 0, 1, 0, 0, 0, 0, 0, 0, 0, 0, 0, 0, 1, 0, 0, 0, 0, 0, 0, 1, 0, 0, 1</t>
  </si>
  <si>
    <t>types of wiring in electrical installation</t>
  </si>
  <si>
    <t>0, 0, 0, 0, 0, 0, 1, 0, 0, 0, 0, 0, 1, 0, 0, 0, 0, 0, 4, 0, 1, 0, 0, 1</t>
  </si>
  <si>
    <t>orion electrical services</t>
  </si>
  <si>
    <t>underground electrical conduit installation</t>
  </si>
  <si>
    <t>4, 0, 0, 1, 0, 0, 0, 2, 2, 0, 6, 0, 0, 2, 0, 4, 0, 0, 0, 1, 0, 0, 1, 1</t>
  </si>
  <si>
    <t>electrical installation level 3</t>
  </si>
  <si>
    <t>1, 1, 0, 5, 1, 0, 1, 0, 0, 0, 0, 0, 0, 2, 0, 2, 0, 0, 1, 1, 0, 1, 0, 1</t>
  </si>
  <si>
    <t>electrical panel installation old hickory</t>
  </si>
  <si>
    <t>0, 0, 0, 1, 1, 0, 0, 3, 0, 0, 0, 0, 0, 0, 0, 0, 0, 0, 0, 0, 0, 0, 0, 1</t>
  </si>
  <si>
    <t>electrical services howick</t>
  </si>
  <si>
    <t>commercial electrical services auckland</t>
  </si>
  <si>
    <t>electrical services gugulethu</t>
  </si>
  <si>
    <t>0, 0, 0, 0, 0, 0, 0, 0, 0, 0, 0, 0, 0, 0, 0, 14, 3, 0, 0, 0, 0, 0, 0, 1</t>
  </si>
  <si>
    <t>emergency electrician fort smith</t>
  </si>
  <si>
    <t>electrical installation pomona</t>
  </si>
  <si>
    <t>electrical it services</t>
  </si>
  <si>
    <t>electrical services kawartha lakes</t>
  </si>
  <si>
    <t>0, 1, 1, 0, 0, 2, 0, 0, 0, 1, 0, 0, 0, 0, 0, 0, 0, 0, 0, 0, 0, 0, 0, 1</t>
  </si>
  <si>
    <t>electrical services chennai</t>
  </si>
  <si>
    <t>electrical grounding rod installation</t>
  </si>
  <si>
    <t>0, 0, 0, 0, 0, 0, 0, 0, 0, 0, 0, 0, 0, 1, 0, 0, 0, 0, 5, 2, 0, 1, 1, 2</t>
  </si>
  <si>
    <t>electrical installation books pdf</t>
  </si>
  <si>
    <t>electrical contractor chatsworth</t>
  </si>
  <si>
    <t>electrical contractor brochure</t>
  </si>
  <si>
    <t>electrical company marketing services</t>
  </si>
  <si>
    <t>2, 0, 0, 0, 1, 1, 1, 1, 1, 1, 4, 0, 0, 0, 0, 0, 0, 0, 0, 0, 0, 0, 0, 1</t>
  </si>
  <si>
    <t>electrical calibration lab services</t>
  </si>
  <si>
    <t>security &amp; electrical services</t>
  </si>
  <si>
    <t>kelly electrical services</t>
  </si>
  <si>
    <t>emergency electrician west pennant hills</t>
  </si>
  <si>
    <t>reasons for earthing in electrical installation</t>
  </si>
  <si>
    <t>+bayview +heights +electrical +services</t>
  </si>
  <si>
    <t>electrical contractor inc</t>
  </si>
  <si>
    <t>degree air conditioning &amp; electrical services ltd</t>
  </si>
  <si>
    <t>electrical services peregian beach south</t>
  </si>
  <si>
    <t>schneider electrical installation guide 2021 pdf</t>
  </si>
  <si>
    <t>level 3 electrical installation fast track</t>
  </si>
  <si>
    <t>professional electrical repairs</t>
  </si>
  <si>
    <t>0, 1, 0, 1, 0, 0, 1, 0, 0, 0, 1, 1, 0, 0, 0, 0, 0, 0, 0, 0, 1, 0, 0, 1</t>
  </si>
  <si>
    <t>mcr electrical services</t>
  </si>
  <si>
    <t>0, 0, 0, 0, 0, 0, 0, 1, 1, 0, 0, 1, 0, 0, 0, 0, 0, 4, 2, 1, 0, 0, 0, 1</t>
  </si>
  <si>
    <t>electrical services in grabouw, western cape</t>
  </si>
  <si>
    <t>24 hour emergency electrician in bristol</t>
  </si>
  <si>
    <t>1, 0, 2, 1, 2, 0, 0, 0, 0, 0, 1, 0, 0, 0, 0, 0, 0, 0, 0, 0, 0, 0, 0, 1</t>
  </si>
  <si>
    <t>rnb electrical services</t>
  </si>
  <si>
    <t>3, 1, 0, 0, 1, 0, 0, 0, 0, 1, 0, 0, 0, 0, 0, 0, 0, 0, 3, 1, 1, 0, 2, 1</t>
  </si>
  <si>
    <t>electrical contractor magazine</t>
  </si>
  <si>
    <t>2, 0, 1, 3, 0, 3, 0, 1, 1, 2, 1, 1, 0, 0, 1, 0, 1, 1, 0, 0, 0, 0, 0, 1</t>
  </si>
  <si>
    <t>schultz electrical services</t>
  </si>
  <si>
    <t>0, 0, 0, 0, 0, 0, 0, 0, 0, 0, 0, 0, 1, 0, 0, 0, 0, 0, 0, 1, 0, 1, 0, 1</t>
  </si>
  <si>
    <t>emergency electrician eastbourne</t>
  </si>
  <si>
    <t>0, 1, 0, 0, 1, 0, 0, 2, 1, 2, 1, 0, 0, 0, 2, 0, 0, 0, 0, 0, 0, 0, 0, 1</t>
  </si>
  <si>
    <t>star electrical services</t>
  </si>
  <si>
    <t>0, 0, 0, 1, 0, 0, 1, 0, 1, 0, 0, 0, 0, 0, 0, 0, 0, 0, 0, 0, 0, 0, 0, 1</t>
  </si>
  <si>
    <t>electrical meter installation cost</t>
  </si>
  <si>
    <t>0, 0, 0, 0, 1, 2, 0, 0, 0, 0, 1, 0, 3, 0, 0, 0, 1, 0, 0, 0, 0, 0, 3, 1</t>
  </si>
  <si>
    <t>new castle county electrical services</t>
  </si>
  <si>
    <t>1, 1, 2, 0, 1, 1, 0, 1, 0, 0, 0, 0, 0, 0, 0, 0, 0, 0, 0, 0, 0, 0, 0, 1</t>
  </si>
  <si>
    <t>electrical calibration services perth</t>
  </si>
  <si>
    <t>symbols for electrical installation</t>
  </si>
  <si>
    <t>0, 0, 0, 0, 0, 0, 0, 0, 0, 0, 0, 1, 0, 0, 0, 0, 0, 0, 0, 0, 0, 0, 1, 1</t>
  </si>
  <si>
    <t>electrical contractor san jose ca</t>
  </si>
  <si>
    <t>0, 0, 0, 2, 0, 0, 0, 0, 1, 0, 1, 2, 0, 0, 0, 0, 0, 0, 0, 0, 0, 0, 0, 1</t>
  </si>
  <si>
    <t>residential electrical services orlando</t>
  </si>
  <si>
    <t>0, 0, 2, 2, 0, 0, 1, 0, 0, 0, 0, 0, 1, 0, 0, 0, 0, 0, 0, 0, 0, 0, 0, 1</t>
  </si>
  <si>
    <t>albert electrical services</t>
  </si>
  <si>
    <t>0, 0, 0, 0, 0, 0, 0, 0, 0, 0, 0, 0, 0, 0, 0, 0, 0, 0, 0, 2, 0, 0, 0, 1</t>
  </si>
  <si>
    <t>electrical services in uitenhage</t>
  </si>
  <si>
    <t>0, 0, 0, 0, 0, 0, 0, 0, 0, 0, 0, 0, 0, 0, 0, 3, 2, 2, 0, 0, 0, 0, 0, 1</t>
  </si>
  <si>
    <t>emergency electrician caboolture</t>
  </si>
  <si>
    <t>auto electrical repairs clyde</t>
  </si>
  <si>
    <t>0, 1, 0, 0, 1, 0, 0, 0, 1, 0, 1, 2, 0, 0, 0, 0, 0, 0, 0, 0, 0, 0, 0, 1</t>
  </si>
  <si>
    <t>enersol electrical services</t>
  </si>
  <si>
    <t>0, 0, 1, 0, 0, 0, 1, 3, 0, 0, 0, 0, 0, 0, 0, 0, 0, 0, 0, 0, 0, 0, 0, 1</t>
  </si>
  <si>
    <t>emergency electrician spring</t>
  </si>
  <si>
    <t>js electrical services</t>
  </si>
  <si>
    <t>0, 1, 0, 1, 0, 0, 1, 0, 1, 1, 0, 0, 0, 0, 0, 0, 1, 0, 0, 1, 0, 0, 0, 1</t>
  </si>
  <si>
    <t>electrical building services design software</t>
  </si>
  <si>
    <t>wizard electrical services</t>
  </si>
  <si>
    <t>21, 40, 4, 3, 2, 0, 4, 12, 34, 42, 67, 11, 3, 0, 3, 1, 0, 0, 0, 3, 0, 3, 0, 2</t>
  </si>
  <si>
    <t>electrical services sw18</t>
  </si>
  <si>
    <t>electrical installation regulations 2020</t>
  </si>
  <si>
    <t>emergency electrician milwaukee</t>
  </si>
  <si>
    <t>0, 0, 0, 0, 0, 0, 0, 1, 0, 0, 2, 2, 0, 0, 0, 0, 0, 0, 0, 0, 0, 0, 0, 1</t>
  </si>
  <si>
    <t>electrical installation &amp; maintenance</t>
  </si>
  <si>
    <t>1, 1, 0, 0, 0, 0, 0, 0, 0, 1, 1, 1, 0, 1, 1, 0, 0, 0, 1, 0, 0, 0, 0, 2</t>
  </si>
  <si>
    <t>multi electrical services</t>
  </si>
  <si>
    <t>houma electrical panel installation</t>
  </si>
  <si>
    <t>city and guilds electrical installation level 1</t>
  </si>
  <si>
    <t>1, 0, 0, 2, 0, 0, 2, 2, 0, 2, 0, 0, 0, 0, 0, 0, 0, 2, 0, 0, 0, 0, 0, 1</t>
  </si>
  <si>
    <t>emergency electrician como</t>
  </si>
  <si>
    <t>0, 0, 0, 2, 0, 1, 1, 0, 1, 0, 0, 2, 1, 1, 0, 0, 0, 0, 0, 0, 0, 0, 0, 1</t>
  </si>
  <si>
    <t>ashburn emergency electrician</t>
  </si>
  <si>
    <t>electrical installation engineer job description</t>
  </si>
  <si>
    <t>cal-tech electrical services ltd</t>
  </si>
  <si>
    <t>0, 0, 0, 0, 0, 0, 0, 0, 0, 0, 0, 1, 0, 0, 0, 0, 0, 1, 0, 0, 0, 0, 0, 1</t>
  </si>
  <si>
    <t>omega electrical services</t>
  </si>
  <si>
    <t>emergency electrical services</t>
  </si>
  <si>
    <t>13, 19, 14, 20, 24, 30, 21, 19, 39, 84, 78, 3, 2, 5, 3, 6, 5, 16, 2, 2, 5, 0, 0, 3</t>
  </si>
  <si>
    <t>electrical contractor in houston</t>
  </si>
  <si>
    <t>k&amp;w electrical services</t>
  </si>
  <si>
    <t>emergency electrician edgecliff</t>
  </si>
  <si>
    <t>kitchen electrical installation</t>
  </si>
  <si>
    <t>1, 1, 0, 0, 0, 0, 1, 0, 0, 1, 0, 1, 0, 1, 1, 0, 0, 0, 0, 1, 0, 0, 0, 1</t>
  </si>
  <si>
    <t>electrical installation kernersville, nc</t>
  </si>
  <si>
    <t>qas spares and electrical repairs</t>
  </si>
  <si>
    <t>safe circuits electrical services</t>
  </si>
  <si>
    <t>union electrical services</t>
  </si>
  <si>
    <t>emergency electrician brentwood</t>
  </si>
  <si>
    <t>0, 0, 0, 0, 1, 0, 0, 0, 3, 1, 0, 2, 0, 0, 0, 0, 0, 0, 0, 0, 0, 0, 0, 1</t>
  </si>
  <si>
    <t>yanchep emergency electrician</t>
  </si>
  <si>
    <t>0, 0, 0, 0, 0, 0, 2, 0, 1, 0, 1, 2, 0, 0, 0, 0, 0, 0, 0, 0, 0, 0, 0, 1</t>
  </si>
  <si>
    <t>emergency electrician south croydon</t>
  </si>
  <si>
    <t>emergency electrician dubai</t>
  </si>
  <si>
    <t>0, 0, 0, 0, 0, 2, 1, 2, 1, 0, 0, 0, 0, 0, 0, 0, 0, 0, 1, 0, 0, 0, 0, 1</t>
  </si>
  <si>
    <t>electrical wiring installation tampa</t>
  </si>
  <si>
    <t>emergency electrician reservoir</t>
  </si>
  <si>
    <t>electrical contractor wilmette il</t>
  </si>
  <si>
    <t>manufacturing electrical contractor</t>
  </si>
  <si>
    <t>emergency electrician brookdale</t>
  </si>
  <si>
    <t>0, 0, 0, 0, 1, 0, 0, 0, 3, 1, 1, 0, 0, 0, 0, 0, 0, 0, 0, 0, 0, 0, 0, 1</t>
  </si>
  <si>
    <t>residential electrical contractor glendale</t>
  </si>
  <si>
    <t>electrical contractor ajax</t>
  </si>
  <si>
    <t>0, 0, 0, 0, 1, 0, 1, 0, 1, 1, 0, 0, 0, 0, 0, 0, 0, 0, 0, 0, 0, 0, 0, 1</t>
  </si>
  <si>
    <t>electrical pat testing services yorkshire</t>
  </si>
  <si>
    <t>zaid's forklifts &amp; auto electrical services</t>
  </si>
  <si>
    <t>application for electrical contractor license</t>
  </si>
  <si>
    <t>0, 0, 1, 0, 0, 0, 0, 0, 0, 0, 0, 0, 0, 0, 0, 0, 0, 1, 0, 0, 0, 1, 0, 1</t>
  </si>
  <si>
    <t>mechanical electrical plumbing services</t>
  </si>
  <si>
    <t>electrical contractor business dispatch software</t>
  </si>
  <si>
    <t>electrical panel installation villa park</t>
  </si>
  <si>
    <t>katy electrical services</t>
  </si>
  <si>
    <t>0, 0, 1, 0, 1, 0, 2, 1, 1, 3, 1, 9, 0, 0, 0, 0, 0, 0, 1, 0, 0, 0, 0, 1</t>
  </si>
  <si>
    <t>lighting and electrical services</t>
  </si>
  <si>
    <t>0, 0, 0, 0, 1, 0, 0, 2, 0, 0, 1, 2, 0, 0, 1, 0, 0, 0, 0, 0, 0, 0, 0, 1</t>
  </si>
  <si>
    <t>car electrical services</t>
  </si>
  <si>
    <t>5, 2, 1, 1, 4, 0, 1, 3, 1, 2, 3, 1, 0, 0, 1, 4, 0, 0, 0, 0, 0, 0, 0, 1</t>
  </si>
  <si>
    <t>electrical meter base installation</t>
  </si>
  <si>
    <t>0, 0, 1, 0, 0, 0, 0, 0, 0, 0, 1, 0, 0, 1, 0, 0, 0, 0, 0, 1, 0, 0, 0, 1</t>
  </si>
  <si>
    <t>ryb electrical services pvt ltd</t>
  </si>
  <si>
    <t>em electrical services</t>
  </si>
  <si>
    <t>1, 1, 1, 1, 0, 0, 3, 1, 0, 1, 0, 1, 0, 1, 0, 1, 1, 0, 0, 0, 1, 1, 0, 1</t>
  </si>
  <si>
    <t>electrical services knoxville</t>
  </si>
  <si>
    <t>0, 0, 1, 0, 0, 0, 0, 1, 3, 2, 2, 1, 0, 0, 0, 0, 0, 0, 0, 0, 0, 0, 0, 1</t>
  </si>
  <si>
    <t>emergency electrician hancock county</t>
  </si>
  <si>
    <t>electrical services lethbridge</t>
  </si>
  <si>
    <t>trusted electrical services</t>
  </si>
  <si>
    <t>0, 0, 0, 1, 1, 0, 2, 0, 1, 0, 0, 0, 0, 0, 0, 0, 0, 0, 0, 0, 0, 2, 0, 1</t>
  </si>
  <si>
    <t>electrical services hopkins mn</t>
  </si>
  <si>
    <t>0, 0, 0, 1, 2, 0, 0, 0, 1, 2, 2, 1, 0, 0, 0, 0, 0, 0, 0, 0, 0, 0, 0, 1</t>
  </si>
  <si>
    <t>electrical panel installation clay county</t>
  </si>
  <si>
    <t>dr electrical services</t>
  </si>
  <si>
    <t>electrical work contractor</t>
  </si>
  <si>
    <t>0, 1, 0, 0, 0, 0, 0, 0, 0, 2, 1, 0, 0, 0, 0, 0, 1, 0, 0, 0, 0, 0, 0, 1</t>
  </si>
  <si>
    <t>electrical contractor burnaby</t>
  </si>
  <si>
    <t>denver home electrical repair services</t>
  </si>
  <si>
    <t>health electrical services</t>
  </si>
  <si>
    <t>general electrical services hackham</t>
  </si>
  <si>
    <t>emergency electrician maylands</t>
  </si>
  <si>
    <t>0, 0, 0, 0, 1, 0, 0, 1, 2, 0, 1, 0, 0, 0, 0, 0, 0, 0, 0, 0, 0, 0, 0, 1</t>
  </si>
  <si>
    <t>emergency electrician southampton</t>
  </si>
  <si>
    <t>emergency electrician nebraska</t>
  </si>
  <si>
    <t>adam electrical services johannesburg south</t>
  </si>
  <si>
    <t>0, 7, 1, 4, 3, 1, 0, 0, 0, 0, 0, 0, 0, 0, 0, 0, 0, 0, 0, 0, 0, 0, 0, 1</t>
  </si>
  <si>
    <t>cairns electrical contractor</t>
  </si>
  <si>
    <t>electrical services toowoomba</t>
  </si>
  <si>
    <t>0, 0, 1, 1, 0, 0, 0, 0, 0, 1, 0, 0, 0, 0, 0, 0, 0, 0, 0, 0, 0, 0, 0, 1</t>
  </si>
  <si>
    <t>electrical contractor mordialloc</t>
  </si>
  <si>
    <t>0, 0, 0, 0, 0, 0, 0, 3, 0, 0, 1, 0, 0, 0, 0, 0, 0, 0, 0, 0, 0, 0, 0, 1</t>
  </si>
  <si>
    <t>bayside electrical services</t>
  </si>
  <si>
    <t>electrical services phoenix</t>
  </si>
  <si>
    <t>electrical repairs near me prices</t>
  </si>
  <si>
    <t>4, 2, 5, 5, 3, 2, 0, 1, 3, 0, 0, 0, 0, 0, 0, 0, 0, 0, 0, 1, 0, 0, 0, 1</t>
  </si>
  <si>
    <t>a one electrical services</t>
  </si>
  <si>
    <t>emergency electrician dudley</t>
  </si>
  <si>
    <t>electrical contractor redruth</t>
  </si>
  <si>
    <t>0, 0, 0, 0, 0, 0, 0, 2, 2, 2, 1, 0, 0, 0, 0, 0, 0, 0, 0, 0, 0, 0, 0, 1</t>
  </si>
  <si>
    <t>san antonio emergency electrician</t>
  </si>
  <si>
    <t>household electrical repairs salt lake county</t>
  </si>
  <si>
    <t>emergency electrician granville</t>
  </si>
  <si>
    <t>electrical services pompano beach, fl</t>
  </si>
  <si>
    <t>0, 0, 0, 1, 0, 0, 0, 2, 1, 0, 3, 0, 1, 1, 0, 0, 0, 0, 0, 0, 0, 2, 0, 2</t>
  </si>
  <si>
    <t>electrical outlet installation nebraska</t>
  </si>
  <si>
    <t>level 3 nvq in electrical installation</t>
  </si>
  <si>
    <t>0, 0, 0, 0, 0, 0, 0, 0, 0, 1, 2, 0, 0, 1, 0, 0, 0, 0, 0, 0, 0, 0, 0, 1</t>
  </si>
  <si>
    <t>electrical contractor carbon</t>
  </si>
  <si>
    <t>high voltage electrical services melbourne</t>
  </si>
  <si>
    <t>commercial electrical services melbourne fl</t>
  </si>
  <si>
    <t>electrical contractor ppc management</t>
  </si>
  <si>
    <t>electrical services saanich core</t>
  </si>
  <si>
    <t>1, 1, 2, 0, 1, 0, 0, 1, 0, 2, 2, 0, 0, 0, 0, 0, 0, 0, 0, 0, 0, 0, 0, 1</t>
  </si>
  <si>
    <t>electrical contractor insurance nsw</t>
  </si>
  <si>
    <t>aircon electrical installation</t>
  </si>
  <si>
    <t>2, 3, 1, 2, 10, 9, 2, 0, 0, 0, 0, 0, 0, 0, 0, 0, 0, 0, 3, 4, 0, 0, 0, 1</t>
  </si>
  <si>
    <t>lightning electrical services</t>
  </si>
  <si>
    <t>0, 0, 0, 0, 1, 1, 1, 0, 0, 1, 0, 0, 0, 2, 0, 0, 0, 0, 0, 0, 0, 0, 0, 1</t>
  </si>
  <si>
    <t>southport electrical services</t>
  </si>
  <si>
    <t>0, 0, 0, 0, 0, 0, 0, 0, 0, 2, 0, 0, 0, 0, 0, 0, 1, 0, 0, 0, 0, 0, 0, 1</t>
  </si>
  <si>
    <t>electrical installation parts</t>
  </si>
  <si>
    <t>electrical contractor uk</t>
  </si>
  <si>
    <t>electrical contractor fairfax va</t>
  </si>
  <si>
    <t>emergency electrician shenton park</t>
  </si>
  <si>
    <t>0, 0, 0, 0, 1, 1, 0, 1, 1, 2, 1, 3, 0, 0, 1, 0, 0, 0, 0, 0, 0, 0, 0, 1</t>
  </si>
  <si>
    <t>electrical repairs new castle county</t>
  </si>
  <si>
    <t>0, 0, 0, 1, 0, 0, 0, 0, 0, 7, 2, 0, 0, 0, 0, 0, 0, 0, 0, 0, 0, 0, 0, 1</t>
  </si>
  <si>
    <t>contract for electrical contractor</t>
  </si>
  <si>
    <t>a1 electrical services</t>
  </si>
  <si>
    <t>0, 2, 0, 0, 0, 0, 0, 1, 1, 1, 0, 0, 0, 0, 0, 0, 0, 0, 0, 0, 0, 0, 0, 1</t>
  </si>
  <si>
    <t>electrical contractor northglenn</t>
  </si>
  <si>
    <t>electrical wiring installation course singapore</t>
  </si>
  <si>
    <t>emergency electrician riverview</t>
  </si>
  <si>
    <t>electrical installation in hazardous areas</t>
  </si>
  <si>
    <t>4, 0, 0, 0, 0, 0, 0, 0, 0, 0, 0, 0, 0, 0, 0, 0, 0, 0, 0, 1, 4, 0, 0, 1</t>
  </si>
  <si>
    <t>electrical services in roodepoort</t>
  </si>
  <si>
    <t>et electrical services</t>
  </si>
  <si>
    <t>0, 0, 0, 0, 0, 0, 0, 0, 0, 0, 0, 0, 0, 0, 0, 0, 0, 0, 0, 2, 0, 0, 1, 2</t>
  </si>
  <si>
    <t>electrical contractor singapore</t>
  </si>
  <si>
    <t>0, 1, 1, 3, 2, 3, 1, 3, 1, 2, 0, 0, 0, 0, 0, 0, 0, 0, 0, 1, 0, 0, 0, 1</t>
  </si>
  <si>
    <t>emergency electrician jandabup</t>
  </si>
  <si>
    <t>sr electrical services</t>
  </si>
  <si>
    <t>electrical services in carrollwood</t>
  </si>
  <si>
    <t>electrical services in cape town, south africa</t>
  </si>
  <si>
    <t>0, 0, 0, 0, 0, 0, 0, 0, 0, 0, 0, 0, 0, 0, 2, 2, 4, 2, 0, 0, 0, 0, 0, 1</t>
  </si>
  <si>
    <t>commercial electrical services byron bay</t>
  </si>
  <si>
    <t>utilities electrical contractor ireland</t>
  </si>
  <si>
    <t>electrical fixture installation</t>
  </si>
  <si>
    <t>1, 0, 2, 1, 0, 1, 2, 5, 5, 3, 2, 3, 2, 0, 1, 0, 0, 0, 0, 0, 0, 0, 0, 1</t>
  </si>
  <si>
    <t>gs electrical services</t>
  </si>
  <si>
    <t>0, 0, 0, 0, 0, 0, 0, 0, 0, 0, 1, 1, 3, 1, 0, 0, 0, 0, 0, 2, 0, 0, 1, 1</t>
  </si>
  <si>
    <t>phillips electrical services</t>
  </si>
  <si>
    <t>0, 0, 0, 0, 0, 0, 1, 3, 2, 0, 0, 0, 0, 0, 0, 0, 0, 0, 0, 0, 0, 0, 0, 1</t>
  </si>
  <si>
    <t>tas electrical services</t>
  </si>
  <si>
    <t>emergency electrician houston</t>
  </si>
  <si>
    <t>0, 0, 0, 0, 1, 3, 0, 2, 3, 0, 2, 2, 0, 0, 0, 0, 0, 0, 0, 1, 0, 0, 0, 1</t>
  </si>
  <si>
    <t>electrical outlet installation franklin county</t>
  </si>
  <si>
    <t>installation rules electrical</t>
  </si>
  <si>
    <t>best invoice app for electrical contractor</t>
  </si>
  <si>
    <t>0, 0, 0, 0, 0, 0, 0, 1, 0, 0, 1, 3, 0, 0, 1, 0, 3, 0, 0, 0, 0, 0, 0, 1</t>
  </si>
  <si>
    <t>c2c electrical services ltd</t>
  </si>
  <si>
    <t>ctm electrical services</t>
  </si>
  <si>
    <t>electrical services definition</t>
  </si>
  <si>
    <t>electrical panel installation franklin county</t>
  </si>
  <si>
    <t>electrical services ipswich</t>
  </si>
  <si>
    <t>0, 0, 0, 1, 3, 2, 1, 5, 1, 0, 4, 0, 1, 0, 1, 0, 0, 0, 0, 0, 0, 0, 0, 1</t>
  </si>
  <si>
    <t>residential electrical contractor utah county</t>
  </si>
  <si>
    <t>electrical services manchester</t>
  </si>
  <si>
    <t>0, 0, 0, 0, 0, 1, 0, 1, 0, 0, 2, 1, 1, 0, 0, 0, 0, 1, 0, 0, 0, 0, 0, 1</t>
  </si>
  <si>
    <t>electrical installation services glasgow</t>
  </si>
  <si>
    <t>electrical equipment testing services</t>
  </si>
  <si>
    <t>electrical wiring contractor biloxi</t>
  </si>
  <si>
    <t>electrical contractor murwillumbah</t>
  </si>
  <si>
    <t>campervan electrical installation wiring diagram</t>
  </si>
  <si>
    <t>emergency electrician east grinstead</t>
  </si>
  <si>
    <t>emergency electrician watford</t>
  </si>
  <si>
    <t>rc electrical services</t>
  </si>
  <si>
    <t>0, 0, 0, 0, 0, 0, 0, 0, 0, 0, 0, 0, 0, 0, 0, 0, 0, 0, 1, 1, 1, 2, 1, 1</t>
  </si>
  <si>
    <t>internal electrical installation</t>
  </si>
  <si>
    <t>electrical contractor eastbourne</t>
  </si>
  <si>
    <t>0, 0, 0, 0, 1, 0, 0, 1, 0, 3, 0, 0, 0, 0, 0, 0, 0, 0, 0, 0, 0, 0, 0, 1</t>
  </si>
  <si>
    <t>noble electrical services</t>
  </si>
  <si>
    <t>electrical services carshalton</t>
  </si>
  <si>
    <t>0, 1, 0, 0, 2, 0, 0, 0, 2, 0, 0, 0, 0, 0, 0, 0, 0, 0, 0, 0, 0, 0, 0, 1</t>
  </si>
  <si>
    <t>minor electrical repairs lexington ky</t>
  </si>
  <si>
    <t>0, 0, 0, 0, 1, 2, 1, 1, 1, 1, 1, 0, 0, 0, 0, 0, 0, 0, 0, 0, 0, 0, 0, 1</t>
  </si>
  <si>
    <t>electrical repairs smithville</t>
  </si>
  <si>
    <t>bennett springs emergency electrician</t>
  </si>
  <si>
    <t>0, 0, 0, 0, 0, 1, 0, 2, 0, 2, 0, 0, 0, 0, 0, 0, 0, 0, 0, 0, 0, 0, 0, 1</t>
  </si>
  <si>
    <t>electrical shop drawing services</t>
  </si>
  <si>
    <t>emergency electrician lakewood</t>
  </si>
  <si>
    <t>pjp electrical services</t>
  </si>
  <si>
    <t>0, 0, 0, 0, 0, 2, 0, 0, 0, 0, 0, 0, 0, 0, 0, 0, 0, 0, 0, 0, 2, 0, 0, 2</t>
  </si>
  <si>
    <t>ttp electrical services ltd</t>
  </si>
  <si>
    <t>emergency electrician tadworth</t>
  </si>
  <si>
    <t>electrical services in weardale</t>
  </si>
  <si>
    <t>kma electrical services</t>
  </si>
  <si>
    <t>0, 0, 0, 0, 1, 1, 0, 2, 4, 0, 0, 0, 0, 0, 0, 0, 0, 0, 0, 0, 0, 0, 0, 1</t>
  </si>
  <si>
    <t>electrical services greenville, nc</t>
  </si>
  <si>
    <t>electrical installation everett</t>
  </si>
  <si>
    <t>0, 0, 0, 0, 0, 0, 0, 0, 3, 0, 0, 1, 0, 0, 0, 0, 0, 0, 0, 0, 0, 0, 0, 1</t>
  </si>
  <si>
    <t>commercial electrical services three hills</t>
  </si>
  <si>
    <t>0, 0, 2, 0, 1, 1, 0, 0, 0, 0, 0, 0, 0, 0, 0, 0, 0, 0, 0, 0, 0, 0, 0, 1</t>
  </si>
  <si>
    <t>bgs electrical services</t>
  </si>
  <si>
    <t>0, 0, 0, 1, 0, 0, 0, 2, 1, 0, 0, 0, 0, 0, 0, 0, 0, 0, 0, 0, 0, 0, 0, 1</t>
  </si>
  <si>
    <t>emergency electrician lee county</t>
  </si>
  <si>
    <t>seattle solar electrical contractor</t>
  </si>
  <si>
    <t>electrical contractor surrey</t>
  </si>
  <si>
    <t>0, 0, 0, 1, 2, 2, 0, 2, 3, 0, 1, 2, 1, 0, 0, 0, 0, 0, 0, 0, 0, 0, 0, 1</t>
  </si>
  <si>
    <t>electrical installation and maintenance pictures</t>
  </si>
  <si>
    <t>1, 0, 1, 1, 0, 0, 0, 1, 0, 1, 0, 0, 0, 0, 0, 0, 0, 0, 0, 0, 0, 0, 0, 1</t>
  </si>
  <si>
    <t>electrical services electrician perth</t>
  </si>
  <si>
    <t>lake-coogee emergency electrician</t>
  </si>
  <si>
    <t>level 2 electrical installation book pdf</t>
  </si>
  <si>
    <t>materials needed for electrical installation</t>
  </si>
  <si>
    <t>4, 7, 1, 2, 2, 4, 1, 3, 2, 2, 5, 0, 1, 3, 1, 1, 4, 0, 2, 1, 2, 0, 0, 1</t>
  </si>
  <si>
    <t>local electrical services burwood</t>
  </si>
  <si>
    <t>small electrical repairs pukekohe</t>
  </si>
  <si>
    <t>j&amp;s electrical services</t>
  </si>
  <si>
    <t>0, 1, 0, 0, 1, 0, 0, 1, 1, 0, 0, 0, 0, 0, 0, 0, 0, 0, 0, 0, 0, 0, 0, 1</t>
  </si>
  <si>
    <t>electrical contractor license florida</t>
  </si>
  <si>
    <t>electrical services nyc</t>
  </si>
  <si>
    <t>emergency electrician evanston</t>
  </si>
  <si>
    <t>emergency electrician grimsby</t>
  </si>
  <si>
    <t>commercial electrical services washington county</t>
  </si>
  <si>
    <t>electrical handyman services calgary</t>
  </si>
  <si>
    <t>electrical contractor scottsdale az</t>
  </si>
  <si>
    <t>electrical contractor burpengary</t>
  </si>
  <si>
    <t>amb electrical services</t>
  </si>
  <si>
    <t>electrical pvc pipe installation</t>
  </si>
  <si>
    <t>2, 0, 0, 0, 0, 0, 0, 0, 0, 0, 0, 0, 2, 0, 3, 0, 0, 0, 0, 0, 2, 0, 0, 1</t>
  </si>
  <si>
    <t>solar electrical contractor seattle</t>
  </si>
  <si>
    <t>0, 0, 1, 0, 0, 0, 1, 1, 1, 1, 1, 0, 0, 0, 0, 0, 0, 0, 0, 0, 0, 0, 0, 1</t>
  </si>
  <si>
    <t>electrical infrastructure installation</t>
  </si>
  <si>
    <t>equipment used for electrical installation</t>
  </si>
  <si>
    <t>0, 0, 1, 4, 0, 0, 0, 0, 0, 0, 0, 0, 0, 0, 0, 0, 0, 0, 0, 0, 0, 0, 0, 1</t>
  </si>
  <si>
    <t>electrical services in frosterley</t>
  </si>
  <si>
    <t>electrical services in rondebosch</t>
  </si>
  <si>
    <t>electrical contractor newport</t>
  </si>
  <si>
    <t>jv electrical services</t>
  </si>
  <si>
    <t>0, 0, 0, 0, 0, 0, 0, 0, 1, 0, 0, 0, 0, 0, 2, 1, 0, 0, 0, 0, 0, 0, 0, 1</t>
  </si>
  <si>
    <t>abilene electrical contractor</t>
  </si>
  <si>
    <t>electrical contractor resources</t>
  </si>
  <si>
    <t>0, 0, 0, 0, 2, 0, 2, 1, 0, 0, 0, 3, 0, 0, 0, 0, 0, 0, 0, 0, 0, 0, 0, 1</t>
  </si>
  <si>
    <t>amac electrical services</t>
  </si>
  <si>
    <t>current electrical services</t>
  </si>
  <si>
    <t>0, 0, 3, 0, 1, 1, 1, 0, 0, 1, 0, 1, 1, 1, 0, 1, 0, 0, 0, 0, 0, 0, 0, 1</t>
  </si>
  <si>
    <t>auto electrical services ltd</t>
  </si>
  <si>
    <t>electrical wiring services west palm beach fl</t>
  </si>
  <si>
    <t>emergency electrician dallas</t>
  </si>
  <si>
    <t>greenlight electrical services ltd</t>
  </si>
  <si>
    <t>2, 0, 0, 0, 0, 0, 0, 0, 1, 0, 1, 0, 0, 0, 0, 0, 0, 0, 0, 0, 1, 0, 0, 1</t>
  </si>
  <si>
    <t>auto electrical repairs brisbane</t>
  </si>
  <si>
    <t>forth electrical services</t>
  </si>
  <si>
    <t>plumber and electrician cape town</t>
  </si>
  <si>
    <t>0, 0, 0, 0, 0, 0, 0, 0, 0, 0, 0, 0, 0, 0, 0, 0, 0, 0, 0, 0, 7, 19, 15, 14</t>
  </si>
  <si>
    <t>problems encountered in electrical installation</t>
  </si>
  <si>
    <t>jb electrical services near me</t>
  </si>
  <si>
    <t>commercial electrical services berwick</t>
  </si>
  <si>
    <t>spd electrical installation</t>
  </si>
  <si>
    <t>0, 0, 1, 0, 0, 0, 0, 0, 0, 0, 0, 1, 0, 1, 1, 0, 0, 0, 1, 1, 1, 1, 0, 2</t>
  </si>
  <si>
    <t>new braunfels emergency electrician</t>
  </si>
  <si>
    <t>electrical fence installation</t>
  </si>
  <si>
    <t>6, 6, 2, 0, 2, 3, 8, 2, 5, 2, 3, 2, 2, 0, 4, 4, 0, 2, 1, 2, 1, 0, 1, 2</t>
  </si>
  <si>
    <t>electrical contractor nearby</t>
  </si>
  <si>
    <t>2, 0, 0, 2, 1, 1, 2, 1, 3, 3, 2, 0, 0, 0, 0, 0, 0, 0, 0, 0, 0, 0, 0, 1</t>
  </si>
  <si>
    <t>electrical system design and consulting services.</t>
  </si>
  <si>
    <t>electrical services geelong</t>
  </si>
  <si>
    <t>emergency electrician port-kennedy</t>
  </si>
  <si>
    <t>installation electrical wiring</t>
  </si>
  <si>
    <t>electrical power installation</t>
  </si>
  <si>
    <t>0, 0, 0, 0, 0, 0, 1, 0, 0, 1, 1, 0, 1, 0, 0, 0, 0, 0, 0, 0, 0, 0, 0, 1</t>
  </si>
  <si>
    <t>electrical services midlothian</t>
  </si>
  <si>
    <t>electrical installation regulations 2016 pdf</t>
  </si>
  <si>
    <t>the electrical contractor</t>
  </si>
  <si>
    <t>electrical contractor tucson</t>
  </si>
  <si>
    <t>1, 0, 0, 1, 2, 1, 1, 1, 1, 0, 0, 2, 0, 0, 0, 0, 0, 0, 0, 0, 0, 0, 0, 1</t>
  </si>
  <si>
    <t>electrical installation mauldin</t>
  </si>
  <si>
    <t>fixed electrical installation</t>
  </si>
  <si>
    <t>0, 1, 0, 0, 1, 1, 1, 1, 0, 0, 1, 1, 0, 1, 0, 1, 0, 0, 0, 1, 0, 0, 0, 1</t>
  </si>
  <si>
    <t>electrical repairs mount pleasant</t>
  </si>
  <si>
    <t>0, 0, 0, 0, 1, 0, 0, 0, 1, 3, 1, 1, 0, 0, 0, 0, 0, 0, 0, 0, 0, 0, 0, 1</t>
  </si>
  <si>
    <t>ie rules for electrical installation</t>
  </si>
  <si>
    <t>tools for electrical installation and maintenance</t>
  </si>
  <si>
    <t>1, 1, 0, 0, 0, 0, 0, 0, 0, 0, 0, 3, 0, 0, 1, 0, 0, 0, 0, 0, 1, 2, 0, 2</t>
  </si>
  <si>
    <t>electrical wiring services charleston sc</t>
  </si>
  <si>
    <t>electrical services in my area</t>
  </si>
  <si>
    <t>0, 1, 1, 1, 1, 0, 0, 0, 1, 0, 0, 0, 0, 0, 0, 1, 0, 0, 0, 0, 0, 0, 0, 1</t>
  </si>
  <si>
    <t>electrical contractor board</t>
  </si>
  <si>
    <t>0, 0, 2, 3, 0, 0, 1, 0, 0, 0, 0, 1, 0, 1, 0, 0, 0, 4, 0, 2, 0, 1, 2, 2</t>
  </si>
  <si>
    <t>electrical installation service brisbane</t>
  </si>
  <si>
    <t>electrical services keysborough</t>
  </si>
  <si>
    <t>baatshuma electrical and water services</t>
  </si>
  <si>
    <t>professional electrical services inc</t>
  </si>
  <si>
    <t>0, 0, 0, 0, 0, 0, 1, 1, 1, 0, 0, 1, 0, 0, 0, 0, 0, 0, 0, 0, 0, 0, 0, 1</t>
  </si>
  <si>
    <t>electrical contractor license renewal</t>
  </si>
  <si>
    <t>electrician lakeside cape town</t>
  </si>
  <si>
    <t>electrical installation jobs london</t>
  </si>
  <si>
    <t>outdoor electrical conduit installation</t>
  </si>
  <si>
    <t>electrical contractor woodinville wa</t>
  </si>
  <si>
    <t>0, 0, 0, 0, 0, 0, 0, 4, 0, 0, 1, 0, 0, 0, 0, 0, 0, 0, 0, 0, 0, 0, 0, 1</t>
  </si>
  <si>
    <t>house electrical installation pdf</t>
  </si>
  <si>
    <t>electrical services tulsa</t>
  </si>
  <si>
    <t>apex electrical services</t>
  </si>
  <si>
    <t>0, 3, 1, 0, 2, 0, 1, 1, 2, 1, 2, 3, 1, 0, 0, 0, 2, 1, 0, 1, 0, 0, 0, 1</t>
  </si>
  <si>
    <t>newcastle electrical services</t>
  </si>
  <si>
    <t>0, 2, 1, 2, 2, 1, 0, 1, 2, 0, 0, 0, 0, 0, 0, 0, 0, 0, 0, 0, 0, 0, 0, 1</t>
  </si>
  <si>
    <t>electrical services in krugersdorp, gauteng</t>
  </si>
  <si>
    <t>0, 0, 0, 0, 0, 0, 0, 0, 0, 0, 0, 0, 0, 0, 0, 0, 0, 2, 6, 0, 0, 0, 0, 1</t>
  </si>
  <si>
    <t>charger electrical services</t>
  </si>
  <si>
    <t>0, 1, 0, 0, 0, 2, 0, 0, 0, 0, 0, 1, 0, 0, 0, 0, 0, 0, 0, 0, 0, 0, 0, 1</t>
  </si>
  <si>
    <t>roman electrical repairs ltd</t>
  </si>
  <si>
    <t>electrical services in vereeniging</t>
  </si>
  <si>
    <t>rubrics for electrical wiring installation</t>
  </si>
  <si>
    <t>commercial electrical contractor san francisco ca</t>
  </si>
  <si>
    <t>ppc services for electrical contractors</t>
  </si>
  <si>
    <t>adam electrical services</t>
  </si>
  <si>
    <t>2, 9, 11, 7, 2, 0, 0, 0, 7, 0, 0, 0, 2, 5, 1, 0, 0, 1, 0, 1, 0, 0, 0, 1</t>
  </si>
  <si>
    <t>emergency electrician maidstone</t>
  </si>
  <si>
    <t>0, 2, 0, 1, 1, 1, 2, 1, 0, 0, 0, 0, 0, 0, 0, 0, 0, 0, 0, 0, 0, 0, 0, 1</t>
  </si>
  <si>
    <t>emergency electrician officer</t>
  </si>
  <si>
    <t>emergency electrician broadmeadows</t>
  </si>
  <si>
    <t>0, 0, 0, 0, 1, 0, 0, 2, 1, 1, 1, 1, 0, 0, 0, 0, 0, 0, 0, 0, 0, 0, 0, 1</t>
  </si>
  <si>
    <t>commercial electrical services martin county</t>
  </si>
  <si>
    <t>electrical contractor rates</t>
  </si>
  <si>
    <t>0, 0, 1, 0, 1, 5, 1, 1, 2, 3, 1, 0, 2, 1, 0, 1, 1, 2, 0, 0, 0, 0, 0, 1</t>
  </si>
  <si>
    <t>jam electrical services</t>
  </si>
  <si>
    <t>0, 0, 0, 0, 0, 0, 0, 1, 0, 0, 0, 0, 0, 1, 0, 0, 0, 0, 0, 0, 0, 0, 0, 1</t>
  </si>
  <si>
    <t>switched on electrical services</t>
  </si>
  <si>
    <t>electrical services allentown</t>
  </si>
  <si>
    <t>24 hour electrical services bowling green</t>
  </si>
  <si>
    <t>home electrical outlet installation</t>
  </si>
  <si>
    <t>bn electrical services</t>
  </si>
  <si>
    <t>birmingham electrical services</t>
  </si>
  <si>
    <t>polarity test in electrical installation</t>
  </si>
  <si>
    <t>4, 2, 2, 0, 0, 1, 0, 1, 0, 0, 2, 1, 2, 1, 1, 1, 1, 1, 1, 0, 1, 3, 1, 3</t>
  </si>
  <si>
    <t>a &amp; j electrical services</t>
  </si>
  <si>
    <t>2, 0, 0, 0, 0, 0, 2, 1, 0, 1, 1, 0, 0, 0, 0, 0, 0, 0, 0, 0, 0, 0, 0, 1</t>
  </si>
  <si>
    <t>emergency electrician san jose</t>
  </si>
  <si>
    <t>3 phase electrical installation</t>
  </si>
  <si>
    <t>1, 3, 2, 0, 0, 0, 1, 2, 0, 3, 1, 0, 0, 0, 0, 0, 1, 0, 0, 0, 2, 0, 1, 1</t>
  </si>
  <si>
    <t>electrical services in cheadle hulme</t>
  </si>
  <si>
    <t>caravan electrical installation</t>
  </si>
  <si>
    <t>0, 0, 0, 0, 0, 0, 0, 0, 0, 0, 0, 0, 0, 0, 0, 0, 0, 0, 0, 0, 1, 1, 0, 1</t>
  </si>
  <si>
    <t>electrical services business plan pdf</t>
  </si>
  <si>
    <t>food and beverage industry electrical services</t>
  </si>
  <si>
    <t>0, 0, 1, 2, 0, 0, 1, 1, 0, 1, 1, 1, 0, 0, 0, 0, 0, 0, 0, 0, 0, 0, 0, 1</t>
  </si>
  <si>
    <t>electrical installation price list philippines</t>
  </si>
  <si>
    <t>a &amp; m electrical services</t>
  </si>
  <si>
    <t>ppe for electrical installation</t>
  </si>
  <si>
    <t>electrical panel contractor d'iberville</t>
  </si>
  <si>
    <t>electrical contractor company stafford ct</t>
  </si>
  <si>
    <t>jw electrical services</t>
  </si>
  <si>
    <t>an electrical contractor</t>
  </si>
  <si>
    <t>0, 15, 7, 0, 0, 0, 0, 0, 0, 0, 0, 0, 0, 0, 7, 0, 1, 0, 0, 0, 0, 0, 0, 1</t>
  </si>
  <si>
    <t>commercial electrical services chicagoland</t>
  </si>
  <si>
    <t>commercial electrical services lake county</t>
  </si>
  <si>
    <t>mechanical and electrical services manchester</t>
  </si>
  <si>
    <t>emergency electrician 24 hour</t>
  </si>
  <si>
    <t>electrical db installation abu dhabi</t>
  </si>
  <si>
    <t>electrical repairs ev chargers</t>
  </si>
  <si>
    <t>1, 1, 0, 0, 0, 0, 2, 0, 1, 0, 0, 0, 0, 0, 0, 0, 0, 0, 0, 0, 0, 0, 0, 1</t>
  </si>
  <si>
    <t>electrical installation and maintenance skills</t>
  </si>
  <si>
    <t>0, 0, 0, 0, 0, 0, 0, 0, 0, 0, 0, 0, 0, 0, 0, 0, 0, 1, 0, 0, 1, 0, 0, 1</t>
  </si>
  <si>
    <t>electrical installation certificate pdf</t>
  </si>
  <si>
    <t>0, 1, 0, 3, 1, 1, 1, 1, 0, 1, 1, 2, 3, 5, 1, 0, 3, 2, 2, 1, 0, 0, 0, 1</t>
  </si>
  <si>
    <t>dbe electrical services llc</t>
  </si>
  <si>
    <t>evergreen electrical services</t>
  </si>
  <si>
    <t>0, 0, 0, 0, 0, 0, 0, 0, 0, 0, 0, 0, 0, 0, 1, 4, 0, 2, 0, 0, 0, 0, 0, 1</t>
  </si>
  <si>
    <t>commercial electrical services south dakota</t>
  </si>
  <si>
    <t>electrical panel installation latimer</t>
  </si>
  <si>
    <t>mechanical and electrical installation</t>
  </si>
  <si>
    <t>0, 1, 0, 0, 1, 0, 0, 0, 0, 0, 0, 0, 0, 0, 2, 0, 0, 0, 0, 0, 0, 0, 0, 1</t>
  </si>
  <si>
    <t>commercial electrical services riverside county</t>
  </si>
  <si>
    <t>elm electrical services</t>
  </si>
  <si>
    <t>electrical services renton</t>
  </si>
  <si>
    <t>quotation for electrical installation</t>
  </si>
  <si>
    <t>2, 1, 0, 0, 1, 1, 2, 1, 0, 1, 0, 0, 0, 0, 0, 0, 0, 0, 0, 3, 2, 0, 1, 2</t>
  </si>
  <si>
    <t>show me electrical services</t>
  </si>
  <si>
    <t>electrical contractor marketing ideas</t>
  </si>
  <si>
    <t>1, 3, 2, 2, 2, 1, 1, 3, 3, 6, 2, 0, 0, 0, 0, 0, 1, 0, 0, 1, 0, 0, 0, 1</t>
  </si>
  <si>
    <t>second fix electrical installation</t>
  </si>
  <si>
    <t>emergency electrical services macomb county</t>
  </si>
  <si>
    <t>emergency electrician englewood</t>
  </si>
  <si>
    <t>0, 0, 0, 0, 0, 0, 0, 3, 1, 1, 0, 0, 0, 0, 0, 0, 0, 0, 0, 0, 0, 0, 0, 1</t>
  </si>
  <si>
    <t>project electrical services</t>
  </si>
  <si>
    <t>electrical services website</t>
  </si>
  <si>
    <t>1, 0, 1, 1, 0, 0, 0, 0, 1, 0, 1, 1, 0, 1, 5, 0, 0, 1, 0, 0, 0, 0, 0, 1</t>
  </si>
  <si>
    <t>government electrical services</t>
  </si>
  <si>
    <t>0, 0, 1, 0, 0, 0, 0, 1, 3, 2, 0, 0, 0, 0, 0, 0, 0, 0, 0, 0, 0, 0, 0, 1</t>
  </si>
  <si>
    <t>emergency electrician alex hills</t>
  </si>
  <si>
    <t>electrical services and solutions</t>
  </si>
  <si>
    <t>r a electrical services</t>
  </si>
  <si>
    <t>shed electrical installation</t>
  </si>
  <si>
    <t>0, 1, 0, 0, 0, 0, 0, 0, 0, 0, 1, 0, 0, 0, 0, 0, 0, 2, 0, 0, 0, 0, 0, 1</t>
  </si>
  <si>
    <t>licensed electrical contractor delaware county</t>
  </si>
  <si>
    <t>electrical contractor insurance arizona</t>
  </si>
  <si>
    <t>0, 1, 0, 1, 0, 0, 1, 1, 0, 0, 1, 1, 0, 0, 0, 0, 0, 0, 0, 0, 0, 0, 0, 1</t>
  </si>
  <si>
    <t>dishwasher electrical installation</t>
  </si>
  <si>
    <t>3, 0, 0, 0, 2, 1, 0, 0, 2, 0, 1, 0, 0, 0, 0, 0, 0, 0, 0, 0, 0, 0, 0, 1</t>
  </si>
  <si>
    <t>electrical maintenance services las vegas</t>
  </si>
  <si>
    <t>1, 1, 1, 1, 1, 0, 1, 0, 2, 1, 0, 0, 0, 0, 0, 0, 0, 1, 1, 0, 0, 0, 0, 1</t>
  </si>
  <si>
    <t>j &amp; b electrical services</t>
  </si>
  <si>
    <t>electrical services kent</t>
  </si>
  <si>
    <t>0, 1, 1, 0, 1, 1, 2, 2, 1, 1, 1, 0, 0, 0, 0, 0, 0, 0, 0, 0, 0, 0, 0, 1</t>
  </si>
  <si>
    <t>sherwood home electrical repair services</t>
  </si>
  <si>
    <t>electrical panel installation brentwood</t>
  </si>
  <si>
    <t>electrical wiring installation evanston il</t>
  </si>
  <si>
    <t>electrical repair services south tampa</t>
  </si>
  <si>
    <t>electrical wiring services plantation fl</t>
  </si>
  <si>
    <t>home power electrical services</t>
  </si>
  <si>
    <t>electrical contractor scheduling app</t>
  </si>
  <si>
    <t>0, 1, 2, 1, 4, 2, 2, 2, 0, 2, 2, 1, 0, 0, 0, 0, 0, 0, 0, 0, 0, 0, 0, 1</t>
  </si>
  <si>
    <t>electrical services llc rancho santa fe</t>
  </si>
  <si>
    <t>registered electrical contractor list</t>
  </si>
  <si>
    <t>0, 0, 0, 0, 0, 0, 4, 1, 0, 0, 1, 0, 0, 2, 0, 1, 2, 1, 6, 5, 1, 0, 0, 1</t>
  </si>
  <si>
    <t>electrical supply and installation</t>
  </si>
  <si>
    <t>excellence electrical services</t>
  </si>
  <si>
    <t>electrical contractor nc</t>
  </si>
  <si>
    <t>electrical contractor clayton</t>
  </si>
  <si>
    <t>top emergency electrician</t>
  </si>
  <si>
    <t>electrical contractor mesa az</t>
  </si>
  <si>
    <t>electrical installation condition report bideford</t>
  </si>
  <si>
    <t>a2z electrical services</t>
  </si>
  <si>
    <t>winter garden home electrical repair services</t>
  </si>
  <si>
    <t>leo's electrical services</t>
  </si>
  <si>
    <t>that electrical services</t>
  </si>
  <si>
    <t>electrical engineering services near california</t>
  </si>
  <si>
    <t>emergency electrician waterlooville</t>
  </si>
  <si>
    <t>orlando residential electrical contractor</t>
  </si>
  <si>
    <t>0, 1, 0, 0, 0, 2, 1, 0, 0, 0, 2, 0, 0, 0, 0, 0, 0, 0, 0, 0, 0, 0, 0, 1</t>
  </si>
  <si>
    <t>magic valley industrial electrical services</t>
  </si>
  <si>
    <t>electrical services santa fe nm</t>
  </si>
  <si>
    <t>1, 0, 0, 0, 0, 0, 0, 0, 0, 1, 0, 1, 0, 0, 0, 0, 0, 0, 0, 0, 0, 0, 0, 1</t>
  </si>
  <si>
    <t>electrical maintenance services brisbane</t>
  </si>
  <si>
    <t>toronto electrical contractor</t>
  </si>
  <si>
    <t>electrical services mooresville, nc</t>
  </si>
  <si>
    <t>jjr electrical services</t>
  </si>
  <si>
    <t>1, 0, 0, 0, 1, 0, 1, 0, 0, 1, 0, 0, 0, 1, 0, 1, 0, 0, 0, 0, 0, 0, 0, 1</t>
  </si>
  <si>
    <t>electrical contractor okc</t>
  </si>
  <si>
    <t>emergency electrician yowie bay</t>
  </si>
  <si>
    <t>allan electrical services</t>
  </si>
  <si>
    <t>247 electrical services</t>
  </si>
  <si>
    <t>0, 0, 1, 0, 0, 0, 1, 0, 0, 0, 1, 0, 1, 0, 4, 0, 0, 0, 0, 0, 0, 0, 0, 1</t>
  </si>
  <si>
    <t>level 3 nvq electrical installation</t>
  </si>
  <si>
    <t>0, 1, 0, 0, 0, 0, 0, 0, 2, 1, 0, 0, 0, 1, 0, 0, 0, 1, 0, 0, 0, 0, 0, 1</t>
  </si>
  <si>
    <t>emergency auto electrician near me</t>
  </si>
  <si>
    <t>12, 4, 2, 3, 2, 7, 6, 9, 7, 5, 4, 3, 3, 6, 0, 2, 11, 14, 1, 1, 3, 2, 1, 4</t>
  </si>
  <si>
    <t>hastings electrical services</t>
  </si>
  <si>
    <t>electrical appliance repairs &amp; parts bristol</t>
  </si>
  <si>
    <t>gold electrical services</t>
  </si>
  <si>
    <t>3, 1, 0, 0, 0, 0, 2, 2, 2, 0, 0, 0, 0, 0, 0, 1, 0, 0, 1, 0, 0, 0, 0, 1</t>
  </si>
  <si>
    <t>emergency electrician coventry</t>
  </si>
  <si>
    <t>jacuzzi electrical installation</t>
  </si>
  <si>
    <t>0, 0, 0, 1, 1, 0, 0, 0, 0, 0, 1, 1, 1, 0, 0, 1, 1, 0, 0, 0, 1, 1, 2, 1</t>
  </si>
  <si>
    <t>electrical wiring installation grand prairie</t>
  </si>
  <si>
    <t>raleigh electrical repairs</t>
  </si>
  <si>
    <t>electrical services in bahrain</t>
  </si>
  <si>
    <t>0, 0, 0, 1, 1, 0, 1, 1, 0, 0, 2, 0, 0, 0, 0, 0, 0, 0, 0, 0, 0, 0, 0, 1</t>
  </si>
  <si>
    <t>electrical wiring services in bellevue wa</t>
  </si>
  <si>
    <t>1, 0, 1, 0, 0, 1, 0, 0, 0, 0, 1, 0, 0, 0, 0, 0, 0, 0, 0, 0, 0, 0, 0, 1</t>
  </si>
  <si>
    <t>maintenance and electrical repairs</t>
  </si>
  <si>
    <t>north myrtle beach electrical services</t>
  </si>
  <si>
    <t>1, 2, 1, 0, 0, 1, 4, 0, 0, 1, 2, 3, 0, 0, 0, 0, 0, 0, 0, 0, 0, 0, 0, 1</t>
  </si>
  <si>
    <t>emergency electrician walton on thames</t>
  </si>
  <si>
    <t>electrical point installation cost</t>
  </si>
  <si>
    <t>0, 0, 0, 0, 0, 0, 2, 1, 0, 1, 0, 0, 1, 0, 1, 1, 0, 5, 1, 1, 0, 0, 0, 1</t>
  </si>
  <si>
    <t>commercial electrical equipment services</t>
  </si>
  <si>
    <t>j&amp;c electrical services</t>
  </si>
  <si>
    <t>electrical contractor thailand</t>
  </si>
  <si>
    <t>emergency electrician woronora heights</t>
  </si>
  <si>
    <t>0, 0, 0, 2, 0, 2, 0, 0, 0, 1, 0, 0, 2, 0, 0, 0, 0, 0, 0, 0, 0, 0, 0, 1</t>
  </si>
  <si>
    <t>electrical services suspesnion</t>
  </si>
  <si>
    <t>1, 0, 0, 0, 1, 1, 0, 0, 0, 0, 0, 0, 0, 0, 0, 0, 0, 0, 0, 0, 0, 0, 0, 1</t>
  </si>
  <si>
    <t>united electrical services inc</t>
  </si>
  <si>
    <t>residential electrical services minnesota</t>
  </si>
  <si>
    <t>electrical services gold coast</t>
  </si>
  <si>
    <t>0, 1, 0, 0, 1, 1, 0, 0, 0, 0, 0, 0, 0, 0, 0, 0, 0, 0, 0, 0, 0, 0, 0, 1</t>
  </si>
  <si>
    <t>electrical power point installation cost</t>
  </si>
  <si>
    <t>emergency electrician ct</t>
  </si>
  <si>
    <t>electrical panel installation cook county</t>
  </si>
  <si>
    <t>emergency electrician pearcedale</t>
  </si>
  <si>
    <t>residential electrical services dallas</t>
  </si>
  <si>
    <t>home remodeling electrical services</t>
  </si>
  <si>
    <t>scoop electrical services</t>
  </si>
  <si>
    <t>0, 1, 0, 0, 0, 0, 0, 0, 1, 0, 0, 0, 0, 0, 0, 0, 1, 0, 0, 0, 0, 0, 0, 1</t>
  </si>
  <si>
    <t>emergency electrician leicester</t>
  </si>
  <si>
    <t>electrical services north west london</t>
  </si>
  <si>
    <t>residential electrical services in bellevue</t>
  </si>
  <si>
    <t>0, 0, 2, 0, 1, 1, 0, 0, 1, 0, 0, 0, 0, 0, 0, 0, 0, 0, 0, 0, 0, 0, 0, 1</t>
  </si>
  <si>
    <t>advanced electrical services des moines ia</t>
  </si>
  <si>
    <t>emergency electrician dianella</t>
  </si>
  <si>
    <t>0, 0, 0, 0, 0, 1, 1, 0, 1, 1, 1, 0, 0, 0, 0, 0, 0, 0, 0, 0, 0, 0, 0, 1</t>
  </si>
  <si>
    <t>electrical testing and services</t>
  </si>
  <si>
    <t>1, 0, 0, 1, 1, 0, 0, 1, 1, 0, 0, 0, 0, 0, 0, 0, 0, 0, 0, 0, 0, 0, 0, 1</t>
  </si>
  <si>
    <t>electrical repairs murrieta ca</t>
  </si>
  <si>
    <t>kommetjie electrical services</t>
  </si>
  <si>
    <t>emergency electrician endeavour hills</t>
  </si>
  <si>
    <t>0, 2, 0, 0, 0, 0, 0, 0, 0, 0, 2, 0, 0, 0, 0, 0, 0, 0, 0, 0, 0, 0, 0, 1</t>
  </si>
  <si>
    <t>emergency electrician aynor</t>
  </si>
  <si>
    <t>0, 2, 0, 1, 1, 1, 0, 0, 0, 3, 5, 0, 0, 0, 0, 0, 0, 0, 0, 0, 0, 0, 0, 1</t>
  </si>
  <si>
    <t>east coast auto electrical and mechanical repairs</t>
  </si>
  <si>
    <t>letterhead format for electrical contractor</t>
  </si>
  <si>
    <t>1, 4, 0, 0, 0, 0, 0, 0, 0, 0, 0, 0, 0, 0, 0, 0, 0, 0, 0, 0, 0, 0, 0, 1</t>
  </si>
  <si>
    <t>electrical repairs shop</t>
  </si>
  <si>
    <t>0, 0, 0, 1, 0, 1, 1, 0, 0, 0, 0, 1, 0, 0, 1, 0, 0, 0, 0, 0, 0, 0, 0, 1</t>
  </si>
  <si>
    <t>electrical panel installation greene county</t>
  </si>
  <si>
    <t>emergency electrician grapevine tx</t>
  </si>
  <si>
    <t>electrical installation kent</t>
  </si>
  <si>
    <t>electrical contractor program</t>
  </si>
  <si>
    <t>dock electrical services gastonia, nc</t>
  </si>
  <si>
    <t>electrical house wiring installation</t>
  </si>
  <si>
    <t>0, 0, 0, 0, 0, 0, 0, 0, 0, 0, 0, 0, 0, 0, 1, 0, 0, 0, 1, 2, 0, 0, 0, 1</t>
  </si>
  <si>
    <t>electrical repairs and installations in benoni</t>
  </si>
  <si>
    <t>0, 0, 0, 0, 0, 0, 0, 0, 0, 0, 0, 0, 0, 0, 2, 2, 0, 6, 0, 0, 0, 0, 0, 1</t>
  </si>
  <si>
    <t>emergency electrician beecroft</t>
  </si>
  <si>
    <t>electrical services in claremont</t>
  </si>
  <si>
    <t>res electrical services</t>
  </si>
  <si>
    <t>1, 0, 4, 0, 2, 1, 1, 1, 2, 4, 1, 0, 0, 0, 0, 0, 0, 0, 0, 0, 0, 1, 0, 1</t>
  </si>
  <si>
    <t>fusion electrical services</t>
  </si>
  <si>
    <t>1, 0, 0, 1, 0, 0, 1, 0, 0, 0, 0, 0, 1, 0, 0, 0, 0, 0, 1, 0, 0, 0, 0, 1</t>
  </si>
  <si>
    <t>emergency electrician docklands</t>
  </si>
  <si>
    <t>0, 0, 0, 0, 0, 3, 0, 0, 0, 1, 1, 1, 0, 0, 0, 0, 0, 0, 0, 0, 0, 0, 0, 1</t>
  </si>
  <si>
    <t>electrical service panel installation</t>
  </si>
  <si>
    <t>emergency electrician wandsworth</t>
  </si>
  <si>
    <t>emergency electrician chalfont pa</t>
  </si>
  <si>
    <t>0, 0, 0, 0, 0, 0, 1, 0, 0, 2, 3, 1, 0, 0, 0, 0, 0, 0, 0, 0, 0, 0, 0, 1</t>
  </si>
  <si>
    <t>electrical repairs brighton</t>
  </si>
  <si>
    <t>0, 0, 0, 0, 0, 0, 1, 1, 1, 6, 0, 3, 0, 0, 0, 0, 0, 0, 0, 0, 0, 0, 0, 1</t>
  </si>
  <si>
    <t>emergency electrician burgess hill</t>
  </si>
  <si>
    <t>electrical contractor rosharon</t>
  </si>
  <si>
    <t>emergency electrician lincoln</t>
  </si>
  <si>
    <t>affordable electrical services in hopkinton</t>
  </si>
  <si>
    <t>0, 0, 0, 0, 0, 0, 0, 0, 0, 0, 0, 2, 0, 0, 0, 1, 0, 0, 0, 2, 0, 1, 0, 1</t>
  </si>
  <si>
    <t>hazardous area electrical installation</t>
  </si>
  <si>
    <t>0, 0, 0, 0, 0, 0, 0, 0, 0, 0, 0, 0, 0, 0, 0, 0, 0, 1, 0, 0, 1, 1, 0, 2</t>
  </si>
  <si>
    <t>electrical contractor symbols</t>
  </si>
  <si>
    <t>emergency electrician wells</t>
  </si>
  <si>
    <t>emergency electrician st. paul</t>
  </si>
  <si>
    <t>level 2 diploma in electrical installation</t>
  </si>
  <si>
    <t>emergency electrician columbus</t>
  </si>
  <si>
    <t>0, 0, 0, 0, 2, 0, 1, 1, 0, 0, 0, 0, 0, 0, 0, 0, 0, 0, 0, 0, 0, 0, 0, 1</t>
  </si>
  <si>
    <t>electrician jobs cape town gumtree</t>
  </si>
  <si>
    <t>auto electrical services tullamarine</t>
  </si>
  <si>
    <t>electrical contractor des moines</t>
  </si>
  <si>
    <t>electrical marketing services</t>
  </si>
  <si>
    <t>brightlite electrical services</t>
  </si>
  <si>
    <t>0, 0, 0, 0, 0, 0, 0, 0, 1, 0, 0, 0, 0, 1, 0, 0, 0, 0, 0, 2, 0, 0, 0, 1</t>
  </si>
  <si>
    <t>electrical installation caloundra</t>
  </si>
  <si>
    <t>electrical contractor moorabbin</t>
  </si>
  <si>
    <t>0, 0, 0, 0, 0, 0, 0, 0, 2, 0, 2, 0, 0, 0, 0, 0, 0, 0, 0, 0, 0, 0, 0, 1</t>
  </si>
  <si>
    <t>emergency electrician dublin</t>
  </si>
  <si>
    <t>0, 2, 0, 1, 0, 2, 2, 1, 2, 1, 1, 0, 0, 0, 0, 0, 0, 0, 0, 0, 0, 0, 0, 1</t>
  </si>
  <si>
    <t>jws electrical services reviews</t>
  </si>
  <si>
    <t>electrician courses cape town prices</t>
  </si>
  <si>
    <t>0, 0, 0, 0, 0, 0, 0, 0, 0, 0, 0, 0, 0, 0, 0, 0, 0, 0, 0, 0, 0, 4, 6, 1</t>
  </si>
  <si>
    <t>commercial electrical services wilmington, nc</t>
  </si>
  <si>
    <t>electrical motor testing services india</t>
  </si>
  <si>
    <t>residential electrical services chicago</t>
  </si>
  <si>
    <t>electrical service contractor poway</t>
  </si>
  <si>
    <t>electrical contractor bloomington</t>
  </si>
  <si>
    <t>aztec electrical services</t>
  </si>
  <si>
    <t>commercial electrical services harrison county</t>
  </si>
  <si>
    <t>reliable power systems &amp; electrical services</t>
  </si>
  <si>
    <t>fenton home electrical repair services</t>
  </si>
  <si>
    <t>leading electrical services</t>
  </si>
  <si>
    <t>0, 0, 0, 0, 0, 0, 0, 0, 0, 0, 0, 0, 0, 0, 0, 0, 0, 2, 0, 0, 0, 1, 0, 1</t>
  </si>
  <si>
    <t>prime electrical and data services</t>
  </si>
  <si>
    <t>planned electrical maintenance contractor</t>
  </si>
  <si>
    <t>bill of quantity for electrical installation</t>
  </si>
  <si>
    <t>0, 1, 0, 0, 0, 0, 0, 0, 0, 0, 1, 0, 0, 0, 1, 0, 0, 1, 0, 0, 1, 0, 0, 1</t>
  </si>
  <si>
    <t>electrical installation level 2 practical exam</t>
  </si>
  <si>
    <t>0, 0, 3, 0, 0, 0, 1, 0, 0, 0, 0, 0, 2, 0, 1, 2, 0, 0, 0, 0, 0, 0, 0, 1</t>
  </si>
  <si>
    <t>matts electrical services</t>
  </si>
  <si>
    <t>electrical contractor edinburgh</t>
  </si>
  <si>
    <t>lake mary electrical services</t>
  </si>
  <si>
    <t>robbie electrical services ltd</t>
  </si>
  <si>
    <t>emergency electrician kings park</t>
  </si>
  <si>
    <t>0, 0, 0, 0, 0, 0, 2, 3, 2, 2, 0, 0, 0, 0, 0, 0, 0, 0, 0, 0, 0, 0, 0, 1</t>
  </si>
  <si>
    <t>electrical panel installation jackson county</t>
  </si>
  <si>
    <t>affordable electrical services in pembroke</t>
  </si>
  <si>
    <t>0, 0, 0, 0, 0, 0, 0, 0, 0, 1, 0, 0, 1, 1, 0, 0, 0, 1, 0, 1, 0, 0, 0, 1</t>
  </si>
  <si>
    <t>electrical waste disposal services</t>
  </si>
  <si>
    <t>0, 0, 0, 0, 1, 2, 1, 1, 0, 0, 0, 0, 0, 0, 0, 0, 0, 0, 0, 0, 0, 0, 0, 1</t>
  </si>
  <si>
    <t>electrical contractor contracts tortilla flat</t>
  </si>
  <si>
    <t>electrical wiring services coral springs fl</t>
  </si>
  <si>
    <t>0, 0, 0, 0, 0, 0, 2, 0, 0, 1, 0, 1, 0, 0, 0, 0, 0, 0, 0, 0, 0, 0, 0, 1</t>
  </si>
  <si>
    <t>electrical contractor high point nc</t>
  </si>
  <si>
    <t>electrical installation tools and equipments</t>
  </si>
  <si>
    <t>0, 0, 3, 0, 0, 0, 1, 0, 0, 0, 0, 0, 0, 0, 0, 0, 0, 0, 0, 0, 0, 0, 0, 1</t>
  </si>
  <si>
    <t>car electrical services cranbourne</t>
  </si>
  <si>
    <t>1, 0, 1, 0, 0, 0, 0, 0, 1, 3, 3, 0, 0, 0, 0, 0, 0, 0, 0, 0, 0, 0, 0, 1</t>
  </si>
  <si>
    <t>electrical installation remain near me</t>
  </si>
  <si>
    <t>electrical contractor business plan sample pdf</t>
  </si>
  <si>
    <t>electrical installation design guide</t>
  </si>
  <si>
    <t>emergency electrician woolooware</t>
  </si>
  <si>
    <t>0, 2, 2, 0, 0, 0, 0, 0, 0, 0, 0, 0, 0, 0, 0, 0, 0, 0, 0, 0, 0, 0, 0, 1</t>
  </si>
  <si>
    <t>emergency electrician narre warren</t>
  </si>
  <si>
    <t>0, 0, 0, 0, 0, 0, 0, 5, 0, 1, 0, 0, 0, 0, 0, 0, 0, 0, 0, 0, 0, 0, 0, 1</t>
  </si>
  <si>
    <t>handy dads electrical services</t>
  </si>
  <si>
    <t>ontario electrical repairs</t>
  </si>
  <si>
    <t>inground pool electrical installation cost</t>
  </si>
  <si>
    <t>level 1 electrical installation</t>
  </si>
  <si>
    <t>0, 0, 0, 1, 0, 0, 0, 1, 1, 0, 1, 0, 0, 0, 1, 0, 0, 0, 1, 0, 0, 0, 0, 1</t>
  </si>
  <si>
    <t>electrical services everett</t>
  </si>
  <si>
    <t>0, 0, 0, 0, 0, 1, 0, 0, 1, 0, 0, 1, 0, 0, 0, 0, 0, 0, 0, 0, 0, 0, 0, 1</t>
  </si>
  <si>
    <t>electrical installation reference methods</t>
  </si>
  <si>
    <t>largo electrical services</t>
  </si>
  <si>
    <t>electrical installation report swindon</t>
  </si>
  <si>
    <t>terms and conditions electrical contractor</t>
  </si>
  <si>
    <t>electrical wiring installation fairfax</t>
  </si>
  <si>
    <t>electrical oven installation cost</t>
  </si>
  <si>
    <t>0, 0, 0, 0, 0, 0, 1, 0, 0, 1, 2, 1, 1, 0, 0, 0, 0, 0, 0, 0, 0, 0, 0, 1</t>
  </si>
  <si>
    <t>electrical services bowling green oh</t>
  </si>
  <si>
    <t>0, 0, 0, 0, 0, 0, 0, 0, 0, 0, 1, 0, 1, 2, 0, 0, 0, 0, 0, 0, 0, 0, 0, 1</t>
  </si>
  <si>
    <t>electrical repairs clontarf</t>
  </si>
  <si>
    <t>electrical panel installation mooresville, nc</t>
  </si>
  <si>
    <t>greenlight electrical services</t>
  </si>
  <si>
    <t>aspect electrical services</t>
  </si>
  <si>
    <t>nashville home electrical repair services</t>
  </si>
  <si>
    <t>0, 1, 0, 1, 0, 1, 0, 1, 1, 0, 0, 0, 0, 0, 0, 0, 0, 0, 0, 0, 0, 0, 0, 1</t>
  </si>
  <si>
    <t>excel electrical services</t>
  </si>
  <si>
    <t>1, 1, 0, 0, 0, 0, 1, 0, 0, 0, 0, 0, 1, 0, 0, 0, 0, 0, 0, 0, 0, 0, 0, 1</t>
  </si>
  <si>
    <t>electrical company seo services</t>
  </si>
  <si>
    <t>0, 0, 1, 3, 0, 1, 2, 0, 2, 1, 2, 1, 0, 0, 0, 0, 0, 0, 0, 0, 0, 0, 0, 1</t>
  </si>
  <si>
    <t>plug light bulb electrical services</t>
  </si>
  <si>
    <t>0, 0, 0, 0, 0, 0, 0, 0, 0, 0, 0, 1, 0, 0, 0, 0, 0, 0, 1, 0, 0, 0, 0, 1</t>
  </si>
  <si>
    <t>principal electrical contractor</t>
  </si>
  <si>
    <t>auto electrician courses in cape town</t>
  </si>
  <si>
    <t>dean's electrical services</t>
  </si>
  <si>
    <t>renovation electrical services newcastle</t>
  </si>
  <si>
    <t>electrical installation warranty</t>
  </si>
  <si>
    <t>1, 0, 0, 0, 0, 0, 0, 0, 0, 0, 1, 0, 1, 0, 0, 0, 0, 0, 1, 0, 0, 0, 0, 1</t>
  </si>
  <si>
    <t>contractor electrical box</t>
  </si>
  <si>
    <t>electrical contractor business structure</t>
  </si>
  <si>
    <t>miami electrical panel services</t>
  </si>
  <si>
    <t>md electrical services</t>
  </si>
  <si>
    <t>electrical repairs and maintenance in five docks</t>
  </si>
  <si>
    <t>electrical services newport</t>
  </si>
  <si>
    <t>0, 0, 0, 2, 1, 0, 0, 1, 0, 0, 1, 0, 0, 0, 0, 0, 0, 0, 0, 0, 0, 0, 0, 1</t>
  </si>
  <si>
    <t>wire electrical discharge machining services</t>
  </si>
  <si>
    <t>electrical outlet installation middlesex county</t>
  </si>
  <si>
    <t>electrical installation mahomet</t>
  </si>
  <si>
    <t>24 hour electrical services jackson</t>
  </si>
  <si>
    <t>electrical repairs and installations in pretoria</t>
  </si>
  <si>
    <t>electrical contractor facebook ads</t>
  </si>
  <si>
    <t>emergency electrician in dubai</t>
  </si>
  <si>
    <t>0, 0, 0, 0, 0, 1, 1, 1, 2, 0, 1, 0, 0, 0, 0, 0, 0, 0, 0, 0, 0, 0, 0, 1</t>
  </si>
  <si>
    <t>electrical services atlanta</t>
  </si>
  <si>
    <t>ward electrical services</t>
  </si>
  <si>
    <t>0, 0, 0, 0, 1, 0, 0, 1, 1, 1, 0, 0, 0, 2, 4, 0, 0, 0, 0, 0, 0, 0, 0, 1</t>
  </si>
  <si>
    <t>emergency electrician surrey</t>
  </si>
  <si>
    <t>0, 1, 3, 0, 0, 3, 3, 2, 1, 2, 1, 2, 1, 0, 0, 0, 0, 0, 0, 0, 0, 0, 1, 1</t>
  </si>
  <si>
    <t>commercial electrical services dallas</t>
  </si>
  <si>
    <t>0, 1, 0, 0, 0, 0, 0, 0, 1, 1, 0, 0, 0, 0, 0, 1, 1, 1, 0, 0, 3, 0, 0, 2</t>
  </si>
  <si>
    <t>electrical contractor north jersey</t>
  </si>
  <si>
    <t>electrical building services enginee</t>
  </si>
  <si>
    <t>residential electrical contractor mount airy md</t>
  </si>
  <si>
    <t>electrical services washington dc</t>
  </si>
  <si>
    <t>electrical services in delhi</t>
  </si>
  <si>
    <t>electrician in epping cape town</t>
  </si>
  <si>
    <t>electrical contractor nerang</t>
  </si>
  <si>
    <t>louisville electrical services</t>
  </si>
  <si>
    <t>adj electrical services</t>
  </si>
  <si>
    <t>electrical repair contractor poplarville</t>
  </si>
  <si>
    <t>level 1 electrical installation course near me</t>
  </si>
  <si>
    <t>0, 0, 0, 0, 1, 1, 1, 1, 0, 0, 0, 0, 1, 0, 0, 0, 0, 0, 0, 0, 0, 0, 0, 1</t>
  </si>
  <si>
    <t>emergency electrician east sussex</t>
  </si>
  <si>
    <t>electrical panel installation kansas city</t>
  </si>
  <si>
    <t>eicr electrical installation condition report</t>
  </si>
  <si>
    <t>0, 1, 1, 2, 0, 0, 0, 0, 0, 3, 1, 0, 0, 0, 0, 0, 0, 0, 0, 0, 0, 0, 0, 1</t>
  </si>
  <si>
    <t>electrical services tanawha</t>
  </si>
  <si>
    <t>electrical contractor franchise</t>
  </si>
  <si>
    <t>0, 0, 1, 2, 1, 2, 1, 2, 0, 0, 0, 0, 0, 0, 1, 0, 0, 0, 0, 0, 0, 0, 0, 1</t>
  </si>
  <si>
    <t>electrical services mayfield</t>
  </si>
  <si>
    <t>electrical services for commercial properties</t>
  </si>
  <si>
    <t>paarl electrical services</t>
  </si>
  <si>
    <t>g&amp;s electrical services</t>
  </si>
  <si>
    <t>santa rosa electrical panel installation</t>
  </si>
  <si>
    <t>electrical contractor dieppe</t>
  </si>
  <si>
    <t>0, 0, 2, 0, 1, 3, 0, 0, 0, 0, 2, 0, 0, 0, 0, 0, 0, 0, 0, 0, 0, 0, 0, 1</t>
  </si>
  <si>
    <t>electrical services enfield</t>
  </si>
  <si>
    <t>magic valley agricultural electrical services</t>
  </si>
  <si>
    <t>commercial electrical services sheffield</t>
  </si>
  <si>
    <t>hospital electrical services</t>
  </si>
  <si>
    <t>emergency electrical services tampa</t>
  </si>
  <si>
    <t>ambrose electrical services</t>
  </si>
  <si>
    <t>0, 1, 1, 1, 0, 0, 0, 0, 0, 0, 2, 0, 2, 1, 0, 1, 0, 0, 0, 0, 0, 0, 0, 2</t>
  </si>
  <si>
    <t>emergency electrician fairlight</t>
  </si>
  <si>
    <t>mccalla emergency electrician</t>
  </si>
  <si>
    <t>free electrical contractor software</t>
  </si>
  <si>
    <t>1, 0, 1, 1, 1, 0, 0, 1, 1, 2, 0, 0, 0, 1, 0, 0, 0, 2, 0, 0, 0, 0, 0, 1</t>
  </si>
  <si>
    <t>girl power electrical services</t>
  </si>
  <si>
    <t>hp electrical services</t>
  </si>
  <si>
    <t>commercial electrical services roseville ca</t>
  </si>
  <si>
    <t>electrical fit out services</t>
  </si>
  <si>
    <t>emergency electrician perth</t>
  </si>
  <si>
    <t>2, 2, 2, 3, 5, 4, 7, 6, 5, 3, 7, 0, 2, 3, 0, 0, 0, 0, 0, 0, 0, 0, 0, 1</t>
  </si>
  <si>
    <t>eddies electrical services</t>
  </si>
  <si>
    <t>1, 2, 2, 0, 0, 0, 1, 3, 6, 0, 0, 1, 2, 0, 6, 5, 0, 0, 1, 0, 0, 0, 1, 1</t>
  </si>
  <si>
    <t>commercial electrical services wangaratta</t>
  </si>
  <si>
    <t>0, 0, 0, 0, 2, 1, 0, 1, 2, 1, 0, 0, 0, 0, 0, 0, 0, 0, 0, 0, 0, 0, 0, 1</t>
  </si>
  <si>
    <t>commercial electrical services minnesota</t>
  </si>
  <si>
    <t>electrical services wandsworth</t>
  </si>
  <si>
    <t>0, 0, 0, 0, 0, 0, 0, 2, 0, 0, 1, 0, 0, 0, 0, 1, 0, 0, 0, 0, 0, 0, 0, 1</t>
  </si>
  <si>
    <t>cheltenham emergency electrician</t>
  </si>
  <si>
    <t>design &amp; build electrical contractor colchester</t>
  </si>
  <si>
    <t>commercial electrical services austin</t>
  </si>
  <si>
    <t>prolek auto electrical services</t>
  </si>
  <si>
    <t>electrical energy services</t>
  </si>
  <si>
    <t>niceville home electrical repair services</t>
  </si>
  <si>
    <t>types of wires in electrical installation</t>
  </si>
  <si>
    <t>2, 0, 0, 0, 0, 0, 0, 2, 0, 0, 0, 0, 0, 0, 1, 0, 0, 0, 0, 0, 0, 0, 0, 1</t>
  </si>
  <si>
    <t>electrical services in midrand, gauteng</t>
  </si>
  <si>
    <t>0, 0, 0, 0, 0, 0, 0, 0, 0, 0, 0, 0, 0, 0, 0, 2, 3, 2, 4, 0, 0, 0, 0, 1</t>
  </si>
  <si>
    <t>electrical installation tests</t>
  </si>
  <si>
    <t>0, 1, 0, 5, 0, 1, 1, 1, 0, 4, 0, 2, 1, 1, 1, 0, 0, 2, 1, 1, 0, 1, 1, 2</t>
  </si>
  <si>
    <t>trinity electrical services</t>
  </si>
  <si>
    <t>electrical repairs lansdale</t>
  </si>
  <si>
    <t>0, 0, 0, 0, 0, 0, 0, 0, 0, 2, 1, 0, 0, 0, 0, 0, 0, 1, 0, 0, 0, 0, 0, 1</t>
  </si>
  <si>
    <t>local seo services for electrical contractors</t>
  </si>
  <si>
    <t>commercial electrical services carrolton tx</t>
  </si>
  <si>
    <t>scope of work for electrical contractor</t>
  </si>
  <si>
    <t>3, 5, 0, 0, 0, 0, 0, 1, 1, 0, 0, 0, 2, 0, 0, 1, 0, 0, 0, 0, 1, 0, 0, 1</t>
  </si>
  <si>
    <t>residential outdoor electrical panel installation</t>
  </si>
  <si>
    <t>new line electrical services</t>
  </si>
  <si>
    <t>ev charging station electrical contractor nh</t>
  </si>
  <si>
    <t>j &amp; m electrical services</t>
  </si>
  <si>
    <t>memtech electrical services</t>
  </si>
  <si>
    <t>electrical contractor boca raton</t>
  </si>
  <si>
    <t>electrical installation massapequa</t>
  </si>
  <si>
    <t>safe electrical installation</t>
  </si>
  <si>
    <t>0, 0, 0, 0, 0, 0, 0, 0, 0, 1, 0, 0, 2, 0, 1, 0, 0, 0, 0, 0, 0, 0, 0, 1</t>
  </si>
  <si>
    <t>diy electrical repairs</t>
  </si>
  <si>
    <t>a-1 electrical services</t>
  </si>
  <si>
    <t>residential electrical services garland tx</t>
  </si>
  <si>
    <t>springs electrical services</t>
  </si>
  <si>
    <t>6, 13, 3, 6, 7, 7, 8, 2, 8, 14, 8, 9, 2, 2, 4, 2, 3, 1, 3, 3, 0, 0, 0, 1</t>
  </si>
  <si>
    <t>aim electrical services</t>
  </si>
  <si>
    <t>1, 0, 0, 0, 0, 0, 0, 0, 0, 0, 0, 0, 0, 2, 0, 0, 1, 0, 0, 0, 0, 1, 0, 1</t>
  </si>
  <si>
    <t>electrical services in east london</t>
  </si>
  <si>
    <t>0, 0, 0, 0, 0, 0, 0, 0, 0, 0, 0, 0, 0, 0, 0, 5, 2, 7, 0, 0, 0, 0, 0, 1</t>
  </si>
  <si>
    <t>electrical services san francisco</t>
  </si>
  <si>
    <t>th electrical services</t>
  </si>
  <si>
    <t>0, 0, 0, 0, 1, 1, 0, 0, 1, 0, 1, 0, 0, 0, 0, 0, 2, 0, 0, 0, 0, 0, 0, 1</t>
  </si>
  <si>
    <t>electrical services broomall</t>
  </si>
  <si>
    <t>0, 1, 0, 1, 0, 0, 0, 0, 1, 1, 0, 0, 0, 0, 0, 0, 0, 0, 0, 0, 0, 0, 0, 1</t>
  </si>
  <si>
    <t>electrical services bayside</t>
  </si>
  <si>
    <t>electrical machine repairs</t>
  </si>
  <si>
    <t>emergency electrician edmonton</t>
  </si>
  <si>
    <t>0, 0, 0, 0, 0, 1, 0, 1, 1, 1, 1, 0, 0, 0, 0, 0, 0, 0, 0, 0, 0, 0, 0, 1</t>
  </si>
  <si>
    <t>24 hour emergency electrician huntsville</t>
  </si>
  <si>
    <t>iowa electrical contractor license</t>
  </si>
  <si>
    <t>0, 0, 1, 0, 0, 0, 1, 0, 2, 1, 0, 0, 0, 0, 1, 2, 0, 0, 0, 0, 0, 0, 0, 1</t>
  </si>
  <si>
    <t>contractor electrical industrial</t>
  </si>
  <si>
    <t>1, 0, 0, 0, 1, 0, 0, 0, 2, 0, 1, 1, 0, 0, 0, 0, 0, 0, 0, 0, 0, 0, 0, 1</t>
  </si>
  <si>
    <t>electrical contractor mildura</t>
  </si>
  <si>
    <t>naics code electrical contractor</t>
  </si>
  <si>
    <t>0, 0, 1, 0, 0, 0, 1, 0, 0, 0, 1, 0, 0, 0, 0, 0, 0, 0, 0, 0, 0, 0, 0, 1</t>
  </si>
  <si>
    <t>gemini electrical services ltd</t>
  </si>
  <si>
    <t>labor cost for electrical wiring installation</t>
  </si>
  <si>
    <t>electrical contractor training kansas</t>
  </si>
  <si>
    <t>electrical services in vanderbijlpark</t>
  </si>
  <si>
    <t>0, 0, 0, 0, 0, 0, 0, 0, 0, 0, 0, 0, 0, 0, 0, 0, 1, 5, 7, 0, 0, 0, 0, 1</t>
  </si>
  <si>
    <t>spa electrical installation</t>
  </si>
  <si>
    <t>0, 1, 0, 0, 3, 0, 1, 2, 2, 2, 1, 0, 0, 0, 0, 1, 0, 0, 0, 0, 0, 0, 0, 1</t>
  </si>
  <si>
    <t>electrical maintenance services bothell</t>
  </si>
  <si>
    <t>industrial electrical contractor adelaide</t>
  </si>
  <si>
    <t>arv power electrical contractor &amp; supplies</t>
  </si>
  <si>
    <t>0, 0, 0, 0, 0, 0, 0, 0, 0, 0, 0, 0, 0, 0, 0, 0, 0, 2, 0, 1, 0, 0, 0, 1</t>
  </si>
  <si>
    <t>electrical installation image</t>
  </si>
  <si>
    <t>electrical panel installation montgomery county</t>
  </si>
  <si>
    <t>metal electrical box installation</t>
  </si>
  <si>
    <t>power pro electrical services</t>
  </si>
  <si>
    <t>0, 0, 0, 1, 0, 0, 0, 5, 4, 2, 1, 2, 1, 3, 5, 0, 0, 2, 1, 1, 1, 0, 0, 1</t>
  </si>
  <si>
    <t>emergency electrician cookeville</t>
  </si>
  <si>
    <t>logo electrical services</t>
  </si>
  <si>
    <t>0, 0, 0, 0, 0, 0, 0, 0, 0, 0, 0, 0, 0, 0, 0, 3, 0, 1, 0, 0, 1, 1, 0, 2</t>
  </si>
  <si>
    <t>residential electrical services pelzer</t>
  </si>
  <si>
    <t>electrical services simcoe</t>
  </si>
  <si>
    <t>0, 0, 0, 4, 2, 0, 0, 0, 0, 2, 1, 0, 0, 0, 0, 0, 0, 0, 0, 0, 0, 0, 0, 1</t>
  </si>
  <si>
    <t>domestic electrical installation colchester</t>
  </si>
  <si>
    <t>electrical contractor victoria bc</t>
  </si>
  <si>
    <t>jacksonville electrical panel services</t>
  </si>
  <si>
    <t>0, 0, 0, 0, 0, 0, 0, 0, 0, 3, 0, 1, 0, 0, 0, 0, 0, 0, 0, 0, 0, 0, 0, 1</t>
  </si>
  <si>
    <t>electrical contractor in dallas</t>
  </si>
  <si>
    <t>emergency electrician birmingham contact apex emergency repairs</t>
  </si>
  <si>
    <t>1, 297, 0, 0, 0, 0, 0, 0, 0, 0, 0, 0, 0, 0, 0, 0, 0, 0, 0, 0, 0, 0, 0, 1</t>
  </si>
  <si>
    <t>electrical wiring services greenville sc</t>
  </si>
  <si>
    <t>0, 0, 0, 0, 0, 1, 1, 0, 0, 0, 1, 2, 0, 0, 0, 0, 0, 0, 0, 0, 0, 0, 0, 1</t>
  </si>
  <si>
    <t>commercial electrical repairs citrus park</t>
  </si>
  <si>
    <t>mp electrical services</t>
  </si>
  <si>
    <t>electrical sign contractor</t>
  </si>
  <si>
    <t>0, 0, 0, 1, 0, 0, 0, 0, 0, 0, 0, 1, 2, 0, 0, 0, 0, 0, 0, 0, 0, 0, 0, 1</t>
  </si>
  <si>
    <t>emergency electrician tower hill</t>
  </si>
  <si>
    <t>depreciation on electrical installation</t>
  </si>
  <si>
    <t>powerplus electrical services</t>
  </si>
  <si>
    <t>electrical wiring and installation</t>
  </si>
  <si>
    <t>2, 0, 1, 1, 1, 1, 1, 2, 0, 2, 2, 1, 0, 0, 8, 1, 2, 0, 2, 4, 3, 5, 3, 2</t>
  </si>
  <si>
    <t>electrical panel installation price</t>
  </si>
  <si>
    <t>emergency electrician alexandria</t>
  </si>
  <si>
    <t>electrical services in building</t>
  </si>
  <si>
    <t>northern auto electrical services pretoria</t>
  </si>
  <si>
    <t>bright star electrical services</t>
  </si>
  <si>
    <t>electrical outlet installation</t>
  </si>
  <si>
    <t>5, 6, 5, 11, 12, 13, 5, 17, 14, 9, 21, 1, 2, 2, 0, 0, 0, 2, 4, 0, 1, 3, 0, 2</t>
  </si>
  <si>
    <t>residential electrical services christchurch</t>
  </si>
  <si>
    <t>0, 0, 0, 0, 0, 0, 0, 0, 2, 0, 0, 0, 0, 0, 0, 0, 0, 0, 0, 0, 0, 1, 2, 2</t>
  </si>
  <si>
    <t>camillo emergency electrician</t>
  </si>
  <si>
    <t>city and guilds level 2 electrical installation</t>
  </si>
  <si>
    <t>0, 0, 0, 0, 0, 0, 0, 0, 0, 0, 0, 0, 4, 0, 0, 0, 1, 0, 0, 0, 0, 0, 0, 1</t>
  </si>
  <si>
    <t>solar panel electrical installation</t>
  </si>
  <si>
    <t>0, 1, 1, 1, 0, 1, 1, 0, 1, 0, 0, 0, 3, 1, 0, 0, 0, 0, 0, 0, 0, 1, 1, 2</t>
  </si>
  <si>
    <t>hot tub electrical installation in chichester</t>
  </si>
  <si>
    <t>0, 0, 0, 0, 0, 0, 0, 0, 0, 0, 0, 0, 0, 0, 0, 1, 1, 1, 0, 0, 0, 1, 0, 1</t>
  </si>
  <si>
    <t>real electrical services</t>
  </si>
  <si>
    <t>grm electrical services</t>
  </si>
  <si>
    <t>electrical services provider lake fern</t>
  </si>
  <si>
    <t>electrical services southern tasmania</t>
  </si>
  <si>
    <t>1, 1, 0, 2, 1, 1, 0, 0, 2, 0, 0, 0, 0, 0, 0, 0, 0, 0, 0, 0, 0, 0, 0, 1</t>
  </si>
  <si>
    <t>electrical repairs lancaster</t>
  </si>
  <si>
    <t>0, 0, 0, 1, 0, 1, 1, 0, 0, 1, 1, 2, 0, 0, 0, 0, 0, 0, 0, 0, 0, 0, 0, 1</t>
  </si>
  <si>
    <t>electrical lighting contractor marietta ga</t>
  </si>
  <si>
    <t>midrand electrical services</t>
  </si>
  <si>
    <t>emergency electrician breakfast point</t>
  </si>
  <si>
    <t>gb electrical services</t>
  </si>
  <si>
    <t>0, 1, 0, 0, 0, 1, 0, 0, 1, 0, 1, 3, 0, 0, 0, 1, 0, 0, 0, 0, 0, 0, 0, 1</t>
  </si>
  <si>
    <t>types of contractor in electrical</t>
  </si>
  <si>
    <t>residential electrical services bedford tx</t>
  </si>
  <si>
    <t>best electrical contractor website</t>
  </si>
  <si>
    <t>0, 1, 1, 0, 1, 1, 0, 1, 2, 0, 3, 0, 0, 0, 0, 0, 0, 0, 1, 0, 0, 0, 0, 1</t>
  </si>
  <si>
    <t>emergency electrician atlanta</t>
  </si>
  <si>
    <t>d g electrical services</t>
  </si>
  <si>
    <t>partners electrical services</t>
  </si>
  <si>
    <t>electrical contractor name ideas</t>
  </si>
  <si>
    <t>0, 0, 3, 0, 0, 0, 0, 0, 0, 0, 1, 0, 2, 0, 0, 0, 0, 0, 0, 1, 0, 0, 0, 1</t>
  </si>
  <si>
    <t>electrical repairs in charleston sc</t>
  </si>
  <si>
    <t>emergency electrician bridgewater</t>
  </si>
  <si>
    <t>emergency electrician homebush</t>
  </si>
  <si>
    <t>electrical installation greenville</t>
  </si>
  <si>
    <t>electrical contractor independence mo</t>
  </si>
  <si>
    <t>electrical fp installation abu dhabi</t>
  </si>
  <si>
    <t>accessories used in electrical installation</t>
  </si>
  <si>
    <t>vale electrical services</t>
  </si>
  <si>
    <t>cam electrical services</t>
  </si>
  <si>
    <t>0, 0, 0, 0, 0, 0, 0, 0, 0, 0, 0, 1, 1, 0, 1, 0, 0, 0, 1, 1, 0, 0, 0, 1</t>
  </si>
  <si>
    <t>electrical installation technician cv</t>
  </si>
  <si>
    <t>grapevine electrical services</t>
  </si>
  <si>
    <t>0, 0, 0, 2, 0, 0, 1, 0, 0, 3, 1, 0, 0, 0, 0, 0, 0, 0, 0, 0, 0, 0, 0, 1</t>
  </si>
  <si>
    <t>general contractor electrical work</t>
  </si>
  <si>
    <t>electrical engineering contractor</t>
  </si>
  <si>
    <t>0, 0, 0, 1, 0, 1, 1, 0, 0, 0, 0, 1, 1, 0, 1, 0, 0, 0, 0, 0, 0, 0, 0, 1</t>
  </si>
  <si>
    <t>emergency electrician tameside</t>
  </si>
  <si>
    <t>wilson electrical &amp; appliances repairs durban</t>
  </si>
  <si>
    <t>emergency electrician lakecoogee</t>
  </si>
  <si>
    <t>electrical installation service albuquerque</t>
  </si>
  <si>
    <t>0, 0, 0, 0, 1, 0, 1, 0, 0, 0, 1, 0, 0, 0, 0, 0, 0, 0, 0, 0, 0, 0, 0, 1</t>
  </si>
  <si>
    <t>starting an electrical contractor business</t>
  </si>
  <si>
    <t>0, 0, 0, 0, 0, 0, 0, 0, 0, 0, 0, 0, 1, 0, 1, 0, 0, 0, 2, 0, 0, 0, 0, 1</t>
  </si>
  <si>
    <t>home electrical repairs clermont</t>
  </si>
  <si>
    <t>electrical installation service durban</t>
  </si>
  <si>
    <t>food and beverage electrical contractor</t>
  </si>
  <si>
    <t>0, 0, 0, 1, 0, 0, 0, 3, 1, 6, 2, 0, 0, 0, 0, 0, 0, 0, 0, 0, 0, 0, 0, 1</t>
  </si>
  <si>
    <t>wills electrical services</t>
  </si>
  <si>
    <t>emergency electrician winchester</t>
  </si>
  <si>
    <t>emergency electrician streatham</t>
  </si>
  <si>
    <t>emergency electrician putney</t>
  </si>
  <si>
    <t>1, 0, 1, 0, 0, 2, 1, 1, 0, 0, 0, 0, 0, 0, 0, 0, 0, 0, 0, 0, 0, 0, 0, 1</t>
  </si>
  <si>
    <t>electrical wiring services albuquerque nm</t>
  </si>
  <si>
    <t>1, 0, 1, 0, 0, 2, 0, 0, 0, 0, 0, 0, 0, 0, 0, 0, 0, 0, 0, 0, 0, 0, 0, 1</t>
  </si>
  <si>
    <t>nowergup emergency electrician</t>
  </si>
  <si>
    <t>emergency electrician henley on thames</t>
  </si>
  <si>
    <t>emergency electrician ocean reef</t>
  </si>
  <si>
    <t>0, 0, 0, 0, 1, 0, 1, 3, 0, 0, 1, 0, 0, 0, 0, 0, 0, 0, 0, 0, 0, 0, 0, 1</t>
  </si>
  <si>
    <t>jb electrical services</t>
  </si>
  <si>
    <t>0, 0, 0, 0, 0, 1, 0, 2, 0, 0, 0, 1, 0, 0, 0, 0, 0, 0, 0, 0, 0, 0, 0, 1</t>
  </si>
  <si>
    <t>first light electrical services</t>
  </si>
  <si>
    <t>electrical installation inspection frequency</t>
  </si>
  <si>
    <t>goya electrical &amp; crane services</t>
  </si>
  <si>
    <t>shaw electrical services</t>
  </si>
  <si>
    <t>emergency call out electrician bristol</t>
  </si>
  <si>
    <t>cooper electrical services</t>
  </si>
  <si>
    <t>0, 1, 3, 0, 0, 0, 0, 1, 0, 2, 3, 1, 2, 0, 0, 0, 0, 0, 0, 0, 0, 0, 1, 1</t>
  </si>
  <si>
    <t>emergency electrician greenville</t>
  </si>
  <si>
    <t>auto electrician call out cape town</t>
  </si>
  <si>
    <t>electrical services of maine</t>
  </si>
  <si>
    <t>emergency electrician oshawa</t>
  </si>
  <si>
    <t>0, 0, 0, 0, 1, 1, 0, 0, 0, 0, 2, 0, 0, 0, 0, 0, 0, 0, 0, 0, 0, 0, 0, 1</t>
  </si>
  <si>
    <t>electrical installation weston fl</t>
  </si>
  <si>
    <t>electrical services renton wa</t>
  </si>
  <si>
    <t>electrical contractor northfield il</t>
  </si>
  <si>
    <t>andover electrical services</t>
  </si>
  <si>
    <t>corin dudley electrical services ltd</t>
  </si>
  <si>
    <t>engineering services electrical instrumentation</t>
  </si>
  <si>
    <t>0, 0, 0, 0, 0, 0, 0, 0, 0, 1, 0, 0, 27, 5, 6, 1, 0, 0, 0, 0, 3, 7, 4, 6</t>
  </si>
  <si>
    <t>electrical contractor companies near me</t>
  </si>
  <si>
    <t>tropical solar and electrical services</t>
  </si>
  <si>
    <t>residential electrical contractor scottsdale</t>
  </si>
  <si>
    <t>light electrical services</t>
  </si>
  <si>
    <t>setlhare electrical services</t>
  </si>
  <si>
    <t>sauna electrical installation</t>
  </si>
  <si>
    <t>0, 1, 1, 0, 3, 0, 1, 4, 2, 2, 2, 0, 0, 0, 0, 0, 0, 0, 0, 0, 0, 0, 0, 1</t>
  </si>
  <si>
    <t>electrical services for facilities</t>
  </si>
  <si>
    <t>emergency electrician abbotsford</t>
  </si>
  <si>
    <t>0, 0, 0, 2, 2, 2, 3, 4, 3, 0, 3, 0, 0, 0, 0, 0, 0, 0, 0, 0, 0, 0, 0, 1</t>
  </si>
  <si>
    <t>electrical box vapour barrier installation</t>
  </si>
  <si>
    <t>electrical contractor greensboro</t>
  </si>
  <si>
    <t>electrical engineer building services</t>
  </si>
  <si>
    <t>1, 11, 4, 0, 0, 0, 1, 0, 0, 1, 0, 0, 3, 0, 0, 0, 0, 0, 0, 0, 0, 0, 2, 2</t>
  </si>
  <si>
    <t>auto electrical services pretoria west</t>
  </si>
  <si>
    <t>0, 0, 0, 0, 0, 0, 0, 4, 0, 0, 0, 0, 0, 0, 0, 0, 0, 2, 11, 3, 0, 0, 13, 5</t>
  </si>
  <si>
    <t>stages of electrical installation</t>
  </si>
  <si>
    <t>0, 1, 0, 0, 0, 1, 0, 1, 1, 1, 1, 0, 0, 1, 0, 0, 2, 0, 0, 2, 0, 0, 0, 1</t>
  </si>
  <si>
    <t>martinez electrical contractor</t>
  </si>
  <si>
    <t>0, 0, 0, 1, 0, 1, 1, 1, 1, 0, 2, 2, 0, 1, 0, 0, 0, 0, 0, 0, 0, 0, 0, 1</t>
  </si>
  <si>
    <t>sole electrical services ltd</t>
  </si>
  <si>
    <t>electrical contractor bentleigh</t>
  </si>
  <si>
    <t>emergency service electrician</t>
  </si>
  <si>
    <t>0, 0, 3, 0, 1, 0, 0, 1, 1, 2, 0, 1, 0, 0, 0, 0, 0, 0, 0, 0, 0, 0, 0, 1</t>
  </si>
  <si>
    <t>electrical repairs scotts valley</t>
  </si>
  <si>
    <t>electrical diagram for solar panel installation</t>
  </si>
  <si>
    <t>0, 0, 0, 0, 0, 0, 2, 0, 0, 0, 0, 0, 0, 1, 3, 0, 0, 1, 0, 0, 1, 0, 0, 1</t>
  </si>
  <si>
    <t>local electrical services christchurch</t>
  </si>
  <si>
    <t>electrical services singapore</t>
  </si>
  <si>
    <t>1, 0, 1, 4, 3, 2, 1, 2, 3, 5, 6, 0, 1, 0, 1, 0, 0, 0, 0, 1, 0, 0, 0, 1</t>
  </si>
  <si>
    <t>electrical panel installation huntersville, nc</t>
  </si>
  <si>
    <t>electrical services southampton</t>
  </si>
  <si>
    <t>0, 0, 0, 0, 0, 0, 0, 0, 2, 3, 1, 0, 0, 0, 0, 0, 0, 0, 0, 0, 0, 0, 0, 1</t>
  </si>
  <si>
    <t>commercial electrical contractor fl near me</t>
  </si>
  <si>
    <t>emergency electrician daglish</t>
  </si>
  <si>
    <t>0, 0, 0, 0, 0, 1, 0, 0, 1, 1, 0, 0, 0, 0, 1, 0, 0, 0, 0, 0, 0, 0, 0, 1</t>
  </si>
  <si>
    <t>electrical contractor garwood</t>
  </si>
  <si>
    <t>mr electrical services</t>
  </si>
  <si>
    <t>0, 0, 1, 2, 1, 1, 1, 0, 2, 1, 0, 0, 0, 4, 0, 3, 1, 0, 5, 2, 0, 2, 1, 1</t>
  </si>
  <si>
    <t>electrical services company louisville ky</t>
  </si>
  <si>
    <t>dynamite electrical services</t>
  </si>
  <si>
    <t>salt lake city electrical contractor</t>
  </si>
  <si>
    <t>balaclava emergency electrician</t>
  </si>
  <si>
    <t>l&amp;c electrical services</t>
  </si>
  <si>
    <t>synergy electrical services</t>
  </si>
  <si>
    <t>electrical installation service austin</t>
  </si>
  <si>
    <t>emergency electrician hurst tx</t>
  </si>
  <si>
    <t>emergency electrical services oh</t>
  </si>
  <si>
    <t>24 hour emergency electrician mt juliet</t>
  </si>
  <si>
    <t>electro electrical repairs</t>
  </si>
  <si>
    <t>electrical installation rates south africa</t>
  </si>
  <si>
    <t>15, 6, 0, 0, 0, 0, 0, 0, 0, 0, 0, 0, 0, 0, 0, 0, 0, 0, 0, 0, 0, 0, 0, 1</t>
  </si>
  <si>
    <t>emergency electrician boston</t>
  </si>
  <si>
    <t>electrical services in mission viejo</t>
  </si>
  <si>
    <t>electrical installation regulations 2018</t>
  </si>
  <si>
    <t>charleston sc electrical contractor</t>
  </si>
  <si>
    <t>electrical contractor answering service</t>
  </si>
  <si>
    <t>example of electrical contractor invoice</t>
  </si>
  <si>
    <t>commercial electrical repairs cairns</t>
  </si>
  <si>
    <t>ies electrical contractor</t>
  </si>
  <si>
    <t>0, 0, 1, 0, 0, 0, 0, 0, 0, 0, 1, 0, 0, 0, 0, 0, 0, 0, 0, 2, 0, 0, 0, 1</t>
  </si>
  <si>
    <t>electrical fit out contractor for manufacturing</t>
  </si>
  <si>
    <t>emergency electrician birmingham</t>
  </si>
  <si>
    <t>0, 0, 3, 1, 5, 1, 2, 1, 0, 2, 1, 1, 0, 0, 0, 0, 0, 0, 0, 0, 0, 0, 0, 1</t>
  </si>
  <si>
    <t>electrical contractor usa</t>
  </si>
  <si>
    <t>0, 0, 0, 0, 0, 0, 0, 0, 0, 0, 0, 0, 0, 0, 0, 0, 1, 0, 1, 0, 0, 0, 0, 1</t>
  </si>
  <si>
    <t>commercial and industrial electrical services</t>
  </si>
  <si>
    <t>0, 2, 0, 0, 0, 1, 0, 1, 0, 1, 4, 2, 0, 0, 0, 0, 0, 0, 0, 0, 0, 0, 0, 1</t>
  </si>
  <si>
    <t>j m electrical services</t>
  </si>
  <si>
    <t>cockburncentral emergency electrician</t>
  </si>
  <si>
    <t>0, 0, 0, 0, 0, 0, 0, 1, 3, 1, 0, 0, 0, 0, 0, 0, 0, 0, 0, 0, 0, 0, 0, 1</t>
  </si>
  <si>
    <t>clearwater electrical services</t>
  </si>
  <si>
    <t>procedure of electrical installation</t>
  </si>
  <si>
    <t>electrical services in bow</t>
  </si>
  <si>
    <t>0, 0, 0, 0, 0, 0, 0, 0, 0, 0, 0, 0, 1, 1, 1, 0, 0, 0, 0, 0, 0, 1, 1, 2</t>
  </si>
  <si>
    <t>cj electrical services</t>
  </si>
  <si>
    <t>2, 3, 0, 3, 0, 0, 0, 1, 1, 0, 0, 0, 0, 0, 1, 1, 3, 2, 3, 0, 0, 2, 0, 2</t>
  </si>
  <si>
    <t>electrical installation concord, nc</t>
  </si>
  <si>
    <t>t&amp;l electrical services</t>
  </si>
  <si>
    <t>1, 2, 0, 0, 0, 0, 0, 0, 0, 0, 0, 0, 1, 0, 0, 1, 1, 0, 0, 0, 0, 0, 0, 1</t>
  </si>
  <si>
    <t>emergency electrician in chester</t>
  </si>
  <si>
    <t>east electrical services</t>
  </si>
  <si>
    <t>0, 1, 0, 0, 0, 0, 0, 0, 0, 1, 0, 0, 0, 0, 0, 0, 0, 0, 0, 1, 0, 0, 0, 1</t>
  </si>
  <si>
    <t>electrical contractor website templates free</t>
  </si>
  <si>
    <t>emergency electrician ormond</t>
  </si>
  <si>
    <t>0, 0, 0, 0, 0, 1, 0, 3, 0, 0, 0, 0, 0, 0, 0, 0, 0, 0, 0, 0, 0, 0, 0, 1</t>
  </si>
  <si>
    <t>electrical repairs stellenbosch</t>
  </si>
  <si>
    <t>martins electrical services</t>
  </si>
  <si>
    <t>emergency electrician chattanooga</t>
  </si>
  <si>
    <t>electrical services edmonton</t>
  </si>
  <si>
    <t>0, 0, 0, 0, 0, 1, 5, 0, 1, 0, 0, 2, 0, 0, 0, 0, 0, 0, 0, 0, 0, 0, 0, 1</t>
  </si>
  <si>
    <t>vip electrical services</t>
  </si>
  <si>
    <t>electrical contractor sutton</t>
  </si>
  <si>
    <t>contractor electrical license</t>
  </si>
  <si>
    <t>0, 0, 0, 0, 0, 0, 0, 0, 0, 0, 1, 0, 0, 0, 0, 0, 0, 0, 2, 0, 0, 0, 1, 1</t>
  </si>
  <si>
    <t>blythewood electrical services</t>
  </si>
  <si>
    <t>0, 0, 0, 0, 0, 0, 0, 0, 2, 0, 1, 0, 0, 0, 0, 0, 0, 2, 0, 0, 0, 0, 0, 1</t>
  </si>
  <si>
    <t>electrical commissioning services</t>
  </si>
  <si>
    <t>electrical services in diepsloot</t>
  </si>
  <si>
    <t>0, 0, 0, 0, 0, 0, 0, 0, 0, 0, 0, 0, 0, 0, 0, 0, 3, 2, 1, 0, 0, 0, 0, 1</t>
  </si>
  <si>
    <t>rm electrical services</t>
  </si>
  <si>
    <t>midwest electrical services wolverhampton</t>
  </si>
  <si>
    <t>electrical services company profile sample</t>
  </si>
  <si>
    <t>residential electrical services littleton</t>
  </si>
  <si>
    <t>emergency electrician mortdale</t>
  </si>
  <si>
    <t>risk assessment electrical installation work</t>
  </si>
  <si>
    <t>0, 0, 2, 3, 2, 0, 1, 0, 2, 1, 3, 2, 9, 7, 0, 1, 0, 0, 0, 0, 0, 0, 0, 1</t>
  </si>
  <si>
    <t>emergency electrical repairs richardson tx</t>
  </si>
  <si>
    <t>electrical cad drafting services</t>
  </si>
  <si>
    <t>0, 0, 1, 3, 1, 0, 0, 1, 0, 0, 1, 0, 0, 0, 0, 0, 0, 1, 0, 0, 0, 1, 0, 1</t>
  </si>
  <si>
    <t>emergency electrician lebanon</t>
  </si>
  <si>
    <t>electrical services uk</t>
  </si>
  <si>
    <t>1, 0, 0, 0, 0, 1, 0, 1, 0, 0, 2, 0, 1, 0, 0, 0, 1, 0, 0, 0, 0, 0, 0, 1</t>
  </si>
  <si>
    <t>24 hr emergency electrician oakleigh</t>
  </si>
  <si>
    <t>electrical contractor quotation template</t>
  </si>
  <si>
    <t>0, 0, 0, 0, 0, 0, 0, 0, 0, 0, 0, 0, 0, 0, 0, 0, 0, 6, 1, 0, 0, 0, 0, 1</t>
  </si>
  <si>
    <t>emergency electrician enfield</t>
  </si>
  <si>
    <t>electrical contractor charlotte</t>
  </si>
  <si>
    <t>emerald electrical services</t>
  </si>
  <si>
    <t>commercial electrical services adams county</t>
  </si>
  <si>
    <t>electrical installation nambour west</t>
  </si>
  <si>
    <t>elite electrical services nsw</t>
  </si>
  <si>
    <t>0, 0, 0, 1, 0, 3, 0, 0, 0, 0, 0, 0, 0, 0, 0, 0, 0, 0, 0, 0, 0, 0, 0, 1</t>
  </si>
  <si>
    <t>low voltage electrical contractor</t>
  </si>
  <si>
    <t>0, 0, 0, 0, 2, 1, 0, 1, 0, 2, 0, 2, 0, 0, 0, 0, 0, 0, 0, 0, 0, 0, 0, 1</t>
  </si>
  <si>
    <t>phase electrical services</t>
  </si>
  <si>
    <t>auburn electrical contractor</t>
  </si>
  <si>
    <t>evans electrical services</t>
  </si>
  <si>
    <t>electrical repairs palm city</t>
  </si>
  <si>
    <t>a&amp;b electrical services</t>
  </si>
  <si>
    <t>cls electrical services ltd</t>
  </si>
  <si>
    <t>emergency electrician martin</t>
  </si>
  <si>
    <t>0, 0, 0, 1, 0, 2, 1, 0, 0, 1, 1, 0, 0, 0, 0, 0, 0, 0, 0, 0, 0, 0, 0, 1</t>
  </si>
  <si>
    <t>electrical repairs lehigh county pa</t>
  </si>
  <si>
    <t>samuel electrical services</t>
  </si>
  <si>
    <t>century electrical services mooresville nc</t>
  </si>
  <si>
    <t>certified electrical services</t>
  </si>
  <si>
    <t>0, 1, 0, 0, 0, 0, 0, 0, 0, 0, 0, 1, 4, 1, 0, 0, 0, 0, 0, 0, 0, 0, 0, 1</t>
  </si>
  <si>
    <t>emergency electrician barden ridge</t>
  </si>
  <si>
    <t>local services for electrical work</t>
  </si>
  <si>
    <t>0, 0, 5, 1, 0, 1, 0, 0, 0, 0, 0, 0, 0, 0, 0, 0, 0, 0, 0, 0, 0, 0, 0, 1</t>
  </si>
  <si>
    <t>sam electrical services</t>
  </si>
  <si>
    <t>after hours emergency electrician</t>
  </si>
  <si>
    <t>0, 0, 0, 0, 0, 0, 0, 0, 0, 0, 0, 0, 1, 1, 0, 0, 0, 0, 0, 0, 0, 0, 0, 1</t>
  </si>
  <si>
    <t>emergency electrical services fort worth</t>
  </si>
  <si>
    <t>electrical generator installation cherryville, nc</t>
  </si>
  <si>
    <t>emergency electrician melbourne</t>
  </si>
  <si>
    <t>6, 10, 10, 5, 7, 0, 4, 16, 9, 17, 15, 0, 0, 0, 0, 0, 0, 0, 0, 0, 0, 0, 0, 1</t>
  </si>
  <si>
    <t>starlight electrical services</t>
  </si>
  <si>
    <t>glenco electrical services</t>
  </si>
  <si>
    <t>emergency electrical repairs hurst tx</t>
  </si>
  <si>
    <t>electrical services in construction</t>
  </si>
  <si>
    <t>0, 0, 1, 0, 0, 2, 1, 0, 0, 0, 0, 0, 0, 0, 0, 0, 0, 0, 0, 0, 0, 0, 0, 1</t>
  </si>
  <si>
    <t>electrical contractor general liability insurance</t>
  </si>
  <si>
    <t>0, 0, 0, 0, 1, 0, 0, 0, 0, 0, 2, 0, 0, 0, 0, 0, 0, 0, 0, 1, 0, 0, 0, 1</t>
  </si>
  <si>
    <t>emergency electrician kirkland</t>
  </si>
  <si>
    <t>0, 0, 0, 0, 0, 0, 0, 0, 2, 0, 2, 0, 0, 0, 0, 0, 0, 0, 0, 0, 0, 1, 0, 1</t>
  </si>
  <si>
    <t>sic for electrical contractor</t>
  </si>
  <si>
    <t>hopeland emergency electrician</t>
  </si>
  <si>
    <t>0, 0, 0, 0, 0, 1, 0, 0, 0, 1, 2, 4, 0, 0, 0, 0, 0, 0, 0, 0, 0, 0, 0, 1</t>
  </si>
  <si>
    <t>electrical services devon</t>
  </si>
  <si>
    <t>emergency electrician st. louis park</t>
  </si>
  <si>
    <t>emergency electrician cremorne</t>
  </si>
  <si>
    <t>emergency electrician rhode island</t>
  </si>
  <si>
    <t>smart home electrical services</t>
  </si>
  <si>
    <t>0, 0, 0, 0, 1, 0, 1, 1, 0, 0, 1, 0, 0, 0, 0, 0, 0, 0, 0, 0, 0, 1, 0, 1</t>
  </si>
  <si>
    <t>residential electrical contractor port hadlock</t>
  </si>
  <si>
    <t>edmonton electrical services</t>
  </si>
  <si>
    <t>1, 0, 1, 0, 1, 0, 1, 0, 0, 0, 0, 1, 0, 0, 0, 0, 0, 0, 0, 0, 0, 0, 0, 1</t>
  </si>
  <si>
    <t>electrical services port orange, fl</t>
  </si>
  <si>
    <t>0, 0, 0, 0, 0, 0, 0, 0, 0, 5, 0, 1, 0, 0, 0, 0, 0, 0, 0, 0, 0, 0, 0, 1</t>
  </si>
  <si>
    <t>electrical services in wamarun</t>
  </si>
  <si>
    <t>commercial electrical services in new york</t>
  </si>
  <si>
    <t>emergency electrician st. ives</t>
  </si>
  <si>
    <t>electrical installation work pdf download</t>
  </si>
  <si>
    <t>northside electrical services</t>
  </si>
  <si>
    <t>commercial electrical contractor los angeles</t>
  </si>
  <si>
    <t>0, 0, 0, 0, 0, 0, 0, 1, 2, 0, 2, 1, 0, 0, 0, 0, 0, 0, 0, 0, 0, 0, 0, 1</t>
  </si>
  <si>
    <t>design electrical installation</t>
  </si>
  <si>
    <t>0, 0, 0, 0, 0, 0, 0, 0, 0, 0, 0, 0, 1, 0, 0, 1, 0, 0, 0, 0, 0, 0, 0, 1</t>
  </si>
  <si>
    <t>commercial electrical services polk county</t>
  </si>
  <si>
    <t>hc electrical services</t>
  </si>
  <si>
    <t>1, 0, 0, 0, 0, 0, 0, 0, 0, 0, 0, 0, 0, 0, 0, 1, 0, 0, 0, 0, 0, 0, 0, 1</t>
  </si>
  <si>
    <t>north bay electrical contractor</t>
  </si>
  <si>
    <t>electrical and data services</t>
  </si>
  <si>
    <t>electrical services northwest edmonton</t>
  </si>
  <si>
    <t>residential electrical services the colony tx</t>
  </si>
  <si>
    <t>emergency electrician natick</t>
  </si>
  <si>
    <t>contractor in electrical panel</t>
  </si>
  <si>
    <t>conway home electrical repair services</t>
  </si>
  <si>
    <t>emergency electrician sw3</t>
  </si>
  <si>
    <t>emergency electrician kangaroo point</t>
  </si>
  <si>
    <t>0, 1, 0, 0, 0, 1, 0, 0, 0, 1, 0, 0, 0, 1, 0, 0, 0, 0, 0, 0, 0, 0, 0, 1</t>
  </si>
  <si>
    <t>emergency electrician wangaratta</t>
  </si>
  <si>
    <t>0, 0, 0, 1, 1, 1, 1, 0, 0, 1, 0, 0, 0, 0, 0, 0, 0, 0, 0, 0, 0, 0, 0, 1</t>
  </si>
  <si>
    <t>electrical services seaford</t>
  </si>
  <si>
    <t>yes electrical services</t>
  </si>
  <si>
    <t>electrical services sheffield</t>
  </si>
  <si>
    <t>spear electrical services</t>
  </si>
  <si>
    <t>0, 1, 0, 0, 0, 0, 0, 0, 0, 0, 0, 0, 0, 0, 0, 2, 0, 0, 0, 0, 0, 0, 0, 1</t>
  </si>
  <si>
    <t>electrical services hamburg ny</t>
  </si>
  <si>
    <t>0, 0, 0, 0, 0, 0, 0, 1, 0, 1, 4, 0, 0, 0, 0, 0, 0, 0, 0, 0, 0, 0, 0, 1</t>
  </si>
  <si>
    <t>power electrical services</t>
  </si>
  <si>
    <t>0, 1, 0, 0, 0, 0, 0, 0, 0, 1, 1, 2, 0, 1, 0, 0, 1, 0, 1, 0, 1, 0, 1, 1</t>
  </si>
  <si>
    <t>rose electrical services</t>
  </si>
  <si>
    <t>apply for electrical contractor license</t>
  </si>
  <si>
    <t>0, 0, 0, 0, 0, 0, 0, 0, 0, 0, 0, 1, 0, 0, 0, 0, 1, 1, 0, 1, 0, 0, 0, 1</t>
  </si>
  <si>
    <t>electrical installation app</t>
  </si>
  <si>
    <t>1, 1, 0, 0, 0, 0, 0, 0, 0, 0, 1, 1, 0, 0, 1, 0, 0, 1, 2, 0, 1, 0, 0, 2</t>
  </si>
  <si>
    <t>cj refrigeration &amp; electrical services</t>
  </si>
  <si>
    <t>0, 0, 0, 0, 0, 0, 0, 0, 0, 0, 0, 16, 8, 3, 0, 0, 2, 0, 0, 0, 4, 8, 0, 1</t>
  </si>
  <si>
    <t>electrical services hastings</t>
  </si>
  <si>
    <t>0, 0, 0, 0, 0, 0, 2, 2, 0, 0, 0, 0, 0, 0, 0, 0, 0, 0, 0, 0, 0, 0, 0, 1</t>
  </si>
  <si>
    <t>premier electrical services</t>
  </si>
  <si>
    <t>0, 1, 0, 0, 0, 0, 0, 1, 0, 0, 1, 1, 0, 0, 0, 0, 0, 0, 0, 0, 0, 0, 0, 1</t>
  </si>
  <si>
    <t>electrical repairs georgetown</t>
  </si>
  <si>
    <t>0, 0, 0, 0, 0, 0, 0, 0, 0, 1, 2, 1, 0, 0, 0, 0, 0, 0, 1, 0, 0, 0, 0, 1</t>
  </si>
  <si>
    <t>emergency electrician windsor</t>
  </si>
  <si>
    <t>electrical wire installation guide</t>
  </si>
  <si>
    <t>0, 0, 1, 0, 0, 0, 1, 0, 0, 0, 0, 0, 0, 0, 0, 0, 1, 0, 0, 0, 0, 0, 0, 1</t>
  </si>
  <si>
    <t>kenny electrical services</t>
  </si>
  <si>
    <t>electrical services north shore</t>
  </si>
  <si>
    <t>electrical services for buildings</t>
  </si>
  <si>
    <t>emergency electrician campbelltown</t>
  </si>
  <si>
    <t>0, 0, 1, 0, 0, 1, 3, 2, 0, 1, 0, 0, 0, 0, 1, 1, 0, 0, 1, 1, 0, 0, 1, 1</t>
  </si>
  <si>
    <t>2vp electrical services</t>
  </si>
  <si>
    <t>electrical appliance repairs melbourne</t>
  </si>
  <si>
    <t>0, 0, 0, 0, 0, 0, 0, 1, 0, 0, 0, 0, 0, 0, 0, 0, 0, 0, 0, 0, 0, 2, 0, 1</t>
  </si>
  <si>
    <t>emergency electrician ewell</t>
  </si>
  <si>
    <t>electrical repairs gastonia, nc</t>
  </si>
  <si>
    <t>electrical equipment disposal services east coast</t>
  </si>
  <si>
    <t>small electrical appliance repairs near me</t>
  </si>
  <si>
    <t>1, 0, 1, 2, 3, 4, 6, 5, 2, 2, 7, 1, 1, 3, 0, 5, 2, 3, 4, 8, 4, 1, 0, 1</t>
  </si>
  <si>
    <t>emergency electrician kansas city</t>
  </si>
  <si>
    <t>electrical installation contractor glasgow</t>
  </si>
  <si>
    <t>electrical repairs clip art</t>
  </si>
  <si>
    <t>shane electrical services inc</t>
  </si>
  <si>
    <t>electrical services florence, sc</t>
  </si>
  <si>
    <t>0, 0, 0, 0, 0, 1, 0, 0, 3, 0, 2, 0, 0, 0, 0, 0, 0, 0, 0, 0, 0, 0, 0, 1</t>
  </si>
  <si>
    <t>electrical services northampton</t>
  </si>
  <si>
    <t>emergency electrician rockdale</t>
  </si>
  <si>
    <t>emergency electrician christchurch</t>
  </si>
  <si>
    <t>0, 0, 0, 0, 0, 0, 0, 1, 4, 0, 1, 3, 0, 0, 0, 0, 0, 0, 0, 0, 0, 0, 0, 1</t>
  </si>
  <si>
    <t>electrical junction box installation</t>
  </si>
  <si>
    <t>0, 0, 0, 0, 0, 0, 0, 0, 0, 1, 0, 1, 0, 0, 0, 0, 0, 0, 0, 0, 0, 1, 1, 2</t>
  </si>
  <si>
    <t>edwards electrical services</t>
  </si>
  <si>
    <t>magic electrical services</t>
  </si>
  <si>
    <t>design of electrical services for buildings</t>
  </si>
  <si>
    <t>0, 1, 0, 1, 0, 0, 0, 2, 0, 0, 0, 0, 1, 0, 0, 0, 1, 0, 4, 0, 0, 0, 0, 1</t>
  </si>
  <si>
    <t>electrical instrument repairs</t>
  </si>
  <si>
    <t>hillsborough electrical contractor</t>
  </si>
  <si>
    <t>car electrical services near me</t>
  </si>
  <si>
    <t>0, 0, 1, 2, 2, 0, 3, 1, 2, 1, 8, 2, 2, 3, 3, 2, 3, 7, 16, 3, 2, 2, 5, 1</t>
  </si>
  <si>
    <t>electrical services west auckland</t>
  </si>
  <si>
    <t>24 hour electrical services clarksville</t>
  </si>
  <si>
    <t>perth electrical services</t>
  </si>
  <si>
    <t>0, 1, 0, 0, 0, 1, 0, 2, 1, 0, 0, 0, 0, 0, 0, 0, 0, 0, 0, 0, 0, 0, 0, 1</t>
  </si>
  <si>
    <t>modern electrical services</t>
  </si>
  <si>
    <t>0, 0, 0, 2, 1, 2, 0, 0, 1, 1, 2, 1, 0, 0, 0, 0, 0, 0, 0, 0, 0, 0, 0, 1</t>
  </si>
  <si>
    <t>emergency electrician blakehurst</t>
  </si>
  <si>
    <t>automotive electrical repairs near me</t>
  </si>
  <si>
    <t>0, 0, 0, 0, 0, 0, 1, 2, 2, 3, 1, 2, 1, 2, 0, 2, 0, 1, 0, 3, 0, 1, 0, 1</t>
  </si>
  <si>
    <t>electrical contractor clermont</t>
  </si>
  <si>
    <t>bcm electrical services</t>
  </si>
  <si>
    <t>emergency electrician in penrith</t>
  </si>
  <si>
    <t>1, 1, 0, 0, 0, 1, 1, 0, 0, 1, 0, 0, 0, 0, 0, 0, 0, 0, 0, 0, 0, 0, 0, 1</t>
  </si>
  <si>
    <t>brighton electrical services</t>
  </si>
  <si>
    <t>0, 1, 0, 0, 0, 0, 0, 1, 2, 0, 0, 0, 0, 0, 0, 0, 0, 0, 0, 0, 0, 0, 0, 1</t>
  </si>
  <si>
    <t>appliance and electrical repairs</t>
  </si>
  <si>
    <t>0, 0, 0, 0, 0, 0, 1, 0, 0, 0, 2, 0, 3, 1, 2, 1, 0, 0, 0, 0, 0, 0, 0, 1</t>
  </si>
  <si>
    <t>midstream electrical services</t>
  </si>
  <si>
    <t>conway emergency electrician</t>
  </si>
  <si>
    <t>electrical installation - notes pdf download</t>
  </si>
  <si>
    <t>electrical services in centurion</t>
  </si>
  <si>
    <t>emergency electrician warwick</t>
  </si>
  <si>
    <t>electrical repairs and installations in cape town</t>
  </si>
  <si>
    <t>0, 0, 0, 0, 0, 0, 0, 0, 0, 0, 0, 0, 0, 0, 0, 0, 2, 3, 7, 0, 0, 0, 0, 1</t>
  </si>
  <si>
    <t>phoenix electrical services</t>
  </si>
  <si>
    <t>aes electrical services</t>
  </si>
  <si>
    <t>electrical installation logo</t>
  </si>
  <si>
    <t>0, 0, 0, 1, 2, 0, 1, 1, 0, 1, 0, 1, 2, 3, 2, 4, 1, 1, 0, 2, 0, 1, 2, 2</t>
  </si>
  <si>
    <t>dalton electrical services</t>
  </si>
  <si>
    <t>0, 1, 0, 0, 2, 7, 7, 3, 8, 10, 5, 2, 4, 7, 2, 3, 3, 2, 1, 2, 1, 1, 1, 2</t>
  </si>
  <si>
    <t>ethiopian building electrical installation pdf</t>
  </si>
  <si>
    <t>electrical installation condition report sutton</t>
  </si>
  <si>
    <t>emergency electrician ingleburn</t>
  </si>
  <si>
    <t>derby electrical services</t>
  </si>
  <si>
    <t>electrical installation company austin tx</t>
  </si>
  <si>
    <t>emergency electrician oakford</t>
  </si>
  <si>
    <t>boiler electrical services</t>
  </si>
  <si>
    <t>0, 0, 1, 0, 2, 1, 0, 0, 0, 0, 0, 3, 0, 0, 0, 0, 0, 0, 0, 0, 0, 0, 0, 1</t>
  </si>
  <si>
    <t>electrical contractor quotation format</t>
  </si>
  <si>
    <t>0, 0, 0, 0, 0, 1, 0, 0, 2, 0, 0, 0, 0, 0, 0, 0, 0, 0, 0, 0, 0, 0, 1, 1</t>
  </si>
  <si>
    <t>electrical contractor in northbrook il</t>
  </si>
  <si>
    <t>0, 0, 0, 0, 0, 0, 0, 4, 1, 0, 2, 0, 0, 0, 0, 0, 0, 0, 0, 0, 0, 0, 0, 1</t>
  </si>
  <si>
    <t>schneider electrical installation guide 2019 pdf</t>
  </si>
  <si>
    <t>pittsburgh emergency electrician</t>
  </si>
  <si>
    <t>hot tub electrical installation in edinburgh</t>
  </si>
  <si>
    <t>maryborough residential electrical contractor</t>
  </si>
  <si>
    <t>flow electrical services</t>
  </si>
  <si>
    <t>electrical repairs evanston il</t>
  </si>
  <si>
    <t>residential electrical wiring installation</t>
  </si>
  <si>
    <t>0, 0, 0, 0, 0, 0, 0, 0, 0, 0, 0, 0, 0, 0, 0, 1, 0, 0, 3, 1, 0, 0, 0, 1</t>
  </si>
  <si>
    <t>electrical services south texas</t>
  </si>
  <si>
    <t>licensed electrical services olympic park</t>
  </si>
  <si>
    <t>0, 2, 1, 0, 0, 0, 0, 0, 0, 0, 0, 0, 0, 0, 0, 0, 0, 0, 0, 0, 0, 0, 0, 1</t>
  </si>
  <si>
    <t>letter of appointment for electrical installation</t>
  </si>
  <si>
    <t>electrical services chelmsford ma</t>
  </si>
  <si>
    <t>electrical contractor online</t>
  </si>
  <si>
    <t>1, 1, 1, 0, 0, 0, 0, 0, 0, 1, 0, 0, 0, 0, 0, 0, 0, 0, 0, 0, 0, 0, 0, 1</t>
  </si>
  <si>
    <t>emergency electrician near chertsey</t>
  </si>
  <si>
    <t>electrical &amp; telecommunications contractor</t>
  </si>
  <si>
    <t>florida electrical contractor insurance</t>
  </si>
  <si>
    <t>0, 0, 0, 0, 1, 0, 0, 1, 0, 0, 0, 0, 1, 0, 0, 0, 0, 0, 0, 0, 0, 0, 0, 1</t>
  </si>
  <si>
    <t>electrical contractor fife</t>
  </si>
  <si>
    <t>ees electrical services</t>
  </si>
  <si>
    <t>integrated electrical services</t>
  </si>
  <si>
    <t>0, 2, 0, 1, 1, 1, 0, 0, 2, 0, 1, 1, 1, 0, 0, 1, 1, 2, 0, 0, 0, 1, 0, 1</t>
  </si>
  <si>
    <t>d&amp;r electrical services</t>
  </si>
  <si>
    <t>design &amp; build electrical contractor chelmsford</t>
  </si>
  <si>
    <t>risk assessment on electrical installation</t>
  </si>
  <si>
    <t>emergency electrician bexleyheath</t>
  </si>
  <si>
    <t>0, 0, 1, 0, 0, 1, 2, 2, 1, 0, 0, 1, 0, 0, 0, 0, 0, 0, 0, 0, 0, 0, 0, 1</t>
  </si>
  <si>
    <t>electrical installation châteauguay</t>
  </si>
  <si>
    <t>1, 1, 1, 2, 2, 0, 2, 0, 3, 4, 0, 0, 0, 0, 0, 0, 0, 0, 0, 0, 0, 0, 0, 1</t>
  </si>
  <si>
    <t>thor electrical services</t>
  </si>
  <si>
    <t>a &amp; a electrical services</t>
  </si>
  <si>
    <t>0, 0, 0, 0, 0, 0, 0, 0, 0, 4, 0, 1, 0, 0, 0, 0, 0, 0, 0, 0, 0, 0, 0, 1</t>
  </si>
  <si>
    <t>parks electrical services</t>
  </si>
  <si>
    <t>emergency electrician carrolton tx</t>
  </si>
  <si>
    <t>texas electrical contractor license requirements</t>
  </si>
  <si>
    <t>mikes electrical services</t>
  </si>
  <si>
    <t>0, 0, 0, 6, 4, 1, 1, 1, 1, 3, 0, 0, 0, 0, 4, 1, 0, 1, 1, 0, 0, 0, 0, 1</t>
  </si>
  <si>
    <t>emergency electrician murrells inlet</t>
  </si>
  <si>
    <t>0, 0, 0, 0, 1, 0, 0, 0, 1, 3, 0, 0, 0, 0, 0, 0, 0, 0, 0, 0, 0, 0, 0, 1</t>
  </si>
  <si>
    <t>electrical panel installation cass county</t>
  </si>
  <si>
    <t>electrical design engineer building services</t>
  </si>
  <si>
    <t>0, 0, 0, 1, 0, 0, 2, 0, 0, 2, 2, 0, 1, 0, 0, 0, 0, 0, 0, 4, 0, 0, 0, 1</t>
  </si>
  <si>
    <t>holland electrical services</t>
  </si>
  <si>
    <t>underground electrical pipe installation</t>
  </si>
  <si>
    <t>1, 0, 0, 0, 0, 0, 0, 0, 0, 0, 1, 0, 0, 0, 1, 0, 0, 0, 0, 1, 0, 1, 0, 1</t>
  </si>
  <si>
    <t>chilliwack electrical contractor</t>
  </si>
  <si>
    <t>electrical repair and installation</t>
  </si>
  <si>
    <t>0, 0, 2, 0, 0, 1, 1, 0, 0, 0, 1, 1, 1, 0, 0, 0, 0, 0, 1, 0, 1, 0, 0, 1</t>
  </si>
  <si>
    <t>electrical repair services denver</t>
  </si>
  <si>
    <t>port st lucie electrical panel installation</t>
  </si>
  <si>
    <t>emergency electrician pa</t>
  </si>
  <si>
    <t>electrical installation in a house</t>
  </si>
  <si>
    <t>electrical installation little mountain</t>
  </si>
  <si>
    <t>east-rockingham emergency electrician</t>
  </si>
  <si>
    <t>electrical engineer contractor salary</t>
  </si>
  <si>
    <t>0, 0, 0, 0, 1, 0, 0, 0, 0, 1, 0, 0, 1, 1, 0, 1, 0, 0, 0, 0, 0, 0, 0, 1</t>
  </si>
  <si>
    <t>electrical installation service dallas</t>
  </si>
  <si>
    <t>electrical contractor course</t>
  </si>
  <si>
    <t>1, 0, 0, 2, 0, 0, 1, 0, 2, 0, 0, 2, 0, 0, 0, 0, 1, 0, 0, 0, 0, 0, 0, 1</t>
  </si>
  <si>
    <t>electrical services in midrand</t>
  </si>
  <si>
    <t>0, 0, 0, 0, 0, 0, 0, 0, 0, 0, 0, 0, 0, 0, 0, 3, 3, 3, 4, 1, 0, 0, 0, 1</t>
  </si>
  <si>
    <t>register as electrical contractor</t>
  </si>
  <si>
    <t>11, 13, 1, 6, 6, 1, 0, 0, 4, 1, 0, 1, 0, 0, 0, 1, 0, 3, 0, 1, 8, 1, 4, 1</t>
  </si>
  <si>
    <t>electrical system maintenance services</t>
  </si>
  <si>
    <t>1, 1, 0, 0, 0, 0, 1, 2, 1, 0, 0, 0, 0, 0, 0, 0, 0, 0, 0, 0, 0, 0, 0, 1</t>
  </si>
  <si>
    <t>electrical contractor license texas</t>
  </si>
  <si>
    <t>ll electrical and maintenance services</t>
  </si>
  <si>
    <t>0, 0, 0, 0, 0, 0, 0, 0, 0, 0, 0, 0, 0, 0, 0, 0, 0, 0, 1, 0, 0, 3, 0, 1</t>
  </si>
  <si>
    <t>ft electrical services ltd</t>
  </si>
  <si>
    <t>electrical installation edinburgh</t>
  </si>
  <si>
    <t>emergency electrician arncliffe</t>
  </si>
  <si>
    <t>emergency electrician dellwood</t>
  </si>
  <si>
    <t>electrical terminal installation sainte-julie</t>
  </si>
  <si>
    <t>1, 0, 1, 2, 1, 0, 0, 0, 2, 0, 0, 0, 0, 0, 0, 0, 0, 0, 0, 0, 0, 0, 0, 1</t>
  </si>
  <si>
    <t>electrical contractor vaughan</t>
  </si>
  <si>
    <t>0, 0, 0, 0, 0, 1, 0, 0, 1, 0, 2, 1, 0, 0, 0, 0, 0, 0, 0, 0, 0, 0, 0, 1</t>
  </si>
  <si>
    <t>irving emergency electrician</t>
  </si>
  <si>
    <t>electrical testing services ltd</t>
  </si>
  <si>
    <t>electrical panel installation chesapeake</t>
  </si>
  <si>
    <t>0, 0, 0, 0, 0, 0, 2, 0, 0, 0, 2, 0, 0, 0, 0, 0, 0, 0, 0, 0, 0, 0, 0, 1</t>
  </si>
  <si>
    <t>electrical installation testing checklist</t>
  </si>
  <si>
    <t>san diego electrical contractor</t>
  </si>
  <si>
    <t>standards for electrical installation</t>
  </si>
  <si>
    <t>electrical services hackney</t>
  </si>
  <si>
    <t>0, 1, 0, 1, 0, 0, 1, 0, 0, 0, 0, 0, 0, 0, 0, 0, 0, 0, 0, 0, 0, 0, 0, 1</t>
  </si>
  <si>
    <t>d&amp;d electrical services</t>
  </si>
  <si>
    <t>1, 1, 1, 0, 0, 1, 0, 1, 0, 0, 0, 0, 0, 1, 0, 1, 0, 0, 0, 2, 0, 0, 0, 1</t>
  </si>
  <si>
    <t>electrical contractor trade shows 2022</t>
  </si>
  <si>
    <t>best electrical services llc</t>
  </si>
  <si>
    <t>denver electrical repair services</t>
  </si>
  <si>
    <t>destin electrical services</t>
  </si>
  <si>
    <t>vektra electrical services</t>
  </si>
  <si>
    <t>emergency electrician whitley bay</t>
  </si>
  <si>
    <t>electrical services jupiter</t>
  </si>
  <si>
    <t>electrical services exmoor</t>
  </si>
  <si>
    <t>electrical services hove</t>
  </si>
  <si>
    <t>electrical contractor whitby</t>
  </si>
  <si>
    <t>0, 0, 1, 0, 2, 0, 0, 0, 0, 0, 0, 1, 0, 0, 0, 0, 0, 0, 0, 0, 0, 0, 0, 1</t>
  </si>
  <si>
    <t>new electrical box installation</t>
  </si>
  <si>
    <t>0, 0, 0, 1, 0, 0, 0, 0, 0, 2, 1, 0, 1, 1, 2, 0, 0, 0, 0, 1, 0, 1, 0, 1</t>
  </si>
  <si>
    <t>emergency electrician beaconsfield</t>
  </si>
  <si>
    <t>electrical contractor mission statement examples</t>
  </si>
  <si>
    <t>emergency electrician selsdon</t>
  </si>
  <si>
    <t>electrical services in dallas</t>
  </si>
  <si>
    <t>miller electrical services</t>
  </si>
  <si>
    <t>cpr electrical services pty ltd</t>
  </si>
  <si>
    <t>electrical contractor electrician logo</t>
  </si>
  <si>
    <t>0, 0, 0, 0, 0, 0, 0, 0, 0, 1, 0, 0, 0, 0, 1, 0, 0, 0, 0, 0, 0, 1, 1, 2</t>
  </si>
  <si>
    <t>electrical installation drawings</t>
  </si>
  <si>
    <t>building services electrical engineer</t>
  </si>
  <si>
    <t>0, 0, 0, 0, 0, 0, 0, 2, 0, 0, 0, 0, 0, 1, 0, 0, 3, 0, 4, 3, 3, 0, 0, 1</t>
  </si>
  <si>
    <t>electrical outlet installation arkansas</t>
  </si>
  <si>
    <t>electrical services chesterfield va</t>
  </si>
  <si>
    <t>electrical infrastructure services thames</t>
  </si>
  <si>
    <t>electrical contractor social media</t>
  </si>
  <si>
    <t>general electrical services in london</t>
  </si>
  <si>
    <t>electrical contractor fort lauderdale</t>
  </si>
  <si>
    <t>1, 0, 1, 1, 0, 0, 2, 2, 2, 2, 2, 0, 0, 0, 0, 0, 0, 0, 0, 1, 0, 0, 0, 1</t>
  </si>
  <si>
    <t>emergency electrician tampa</t>
  </si>
  <si>
    <t>0, 0, 0, 0, 0, 1, 1, 1, 1, 0, 0, 0, 0, 0, 0, 0, 0, 0, 0, 0, 0, 0, 0, 1</t>
  </si>
  <si>
    <t>electrical services richmond va</t>
  </si>
  <si>
    <t>1, 0, 2, 0, 0, 2, 1, 0, 2, 2, 1, 3, 0, 0, 0, 0, 0, 0, 0, 0, 0, 0, 0, 1</t>
  </si>
  <si>
    <t>electrical ground rod installation</t>
  </si>
  <si>
    <t>electrical main panel installation</t>
  </si>
  <si>
    <t>electrical pat testing services merseyside</t>
  </si>
  <si>
    <t>emergency electrician mays hill</t>
  </si>
  <si>
    <t>electrical repairs newark</t>
  </si>
  <si>
    <t>1, 0, 0, 0, 1, 0, 0, 0, 0, 1, 1, 0, 0, 0, 0, 0, 0, 0, 0, 0, 0, 0, 0, 1</t>
  </si>
  <si>
    <t>emergency electrician santa rosa</t>
  </si>
  <si>
    <t>electrical contractor loan</t>
  </si>
  <si>
    <t>electrical contractor kemah</t>
  </si>
  <si>
    <t>northern auto electrical services</t>
  </si>
  <si>
    <t>electrical contractor marketing agency</t>
  </si>
  <si>
    <t>0, 0, 0, 2, 0, 1, 0, 1, 3, 0, 1, 0, 0, 0, 0, 0, 0, 0, 0, 0, 0, 0, 0, 1</t>
  </si>
  <si>
    <t>tools needed in doing electrical repairs</t>
  </si>
  <si>
    <t>electrical and building services</t>
  </si>
  <si>
    <t>0, 0, 0, 0, 4, 0, 0, 0, 0, 0, 0, 1, 0, 2, 0, 0, 0, 0, 0, 0, 0, 1, 0, 1</t>
  </si>
  <si>
    <t>auto electrical services croydon hills</t>
  </si>
  <si>
    <t>knysna electrical appliance repairs knysna</t>
  </si>
  <si>
    <t>successful electrical contractor</t>
  </si>
  <si>
    <t>emergency electrician hillman</t>
  </si>
  <si>
    <t>0, 0, 0, 0, 0, 0, 0, 1, 1, 1, 0, 1, 0, 0, 0, 0, 0, 0, 0, 0, 0, 0, 0, 1</t>
  </si>
  <si>
    <t>dns electrical services</t>
  </si>
  <si>
    <t>a+ electrical services</t>
  </si>
  <si>
    <t>1, 2, 1, 0, 1, 0, 1, 1, 0, 0, 0, 0, 1, 0, 0, 0, 0, 0, 0, 0, 0, 0, 1, 1</t>
  </si>
  <si>
    <t>emergency electrician gravesend</t>
  </si>
  <si>
    <t>commercial electrical services mooresville, nc</t>
  </si>
  <si>
    <t>se electrical services</t>
  </si>
  <si>
    <t>knipex electrical installation set</t>
  </si>
  <si>
    <t>electrical outlet installation iowa</t>
  </si>
  <si>
    <t>electrical contractor sic code</t>
  </si>
  <si>
    <t>electrical installation certificate london</t>
  </si>
  <si>
    <t>electrical contractor domestic</t>
  </si>
  <si>
    <t>helton electrical services</t>
  </si>
  <si>
    <t>0, 0, 0, 0, 1, 0, 0, 0, 0, 0, 0, 0, 0, 1, 0, 0, 0, 0, 0, 0, 0, 0, 0, 1</t>
  </si>
  <si>
    <t>beacon electrical services</t>
  </si>
  <si>
    <t>0, 0, 0, 0, 0, 0, 3, 0, 1, 1, 0, 0, 0, 0, 0, 0, 1, 0, 0, 1, 0, 0, 0, 1</t>
  </si>
  <si>
    <t>a and u electrical services</t>
  </si>
  <si>
    <t>commercial electrical contractor houston</t>
  </si>
  <si>
    <t>a c gold electrical services ltd</t>
  </si>
  <si>
    <t>new home electrical services</t>
  </si>
  <si>
    <t>electrical production services</t>
  </si>
  <si>
    <t>emergency electrician grapevine</t>
  </si>
  <si>
    <t>0, 0, 0, 0, 0, 1, 0, 0, 0, 1, 2, 1, 0, 0, 0, 0, 0, 0, 0, 0, 0, 0, 0, 1</t>
  </si>
  <si>
    <t>electrical contractor company manchester ct</t>
  </si>
  <si>
    <t>electrical field services inc</t>
  </si>
  <si>
    <t>harris electrical services</t>
  </si>
  <si>
    <t>0, 0, 0, 1, 1, 0, 0, 0, 0, 0, 0, 0, 0, 0, 0, 1, 0, 0, 0, 1, 0, 0, 0, 1</t>
  </si>
  <si>
    <t>a &amp; c electrical services</t>
  </si>
  <si>
    <t>electrical home installation</t>
  </si>
  <si>
    <t>2, 2, 1, 1, 1, 0, 1, 1, 1, 4, 0, 0, 2, 0, 0, 0, 0, 0, 0, 0, 3, 1, 0, 2</t>
  </si>
  <si>
    <t>emergency electrician alkimos</t>
  </si>
  <si>
    <t>0, 0, 0, 0, 0, 0, 0, 4, 0, 0, 1, 0, 0, 1, 0, 0, 0, 0, 0, 0, 0, 0, 0, 1</t>
  </si>
  <si>
    <t>electrical installation fort myers</t>
  </si>
  <si>
    <t>electrical contractor looking for jobs to bid</t>
  </si>
  <si>
    <t>pdf electrical installation</t>
  </si>
  <si>
    <t>ar electrical &amp; solar services</t>
  </si>
  <si>
    <t>0, 0, 0, 0, 0, 0, 0, 0, 0, 0, 1, 2, 2, 1, 0, 0, 0, 0, 0, 0, 0, 0, 0, 1</t>
  </si>
  <si>
    <t>electrical fit out contractor</t>
  </si>
  <si>
    <t>same day electrical services</t>
  </si>
  <si>
    <t>0, 0, 0, 0, 2, 0, 1, 0, 0, 0, 1, 0, 0, 0, 0, 0, 0, 0, 0, 0, 0, 0, 0, 1</t>
  </si>
  <si>
    <t>high voltage electrical contractor</t>
  </si>
  <si>
    <t>hunters hill electrical services</t>
  </si>
  <si>
    <t>electrical installation bristol</t>
  </si>
  <si>
    <t>1, 0, 0, 1, 0, 0, 0, 0, 1, 0, 3, 2, 0, 0, 0, 0, 0, 0, 0, 0, 0, 0, 0, 1</t>
  </si>
  <si>
    <t>electrical outlet installation miami</t>
  </si>
  <si>
    <t>find an electrical contractor in pa</t>
  </si>
  <si>
    <t>electrical repairs sydney</t>
  </si>
  <si>
    <t>0, 0, 1, 1, 0, 1, 2, 1, 0, 0, 1, 0, 0, 0, 0, 0, 0, 0, 0, 0, 0, 0, 0, 1</t>
  </si>
  <si>
    <t>electrical services wolverhampton</t>
  </si>
  <si>
    <t>commercial electrical services gosnells</t>
  </si>
  <si>
    <t>0, 0, 0, 0, 0, 0, 1, 2, 0, 2, 1, 0, 0, 0, 0, 0, 0, 0, 0, 0, 0, 0, 0, 1</t>
  </si>
  <si>
    <t>electrical contractor maidstone</t>
  </si>
  <si>
    <t>0, 0, 0, 0, 4, 0, 0, 0, 1, 0, 0, 0, 0, 0, 0, 0, 0, 0, 0, 0, 0, 0, 0, 1</t>
  </si>
  <si>
    <t>real estate electrical services north ryde</t>
  </si>
  <si>
    <t>electrical principal contractor</t>
  </si>
  <si>
    <t>electrical installation pliers</t>
  </si>
  <si>
    <t>0, 0, 1, 4, 1, 1, 0, 3, 0, 0, 1, 1, 0, 0, 0, 0, 0, 0, 0, 0, 0, 0, 0, 1</t>
  </si>
  <si>
    <t>electrical outlet installation jefferson county</t>
  </si>
  <si>
    <t>power management and electrical services</t>
  </si>
  <si>
    <t>bill of materials for electrical installation</t>
  </si>
  <si>
    <t>0, 0, 5, 0, 0, 0, 1, 0, 2, 0, 1, 0, 0, 1, 0, 0, 0, 0, 0, 0, 1, 2, 0, 2</t>
  </si>
  <si>
    <t>auto electrical and mechanical repairs durban</t>
  </si>
  <si>
    <t>electrical contractor indianapolis</t>
  </si>
  <si>
    <t>1, 0, 0, 0, 2, 0, 1, 2, 1, 1, 2, 0, 0, 0, 0, 0, 0, 0, 0, 0, 0, 0, 0, 1</t>
  </si>
  <si>
    <t>electrical services airdrie</t>
  </si>
  <si>
    <t>0, 1, 0, 2, 2, 0, 0, 0, 0, 0, 0, 0, 0, 0, 0, 0, 0, 0, 0, 0, 0, 0, 0, 1</t>
  </si>
  <si>
    <t>electrical repair services los angeles ca</t>
  </si>
  <si>
    <t>0, 0, 0, 0, 0, 0, 0, 0, 0, 3, 3, 0, 0, 0, 0, 0, 0, 0, 0, 0, 0, 0, 0, 1</t>
  </si>
  <si>
    <t>electrical panel contractor lumberton</t>
  </si>
  <si>
    <t>emergency electrical repairs strongsville, oh</t>
  </si>
  <si>
    <t>0, 0, 0, 0, 0, 0, 0, 0, 1, 0, 3, 2, 0, 0, 0, 0, 0, 0, 0, 0, 0, 0, 0, 1</t>
  </si>
  <si>
    <t>warehouse electrical services</t>
  </si>
  <si>
    <t>land o' lakes electrical maintenance services</t>
  </si>
  <si>
    <t>commercial electrical services virginia</t>
  </si>
  <si>
    <t>ptsg electrical services ltd</t>
  </si>
  <si>
    <t>0, 2, 0, 1, 1, 0, 0, 0, 0, 0, 0, 0, 0, 0, 0, 0, 0, 0, 1, 0, 0, 0, 0, 1</t>
  </si>
  <si>
    <t>mobile auto electrical repairs near me</t>
  </si>
  <si>
    <t>0, 2, 4, 7, 0, 0, 0, 0, 1, 0, 0, 0, 0, 0, 0, 0, 1, 0, 0, 0, 1, 0, 0, 1</t>
  </si>
  <si>
    <t>cable tray electrical installation</t>
  </si>
  <si>
    <t>0, 0, 0, 0, 0, 0, 0, 1, 1, 0, 0, 1, 0, 0, 1, 0, 0, 0, 0, 0, 1, 1, 0, 1</t>
  </si>
  <si>
    <t>jackson emergency electrician</t>
  </si>
  <si>
    <t>electrical services in cayman</t>
  </si>
  <si>
    <t>sustainable electrical services</t>
  </si>
  <si>
    <t>0, 0, 0, 0, 0, 1, 0, 0, 1, 0, 0, 0, 1, 1, 0, 0, 0, 0, 0, 0, 1, 0, 0, 1</t>
  </si>
  <si>
    <t>requirements for electrical installation</t>
  </si>
  <si>
    <t>0, 0, 0, 1, 0, 2, 0, 0, 0, 0, 0, 0, 0, 0, 0, 0, 0, 0, 1, 0, 0, 0, 0, 1</t>
  </si>
  <si>
    <t>emergency electrician wareemba</t>
  </si>
  <si>
    <t>electrical preventive maintenance services</t>
  </si>
  <si>
    <t>insured electrical contractor</t>
  </si>
  <si>
    <t>0, 0, 0, 0, 1, 0, 0, 1, 0, 2, 0, 1, 0, 0, 0, 0, 0, 0, 0, 0, 0, 0, 0, 1</t>
  </si>
  <si>
    <t>electrical contractor glencoe il</t>
  </si>
  <si>
    <t>code of practice electrical installation</t>
  </si>
  <si>
    <t>surf electrical services</t>
  </si>
  <si>
    <t>electrical installation sunshine plaza</t>
  </si>
  <si>
    <t>commercial electrical services mckinney tx</t>
  </si>
  <si>
    <t>meyer electrical services inc.</t>
  </si>
  <si>
    <t>red flag electrical services</t>
  </si>
  <si>
    <t>1, 0, 0, 0, 0, 0, 0, 1, 2, 1, 0, 1, 0, 0, 1, 0, 0, 0, 0, 0, 0, 0, 0, 1</t>
  </si>
  <si>
    <t>electrical wiring contractor rancho santa fe</t>
  </si>
  <si>
    <t>electrical services vaughan</t>
  </si>
  <si>
    <t>electrical contractor watkinsville ga</t>
  </si>
  <si>
    <t>electrical engineering design services</t>
  </si>
  <si>
    <t>0, 0, 2, 1, 0, 0, 1, 1, 6, 4, 3, 1, 1, 0, 3, 0, 1, 0, 0, 0, 0, 0, 2, 1</t>
  </si>
  <si>
    <t>emergency electrician clifton park ny</t>
  </si>
  <si>
    <t>electrical contractor mulgrave</t>
  </si>
  <si>
    <t>0, 0, 0, 0, 0, 0, 0, 0, 0, 1, 0, 2, 1, 0, 0, 0, 0, 0, 0, 0, 0, 0, 0, 1</t>
  </si>
  <si>
    <t>durham nc electrical repairs</t>
  </si>
  <si>
    <t>emergency electrician croydon</t>
  </si>
  <si>
    <t>0, 0, 0, 1, 0, 2, 0, 0, 3, 3, 4, 4, 1, 0, 1, 0, 0, 0, 0, 0, 0, 0, 0, 1</t>
  </si>
  <si>
    <t>mjw electrical services</t>
  </si>
  <si>
    <t>electrical services bucks county pa</t>
  </si>
  <si>
    <t>general electrical services wesley chapel</t>
  </si>
  <si>
    <t>electrical contractor rhode island</t>
  </si>
  <si>
    <t>electrical services pelican waters</t>
  </si>
  <si>
    <t>electrical installation course pdf</t>
  </si>
  <si>
    <t>0, 1, 1, 0, 0, 5, 0, 0, 2, 0, 1, 0, 0, 0, 0, 0, 0, 0, 0, 0, 0, 0, 0, 1</t>
  </si>
  <si>
    <t>electrical services denver co</t>
  </si>
  <si>
    <t>0, 2, 1, 1, 2, 2, 0, 3, 3, 3, 2, 0, 0, 0, 0, 0, 0, 0, 0, 0, 0, 1, 0, 1</t>
  </si>
  <si>
    <t>emergency electrician sydney olympic park</t>
  </si>
  <si>
    <t>commercial electrical services new jersey</t>
  </si>
  <si>
    <t>home electrical installation atlanta ga</t>
  </si>
  <si>
    <t>different types of electrical installation</t>
  </si>
  <si>
    <t>port kennedy emergency electrician</t>
  </si>
  <si>
    <t>emergency electrical repairs coppell tx</t>
  </si>
  <si>
    <t>electrical contractor near mear</t>
  </si>
  <si>
    <t>3, 0, 1, 0, 2, 3, 1, 1, 2, 1, 1, 0, 2, 1, 9, 0, 2, 5, 1, 1, 3, 0, 0, 2</t>
  </si>
  <si>
    <t>electrical contractor southport</t>
  </si>
  <si>
    <t>0, 0, 0, 0, 1, 0, 1, 0, 1, 0, 0, 1, 0, 0, 0, 0, 0, 0, 0, 0, 0, 0, 0, 1</t>
  </si>
  <si>
    <t>emergency electrician ferntree gully</t>
  </si>
  <si>
    <t>0, 1, 1, 0, 1, 0, 0, 0, 0, 0, 0, 0, 0, 0, 0, 0, 0, 0, 0, 0, 0, 0, 0, 1</t>
  </si>
  <si>
    <t>electrical contractor jerome id</t>
  </si>
  <si>
    <t>residential electrical contractor dover nh</t>
  </si>
  <si>
    <t>emergency electrical services ooltewah</t>
  </si>
  <si>
    <t>business electrical services franklin square</t>
  </si>
  <si>
    <t>electrical appliance repairs london</t>
  </si>
  <si>
    <t>rts electrical services</t>
  </si>
  <si>
    <t>east victoria park emergency electrician</t>
  </si>
  <si>
    <t>marco island electrical services</t>
  </si>
  <si>
    <t>0, 1, 0, 0, 1, 0, 2, 1, 0, 4, 1, 0, 0, 0, 0, 0, 0, 0, 0, 0, 0, 0, 0, 1</t>
  </si>
  <si>
    <t>prolec electrical services</t>
  </si>
  <si>
    <t>kitsap county electrical contractor</t>
  </si>
  <si>
    <t>electrical installation montville</t>
  </si>
  <si>
    <t>cornerstone electrical services</t>
  </si>
  <si>
    <t>jf electrical services</t>
  </si>
  <si>
    <t>0, 0, 0, 0, 0, 0, 0, 0, 0, 0, 0, 0, 3, 0, 0, 0, 0, 0, 0, 0, 0, 1, 0, 1</t>
  </si>
  <si>
    <t>emergency electrician liverpool tag 1</t>
  </si>
  <si>
    <t>do i need emergency electrician</t>
  </si>
  <si>
    <t>electrical wiring contractor wesley chapel</t>
  </si>
  <si>
    <t>home restoration electrical services lacey wa</t>
  </si>
  <si>
    <t>impact electrical services</t>
  </si>
  <si>
    <t>0, 0, 0, 0, 1, 0, 0, 0, 0, 0, 0, 0, 0, 0, 0, 0, 0, 0, 0, 0, 2, 0, 0, 2</t>
  </si>
  <si>
    <t>commercial electrical services brisbane</t>
  </si>
  <si>
    <t>0, 0, 0, 1, 1, 0, 0, 0, 0, 0, 1, 0, 1, 0, 0, 0, 0, 0, 0, 0, 0, 0, 0, 1</t>
  </si>
  <si>
    <t>electrical contractor in fairfax va</t>
  </si>
  <si>
    <t>electrical contractor templates</t>
  </si>
  <si>
    <t>dark electrical services</t>
  </si>
  <si>
    <t>acdc electrical services</t>
  </si>
  <si>
    <t>0, 0, 0, 0, 2, 0, 0, 1, 0, 0, 0, 0, 1, 0, 0, 0, 0, 1, 0, 0, 1, 0, 0, 1</t>
  </si>
  <si>
    <t>electrical services matthews, nc</t>
  </si>
  <si>
    <t>0, 0, 0, 0, 0, 0, 0, 2, 0, 1, 1, 0, 0, 0, 0, 0, 0, 0, 0, 0, 0, 0, 0, 1</t>
  </si>
  <si>
    <t>daglish emergency electrician</t>
  </si>
  <si>
    <t>0, 0, 0, 0, 1, 0, 0, 0, 1, 3, 2, 0, 0, 0, 0, 0, 0, 0, 0, 0, 0, 0, 0, 1</t>
  </si>
  <si>
    <t>electrical repair services orange county</t>
  </si>
  <si>
    <t>pba electrical services</t>
  </si>
  <si>
    <t>electrical contractor clark</t>
  </si>
  <si>
    <t>a &amp; s electrical services</t>
  </si>
  <si>
    <t>0, 1, 0, 1, 2, 0, 1, 0, 0, 0, 0, 0, 0, 0, 0, 0, 0, 0, 0, 0, 0, 0, 0, 1</t>
  </si>
  <si>
    <t>craddock electrical services</t>
  </si>
  <si>
    <t>1, 0, 0, 0, 1, 1, 0, 2, 1, 0, 0, 0, 0, 1, 0, 0, 0, 0, 0, 0, 0, 0, 0, 1</t>
  </si>
  <si>
    <t>home electrical wiring repairs</t>
  </si>
  <si>
    <t>electrical contractor launceston</t>
  </si>
  <si>
    <t>electrical services lincoln county</t>
  </si>
  <si>
    <t>electrical wiring installation pdf</t>
  </si>
  <si>
    <t>11, 7, 14, 5, 5, 6, 10, 4, 6, 6, 13, 3, 8, 5, 8, 8, 8, 4, 1, 2, 1, 0, 0, 1</t>
  </si>
  <si>
    <t>harrolds electrical services</t>
  </si>
  <si>
    <t>emergency electrician tynong</t>
  </si>
  <si>
    <t>chilliwack emergency electrician</t>
  </si>
  <si>
    <t>1, 0, 1, 3, 1, 0, 0, 3, 1, 2, 0, 0, 0, 0, 0, 0, 0, 0, 0, 0, 2, 0, 0, 2</t>
  </si>
  <si>
    <t>emergency electrician polk county</t>
  </si>
  <si>
    <t>eastwood electrical services</t>
  </si>
  <si>
    <t>emergency electrician dartford</t>
  </si>
  <si>
    <t>0, 0, 1, 0, 0, 0, 0, 0, 0, 0, 0, 0, 1, 0, 0, 0, 0, 0, 0, 0, 0, 0, 0, 1</t>
  </si>
  <si>
    <t>electrical services for residential customers</t>
  </si>
  <si>
    <t>ngk electrical services</t>
  </si>
  <si>
    <t>electrical services dorset</t>
  </si>
  <si>
    <t>emergency electrician city beach</t>
  </si>
  <si>
    <t>0, 0, 0, 0, 0, 0, 1, 0, 0, 2, 2, 0, 0, 0, 0, 0, 0, 0, 0, 0, 0, 0, 0, 1</t>
  </si>
  <si>
    <t>electrical contractor northwest edmonton</t>
  </si>
  <si>
    <t>0, 1, 0, 0, 0, 0, 2, 0, 1, 0, 3, 0, 0, 0, 0, 0, 0, 0, 0, 0, 0, 0, 0, 1</t>
  </si>
  <si>
    <t>electrical contractor business plan south africa</t>
  </si>
  <si>
    <t>electrical services columbia sc</t>
  </si>
  <si>
    <t>electrical installation company southeast us</t>
  </si>
  <si>
    <t>domestic electrical installation certificates</t>
  </si>
  <si>
    <t>0, 0, 0, 0, 0, 0, 0, 0, 0, 0, 0, 1, 0, 0, 0, 0, 0, 0, 0, 1, 0, 0, 0, 1</t>
  </si>
  <si>
    <t>south east electrical services</t>
  </si>
  <si>
    <t>electrical services wikipedia</t>
  </si>
  <si>
    <t>logo for electrical contractor</t>
  </si>
  <si>
    <t>general electrical services</t>
  </si>
  <si>
    <t>1, 3, 2, 1, 3, 3, 2, 2, 1, 3, 1, 0, 1, 5, 1, 0, 0, 1, 0, 0, 3, 0, 0, 2</t>
  </si>
  <si>
    <t>t n electrical services</t>
  </si>
  <si>
    <t>electrical contractor liability insurance</t>
  </si>
  <si>
    <t>1, 1, 0, 3, 2, 2, 2, 4, 2, 4, 5, 4, 2, 1, 0, 0, 0, 0, 0, 0, 0, 1, 1, 1</t>
  </si>
  <si>
    <t>electrical contractor colorado</t>
  </si>
  <si>
    <t>emergency electrician north myrtle beach</t>
  </si>
  <si>
    <t>0, 0, 0, 2, 1, 0, 0, 1, 0, 1, 4, 2, 0, 0, 0, 0, 0, 0, 0, 0, 0, 0, 0, 1</t>
  </si>
  <si>
    <t>emergency electrician watermans bay</t>
  </si>
  <si>
    <t>0, 0, 0, 0, 0, 0, 0, 1, 1, 0, 1, 1, 0, 0, 0, 0, 0, 0, 0, 0, 0, 0, 0, 1</t>
  </si>
  <si>
    <t>electrical contractor havertown</t>
  </si>
  <si>
    <t>emergency electrician northcote</t>
  </si>
  <si>
    <t>four ace electrical services</t>
  </si>
  <si>
    <t>emergency electrician jasper county</t>
  </si>
  <si>
    <t>cockburn central emergency electrician</t>
  </si>
  <si>
    <t>0, 0, 0, 0, 0, 1, 0, 0, 2, 0, 1, 1, 0, 0, 0, 0, 0, 0, 0, 0, 0, 0, 0, 1</t>
  </si>
  <si>
    <t>pocomoke city emergency electrician</t>
  </si>
  <si>
    <t>electrical contractor electrical visiting card</t>
  </si>
  <si>
    <t>fisher electrical services</t>
  </si>
  <si>
    <t>1, 0, 0, 0, 0, 0, 0, 0, 0, 1, 0, 0, 0, 0, 1, 0, 1, 0, 0, 0, 0, 0, 0, 1</t>
  </si>
  <si>
    <t>emergency electrician lockridge</t>
  </si>
  <si>
    <t>0, 0, 0, 1, 1, 1, 0, 1, 0, 0, 1, 0, 0, 0, 0, 0, 0, 0, 0, 0, 0, 0, 0, 1</t>
  </si>
  <si>
    <t>electrical contractor estimating</t>
  </si>
  <si>
    <t>electrical services bacchus marsh</t>
  </si>
  <si>
    <t>0, 0, 0, 0, 0, 2, 2, 0, 0, 0, 2, 0, 0, 0, 0, 0, 0, 0, 0, 0, 0, 0, 0, 1</t>
  </si>
  <si>
    <t>jsl electrical services ltd</t>
  </si>
  <si>
    <t>raleigh nc electrical outlet installation</t>
  </si>
  <si>
    <t>electrical contractor company andover ct</t>
  </si>
  <si>
    <t>electrical services in klerksdorp, north-west</t>
  </si>
  <si>
    <t>0, 0, 0, 0, 0, 0, 0, 0, 0, 0, 0, 0, 0, 0, 0, 0, 0, 3, 5, 0, 0, 0, 0, 1</t>
  </si>
  <si>
    <t>emergency electrician bondi beach</t>
  </si>
  <si>
    <t>tvr auto electrical &amp; mechanical services benoni</t>
  </si>
  <si>
    <t>18, 6, 13, 5, 5, 6, 5, 0, 0, 0, 0, 0, 0, 0, 0, 0, 0, 0, 0, 0, 0, 0, 0, 1</t>
  </si>
  <si>
    <t>electrical contractor new cumberland</t>
  </si>
  <si>
    <t>0, 0, 0, 1, 1, 0, 1, 0, 0, 1, 0, 0, 0, 0, 0, 0, 0, 0, 0, 0, 0, 0, 0, 1</t>
  </si>
  <si>
    <t>home electrical switch installation near me</t>
  </si>
  <si>
    <t>boydd orr electrical services</t>
  </si>
  <si>
    <t>electrical contractor cairns</t>
  </si>
  <si>
    <t>hampton home electrical services</t>
  </si>
  <si>
    <t>1, 1, 0, 1, 0, 0, 0, 2, 1, 0, 1, 0, 0, 0, 0, 0, 0, 0, 0, 0, 0, 0, 0, 1</t>
  </si>
  <si>
    <t>emergency electrician orlando</t>
  </si>
  <si>
    <t>1, 0, 0, 2, 0, 0, 1, 0, 0, 0, 0, 0, 1, 0, 0, 0, 0, 0, 0, 0, 0, 0, 0, 1</t>
  </si>
  <si>
    <t>wd electrical services</t>
  </si>
  <si>
    <t>electrical contractor insurance montana</t>
  </si>
  <si>
    <t>kr electrical services</t>
  </si>
  <si>
    <t>canning vale emergency electrician</t>
  </si>
  <si>
    <t>0, 0, 0, 0, 1, 0, 2, 0, 0, 0, 0, 0, 0, 0, 0, 0, 0, 0, 0, 0, 0, 0, 0, 1</t>
  </si>
  <si>
    <t>24 hour emergency electrician kildare</t>
  </si>
  <si>
    <t>emergency electrician chicago</t>
  </si>
  <si>
    <t>0, 0, 0, 1, 1, 0, 0, 0, 0, 1, 1, 0, 0, 0, 0, 0, 0, 0, 0, 0, 0, 0, 0, 1</t>
  </si>
  <si>
    <t>electrical panel installation nebraska</t>
  </si>
  <si>
    <t>port melbourne emergency electrician</t>
  </si>
  <si>
    <t>registration electrical contractor</t>
  </si>
  <si>
    <t>commercial fit out electrical contractor</t>
  </si>
  <si>
    <t>0, 0, 0, 0, 0, 0, 1, 0, 0, 0, 2, 0, 0, 0, 0, 0, 0, 0, 0, 0, 0, 0, 0, 1</t>
  </si>
  <si>
    <t>auto electrical repairs officer</t>
  </si>
  <si>
    <t>0, 0, 0, 1, 1, 0, 0, 0, 0, 2, 1, 0, 0, 0, 0, 0, 0, 0, 0, 0, 0, 0, 0, 1</t>
  </si>
  <si>
    <t>emergency electrician northbridge</t>
  </si>
  <si>
    <t>0, 0, 0, 0, 0, 0, 2, 3, 0, 0, 1, 0, 0, 0, 0, 0, 0, 0, 0, 0, 0, 0, 0, 1</t>
  </si>
  <si>
    <t>schematic diagram electrical wiring installation</t>
  </si>
  <si>
    <t>0, 0, 0, 1, 1, 0, 1, 1, 0, 0, 0, 0, 1, 0, 2, 0, 1, 0, 0, 4, 3, 0, 1, 2</t>
  </si>
  <si>
    <t>electrical installation regulations of 1992</t>
  </si>
  <si>
    <t>electrical installation safety precautions</t>
  </si>
  <si>
    <t>0, 0, 0, 0, 0, 0, 0, 0, 1, 0, 1, 0, 2, 0, 0, 0, 0, 0, 0, 0, 0, 0, 0, 1</t>
  </si>
  <si>
    <t>a j electrical services</t>
  </si>
  <si>
    <t>2, 0, 0, 0, 0, 0, 0, 0, 0, 1, 0, 0, 0, 0, 0, 0, 0, 0, 0, 0, 0, 0, 0, 1</t>
  </si>
  <si>
    <t>outside electrical box installation</t>
  </si>
  <si>
    <t>0, 0, 0, 0, 0, 0, 0, 0, 0, 1, 0, 0, 0, 0, 0, 0, 0, 1, 0, 0, 1, 0, 0, 2</t>
  </si>
  <si>
    <t>emergency electrician glenmore park</t>
  </si>
  <si>
    <t>1, 0, 0, 0, 0, 2, 0, 0, 1, 0, 0, 0, 0, 0, 0, 0, 0, 0, 0, 0, 0, 0, 0, 1</t>
  </si>
  <si>
    <t>electrical contractor geelong</t>
  </si>
  <si>
    <t>fort myers electrical services</t>
  </si>
  <si>
    <t>electrical installation house</t>
  </si>
  <si>
    <t>0, 3, 3, 0, 0, 0, 0, 0, 0, 0, 0, 2, 0, 0, 0, 0, 0, 0, 1, 0, 1, 2, 2, 3</t>
  </si>
  <si>
    <t>electrical fire protection installation</t>
  </si>
  <si>
    <t>electrical contractor brochure template</t>
  </si>
  <si>
    <t>spb electrical services ltd</t>
  </si>
  <si>
    <t>24/7 emergency electrical services</t>
  </si>
  <si>
    <t>0, 1, 0, 0, 2, 0, 1, 0, 1, 1, 1, 0, 0, 0, 0, 0, 0, 1, 0, 1, 0, 0, 0, 1</t>
  </si>
  <si>
    <t>commercial electrical services columbus</t>
  </si>
  <si>
    <t>opel auto electrician in cape town</t>
  </si>
  <si>
    <t>electrical services st paul mn</t>
  </si>
  <si>
    <t>0, 0, 2, 0, 0, 1, 1, 0, 0, 1, 3, 0, 0, 0, 0, 0, 0, 0, 0, 0, 0, 0, 0, 1</t>
  </si>
  <si>
    <t>electrical installation mooresville, nc</t>
  </si>
  <si>
    <t>ad electrical services inc</t>
  </si>
  <si>
    <t>dms electrical services</t>
  </si>
  <si>
    <t>handyman electrical services</t>
  </si>
  <si>
    <t>1, 0, 0, 0, 0, 2, 1, 3, 1, 2, 1, 0, 0, 0, 0, 1, 0, 0, 1, 0, 0, 0, 0, 1</t>
  </si>
  <si>
    <t>winter garden emergency electrician</t>
  </si>
  <si>
    <t>electrical services south dakota</t>
  </si>
  <si>
    <t>types of conduits in electrical installation</t>
  </si>
  <si>
    <t>1, 1, 0, 0, 0, 0, 1, 0, 0, 0, 0, 0, 0, 0, 0, 0, 0, 0, 0, 0, 0, 0, 0, 1</t>
  </si>
  <si>
    <t>electrical panel installation michigan</t>
  </si>
  <si>
    <t>ft worth emergency electrical services</t>
  </si>
  <si>
    <t>electrical services offered</t>
  </si>
  <si>
    <t>4, 0, 0, 1, 0, 1, 0, 1, 0, 0, 2, 1, 0, 0, 0, 0, 0, 0, 0, 0, 0, 0, 0, 1</t>
  </si>
  <si>
    <t>electrical contractor nsw</t>
  </si>
  <si>
    <t>0, 0, 0, 1, 1, 1, 0, 0, 0, 2, 0, 0, 0, 0, 0, 0, 0, 0, 0, 0, 0, 0, 0, 1</t>
  </si>
  <si>
    <t>spur in electrical installation</t>
  </si>
  <si>
    <t>0, 0, 0, 0, 0, 0, 0, 1, 0, 0, 0, 0, 0, 1, 0, 0, 0, 0, 3, 0, 0, 1, 0, 1</t>
  </si>
  <si>
    <t>coquitlam emergency electrician</t>
  </si>
  <si>
    <t>0, 1, 0, 0, 0, 2, 0, 2, 2, 1, 1, 0, 0, 0, 0, 0, 0, 0, 0, 0, 0, 0, 0, 1</t>
  </si>
  <si>
    <t>emergency electrician near</t>
  </si>
  <si>
    <t>garage electrical installation</t>
  </si>
  <si>
    <t>0, 0, 4, 1, 0, 0, 0, 0, 0, 0, 0, 1, 1, 0, 0, 0, 0, 0, 0, 0, 0, 0, 0, 1</t>
  </si>
  <si>
    <t>van electrical system installation</t>
  </si>
  <si>
    <t>civil electrical contractor</t>
  </si>
  <si>
    <t>1, 0, 0, 1, 0, 1, 0, 0, 1, 0, 0, 0, 0, 0, 0, 0, 0, 0, 0, 0, 0, 0, 0, 1</t>
  </si>
  <si>
    <t>electrical services indian trail, nc</t>
  </si>
  <si>
    <t>electrical outlet installation lebanon tn</t>
  </si>
  <si>
    <t>emergency electrician willesden</t>
  </si>
  <si>
    <t>emergency electrician chislehurst</t>
  </si>
  <si>
    <t>electrical services leeds</t>
  </si>
  <si>
    <t>electrical repairs melbourne</t>
  </si>
  <si>
    <t>1, 0, 1, 1, 2, 1, 3, 1, 1, 2, 3, 0, 0, 0, 0, 0, 0, 0, 0, 0, 0, 0, 0, 1</t>
  </si>
  <si>
    <t>24 hr emergency electrician bentleigh</t>
  </si>
  <si>
    <t>superior electrical services</t>
  </si>
  <si>
    <t>about electrical and plumbing services</t>
  </si>
  <si>
    <t>fayetteville electrical services</t>
  </si>
  <si>
    <t>ponte vedra beach home electrical repair services</t>
  </si>
  <si>
    <t>dumfries electrical services</t>
  </si>
  <si>
    <t>emergency electrician mcmahons point</t>
  </si>
  <si>
    <t>electrical system installation</t>
  </si>
  <si>
    <t>1, 1, 2, 1, 3, 3, 1, 3, 1, 2, 0, 1, 1, 0, 0, 0, 1, 0, 1, 0, 0, 1, 0, 2</t>
  </si>
  <si>
    <t>emergency electrician noble park</t>
  </si>
  <si>
    <t>0, 0, 1, 1, 3, 0, 0, 0, 0, 0, 0, 0, 0, 0, 0, 0, 0, 0, 0, 0, 0, 0, 0, 1</t>
  </si>
  <si>
    <t>easy electrical installation</t>
  </si>
  <si>
    <t>telcom electrical contractor</t>
  </si>
  <si>
    <t>commercial electrical services tampa fl</t>
  </si>
  <si>
    <t>0, 0, 0, 0, 1, 0, 0, 0, 0, 1, 0, 4, 0, 0, 0, 0, 0, 0, 0, 0, 0, 0, 0, 1</t>
  </si>
  <si>
    <t>electrical installation services braunfels</t>
  </si>
  <si>
    <t>electrical contractor grand junction</t>
  </si>
  <si>
    <t>albury electrical services</t>
  </si>
  <si>
    <t>electrical repairs for home</t>
  </si>
  <si>
    <t>0, 1, 1, 0, 0, 1, 1, 0, 3, 0, 2, 0, 0, 0, 0, 0, 0, 0, 0, 0, 0, 0, 0, 1</t>
  </si>
  <si>
    <t>electrical services tenders</t>
  </si>
  <si>
    <t>0, 0, 0, 0, 0, 0, 0, 0, 0, 0, 0, 0, 0, 0, 0, 0, 0, 0, 0, 0, 1, 0, 3, 3</t>
  </si>
  <si>
    <t>d squared electrical services</t>
  </si>
  <si>
    <t>electrical installation service pflugerville</t>
  </si>
  <si>
    <t>emergency electrician stanmore</t>
  </si>
  <si>
    <t>contact electrical services</t>
  </si>
  <si>
    <t>1, 0, 0, 0, 1, 0, 0, 0, 0, 0, 0, 1, 0, 0, 0, 0, 0, 0, 1, 0, 0, 0, 0, 1</t>
  </si>
  <si>
    <t>electrical installation regulations pdf</t>
  </si>
  <si>
    <t>0, 0, 0, 0, 0, 0, 0, 0, 0, 11, 7, 0, 0, 1, 1, 0, 0, 0, 0, 0, 0, 0, 0, 1</t>
  </si>
  <si>
    <t>armed electrical services</t>
  </si>
  <si>
    <t>emergency electrician lingfield</t>
  </si>
  <si>
    <t>electrical services in durban-noord, south africa</t>
  </si>
  <si>
    <t>gls electrical services</t>
  </si>
  <si>
    <t>emergency electrician brunswick</t>
  </si>
  <si>
    <t>0, 0, 0, 0, 0, 0, 2, 1, 1, 1, 0, 1, 0, 0, 0, 0, 0, 0, 0, 0, 0, 0, 0, 1</t>
  </si>
  <si>
    <t>bentley emergency electrician</t>
  </si>
  <si>
    <t>0, 0, 0, 0, 0, 0, 0, 0, 1, 1, 3, 0, 0, 0, 0, 0, 0, 0, 0, 0, 0, 0, 0, 1</t>
  </si>
  <si>
    <t>electrical installation service scottsdale</t>
  </si>
  <si>
    <t>24-7 electrical services</t>
  </si>
  <si>
    <t>0, 0, 0, 0, 0, 0, 0, 2, 3, 1, 2, 1, 0, 0, 0, 0, 0, 0, 0, 0, 0, 0, 0, 1</t>
  </si>
  <si>
    <t>electrical consulting contractor training</t>
  </si>
  <si>
    <t>electrical contractor in marina ca</t>
  </si>
  <si>
    <t>sams electrical services</t>
  </si>
  <si>
    <t>electrical outlet installation johnson county</t>
  </si>
  <si>
    <t>emergency electrician carlton</t>
  </si>
  <si>
    <t>electrical services tampa</t>
  </si>
  <si>
    <t>0, 0, 0, 0, 0, 0, 2, 0, 1, 0, 0, 0, 0, 0, 0, 0, 0, 0, 0, 0, 0, 0, 0, 1</t>
  </si>
  <si>
    <t>hammond electrical services</t>
  </si>
  <si>
    <t>0, 0, 0, 1, 0, 2, 1, 1, 0, 3, 1, 0, 0, 0, 0, 0, 0, 0, 0, 0, 0, 0, 0, 1</t>
  </si>
  <si>
    <t>electrical contractor business plan template</t>
  </si>
  <si>
    <t>1, 1, 0, 0, 1, 2, 2, 0, 2, 0, 0, 1, 0, 0, 0, 0, 0, 3, 0, 0, 0, 0, 0, 1</t>
  </si>
  <si>
    <t>invoice template for electrical contractor</t>
  </si>
  <si>
    <t>0, 0, 0, 0, 0, 0, 0, 0, 0, 0, 0, 1, 0, 3, 0, 0, 0, 0, 0, 0, 0, 1, 0, 1</t>
  </si>
  <si>
    <t>smr electrical services</t>
  </si>
  <si>
    <t>35, 7, 2, 0, 0, 0, 0, 0, 0, 0, 0, 0, 0, 0, 0, 0, 0, 0, 0, 0, 0, 0, 0, 1</t>
  </si>
  <si>
    <t>durham nc electrical outlet installation</t>
  </si>
  <si>
    <t>electrical contractor lake macquarie</t>
  </si>
  <si>
    <t>caravan electrical repairs near me</t>
  </si>
  <si>
    <t>0, 0, 0, 1, 0, 0, 0, 0, 1, 0, 3, 0, 0, 0, 1, 0, 2, 0, 0, 0, 0, 1, 0, 1</t>
  </si>
  <si>
    <t>emergency electrician coburg</t>
  </si>
  <si>
    <t>0, 0, 1, 0, 0, 0, 0, 0, 1, 0, 3, 0, 0, 0, 0, 0, 0, 0, 0, 0, 0, 0, 0, 1</t>
  </si>
  <si>
    <t>cookeville electrical services</t>
  </si>
  <si>
    <t>principal electrical contractor glasgow</t>
  </si>
  <si>
    <t>electrical services in melbourne</t>
  </si>
  <si>
    <t>electrical installation method statement</t>
  </si>
  <si>
    <t>8, 2, 3, 6, 3, 5, 4, 2, 2, 5, 13, 2, 1, 3, 0, 5, 2, 0, 1, 7, 6, 2, 1, 4</t>
  </si>
  <si>
    <t>electrical panel services northern virginia</t>
  </si>
  <si>
    <t>electrical wiring services fort smith ar</t>
  </si>
  <si>
    <t>emergency electrician charlton</t>
  </si>
  <si>
    <t>emergency electrician near staines-upon-thames</t>
  </si>
  <si>
    <t>1, 0, 0, 0, 0, 1, 0, 1, 0, 0, 0, 0, 0, 0, 0, 0, 0, 0, 0, 0, 0, 0, 0, 1</t>
  </si>
  <si>
    <t>electrical contractor penrith</t>
  </si>
  <si>
    <t>electrical contractor vaughn</t>
  </si>
  <si>
    <t>electrical contractor hockley</t>
  </si>
  <si>
    <t>emergency electrician surbiton</t>
  </si>
  <si>
    <t>caravan park electrical services</t>
  </si>
  <si>
    <t>electrical contractor beachburg</t>
  </si>
  <si>
    <t>0, 0, 4, 2, 0, 1, 2, 1, 0, 2, 0, 1, 0, 0, 0, 0, 0, 0, 0, 0, 0, 0, 0, 1</t>
  </si>
  <si>
    <t>electrical panel installation jefferson county</t>
  </si>
  <si>
    <t>electrical contractor ravenna</t>
  </si>
  <si>
    <t>0, 1, 0, 2, 1, 0, 1, 0, 4, 2, 3, 0, 0, 0, 0, 0, 0, 0, 0, 0, 0, 0, 0, 1</t>
  </si>
  <si>
    <t>louisville emergency electrician</t>
  </si>
  <si>
    <t>link electrical services</t>
  </si>
  <si>
    <t>loan for electrical contractor</t>
  </si>
  <si>
    <t>risk assessment for electrical panel installation</t>
  </si>
  <si>
    <t>4, 3, 2, 4, 4, 1, 2, 1, 1, 2, 2, 1, 1, 1, 0, 0, 0, 0, 0, 0, 0, 0, 1, 2</t>
  </si>
  <si>
    <t>pm electrical services</t>
  </si>
  <si>
    <t>emergency electrician glen iris</t>
  </si>
  <si>
    <t>electrical installation qualifications</t>
  </si>
  <si>
    <t>1, 2, 2, 0, 0, 0, 0, 1, 0, 0, 1, 4, 2, 1, 1, 1, 0, 2, 1, 0, 0, 1, 0, 1</t>
  </si>
  <si>
    <t>purpose of earthing an electrical installation</t>
  </si>
  <si>
    <t>electrical contractor torrington connecticut</t>
  </si>
  <si>
    <t>professional electrical services near me</t>
  </si>
  <si>
    <t>electrical services halesowen</t>
  </si>
  <si>
    <t>arlington electrical services</t>
  </si>
  <si>
    <t>btec electrical installation</t>
  </si>
  <si>
    <t>king electrical services</t>
  </si>
  <si>
    <t>alex electrical services</t>
  </si>
  <si>
    <t>installation of electrical conduit</t>
  </si>
  <si>
    <t>0, 1, 0, 1, 0, 0, 0, 1, 1, 0, 0, 0, 0, 0, 0, 0, 1, 0, 0, 0, 0, 3, 0, 2</t>
  </si>
  <si>
    <t>electrical dissertation writing services</t>
  </si>
  <si>
    <t>electrical services munna point</t>
  </si>
  <si>
    <t>a2 electrical services</t>
  </si>
  <si>
    <t>residental electrical contractor singpaore</t>
  </si>
  <si>
    <t>electrical services saskatoon</t>
  </si>
  <si>
    <t>electrical contractor denver</t>
  </si>
  <si>
    <t>3, 3, 0, 0, 1, 2, 1, 2, 1, 4, 3, 0, 0, 1, 0, 0, 0, 0, 0, 1, 0, 0, 0, 1</t>
  </si>
  <si>
    <t>emergency electrician kingswood</t>
  </si>
  <si>
    <t>emergency electrician ultimo</t>
  </si>
  <si>
    <t>residential electrical services in seattle</t>
  </si>
  <si>
    <t>electrical repairs phoenix az</t>
  </si>
  <si>
    <t>emergency electrician north sydney</t>
  </si>
  <si>
    <t>0, 0, 0, 1, 1, 0, 1, 0, 1, 0, 1, 1, 0, 0, 0, 0, 0, 0, 0, 0, 0, 0, 0, 1</t>
  </si>
  <si>
    <t>ingram electrical services</t>
  </si>
  <si>
    <t>new installation electrical certificate</t>
  </si>
  <si>
    <t>electrical contractor wollongong</t>
  </si>
  <si>
    <t>1, 0, 0, 0, 0, 1, 0, 1, 1, 3, 0, 0, 0, 0, 0, 0, 0, 0, 0, 0, 0, 0, 0, 1</t>
  </si>
  <si>
    <t>industrial electrical contractor sydney</t>
  </si>
  <si>
    <t>electrical service contractor</t>
  </si>
  <si>
    <t>2, 2, 4, 2, 4, 4, 3, 5, 4, 3, 2, 1, 1, 0, 0, 0, 0, 0, 0, 0, 0, 0, 0, 1</t>
  </si>
  <si>
    <t>cheltenham electrical services</t>
  </si>
  <si>
    <t>24 hour electrical services nashville</t>
  </si>
  <si>
    <t>kingston electrical services</t>
  </si>
  <si>
    <t>houston commercial electrical services</t>
  </si>
  <si>
    <t>shore electrical services</t>
  </si>
  <si>
    <t>roanoke electrical repair services</t>
  </si>
  <si>
    <t>0, 0, 0, 0, 0, 1, 0, 1, 0, 0, 1, 2, 0, 0, 0, 0, 0, 0, 0, 0, 0, 0, 0, 1</t>
  </si>
  <si>
    <t>electrical contractor houston</t>
  </si>
  <si>
    <t>0, 0, 3, 0, 0, 1, 2, 1, 1, 2, 5, 1, 0, 0, 1, 0, 0, 0, 1, 1, 2, 0, 0, 1</t>
  </si>
  <si>
    <t>commercial electrical services near me</t>
  </si>
  <si>
    <t>0, 1, 2, 4, 2, 2, 5, 6, 12, 10, 11, 2, 1, 1, 2, 0, 1, 1, 1, 1, 0, 1, 1, 2</t>
  </si>
  <si>
    <t>multiple electrical services</t>
  </si>
  <si>
    <t>electrical services woburn ma</t>
  </si>
  <si>
    <t>efficient electrical &amp; instrumentation services</t>
  </si>
  <si>
    <t>autobahn mechanical and electrical services</t>
  </si>
  <si>
    <t>electrical building services pdf</t>
  </si>
  <si>
    <t>electrical services delta</t>
  </si>
  <si>
    <t>tools used in electrical installation</t>
  </si>
  <si>
    <t>0, 2, 1, 0, 0, 2, 1, 0, 4, 4, 4, 3, 4, 3, 2, 5, 3, 2, 4, 4, 2, 1, 1, 2</t>
  </si>
  <si>
    <t>installation in electrical</t>
  </si>
  <si>
    <t>0, 0, 2, 0, 0, 0, 0, 0, 0, 1, 1, 1, 1, 2, 1, 7, 0, 4, 0, 0, 0, 0, 0, 1</t>
  </si>
  <si>
    <t>apc electrical services</t>
  </si>
  <si>
    <t>0, 0, 0, 0, 0, 0, 0, 2, 0, 0, 0, 0, 0, 0, 0, 0, 1, 0, 0, 0, 0, 0, 0, 1</t>
  </si>
  <si>
    <t>electrical contractor public liability insurance</t>
  </si>
  <si>
    <t>0, 0, 0, 0, 1, 0, 0, 2, 16, 14, 10, 10, 3, 15, 6, 0, 0, 0, 1, 0, 0, 0, 1, 1</t>
  </si>
  <si>
    <t>house electrical wiring installation</t>
  </si>
  <si>
    <t>0, 1, 0, 0, 0, 0, 0, 0, 1, 2, 1, 6, 0, 0, 0, 0, 0, 0, 5, 0, 1, 2, 4, 4</t>
  </si>
  <si>
    <t>electrical panel installation lancaster</t>
  </si>
  <si>
    <t>electrical renovation services in downsview</t>
  </si>
  <si>
    <t>emergency electrician hillarys</t>
  </si>
  <si>
    <t>0, 0, 0, 0, 0, 1, 0, 0, 0, 1, 1, 0, 0, 0, 0, 0, 0, 0, 0, 0, 0, 0, 1, 1</t>
  </si>
  <si>
    <t>electrical contractor richmond</t>
  </si>
  <si>
    <t>0, 1, 0, 1, 3, 1, 2, 0, 3, 1, 1, 0, 0, 0, 0, 0, 0, 0, 0, 0, 0, 0, 0, 1</t>
  </si>
  <si>
    <t>integrated services electrical</t>
  </si>
  <si>
    <t>electrical contractor marketing</t>
  </si>
  <si>
    <t>2, 1, 3, 2, 2, 0, 0, 2, 4, 2, 4, 3, 1, 0, 0, 0, 0, 0, 0, 1, 0, 0, 0, 1</t>
  </si>
  <si>
    <t>emergency electrician inglewood</t>
  </si>
  <si>
    <t>0, 0, 0, 0, 0, 0, 0, 1, 0, 1, 2, 3, 0, 0, 0, 0, 0, 0, 0, 0, 0, 0, 0, 1</t>
  </si>
  <si>
    <t>q electrical services</t>
  </si>
  <si>
    <t>24 hour emergency electrician in coogee</t>
  </si>
  <si>
    <t>ryan's electrical services</t>
  </si>
  <si>
    <t>2, 0, 2, 1, 0, 1, 1, 1, 5, 1, 0, 0, 0, 0, 0, 0, 0, 0, 0, 0, 0, 1, 0, 1</t>
  </si>
  <si>
    <t>home decorative lighting electrical services</t>
  </si>
  <si>
    <t>1, 0, 1, 0, 0, 0, 0, 0, 1, 0, 1, 1, 0, 0, 0, 0, 0, 0, 0, 0, 0, 0, 0, 1</t>
  </si>
  <si>
    <t>home electrical repairs tips</t>
  </si>
  <si>
    <t>electrical engineering services dayton</t>
  </si>
  <si>
    <t>electrical contractor in mira road</t>
  </si>
  <si>
    <t>emergency electrician rooty hill</t>
  </si>
  <si>
    <t>electrical services dracut ma</t>
  </si>
  <si>
    <t>rs auto electrical &amp; aircon repairs lenasia</t>
  </si>
  <si>
    <t>5, 2, 5, 9, 3, 14, 9, 3, 3, 0, 0, 0, 0, 0, 0, 0, 0, 0, 0, 0, 1, 7, 0, 1</t>
  </si>
  <si>
    <t>jandabup emergency electrician</t>
  </si>
  <si>
    <t>24/7 emergency electrician syracuse ny</t>
  </si>
  <si>
    <t>1, 0, 0, 0, 0, 0, 2, 0, 1, 0, 0, 0, 0, 0, 0, 0, 0, 0, 0, 0, 0, 0, 0, 1</t>
  </si>
  <si>
    <t>emergency electrician canberra</t>
  </si>
  <si>
    <t>1, 1, 0, 0, 1, 1, 1, 0, 0, 1, 2, 0, 0, 0, 0, 0, 0, 0, 0, 0, 0, 0, 0, 1</t>
  </si>
  <si>
    <t>installation of electrical outlet</t>
  </si>
  <si>
    <t>0, 0, 0, 0, 0, 0, 0, 0, 0, 0, 1, 0, 0, 2, 0, 0, 0, 0, 0, 1, 0, 0, 0, 1</t>
  </si>
  <si>
    <t>electrical contractor fort collins</t>
  </si>
  <si>
    <t>0, 1, 0, 0, 0, 0, 0, 5, 0, 0, 0, 0, 0, 0, 0, 0, 0, 0, 0, 0, 0, 0, 0, 1</t>
  </si>
  <si>
    <t>electrical installation new hampshire</t>
  </si>
  <si>
    <t>emergency electrician daceyville</t>
  </si>
  <si>
    <t>er electrical services</t>
  </si>
  <si>
    <t>electrical installation notes</t>
  </si>
  <si>
    <t>0, 0, 0, 0, 0, 0, 0, 0, 0, 0, 0, 0, 0, 1, 4, 1, 0, 0, 0, 0, 0, 0, 0, 1</t>
  </si>
  <si>
    <t>electrical and refrigeration services</t>
  </si>
  <si>
    <t>0, 0, 0, 0, 9, 0, 1, 0, 2, 2, 0, 0, 0, 0, 0, 0, 0, 0, 0, 0, 0, 0, 0, 1</t>
  </si>
  <si>
    <t>electrical installation job</t>
  </si>
  <si>
    <t>0, 0, 0, 0, 0, 1, 0, 0, 10, 0, 0, 0, 0, 0, 1, 0, 0, 0, 1, 0, 0, 0, 3, 1</t>
  </si>
  <si>
    <t>electrical contractor tolworth</t>
  </si>
  <si>
    <t>emergency electrician cherokee county</t>
  </si>
  <si>
    <t>electrical installation symbols</t>
  </si>
  <si>
    <t>3, 1, 0, 4, 0, 5, 3, 4, 1, 1, 3, 1, 2, 3, 1, 1, 0, 1, 1, 0, 0, 6, 0, 3</t>
  </si>
  <si>
    <t>emergency electrician thomastown</t>
  </si>
  <si>
    <t>erc electrical and solar services</t>
  </si>
  <si>
    <t>electrical installation service cedar park</t>
  </si>
  <si>
    <t>electrical repairs boiling springs lakes</t>
  </si>
  <si>
    <t>electrical equipment and services market</t>
  </si>
  <si>
    <t>0, 0, 1, 1, 3, 1, 2, 1, 1, 1, 2, 0, 0, 0, 0, 0, 0, 0, 0, 0, 0, 0, 0, 1</t>
  </si>
  <si>
    <t>electrical contractor dunmow</t>
  </si>
  <si>
    <t>electrical contractor job vacancies</t>
  </si>
  <si>
    <t>electrical outlet installation calhoun county</t>
  </si>
  <si>
    <t>electrical systems installation</t>
  </si>
  <si>
    <t>0, 0, 2, 1, 0, 0, 1, 0, 0, 0, 0, 0, 0, 0, 0, 1, 0, 0, 0, 0, 0, 0, 0, 1</t>
  </si>
  <si>
    <t>electrical services kamloops</t>
  </si>
  <si>
    <t>ebm electrical services</t>
  </si>
  <si>
    <t>electrical power services</t>
  </si>
  <si>
    <t>0, 0, 0, 0, 0, 0, 0, 1, 0, 0, 0, 3, 0, 0, 0, 0, 0, 1, 1, 0, 1, 0, 0, 1</t>
  </si>
  <si>
    <t>electrician emergency number</t>
  </si>
  <si>
    <t>0, 0, 1, 0, 0, 0, 0, 0, 3, 0, 0, 0, 0, 0, 2, 0, 1, 0, 1, 0, 0, 0, 0, 1</t>
  </si>
  <si>
    <t>emergency electrician eugene or</t>
  </si>
  <si>
    <t>gm electrical services</t>
  </si>
  <si>
    <t>electrical wiring repairs</t>
  </si>
  <si>
    <t>0, 4, 2, 5, 1, 0, 0, 2, 0, 3, 3, 0, 1, 1, 3, 0, 0, 0, 0, 0, 0, 0, 0, 1</t>
  </si>
  <si>
    <t>office fitout electrical contractor</t>
  </si>
  <si>
    <t>commercial emergency electrician onalaska wi</t>
  </si>
  <si>
    <t>0, 0, 0, 0, 2, 0, 0, 0, 1, 0, 0, 0, 0, 0, 0, 0, 0, 0, 0, 0, 0, 0, 0, 1</t>
  </si>
  <si>
    <t>acs electrical services</t>
  </si>
  <si>
    <t>0, 1, 0, 0, 0, 0, 0, 0, 0, 0, 0, 3, 2, 2, 2, 4, 0, 2, 5, 1, 0, 2, 0, 2</t>
  </si>
  <si>
    <t>emergency electrician clontarf</t>
  </si>
  <si>
    <t>port hadlock electrical contractor</t>
  </si>
  <si>
    <t>residential electrical services cranbourne</t>
  </si>
  <si>
    <t>0, 0, 0, 1, 1, 0, 0, 0, 0, 2, 0, 0, 0, 0, 0, 0, 0, 0, 0, 0, 0, 0, 0, 1</t>
  </si>
  <si>
    <t>emergency electrician enmore</t>
  </si>
  <si>
    <t>electrical installation past papers pdf</t>
  </si>
  <si>
    <t>0, 4, 0, 0, 0, 0, 0, 1, 0, 0, 0, 0, 0, 0, 0, 0, 0, 0, 0, 0, 0, 0, 0, 1</t>
  </si>
  <si>
    <t>electrical installation pricing guide south africa</t>
  </si>
  <si>
    <t>Home improvement; Templates</t>
  </si>
  <si>
    <t>emergency electrician tullamarine</t>
  </si>
  <si>
    <t>0, 0, 0, 1, 1, 0, 0, 1, 1, 1, 0, 0, 0, 0, 0, 0, 0, 0, 0, 0, 0, 0, 0, 1</t>
  </si>
  <si>
    <t>electrical contractor cincinnati</t>
  </si>
  <si>
    <t>1, 0, 0, 1, 0, 0, 1, 0, 0, 0, 0, 0, 0, 0, 0, 0, 0, 0, 0, 0, 0, 0, 0, 1</t>
  </si>
  <si>
    <t>residential electrical services keller tx</t>
  </si>
  <si>
    <t>r &amp; r electrical services</t>
  </si>
  <si>
    <t>1, 0, 0, 0, 0, 1, 0, 0, 3, 1, 0, 0, 0, 0, 0, 0, 0, 0, 0, 0, 0, 0, 0, 1</t>
  </si>
  <si>
    <t>electrical installation at home</t>
  </si>
  <si>
    <t>0, 0, 0, 0, 0, 1, 0, 0, 0, 1, 0, 0, 0, 0, 0, 0, 0, 0, 0, 0, 1, 0, 0, 1</t>
  </si>
  <si>
    <t>matthews nc electrical contractor</t>
  </si>
  <si>
    <t>city and guilds electrical installation level 2</t>
  </si>
  <si>
    <t>0, 0, 0, 1, 1, 0, 0, 0, 0, 0, 3, 1, 1, 0, 1, 0, 1, 3, 0, 0, 0, 1, 0, 1</t>
  </si>
  <si>
    <t>shield electrical services</t>
  </si>
  <si>
    <t>power management &amp; electrical services cc</t>
  </si>
  <si>
    <t>labor for electrical wiring installation</t>
  </si>
  <si>
    <t>2, 2, 2, 1, 0, 0, 1, 0, 1, 1, 2, 0, 0, 0, 3, 0, 2, 0, 0, 0, 1, 0, 0, 1</t>
  </si>
  <si>
    <t>lost electrical installation certificate</t>
  </si>
  <si>
    <t>electrical installation dallas</t>
  </si>
  <si>
    <t>kirby electrical services</t>
  </si>
  <si>
    <t>1, 0, 2, 0, 0, 0, 1, 0, 0, 0, 0, 0, 0, 0, 0, 0, 0, 0, 1, 0, 0, 0, 2, 1</t>
  </si>
  <si>
    <t>electrical services in batangas</t>
  </si>
  <si>
    <t>east york electrical contractor</t>
  </si>
  <si>
    <t>0, 2, 2, 0, 2, 0, 0, 0, 0, 0, 0, 0, 0, 0, 0, 0, 0, 0, 0, 0, 0, 0, 0, 1</t>
  </si>
  <si>
    <t>electrical contractor longworth</t>
  </si>
  <si>
    <t>indianapolis electrical contractor</t>
  </si>
  <si>
    <t>electrical wiring services</t>
  </si>
  <si>
    <t>9, 10, 9, 12, 12, 19, 8, 17, 26, 24, 28, 9, 2, 0, 0, 0, 1, 1, 0, 0, 0, 1, 3, 2</t>
  </si>
  <si>
    <t>electrical repairs durham</t>
  </si>
  <si>
    <t>first light electrical services ltd</t>
  </si>
  <si>
    <t>electrical services des moines</t>
  </si>
  <si>
    <t>local electrician near me emergency</t>
  </si>
  <si>
    <t>electrician emergency services near me</t>
  </si>
  <si>
    <t>0, 0, 0, 0, 1, 1, 1, 0, 0, 1, 1, 0, 0, 0, 1, 0, 0, 0, 0, 0, 0, 0, 0, 1</t>
  </si>
  <si>
    <t>electrical services in mclean</t>
  </si>
  <si>
    <t>cc electrical services</t>
  </si>
  <si>
    <t>1, 0, 2, 0, 0, 0, 0, 0, 5, 0, 0, 0, 0, 1, 1, 0, 0, 0, 0, 0, 0, 0, 0, 1</t>
  </si>
  <si>
    <t>las vegas electrical services</t>
  </si>
  <si>
    <t>north lauderdale electrical services</t>
  </si>
  <si>
    <t>0, 1, 0, 0, 1, 1, 1, 3, 2, 4, 1, 0, 0, 0, 0, 0, 0, 0, 0, 0, 0, 0, 0, 1</t>
  </si>
  <si>
    <t>electrical installation nambour</t>
  </si>
  <si>
    <t>electrical contractor charlotte nc</t>
  </si>
  <si>
    <t>1, 0, 0, 1, 0, 0, 0, 0, 1, 2, 1, 0, 0, 0, 0, 0, 0, 0, 0, 0, 0, 0, 0, 1</t>
  </si>
  <si>
    <t>electrical installation picture</t>
  </si>
  <si>
    <t>0, 0, 0, 0, 0, 0, 0, 0, 0, 0, 0, 6, 0, 0, 0, 0, 0, 0, 1, 2, 0, 0, 0, 1</t>
  </si>
  <si>
    <t>commercial electrical services in bow</t>
  </si>
  <si>
    <t>0, 0, 0, 0, 0, 0, 0, 0, 0, 0, 0, 0, 2, 0, 1, 0, 0, 0, 0, 0, 1, 2, 1, 1</t>
  </si>
  <si>
    <t>electrical panel installation cherokee</t>
  </si>
  <si>
    <t>city and guilds level 3 electrical installation</t>
  </si>
  <si>
    <t>0, 2, 0, 0, 0, 0, 2, 0, 0, 1, 0, 0, 0, 1, 0, 0, 0, 1, 0, 0, 0, 0, 0, 1</t>
  </si>
  <si>
    <t>mjp electrical services</t>
  </si>
  <si>
    <t>level 4 electrical installation</t>
  </si>
  <si>
    <t>0, 0, 0, 0, 0, 0, 2, 1, 0, 0, 1, 0, 1, 1, 0, 1, 0, 0, 0, 0, 0, 0, 0, 1</t>
  </si>
  <si>
    <t>burnett electrical services</t>
  </si>
  <si>
    <t>s e electrical services</t>
  </si>
  <si>
    <t>24 hour emergency electrician</t>
  </si>
  <si>
    <t>7, 11, 11, 3, 10, 9, 12, 10, 13, 17, 24, 21, 7, 1, 1, 5, 3, 1, 0, 1, 3, 1, 4, 1</t>
  </si>
  <si>
    <t>residential electrical services arlington tx</t>
  </si>
  <si>
    <t>1, 0, 0, 1, 0, 0, 0, 0, 1, 1, 0, 0, 0, 0, 0, 0, 0, 0, 0, 0, 0, 0, 0, 1</t>
  </si>
  <si>
    <t>dewa approved electrical contractor</t>
  </si>
  <si>
    <t>0, 0, 1, 0, 0, 0, 0, 1, 0, 0, 3, 0, 1, 0, 0, 0, 0, 0, 0, 0, 0, 0, 0, 1</t>
  </si>
  <si>
    <t>tiger electrical services</t>
  </si>
  <si>
    <t>electrical systems &amp; services</t>
  </si>
  <si>
    <t>level 3 electrical installation night course</t>
  </si>
  <si>
    <t>emergency electrician chippendale</t>
  </si>
  <si>
    <t>new york electrical services</t>
  </si>
  <si>
    <t>day electrical services</t>
  </si>
  <si>
    <t>newark home electrical repair services</t>
  </si>
  <si>
    <t>general electrical services grand prairie</t>
  </si>
  <si>
    <t>commercial electrical services in dallas</t>
  </si>
  <si>
    <t>electrical services somerset county</t>
  </si>
  <si>
    <t>denver hoa electrical services</t>
  </si>
  <si>
    <t>mntimande auto electrical services cape town</t>
  </si>
  <si>
    <t>0, 0, 0, 0, 20, 5, 0, 0, 0, 0, 0, 0, 0, 0, 0, 0, 0, 0, 0, 0, 0, 0, 0, 1</t>
  </si>
  <si>
    <t>kunini electrical services</t>
  </si>
  <si>
    <t>ar electrical services</t>
  </si>
  <si>
    <t>electrical installation technology</t>
  </si>
  <si>
    <t>sioux falls emergency electrician</t>
  </si>
  <si>
    <t>0, 0, 1, 0, 0, 1, 1, 1, 2, 1, 0, 0, 0, 0, 0, 0, 0, 0, 0, 0, 0, 0, 0, 1</t>
  </si>
  <si>
    <t>emergency electrician campbell county</t>
  </si>
  <si>
    <t>emergency electrician scarborough</t>
  </si>
  <si>
    <t>0, 0, 0, 0, 0, 0, 0, 1, 2, 1, 2, 1, 0, 0, 0, 0, 0, 0, 0, 0, 0, 0, 0, 1</t>
  </si>
  <si>
    <t>commercial electrical services ooltewah</t>
  </si>
  <si>
    <t>electrical services background</t>
  </si>
  <si>
    <t>electrical contractor vancouver</t>
  </si>
  <si>
    <t>0, 0, 0, 0, 1, 0, 1, 2, 0, 1, 1, 0, 0, 0, 0, 0, 0, 0, 0, 0, 0, 0, 0, 1</t>
  </si>
  <si>
    <t>emergency electrical repairs plano tx</t>
  </si>
  <si>
    <t>professional electrical services</t>
  </si>
  <si>
    <t>1, 5, 1, 0, 1, 4, 4, 3, 7, 3, 3, 15, 3, 2, 1, 2, 2, 0, 3, 4, 1, 1, 2, 1</t>
  </si>
  <si>
    <t>emergency electrician crawley</t>
  </si>
  <si>
    <t>0, 0, 0, 0, 0, 1, 0, 2, 1, 1, 2, 0, 0, 0, 0, 0, 0, 0, 0, 0, 0, 0, 0, 1</t>
  </si>
  <si>
    <t>electrical generator repair services near me</t>
  </si>
  <si>
    <t>voltage electrical services</t>
  </si>
  <si>
    <t>niceic electrical installation certification</t>
  </si>
  <si>
    <t>immediate electrical services</t>
  </si>
  <si>
    <t>0, 0, 0, 1, 2, 0, 0, 1, 0, 0, 0, 1, 0, 0, 2, 1, 0, 0, 0, 0, 0, 1, 0, 1</t>
  </si>
  <si>
    <t>electrical inspection services oxford</t>
  </si>
  <si>
    <t>electrical contractor letterhead format</t>
  </si>
  <si>
    <t>electrical services brighton</t>
  </si>
  <si>
    <t>1, 0, 0, 0, 1, 1, 2, 0, 0, 1, 0, 0, 0, 0, 0, 0, 0, 0, 0, 0, 0, 0, 0, 1</t>
  </si>
  <si>
    <t>electrical installation service cape coral</t>
  </si>
  <si>
    <t>residential electrical services chatswood</t>
  </si>
  <si>
    <t>electrical installation theory and practice</t>
  </si>
  <si>
    <t>jte electrical services</t>
  </si>
  <si>
    <t>0, 0, 0, 0, 0, 0, 0, 0, 1, 1, 0, 0, 0, 0, 0, 0, 0, 0, 0, 2, 0, 0, 0, 1</t>
  </si>
  <si>
    <t>electrical maintenance services software</t>
  </si>
  <si>
    <t>harveys electrical services</t>
  </si>
  <si>
    <t>emergency electrician sommerville</t>
  </si>
  <si>
    <t>electrical contractor portland oregon</t>
  </si>
  <si>
    <t>electrical services for businesses</t>
  </si>
  <si>
    <t>emergency electrician salt lake city</t>
  </si>
  <si>
    <t>home electrical services honolulu, hi</t>
  </si>
  <si>
    <t>emergency electrician greenwood</t>
  </si>
  <si>
    <t>home electrical services near me</t>
  </si>
  <si>
    <t>1, 1, 0, 1, 0, 2, 0, 1, 2, 5, 3, 2, 0, 0, 1, 0, 0, 0, 0, 1, 0, 2, 0, 2</t>
  </si>
  <si>
    <t>emergency electrician karnup</t>
  </si>
  <si>
    <t>electrical contractor dallas tx</t>
  </si>
  <si>
    <t>electrical panel contractor purvis</t>
  </si>
  <si>
    <t>0, 0, 0, 0, 1, 0, 1, 1, 2, 0, 0, 0, 0, 0, 0, 0, 0, 0, 0, 0, 0, 0, 0, 1</t>
  </si>
  <si>
    <t>electrical contractor contracts</t>
  </si>
  <si>
    <t>0, 0, 0, 0, 0, 0, 0, 0, 0, 0, 3, 3, 0, 0, 0, 0, 0, 0, 0, 0, 0, 0, 0, 1</t>
  </si>
  <si>
    <t>emergency electrician oatley</t>
  </si>
  <si>
    <t>0, 1, 2, 5, 0, 0, 0, 1, 1, 0, 0, 0, 0, 0, 0, 0, 0, 0, 0, 0, 0, 0, 0, 1</t>
  </si>
  <si>
    <t>electrical installation chattanooga tn</t>
  </si>
  <si>
    <t>mechanical and electrical services in warehouses</t>
  </si>
  <si>
    <t>emergency electrician gables</t>
  </si>
  <si>
    <t>0, 0, 0, 0, 0, 1, 0, 2, 1, 3, 2, 0, 0, 0, 0, 0, 0, 0, 0, 0, 0, 0, 0, 1</t>
  </si>
  <si>
    <t>hot tub installation electrical</t>
  </si>
  <si>
    <t>2, 1, 0, 1, 3, 1, 0, 0, 0, 1, 1, 0, 0, 0, 1, 0, 0, 0, 0, 0, 2, 0, 0, 2</t>
  </si>
  <si>
    <t>emergency electrician huntsville</t>
  </si>
  <si>
    <t>electrical services manteca, ca</t>
  </si>
  <si>
    <t>0, 0, 0, 0, 0, 0, 0, 0, 2, 2, 0, 1, 1, 0, 0, 0, 0, 0, 0, 0, 0, 0, 0, 1</t>
  </si>
  <si>
    <t>adec electrical services ltd</t>
  </si>
  <si>
    <t>southlake electrical services</t>
  </si>
  <si>
    <t>0, 0, 1, 0, 0, 0, 0, 0, 0, 4, 4, 0, 0, 0, 0, 0, 0, 0, 0, 0, 0, 0, 0, 1</t>
  </si>
  <si>
    <t>electrical heating services north london</t>
  </si>
  <si>
    <t>electrical installation company georgetown</t>
  </si>
  <si>
    <t>commercial electrical services boulder</t>
  </si>
  <si>
    <t>0, 1, 0, 0, 0, 1, 1, 0, 0, 2, 1, 0, 0, 2, 0, 0, 0, 0, 0, 0, 0, 0, 0, 1</t>
  </si>
  <si>
    <t>find an emergency electrician</t>
  </si>
  <si>
    <t>electrical fitout services</t>
  </si>
  <si>
    <t>1, 0, 2, 0, 1, 1, 2, 1, 0, 0, 3, 0, 0, 0, 2, 0, 0, 0, 0, 0, 0, 0, 0, 1</t>
  </si>
  <si>
    <t>electrical installation pdf download</t>
  </si>
  <si>
    <t>0, 0, 0, 0, 0, 0, 0, 0, 1, 1, 3, 0, 2, 1, 1, 6, 1, 0, 1, 0, 0, 0, 0, 1</t>
  </si>
  <si>
    <t>electrical vehicle charging installation</t>
  </si>
  <si>
    <t>electrical repairs hemet</t>
  </si>
  <si>
    <t>mk electrical services</t>
  </si>
  <si>
    <t>1, 0, 1, 0, 0, 0, 0, 0, 3, 0, 0, 0, 1, 1, 0, 0, 0, 1, 0, 0, 0, 0, 0, 1</t>
  </si>
  <si>
    <t>electrical services west virginia</t>
  </si>
  <si>
    <t>electrical panel installation glendora</t>
  </si>
  <si>
    <t>icon electrical services</t>
  </si>
  <si>
    <t>0, 0, 0, 0, 0, 2, 0, 0, 0, 0, 0, 1, 0, 0, 5, 4, 0, 3, 0, 1, 0, 1, 0, 1</t>
  </si>
  <si>
    <t>electrical installation in barbados</t>
  </si>
  <si>
    <t>0, 0, 0, 0, 0, 0, 2, 0, 1, 1, 0, 0, 0, 0, 0, 0, 0, 0, 0, 0, 0, 0, 0, 1</t>
  </si>
  <si>
    <t>custom electrical motors and services</t>
  </si>
  <si>
    <t>electrical discharge machining services market</t>
  </si>
  <si>
    <t>3, 1, 2, 0, 0, 0, 0, 0, 0, 0, 0, 0, 0, 0, 0, 0, 0, 0, 0, 0, 0, 0, 0, 1</t>
  </si>
  <si>
    <t>emergency electrician balmain</t>
  </si>
  <si>
    <t>electrical tool services</t>
  </si>
  <si>
    <t>lira electrical training services</t>
  </si>
  <si>
    <t>0, 0, 0, 0, 0, 0, 0, 0, 0, 0, 5, 0, 0, 1, 0, 0, 0, 0, 0, 0, 0, 0, 0, 1</t>
  </si>
  <si>
    <t>electrical system repairs des moines</t>
  </si>
  <si>
    <t>electrical services cotton tree</t>
  </si>
  <si>
    <t>price per point electrical installation</t>
  </si>
  <si>
    <t>0, 0, 1, 1, 0, 0, 0, 0, 1, 1, 1, 0, 0, 1, 1, 1, 0, 1, 0, 1, 0, 1, 0, 1</t>
  </si>
  <si>
    <t>electrical installation regulation</t>
  </si>
  <si>
    <t>0, 2, 0, 1, 0, 2, 0, 0, 1, 0, 0, 7, 5, 2, 0, 2, 0, 3, 3, 0, 0, 1, 0, 1</t>
  </si>
  <si>
    <t>electrical contractor course online</t>
  </si>
  <si>
    <t>electrical maintenance services charleston, sc</t>
  </si>
  <si>
    <t>denver electrical contractor</t>
  </si>
  <si>
    <t>0, 0, 0, 0, 0, 0, 0, 2, 0, 2, 1, 1, 0, 0, 0, 0, 0, 0, 0, 0, 0, 0, 0, 1</t>
  </si>
  <si>
    <t>electrical services oldsmar</t>
  </si>
  <si>
    <t>alert electrical services</t>
  </si>
  <si>
    <t>electrical contractor bracken ridge</t>
  </si>
  <si>
    <t>johnston electrical services</t>
  </si>
  <si>
    <t>wake forest electrical panel services</t>
  </si>
  <si>
    <t>commercial electrical contractor irvine ca</t>
  </si>
  <si>
    <t>ardent electrical services</t>
  </si>
  <si>
    <t>electrical services irvine</t>
  </si>
  <si>
    <t>emergency electrician ipswich</t>
  </si>
  <si>
    <t>0, 0, 0, 0, 0, 0, 2, 0, 0, 1, 0, 1, 0, 0, 0, 0, 0, 0, 0, 2, 0, 0, 0, 2</t>
  </si>
  <si>
    <t>das electrical services</t>
  </si>
  <si>
    <t>baltimore electrical contractor</t>
  </si>
  <si>
    <t>electrical installation ft myers</t>
  </si>
  <si>
    <t>importance of electrical services</t>
  </si>
  <si>
    <t>electrical installation sarasota</t>
  </si>
  <si>
    <t>0, 1, 0, 0, 1, 0, 1, 0, 0, 0, 1, 0, 0, 0, 0, 0, 0, 0, 0, 0, 0, 0, 0, 1</t>
  </si>
  <si>
    <t>carroll electrical services</t>
  </si>
  <si>
    <t>electrical installation durban</t>
  </si>
  <si>
    <t>0, 0, 0, 0, 0, 0, 0, 0, 0, 0, 0, 0, 0, 0, 0, 0, 18, 22, 0, 2, 0, 0, 0, 1</t>
  </si>
  <si>
    <t>electrical contractor in seattle</t>
  </si>
  <si>
    <t>accessories in electrical installation</t>
  </si>
  <si>
    <t>0, 0, 1, 1, 0, 0, 0, 0, 0, 0, 0, 0, 1, 0, 0, 0, 0, 0, 0, 1, 0, 0, 0, 1</t>
  </si>
  <si>
    <t>electrical installation guide 2019 pdf</t>
  </si>
  <si>
    <t>emergency electrician westerham</t>
  </si>
  <si>
    <t>1, 0, 2, 1, 0, 0, 0, 0, 0, 0, 0, 0, 0, 0, 0, 0, 0, 0, 0, 0, 0, 0, 0, 1</t>
  </si>
  <si>
    <t>residential electrical services fairfax</t>
  </si>
  <si>
    <t>cascade electrical services</t>
  </si>
  <si>
    <t>electrical contractor billing software</t>
  </si>
  <si>
    <t>2, 0, 1, 0, 1, 0, 0, 3, 3, 0, 0, 1, 0, 0, 0, 0, 0, 1, 0, 0, 0, 0, 0, 1</t>
  </si>
  <si>
    <t>emergency electrician dural</t>
  </si>
  <si>
    <t>0, 0, 0, 0, 0, 2, 0, 0, 1, 1, 0, 1, 0, 0, 0, 0, 0, 0, 0, 0, 0, 0, 0, 1</t>
  </si>
  <si>
    <t>mux electrical services</t>
  </si>
  <si>
    <t>0, 0, 0, 0, 0, 0, 0, 0, 0, 1, 1, 0, 0, 0, 0, 0, 0, 0, 0, 1, 2, 1, 0, 2</t>
  </si>
  <si>
    <t>powerhouse electrical services</t>
  </si>
  <si>
    <t>0, 0, 1, 0, 0, 1, 0, 0, 0, 0, 0, 1, 0, 0, 0, 0, 0, 2, 1, 0, 0, 0, 0, 1</t>
  </si>
  <si>
    <t>electrical contractor seaford</t>
  </si>
  <si>
    <t>electrical installation purvis</t>
  </si>
  <si>
    <t>electrical services in uae</t>
  </si>
  <si>
    <t>electrical training services</t>
  </si>
  <si>
    <t>underground electrical services</t>
  </si>
  <si>
    <t>0, 0, 1, 0, 0, 0, 0, 1, 0, 0, 0, 1, 0, 0, 0, 0, 0, 0, 0, 0, 0, 1, 0, 1</t>
  </si>
  <si>
    <t>baker electrical services</t>
  </si>
  <si>
    <t>0, 0, 0, 0, 0, 0, 1, 0, 1, 0, 0, 0, 1, 0, 0, 0, 0, 0, 0, 0, 0, 0, 0, 1</t>
  </si>
  <si>
    <t>electrical contractor san diego ca</t>
  </si>
  <si>
    <t>residential electrical meter installation</t>
  </si>
  <si>
    <t>electrical services south carolina</t>
  </si>
  <si>
    <t>emergency electrician vancouver</t>
  </si>
  <si>
    <t>2, 0, 4, 0, 0, 4, 0, 2, 4, 4, 3, 0, 0, 0, 0, 0, 0, 0, 0, 0, 0, 0, 0, 1</t>
  </si>
  <si>
    <t>skills in electrical installation and maintenance</t>
  </si>
  <si>
    <t>9, 6, 5, 1, 3, 4, 1, 3, 5, 1, 2, 3, 2, 5, 1, 1, 0, 1, 7, 1, 2, 0, 2, 2</t>
  </si>
  <si>
    <t>electrical services brandon fl</t>
  </si>
  <si>
    <t>electrical contractor alexandria va</t>
  </si>
  <si>
    <t>electrical services in klerksdorp, south africa</t>
  </si>
  <si>
    <t>electrical services new hampshire</t>
  </si>
  <si>
    <t>southfield auto electrical services reviews</t>
  </si>
  <si>
    <t>0, 0, 0, 0, 0, 0, 0, 0, 0, 0, 0, 0, 0, 0, 0, 0, 0, 0, 0, 0, 0, 3, 5, 4</t>
  </si>
  <si>
    <t>electrical construction services denver</t>
  </si>
  <si>
    <t>jpm plumbing and electrical services johannesburg</t>
  </si>
  <si>
    <t>16, 3, 0, 13, 7, 20, 18, 7, 0, 0, 0, 0, 0, 0, 0, 0, 0, 0, 0, 0, 0, 0, 0, 1</t>
  </si>
  <si>
    <t>electrical contractor list pdf</t>
  </si>
  <si>
    <t>outdoor electrical installation regulations</t>
  </si>
  <si>
    <t>0, 0, 0, 0, 0, 0, 1, 1, 0, 0, 0, 0, 0, 0, 0, 0, 0, 0, 0, 1, 0, 0, 0, 1</t>
  </si>
  <si>
    <t>edc electrical contractor</t>
  </si>
  <si>
    <t>electrical contractor mining</t>
  </si>
  <si>
    <t>commercial electrical services stafford</t>
  </si>
  <si>
    <t>electrical panel installation redmond</t>
  </si>
  <si>
    <t>0, 0, 0, 0, 0, 1, 0, 0, 3, 1, 2, 1, 0, 0, 0, 0, 0, 0, 0, 0, 0, 0, 0, 1</t>
  </si>
  <si>
    <t>electrical services burlington ma</t>
  </si>
  <si>
    <t>electrical contractor company near me</t>
  </si>
  <si>
    <t>1, 0, 0, 0, 1, 0, 1, 1, 1, 0, 1, 2, 0, 0, 0, 0, 0, 0, 0, 0, 0, 0, 0, 1</t>
  </si>
  <si>
    <t>emergency electrician oxford</t>
  </si>
  <si>
    <t>0, 0, 0, 0, 1, 1, 0, 1, 0, 2, 2, 0, 2, 0, 0, 0, 0, 0, 0, 0, 0, 0, 0, 1</t>
  </si>
  <si>
    <t>smoke detectors electrical services</t>
  </si>
  <si>
    <t>electrical services edwardsville il</t>
  </si>
  <si>
    <t>electrical repairs hellertown pa</t>
  </si>
  <si>
    <t>tools for electrical installation</t>
  </si>
  <si>
    <t>0, 0, 1, 4, 0, 0, 0, 2, 0, 1, 1, 0, 3, 1, 1, 1, 2, 0, 0, 0, 0, 2, 0, 2</t>
  </si>
  <si>
    <t>commercial electrical contractor wholesaler</t>
  </si>
  <si>
    <t>important of earthing in electrical installation</t>
  </si>
  <si>
    <t>1, 1, 0, 0, 1, 0, 1, 0, 1, 0, 0, 0, 0, 0, 0, 1, 0, 0, 1, 0, 1, 2, 2, 3</t>
  </si>
  <si>
    <t>electrical contractor corpus christi</t>
  </si>
  <si>
    <t>electrical contractor insurance wisconsin</t>
  </si>
  <si>
    <t>future electrical services</t>
  </si>
  <si>
    <t>electrical contractor santa fe tx</t>
  </si>
  <si>
    <t>emergency electrician southport</t>
  </si>
  <si>
    <t>0, 0, 0, 0, 0, 0, 0, 0, 2, 2, 3, 0, 1, 0, 0, 0, 1, 0, 0, 0, 0, 0, 0, 1</t>
  </si>
  <si>
    <t>electrical panel board installation</t>
  </si>
  <si>
    <t>1, 1, 0, 0, 0, 0, 2, 0, 0, 0, 2, 0, 0, 0, 0, 1, 2, 0, 0, 0, 0, 0, 0, 1</t>
  </si>
  <si>
    <t>san antonio electrical contractor</t>
  </si>
  <si>
    <t>0, 0, 1, 0, 2, 0, 3, 1, 0, 2, 0, 2, 0, 0, 0, 0, 0, 0, 0, 0, 0, 0, 0, 1</t>
  </si>
  <si>
    <t>electrical installation requirements</t>
  </si>
  <si>
    <t>1, 1, 1, 1, 1, 0, 3, 2, 1, 1, 0, 2, 0, 0, 3, 0, 1, 0, 2, 0, 0, 0, 0, 1</t>
  </si>
  <si>
    <t>bayside emergency electrician</t>
  </si>
  <si>
    <t>honest electrical services</t>
  </si>
  <si>
    <t>kf electrical services</t>
  </si>
  <si>
    <t>0, 0, 3, 0, 0, 1, 0, 0, 1, 0, 2, 3, 0, 0, 1, 1, 0, 0, 1, 2, 1, 0, 0, 1</t>
  </si>
  <si>
    <t>electrical infrastructure services london</t>
  </si>
  <si>
    <t>wire wizard electrical services</t>
  </si>
  <si>
    <t>duct tape for electrical repairs</t>
  </si>
  <si>
    <t>0, 0, 0, 0, 1, 0, 0, 0, 1, 0, 1, 0, 0, 0, 0, 1, 1, 0, 0, 0, 0, 0, 0, 1</t>
  </si>
  <si>
    <t>coastal electrical services</t>
  </si>
  <si>
    <t>0, 0, 0, 0, 0, 0, 0, 0, 0, 0, 0, 0, 0, 0, 0, 0, 1, 5, 0, 0, 1, 0, 0, 1</t>
  </si>
  <si>
    <t>adi electrical services</t>
  </si>
  <si>
    <t>electrical repairs winter park</t>
  </si>
  <si>
    <t>electrical distribution board installation</t>
  </si>
  <si>
    <t>0, 3, 5, 0, 0, 1, 0, 0, 0, 0, 1, 1, 0, 0, 0, 0, 0, 0, 1, 1, 3, 3, 1, 3</t>
  </si>
  <si>
    <t>electrical contractor bunbury</t>
  </si>
  <si>
    <t>0, 1, 1, 2, 0, 1, 1, 4, 1, 1, 0, 0, 0, 0, 0, 0, 0, 0, 0, 0, 0, 0, 0, 1</t>
  </si>
  <si>
    <t>plumbing &amp; electrical services near me</t>
  </si>
  <si>
    <t>1, 0, 0, 0, 0, 2, 3, 2, 3, 2, 0, 0, 0, 2, 1, 2, 0, 0, 0, 0, 2, 0, 0, 1</t>
  </si>
  <si>
    <t>electrician emergency call out</t>
  </si>
  <si>
    <t>1, 0, 2, 3, 1, 6, 4, 0, 3, 2, 0, 2, 0, 0, 2, 0, 4, 2, 0, 2, 1, 2, 0, 2</t>
  </si>
  <si>
    <t>emergency electrician montana</t>
  </si>
  <si>
    <t>ogden commercial electrical services</t>
  </si>
  <si>
    <t>electrical mast installation rowlett</t>
  </si>
  <si>
    <t>marina electrical services</t>
  </si>
  <si>
    <t>electrical contractor warranty</t>
  </si>
  <si>
    <t>electrical equipment calibration services near me</t>
  </si>
  <si>
    <t>0, 0, 0, 0, 0, 0, 0, 0, 1, 1, 0, 1, 0, 0, 0, 0, 0, 0, 0, 0, 0, 0, 3, 2</t>
  </si>
  <si>
    <t>electrical installation project proposal</t>
  </si>
  <si>
    <t>electrical services perth</t>
  </si>
  <si>
    <t>3, 2, 3, 3, 1, 1, 3, 4, 3, 4, 5, 0, 2, 1, 1, 0, 0, 0, 0, 0, 0, 1, 0, 1</t>
  </si>
  <si>
    <t>ics electrical projects and services</t>
  </si>
  <si>
    <t>residential electrical services narre warren</t>
  </si>
  <si>
    <t>electrical machine installation</t>
  </si>
  <si>
    <t>0, 0, 0, 1, 0, 0, 0, 0, 0, 0, 0, 0, 0, 0, 2, 0, 0, 0, 0, 0, 0, 0, 0, 1</t>
  </si>
  <si>
    <t>los angeles electrical services</t>
  </si>
  <si>
    <t>always on electrical services</t>
  </si>
  <si>
    <t>corbin electrical services</t>
  </si>
  <si>
    <t>0, 0, 0, 0, 0, 0, 0, 0, 0, 0, 0, 2, 0, 0, 0, 1, 0, 0, 0, 0, 0, 0, 0, 1</t>
  </si>
  <si>
    <t>in house electrical services inc</t>
  </si>
  <si>
    <t>emergency electrician minnesota</t>
  </si>
  <si>
    <t>electrical contractor woodford green</t>
  </si>
  <si>
    <t>all electrical services newcastle</t>
  </si>
  <si>
    <t>aaa electrical services</t>
  </si>
  <si>
    <t>4, 0, 0, 0, 0, 0, 0, 1, 0, 1, 0, 1, 0, 1, 0, 1, 0, 0, 0, 1, 0, 0, 0, 1</t>
  </si>
  <si>
    <t>electrical installation diagram</t>
  </si>
  <si>
    <t>1, 3, 3, 3, 3, 3, 0, 1, 3, 10, 0, 5, 1, 3, 6, 5, 1, 3, 2, 1, 1, 7, 4, 5</t>
  </si>
  <si>
    <t>industrial electrical engineering services</t>
  </si>
  <si>
    <t>1, 0, 1, 0, 1, 0, 0, 2, 0, 1, 0, 0, 0, 0, 0, 0, 0, 0, 0, 0, 0, 0, 0, 1</t>
  </si>
  <si>
    <t>broderick electrical services</t>
  </si>
  <si>
    <t>electrical contractor labour rates</t>
  </si>
  <si>
    <t>4, 2, 4, 2, 2, 1, 1, 3, 2, 2, 0, 0, 0, 0, 0, 0, 0, 0, 0, 1, 0, 0, 0, 1</t>
  </si>
  <si>
    <t>electrical repairs leyton</t>
  </si>
  <si>
    <t>emergency electrician aveley</t>
  </si>
  <si>
    <t>electrical services in canning vale</t>
  </si>
  <si>
    <t>electrical contractor business booking software</t>
  </si>
  <si>
    <t>0, 0, 0, 0, 0, 1, 0, 2, 1, 0, 0, 1, 0, 0, 0, 0, 0, 0, 0, 0, 0, 0, 0, 1</t>
  </si>
  <si>
    <t>martin electrical services</t>
  </si>
  <si>
    <t>electrical contractor lynnwood</t>
  </si>
  <si>
    <t>electrical industrial services</t>
  </si>
  <si>
    <t>0, 0, 0, 2, 0, 1, 0, 0, 3, 2, 2, 3, 0, 0, 1, 0, 0, 1, 0, 0, 0, 0, 0, 1</t>
  </si>
  <si>
    <t>electrical installation and repair</t>
  </si>
  <si>
    <t>0, 0, 0, 2, 0, 3, 0, 0, 3, 1, 1, 1, 0, 2, 0, 1, 0, 0, 2, 0, 0, 0, 0, 1</t>
  </si>
  <si>
    <t>dico auto electrical services</t>
  </si>
  <si>
    <t>emergency electrician walworth</t>
  </si>
  <si>
    <t>chase electrical services</t>
  </si>
  <si>
    <t>electrical repairs wellington</t>
  </si>
  <si>
    <t>1, 0, 0, 0, 1, 0, 2, 6, 0, 2, 0, 1, 1, 1, 0, 0, 3, 0, 0, 0, 0, 0, 0, 1</t>
  </si>
  <si>
    <t>electrical contractor logos</t>
  </si>
  <si>
    <t>1, 0, 2, 0, 0, 0, 1, 2, 0, 0, 0, 0, 0, 0, 3, 0, 0, 0, 0, 0, 0, 0, 0, 1</t>
  </si>
  <si>
    <t>electrical automation services michigan</t>
  </si>
  <si>
    <t>electrical services sunshine plaza</t>
  </si>
  <si>
    <t>eis electrical services</t>
  </si>
  <si>
    <t>stages of commercial electrical installation</t>
  </si>
  <si>
    <t>electrical outlet installation virginia</t>
  </si>
  <si>
    <t>licensed electrical contractor haverford</t>
  </si>
  <si>
    <t>electrical installation prices in south africa</t>
  </si>
  <si>
    <t>electrical wiring installation price</t>
  </si>
  <si>
    <t>4, 3, 13, 15, 9, 16, 12, 17, 6, 3, 5, 6, 7, 4, 10, 6, 3, 0, 0, 4, 0, 1, 0, 1</t>
  </si>
  <si>
    <t>electrician fish hoek cape town</t>
  </si>
  <si>
    <t>belleview home electrical repair services</t>
  </si>
  <si>
    <t>richard electrical services</t>
  </si>
  <si>
    <t>0, 0, 0, 1, 0, 0, 0, 0, 0, 0, 0, 0, 0, 0, 0, 1, 0, 0, 0, 2, 0, 1, 0, 1</t>
  </si>
  <si>
    <t>snr electrical services</t>
  </si>
  <si>
    <t>24 hour emergency electrical services</t>
  </si>
  <si>
    <t>0, 2, 0, 2, 2, 0, 2, 0, 2, 1, 2, 1, 0, 0, 0, 0, 0, 0, 0, 0, 0, 0, 0, 1</t>
  </si>
  <si>
    <t>emergency electrician carroll county</t>
  </si>
  <si>
    <t>cjs electrical services</t>
  </si>
  <si>
    <t>0, 0, 0, 0, 0, 0, 0, 0, 0, 1, 0, 0, 0, 0, 0, 0, 0, 0, 0, 0, 0, 0, 1, 1</t>
  </si>
  <si>
    <t>electrical contractor forms</t>
  </si>
  <si>
    <t>0, 0, 0, 0, 0, 3, 0, 2, 1, 0, 0, 0, 0, 0, 0, 0, 0, 0, 0, 0, 0, 0, 0, 1</t>
  </si>
  <si>
    <t>omnia electrical services</t>
  </si>
  <si>
    <t>emergency electrician byford</t>
  </si>
  <si>
    <t>mzm electrical services</t>
  </si>
  <si>
    <t>solar electrical contractor</t>
  </si>
  <si>
    <t>0, 0, 0, 0, 0, 0, 0, 0, 0, 0, 1, 0, 1, 1, 0, 0, 0, 0, 0, 0, 0, 0, 0, 1</t>
  </si>
  <si>
    <t>emergency electrician ashburton</t>
  </si>
  <si>
    <t>1, 0, 0, 1, 2, 1, 1, 4, 2, 1, 3, 1, 0, 1, 0, 0, 0, 0, 0, 0, 0, 0, 0, 1</t>
  </si>
  <si>
    <t>electrickery electrical services</t>
  </si>
  <si>
    <t>bec electrical services</t>
  </si>
  <si>
    <t>emergency electrician haberfield</t>
  </si>
  <si>
    <t>emergency electrician stirling</t>
  </si>
  <si>
    <t>0, 0, 0, 0, 0, 1, 0, 1, 1, 0, 1, 2, 0, 0, 0, 0, 0, 0, 0, 0, 0, 0, 0, 1</t>
  </si>
  <si>
    <t>commissioning electrical installation</t>
  </si>
  <si>
    <t>0, 0, 0, 0, 0, 0, 0, 0, 0, 0, 0, 0, 0, 0, 0, 0, 0, 0, 0, 3, 0, 0, 4, 3</t>
  </si>
  <si>
    <t>electrical services braunton</t>
  </si>
  <si>
    <t>electrical panel installation lake county</t>
  </si>
  <si>
    <t>emergency electrician longwood</t>
  </si>
  <si>
    <t>log cabin electrical installation</t>
  </si>
  <si>
    <t>24 hour electrical services knoxville</t>
  </si>
  <si>
    <t>electrical panel installation monroe county</t>
  </si>
  <si>
    <t>infinite electrical services</t>
  </si>
  <si>
    <t>electrical fault finding services</t>
  </si>
  <si>
    <t>0, 0, 1, 0, 2, 1, 2, 1, 1, 2, 0, 6, 1, 1, 1, 3, 0, 0, 0, 0, 4, 3, 2, 1</t>
  </si>
  <si>
    <t>a team electrical services</t>
  </si>
  <si>
    <t>electrical services regina</t>
  </si>
  <si>
    <t>emergency electrician auburn</t>
  </si>
  <si>
    <t>electrical contractor organizational chart</t>
  </si>
  <si>
    <t>0, 0, 0, 0, 0, 0, 0, 0, 1, 0, 0, 0, 0, 0, 0, 0, 0, 0, 0, 0, 2, 0, 0, 1</t>
  </si>
  <si>
    <t>electrical contractor spokane wa</t>
  </si>
  <si>
    <t>emergency electrician osborne park</t>
  </si>
  <si>
    <t>0, 0, 0, 0, 0, 0, 0, 0, 1, 1, 4, 0, 0, 0, 0, 0, 0, 0, 0, 0, 0, 0, 0, 1</t>
  </si>
  <si>
    <t>electrical services queensland</t>
  </si>
  <si>
    <t>portsmouth electrical services</t>
  </si>
  <si>
    <t>pleasantville electrical services</t>
  </si>
  <si>
    <t>emergency electrician in</t>
  </si>
  <si>
    <t>1, 0, 0, 0, 0, 1, 0, 0, 2, 1, 1, 0, 0, 0, 0, 0, 0, 0, 0, 0, 0, 0, 0, 1</t>
  </si>
  <si>
    <t>electrical tool repairs near me</t>
  </si>
  <si>
    <t>3, 7, 9, 9, 2, 8, 3, 4, 13, 2, 7, 2, 1, 6, 2, 3, 5, 5, 5, 2, 2, 12, 1, 2</t>
  </si>
  <si>
    <t>electrical auto repairs adelaide</t>
  </si>
  <si>
    <t>professional electrical contractor san diego ca</t>
  </si>
  <si>
    <t>electrical services in leicester</t>
  </si>
  <si>
    <t>emergency electrician mooresville, nc</t>
  </si>
  <si>
    <t>0, 3, 0, 0, 0, 1, 0, 0, 0, 1, 0, 1, 0, 0, 0, 0, 0, 0, 0, 0, 0, 0, 0, 1</t>
  </si>
  <si>
    <t>residential electrical services in leander tx</t>
  </si>
  <si>
    <t>registered electrical contractor course</t>
  </si>
  <si>
    <t>electrical installation massachusetts</t>
  </si>
  <si>
    <t>wise electrical services</t>
  </si>
  <si>
    <t>electrical panel installation salem</t>
  </si>
  <si>
    <t>electrical services modesto, ca</t>
  </si>
  <si>
    <t>0, 0, 0, 0, 0, 0, 0, 2, 1, 1, 1, 0, 1, 0, 1, 0, 0, 0, 0, 0, 0, 0, 0, 1</t>
  </si>
  <si>
    <t>electrical services canton ga</t>
  </si>
  <si>
    <t>0, 0, 0, 0, 0, 0, 0, 0, 0, 1, 2, 1, 0, 0, 0, 0, 0, 0, 0, 0, 0, 0, 0, 1</t>
  </si>
  <si>
    <t>davie electrical services</t>
  </si>
  <si>
    <t>1, 0, 1, 0, 0, 1, 1, 2, 1, 1, 2, 3, 0, 0, 0, 0, 0, 2, 0, 0, 0, 0, 0, 1</t>
  </si>
  <si>
    <t>mechanical and electrical services consultants</t>
  </si>
  <si>
    <t>mandurah electrical services</t>
  </si>
  <si>
    <t>seapoint electrical services</t>
  </si>
  <si>
    <t>bm electrical services</t>
  </si>
  <si>
    <t>1, 0, 0, 2, 0, 0, 0, 2, 0, 0, 2, 0, 0, 0, 0, 0, 0, 0, 0, 0, 0, 0, 0, 1</t>
  </si>
  <si>
    <t>emergency electrician fort worth</t>
  </si>
  <si>
    <t>electrical services rutherford</t>
  </si>
  <si>
    <t>0, 1, 0, 0, 0, 0, 0, 1, 1, 1, 1, 0, 0, 0, 0, 0, 0, 0, 0, 0, 0, 0, 0, 1</t>
  </si>
  <si>
    <t>power tools used in electrical installation</t>
  </si>
  <si>
    <t>0, 0, 0, 1, 0, 1, 1, 4, 0, 0, 1, 1, 0, 0, 1, 1, 0, 0, 0, 1, 0, 0, 0, 1</t>
  </si>
  <si>
    <t>motorcycle auto electrician cape town</t>
  </si>
  <si>
    <t>seattle commercial electrical contractor</t>
  </si>
  <si>
    <t>southcoast electrical services</t>
  </si>
  <si>
    <t>0, 0, 0, 0, 0, 0, 0, 0, 1, 0, 0, 4, 1, 0, 0, 0, 0, 0, 0, 0, 0, 0, 0, 1</t>
  </si>
  <si>
    <t>electrical repairs highlands ranch</t>
  </si>
  <si>
    <t>0, 0, 1, 0, 0, 0, 0, 0, 0, 0, 1, 0, 1, 0, 0, 0, 0, 0, 0, 0, 0, 0, 0, 1</t>
  </si>
  <si>
    <t>emergency electrician carshalton</t>
  </si>
  <si>
    <t>ormond home electrical services</t>
  </si>
  <si>
    <t>0, 0, 0, 0, 0, 2, 1, 0, 0, 0, 2, 0, 0, 0, 0, 0, 0, 0, 0, 0, 0, 0, 0, 1</t>
  </si>
  <si>
    <t>tyrone electrical services</t>
  </si>
  <si>
    <t>heating plumbing electrical services</t>
  </si>
  <si>
    <t>focus electrical services</t>
  </si>
  <si>
    <t>electrical services north sydney</t>
  </si>
  <si>
    <t>raleigh nc electrical repairs</t>
  </si>
  <si>
    <t>emergency electrician greater london</t>
  </si>
  <si>
    <t>pvc conduit pipes electrical installation</t>
  </si>
  <si>
    <t>cleveland electrical services</t>
  </si>
  <si>
    <t>electrical contractor tampa</t>
  </si>
  <si>
    <t>0, 0, 0, 1, 0, 0, 0, 1, 3, 1, 2, 0, 0, 0, 0, 0, 1, 0, 0, 0, 0, 0, 0, 1</t>
  </si>
  <si>
    <t>electrical contractor ingleby barwick</t>
  </si>
  <si>
    <t>electrical installation methodology</t>
  </si>
  <si>
    <t>1, 2, 0, 1, 0, 0, 0, 0, 0, 0, 0, 0, 0, 0, 0, 0, 0, 0, 0, 0, 0, 0, 0, 1</t>
  </si>
  <si>
    <t>reliable electrical services durban</t>
  </si>
  <si>
    <t>emergency electrician islington</t>
  </si>
  <si>
    <t>delaware electrical contractor license</t>
  </si>
  <si>
    <t>emergency electrician narrabeen</t>
  </si>
  <si>
    <t>residential electrical services new york city ny</t>
  </si>
  <si>
    <t>5 star electrical services</t>
  </si>
  <si>
    <t>1, 1, 0, 1, 1, 1, 0, 0, 2, 0, 0, 2, 0, 0, 0, 0, 0, 0, 0, 3, 0, 0, 0, 1</t>
  </si>
  <si>
    <t>electrical installation wiltshire</t>
  </si>
  <si>
    <t>369 electrical services</t>
  </si>
  <si>
    <t>2, 0, 0, 0, 1, 0, 0, 0, 0, 0, 0, 0, 0, 0, 0, 0, 0, 0, 0, 0, 0, 0, 0, 1</t>
  </si>
  <si>
    <t>emergency electrician las vegas</t>
  </si>
  <si>
    <t>0, 2, 1, 0, 0, 2, 0, 0, 0, 0, 0, 0, 0, 0, 0, 0, 0, 0, 0, 0, 0, 0, 0, 1</t>
  </si>
  <si>
    <t>electrical repairs breinigsville pa</t>
  </si>
  <si>
    <t>electrical outlet installation idaho</t>
  </si>
  <si>
    <t>electrical repair and upgrade services in concord</t>
  </si>
  <si>
    <t>0, 0, 0, 0, 0, 0, 0, 0, 0, 0, 0, 0, 2, 2, 0, 0, 1, 0, 0, 1, 2, 0, 0, 2</t>
  </si>
  <si>
    <t>emergency electrician mentone</t>
  </si>
  <si>
    <t>1, 2, 7, 1, 4, 0, 1, 1, 1, 1, 3, 0, 0, 1, 0, 0, 0, 0, 0, 0, 0, 0, 0, 1</t>
  </si>
  <si>
    <t>swms electrical installation</t>
  </si>
  <si>
    <t>0, 0, 2, 3, 0, 0, 1, 1, 2, 0, 0, 0, 1, 0, 0, 0, 0, 0, 0, 0, 0, 0, 0, 1</t>
  </si>
  <si>
    <t>free electrical contractor letterhead templates</t>
  </si>
  <si>
    <t>0, 0, 0, 0, 0, 0, 1, 0, 0, 0, 0, 0, 0, 0, 0, 0, 0, 0, 0, 2, 0, 2, 4, 3</t>
  </si>
  <si>
    <t>air &amp; electrical services</t>
  </si>
  <si>
    <t>0, 0, 1, 0, 0, 1, 1, 0, 0, 1, 0, 0, 0, 0, 0, 0, 0, 0, 0, 0, 0, 0, 0, 1</t>
  </si>
  <si>
    <t>electrical panel installation minnesota</t>
  </si>
  <si>
    <t>0, 1, 0, 0, 1, 1, 2, 0, 2, 0, 1, 1, 0, 0, 0, 0, 0, 0, 0, 0, 0, 0, 0, 1</t>
  </si>
  <si>
    <t>tn electrical and solar services</t>
  </si>
  <si>
    <t>1, 0, 0, 4, 2, 0, 0, 0, 1, 1, 0, 1, 0, 0, 0, 0, 0, 0, 0, 0, 0, 0, 0, 1</t>
  </si>
  <si>
    <t>commercial electrical services evanston il</t>
  </si>
  <si>
    <t>safe work procedure electrical installation</t>
  </si>
  <si>
    <t>medallion electrical services</t>
  </si>
  <si>
    <t>sinclair solutions, electrician, cape town</t>
  </si>
  <si>
    <t>0, 0, 0, 0, 0, 0, 0, 0, 0, 0, 0, 0, 0, 0, 0, 0, 0, 5, 1, 0, 0, 0, 0, 1</t>
  </si>
  <si>
    <t>emergency electrician menlo park</t>
  </si>
  <si>
    <t>0, 0, 0, 0, 0, 0, 0, 0, 0, 0, 1, 0, 0, 1, 0, 0, 0, 2, 0, 0, 0, 0, 0, 1</t>
  </si>
  <si>
    <t>electrical contractor nassau bay</t>
  </si>
  <si>
    <t>safety electrical services</t>
  </si>
  <si>
    <t>0, 1, 0, 4, 0, 1, 0, 0, 0, 0, 0, 0, 0, 0, 0, 0, 0, 0, 0, 0, 0, 0, 0, 1</t>
  </si>
  <si>
    <t>tnb electrical contractor list</t>
  </si>
  <si>
    <t>emergency electrician duncraig</t>
  </si>
  <si>
    <t>tsm electrical services</t>
  </si>
  <si>
    <t>bradley scott electrical services ltd</t>
  </si>
  <si>
    <t>0, 0, 3, 0, 0, 0, 0, 0, 0, 1, 0, 0, 0, 0, 0, 0, 0, 0, 1, 0, 0, 0, 0, 1</t>
  </si>
  <si>
    <t>electrical outlet installation los angeles</t>
  </si>
  <si>
    <t>bs 7671 electrical installation certificate</t>
  </si>
  <si>
    <t>0, 0, 0, 0, 0, 1, 1, 0, 1, 0, 0, 1, 0, 0, 0, 0, 1, 1, 0, 0, 0, 0, 0, 1</t>
  </si>
  <si>
    <t>new age electrical services</t>
  </si>
  <si>
    <t>ray electrical services</t>
  </si>
  <si>
    <t>commercial electrical services in loudon</t>
  </si>
  <si>
    <t>0, 0, 0, 0, 0, 0, 0, 0, 0, 1, 0, 0, 0, 1, 0, 0, 1, 0, 2, 1, 1, 3, 1, 1</t>
  </si>
  <si>
    <t>commercial electrical services mn</t>
  </si>
  <si>
    <t>home electrical repair services crystal beach fl</t>
  </si>
  <si>
    <t>emergency electrician middletown</t>
  </si>
  <si>
    <t>haynes electrical services</t>
  </si>
  <si>
    <t>0, 0, 0, 0, 0, 0, 0, 0, 0, 0, 0, 0, 0, 0, 0, 1, 1, 0, 0, 0, 0, 0, 0, 1</t>
  </si>
  <si>
    <t>electrical repairs birmingham</t>
  </si>
  <si>
    <t>0, 0, 0, 1, 0, 0, 2, 2, 2, 1, 1, 2, 0, 0, 0, 0, 0, 0, 0, 0, 0, 0, 0, 1</t>
  </si>
  <si>
    <t>electrical contractor hudson fl</t>
  </si>
  <si>
    <t>0, 0, 1, 0, 2, 0, 0, 0, 0, 2, 0, 0, 0, 0, 0, 0, 0, 0, 0, 0, 0, 0, 0, 1</t>
  </si>
  <si>
    <t>mtk electrical services ltd</t>
  </si>
  <si>
    <t>electrical services of arizona</t>
  </si>
  <si>
    <t>24 hour power electrical services</t>
  </si>
  <si>
    <t>0, 1, 1, 0, 0, 0, 1, 0, 0, 0, 0, 0, 0, 0, 0, 0, 0, 0, 1, 0, 0, 0, 0, 1</t>
  </si>
  <si>
    <t>emergency electrician lawrence county</t>
  </si>
  <si>
    <t>electrical services brisbanebrisbane electrician</t>
  </si>
  <si>
    <t>0, 0, 0, 1, 1, 1, 0, 1, 1, 0, 1, 2, 0, 1, 1, 1, 0, 0, 0, 0, 0, 0, 0, 1</t>
  </si>
  <si>
    <t>strada electrical services</t>
  </si>
  <si>
    <t>emergency electrician ashton</t>
  </si>
  <si>
    <t>electrical contractor somerset west</t>
  </si>
  <si>
    <t>auto electrical repairs slacks creek</t>
  </si>
  <si>
    <t>signature electrical services</t>
  </si>
  <si>
    <t>0, 0, 0, 0, 0, 0, 0, 0, 0, 0, 0, 0, 0, 0, 0, 0, 0, 0, 0, 0, 0, 6, 0, 1</t>
  </si>
  <si>
    <t>glow electrical services</t>
  </si>
  <si>
    <t>risk assessment for electrical installation</t>
  </si>
  <si>
    <t>1, 1, 0, 0, 0, 0, 0, 0, 9, 1, 8, 3, 2, 2, 6, 1, 7, 3, 1, 10, 4, 4, 1, 4</t>
  </si>
  <si>
    <t>forth electrical services ltd</t>
  </si>
  <si>
    <t>scott electrical services</t>
  </si>
  <si>
    <t>office electrical installation</t>
  </si>
  <si>
    <t>0, 0, 1, 0, 0, 0, 2, 1, 1, 1, 3, 0, 0, 0, 0, 1, 1, 1, 0, 0, 0, 0, 0, 1</t>
  </si>
  <si>
    <t>emergency electrician woodford bay</t>
  </si>
  <si>
    <t>home electrical repair services</t>
  </si>
  <si>
    <t>10, 11, 8, 4, 8, 18, 5, 11, 14, 9, 11, 1, 1, 2, 0, 3, 5, 5, 1, 1, 0, 2, 1, 2</t>
  </si>
  <si>
    <t>able electrical services inc</t>
  </si>
  <si>
    <t>electrical services raleigh nc</t>
  </si>
  <si>
    <t>residential electrical services san marcos tx</t>
  </si>
  <si>
    <t>electrical contractor st louis mo</t>
  </si>
  <si>
    <t>nme electrical services</t>
  </si>
  <si>
    <t>contractor electrical near me</t>
  </si>
  <si>
    <t>0, 0, 0, 0, 0, 0, 0, 0, 0, 0, 0, 0, 1, 1, 0, 0, 1, 0, 1, 0, 0, 1, 0, 1</t>
  </si>
  <si>
    <t>test electrical services</t>
  </si>
  <si>
    <t>0, 0, 0, 1, 0, 0, 0, 0, 0, 0, 0, 0, 0, 0, 1, 0, 0, 0, 0, 0, 0, 1, 0, 1</t>
  </si>
  <si>
    <t>ampere appliance and electrical repairs</t>
  </si>
  <si>
    <t>calgary electrical contractor</t>
  </si>
  <si>
    <t>madz electrical services</t>
  </si>
  <si>
    <t>0, 0, 0, 0, 0, 2, 1, 2, 1, 0, 4, 1, 1, 4, 2, 0, 0, 0, 1, 0, 0, 0, 0, 1</t>
  </si>
  <si>
    <t>electrical services washington, nc</t>
  </si>
  <si>
    <t>union emergency electrician</t>
  </si>
  <si>
    <t>salterpoint emergency electrician</t>
  </si>
  <si>
    <t>outdoor electrical outlet post installation</t>
  </si>
  <si>
    <t>electrical installation services uk</t>
  </si>
  <si>
    <t>electrical fault repairs newport</t>
  </si>
  <si>
    <t>gas and electrical services</t>
  </si>
  <si>
    <t>electrical services alexandria</t>
  </si>
  <si>
    <t>electrical services bondi</t>
  </si>
  <si>
    <t>dynamic electrical services</t>
  </si>
  <si>
    <t>industrial electrical contractor marietta ga</t>
  </si>
  <si>
    <t>sample proposal letter for electrical services</t>
  </si>
  <si>
    <t>emergency electrician double bay</t>
  </si>
  <si>
    <t>office electrical contractor acworth ga</t>
  </si>
  <si>
    <t>24 hr emergency electrician brighton</t>
  </si>
  <si>
    <t>a's auto electrician cape town</t>
  </si>
  <si>
    <t>0, 0, 0, 4, 2, 1, 4, 0, 0, 0, 0, 0, 0, 0, 0, 0, 0, 0, 0, 0, 0, 0, 0, 1</t>
  </si>
  <si>
    <t>electrical services new york</t>
  </si>
  <si>
    <t>0, 0, 0, 0, 0, 0, 0, 0, 0, 0, 0, 0, 0, 1, 0, 0, 0, 1, 0, 0, 0, 0, 0, 1</t>
  </si>
  <si>
    <t>electrical wiring contractor temple terrace</t>
  </si>
  <si>
    <t>ajw electrical services nw ltd</t>
  </si>
  <si>
    <t>electrical installation test sheet</t>
  </si>
  <si>
    <t>1, 0, 0, 1, 0, 0, 0, 0, 2, 0, 1, 1, 0, 0, 0, 0, 0, 0, 0, 0, 1, 0, 1, 1</t>
  </si>
  <si>
    <t>electrical installation standards</t>
  </si>
  <si>
    <t>3, 1, 3, 2, 2, 1, 2, 1, 1, 0, 0, 0, 1, 0, 0, 3, 0, 2, 1, 0, 0, 0, 1, 1</t>
  </si>
  <si>
    <t>emergency electrician summer hill</t>
  </si>
  <si>
    <t>commercial electrical services hurst tx</t>
  </si>
  <si>
    <t>karnup emergency electrician</t>
  </si>
  <si>
    <t>0, 0, 0, 0, 0, 0, 2, 1, 2, 5, 1, 0, 0, 0, 0, 0, 0, 0, 0, 0, 0, 0, 0, 1</t>
  </si>
  <si>
    <t>charlotte electrical contractor</t>
  </si>
  <si>
    <t>commercial electrical services nebraska</t>
  </si>
  <si>
    <t>commercial electrical services tampa</t>
  </si>
  <si>
    <t>riverton emergency electrician</t>
  </si>
  <si>
    <t>0, 0, 0, 0, 0, 0, 1, 0, 2, 2, 1, 0, 0, 0, 0, 0, 0, 0, 0, 0, 0, 0, 0, 1</t>
  </si>
  <si>
    <t>electrical outlet installation richmond</t>
  </si>
  <si>
    <t>b powered electrical services</t>
  </si>
  <si>
    <t>0, 1, 0, 0, 1, 0, 0, 0, 0, 0, 0, 1, 1, 0, 0, 0, 0, 0, 0, 0, 0, 0, 0, 1</t>
  </si>
  <si>
    <t>uk electrical services</t>
  </si>
  <si>
    <t>fixed electrical installation testing</t>
  </si>
  <si>
    <t>0, 0, 0, 0, 1, 0, 3, 0, 0, 1, 2, 0, 0, 0, 0, 0, 0, 0, 0, 0, 0, 0, 0, 1</t>
  </si>
  <si>
    <t>minneapolis electrical contractor</t>
  </si>
  <si>
    <t>electrical services in buildings</t>
  </si>
  <si>
    <t>colorado electrical services</t>
  </si>
  <si>
    <t>electrical safety inspection services brighton</t>
  </si>
  <si>
    <t>industrial electrical panel installation</t>
  </si>
  <si>
    <t>0, 0, 0, 0, 0, 0, 0, 0, 0, 0, 0, 0, 0, 0, 0, 0, 0, 0, 1, 1, 2, 2, 10, 6</t>
  </si>
  <si>
    <t>electrical installation manchester</t>
  </si>
  <si>
    <t>fj electrical services</t>
  </si>
  <si>
    <t>0, 2, 0, 0, 0, 0, 0, 0, 0, 0, 1, 1, 0, 0, 1, 0, 0, 0, 0, 0, 0, 2, 0, 2</t>
  </si>
  <si>
    <t>electrical outlet installation raleigh</t>
  </si>
  <si>
    <t>residential electrical service installation</t>
  </si>
  <si>
    <t>1, 0, 0, 1, 1, 0, 0, 1, 1, 2, 2, 0, 0, 0, 0, 0, 0, 0, 0, 0, 0, 0, 0, 1</t>
  </si>
  <si>
    <t>electrical connection services</t>
  </si>
  <si>
    <t>0, 0, 0, 0, 0, 0, 0, 1, 0, 1, 2, 0, 0, 0, 0, 0, 0, 0, 0, 0, 0, 0, 0, 1</t>
  </si>
  <si>
    <t>electrical services cherokee</t>
  </si>
  <si>
    <t>kb electrical services</t>
  </si>
  <si>
    <t>0, 0, 0, 0, 0, 2, 0, 0, 0, 0, 2, 0, 0, 0, 0, 0, 3, 7, 0, 0, 0, 1, 0, 1</t>
  </si>
  <si>
    <t>emergency electrician woodbury</t>
  </si>
  <si>
    <t>auto electrical mobile services</t>
  </si>
  <si>
    <t>electrical services edinburgh</t>
  </si>
  <si>
    <t>0, 3, 1, 1, 0, 0, 1, 0, 1, 1, 0, 0, 0, 0, 0, 0, 1, 0, 0, 0, 0, 0, 0, 1</t>
  </si>
  <si>
    <t>hawksburn emergency electrician</t>
  </si>
  <si>
    <t>emergency electrician greenhithe</t>
  </si>
  <si>
    <t>emergency electrician bradford</t>
  </si>
  <si>
    <t>milec electrical services</t>
  </si>
  <si>
    <t>electrical contractor profit margin</t>
  </si>
  <si>
    <t>2, 0, 0, 0, 0, 2, 0, 1, 0, 0, 0, 1, 0, 0, 0, 0, 0, 0, 0, 0, 0, 0, 0, 1</t>
  </si>
  <si>
    <t>electrical repairs rockwall</t>
  </si>
  <si>
    <t>1, 1, 1, 1, 0, 2, 1, 0, 1, 0, 0, 0, 0, 0, 0, 0, 0, 0, 0, 0, 0, 0, 0, 1</t>
  </si>
  <si>
    <t>in-house electrical services inc</t>
  </si>
  <si>
    <t>cookeville home electrical repair services</t>
  </si>
  <si>
    <t>henry electrical services</t>
  </si>
  <si>
    <t>milwaukee residential electrical services</t>
  </si>
  <si>
    <t>electrical contractor tempe</t>
  </si>
  <si>
    <t>electrical panel installation madison</t>
  </si>
  <si>
    <t>code violation electrical repairs miami</t>
  </si>
  <si>
    <t>electrical services yarra valley</t>
  </si>
  <si>
    <t>hermanus electrical-appliances/repairs</t>
  </si>
  <si>
    <t>bs7671 electrical installation certificate</t>
  </si>
  <si>
    <t>electrical contractor letterhead design</t>
  </si>
  <si>
    <t>emergency electrical services louisville ky</t>
  </si>
  <si>
    <t>wilmington electrical services</t>
  </si>
  <si>
    <t>0, 1, 1, 1, 1, 2, 3, 0, 1, 8, 8, 0, 0, 0, 0, 0, 0, 0, 0, 0, 0, 0, 0, 1</t>
  </si>
  <si>
    <t>finance electrical contractor acquisition</t>
  </si>
  <si>
    <t>electrical appliance wiring services</t>
  </si>
  <si>
    <t>0, 0, 1, 0, 1, 1, 1, 0, 0, 0, 0, 0, 0, 0, 0, 0, 0, 0, 0, 0, 0, 0, 0, 1</t>
  </si>
  <si>
    <t>24seven plumbing and electrical services reviews</t>
  </si>
  <si>
    <t>0, 0, 0, 0, 0, 0, 0, 0, 0, 0, 0, 2, 3, 0, 0, 0, 0, 0, 0, 0, 0, 0, 0, 1</t>
  </si>
  <si>
    <t>electrical installation uk</t>
  </si>
  <si>
    <t>0, 0, 0, 1, 0, 2, 0, 0, 1, 0, 1, 3, 0, 0, 0, 0, 0, 0, 0, 0, 0, 0, 0, 1</t>
  </si>
  <si>
    <t>a&amp;l electrical services</t>
  </si>
  <si>
    <t>anr electrical services</t>
  </si>
  <si>
    <t>electrical repairs thornton</t>
  </si>
  <si>
    <t>electrical repairs in the home</t>
  </si>
  <si>
    <t>7, 5, 13, 17, 14, 15, 7, 3, 30, 75, 56, 1, 0, 0, 0, 2, 8, 7, 0, 2, 2, 0, 0, 2</t>
  </si>
  <si>
    <t>electrical services vancouver</t>
  </si>
  <si>
    <t>0, 0, 0, 0, 1, 1, 2, 0, 0, 1, 1, 3, 0, 0, 0, 0, 0, 0, 0, 0, 0, 0, 0, 1</t>
  </si>
  <si>
    <t>appleby electrical services</t>
  </si>
  <si>
    <t>f&amp;b electrical installation singapore</t>
  </si>
  <si>
    <t>0, 0, 0, 0, 1, 4, 0, 0, 0, 0, 0, 0, 0, 0, 0, 0, 0, 0, 0, 0, 0, 0, 0, 1</t>
  </si>
  <si>
    <t>electrical panel installation pike county</t>
  </si>
  <si>
    <t>pj electrical services</t>
  </si>
  <si>
    <t>0, 0, 0, 0, 0, 0, 0, 0, 0, 0, 0, 1, 0, 0, 0, 0, 0, 0, 1, 0, 1, 0, 1, 2</t>
  </si>
  <si>
    <t>electrical installation in cayman</t>
  </si>
  <si>
    <t>0, 2, 4, 2, 3, 1, 1, 5, 0, 1, 0, 0, 0, 0, 0, 0, 0, 0, 0, 0, 0, 0, 0, 1</t>
  </si>
  <si>
    <t>household electrical repairs hobart</t>
  </si>
  <si>
    <t>electrical generator installation hickory, nc</t>
  </si>
  <si>
    <t>emergency electrician omaha</t>
  </si>
  <si>
    <t>systems electrical services</t>
  </si>
  <si>
    <t>electrical services concord</t>
  </si>
  <si>
    <t>0, 0, 0, 0, 1, 0, 1, 0, 1, 1, 1, 0, 0, 0, 0, 0, 0, 0, 0, 0, 0, 0, 0, 1</t>
  </si>
  <si>
    <t>emergency electrician leawarra</t>
  </si>
  <si>
    <t>am electrical services</t>
  </si>
  <si>
    <t>electrical wiring installation bakersfield</t>
  </si>
  <si>
    <t>commercial electrical services flower mound tx</t>
  </si>
  <si>
    <t>corporate electrical services london</t>
  </si>
  <si>
    <t>protec electrical services</t>
  </si>
  <si>
    <t>electrical contractor littleton co</t>
  </si>
  <si>
    <t>seo services for electrical contractors</t>
  </si>
  <si>
    <t>electrical contractor beaumaris</t>
  </si>
  <si>
    <t>0, 0, 0, 0, 0, 2, 0, 1, 2, 0, 0, 0, 0, 0, 0, 0, 0, 0, 0, 0, 0, 0, 0, 1</t>
  </si>
  <si>
    <t>electrical services surrey</t>
  </si>
  <si>
    <t>0, 2, 1, 1, 0, 1, 0, 1, 0, 4, 4, 0, 0, 0, 0, 0, 0, 0, 0, 0, 0, 0, 0, 1</t>
  </si>
  <si>
    <t>emergency electrician beaumaris</t>
  </si>
  <si>
    <t>commercial electrical services in chicago</t>
  </si>
  <si>
    <t>0, 0, 0, 0, 1, 0, 1, 1, 2, 0, 1, 0, 0, 0, 0, 0, 0, 0, 0, 0, 0, 0, 0, 1</t>
  </si>
  <si>
    <t>electrical and fire services</t>
  </si>
  <si>
    <t>0, 1, 1, 1, 0, 0, 0, 0, 1, 0, 0, 0, 2, 0, 0, 0, 0, 0, 0, 0, 0, 0, 0, 1</t>
  </si>
  <si>
    <t>electrical installation riverview</t>
  </si>
  <si>
    <t>electrical and instrumentation services</t>
  </si>
  <si>
    <t>0, 0, 2, 0, 2, 1, 3, 1, 2, 0, 0, 2, 0, 0, 0, 1, 0, 0, 2, 0, 1, 0, 0, 1</t>
  </si>
  <si>
    <t>emergency electrician white gum valley</t>
  </si>
  <si>
    <t>types of electrical repairs</t>
  </si>
  <si>
    <t>electrical installation cost per square metre</t>
  </si>
  <si>
    <t>0, 0, 0, 4, 5, 3, 0, 0, 1, 0, 0, 0, 0, 0, 0, 0, 0, 0, 0, 0, 0, 0, 0, 1</t>
  </si>
  <si>
    <t>Supplies</t>
  </si>
  <si>
    <t>james electrical services</t>
  </si>
  <si>
    <t>2, 3, 0, 0, 0, 1, 0, 0, 1, 0, 0, 0, 0, 0, 0, 0, 0, 0, 0, 0, 0, 0, 0, 1</t>
  </si>
  <si>
    <t>types of switches in electrical installation</t>
  </si>
  <si>
    <t>0, 0, 0, 0, 0, 0, 1, 0, 1, 3, 2, 0, 2, 0, 0, 0, 0, 0, 0, 1, 1, 0, 2, 2</t>
  </si>
  <si>
    <t>emergency electrician hilbert</t>
  </si>
  <si>
    <t>0, 0, 0, 0, 0, 0, 0, 0, 2, 2, 2, 1, 0, 0, 0, 0, 0, 0, 0, 0, 0, 0, 0, 1</t>
  </si>
  <si>
    <t>brentwood emergency electrician</t>
  </si>
  <si>
    <t>calgary electrical services</t>
  </si>
  <si>
    <t>0, 1, 1, 1, 0, 0, 0, 1, 1, 1, 2, 3, 1, 0, 0, 0, 0, 1, 0, 0, 0, 0, 0, 1</t>
  </si>
  <si>
    <t>local emergency electrician in st albans</t>
  </si>
  <si>
    <t>electrical services federal</t>
  </si>
  <si>
    <t>el paso electrical contractor</t>
  </si>
  <si>
    <t>schneider electrical installation guide pdf</t>
  </si>
  <si>
    <t>0, 0, 0, 0, 0, 0, 1, 0, 0, 1, 1, 0, 0, 2, 0, 4, 0, 0, 0, 1, 0, 0, 0, 1</t>
  </si>
  <si>
    <t>burgess electrical services</t>
  </si>
  <si>
    <t>0, 0, 0, 0, 0, 0, 0, 0, 0, 0, 0, 1, 0, 1, 0, 0, 0, 1, 0, 0, 0, 0, 0, 1</t>
  </si>
  <si>
    <t>master electrical services</t>
  </si>
  <si>
    <t>5, 8, 11, 13, 6, 15, 5, 0, 29, 73, 42, 1, 0, 1, 0, 1, 0, 1, 0, 0, 2, 0, 0, 2</t>
  </si>
  <si>
    <t>orange grove emergency electrician</t>
  </si>
  <si>
    <t>electrical contractor warragul</t>
  </si>
  <si>
    <t>0, 0, 0, 0, 0, 3, 0, 0, 1, 1, 1, 0, 0, 0, 0, 0, 0, 0, 0, 0, 0, 0, 0, 1</t>
  </si>
  <si>
    <t>emergency electrician revesby</t>
  </si>
  <si>
    <t>electrical panel installation lee county</t>
  </si>
  <si>
    <t>residential electrical contractor north essex</t>
  </si>
  <si>
    <t>assistant electrician jobs cape town</t>
  </si>
  <si>
    <t>electrical services in texas</t>
  </si>
  <si>
    <t>0, 0, 0, 0, 1, 0, 0, 0, 1, 0, 0, 1, 0, 1, 0, 0, 0, 0, 0, 0, 0, 0, 0, 1</t>
  </si>
  <si>
    <t>bloomfield electrical installation</t>
  </si>
  <si>
    <t>emergency electrician port melbourne</t>
  </si>
  <si>
    <t>0, 0, 1, 1, 1, 0, 0, 0, 0, 0, 1, 0, 0, 0, 0, 0, 0, 0, 0, 0, 0, 0, 0, 1</t>
  </si>
  <si>
    <t>shaun's electrical services</t>
  </si>
  <si>
    <t>emergency electrician columbia</t>
  </si>
  <si>
    <t>solar farm electrical contractor ireland</t>
  </si>
  <si>
    <t>1, 0, 1, 1, 1, 1, 0, 0, 0, 0, 0, 0, 0, 0, 0, 0, 0, 0, 0, 0, 0, 0, 0, 1</t>
  </si>
  <si>
    <t>electrical panel installation lumberton</t>
  </si>
  <si>
    <t>westchester electrical contractor</t>
  </si>
  <si>
    <t>emergency electrician hornsby</t>
  </si>
  <si>
    <t>0, 0, 0, 0, 0, 0, 1, 0, 0, 2, 1, 1, 0, 0, 0, 0, 0, 0, 0, 0, 0, 0, 0, 1</t>
  </si>
  <si>
    <t>emergency electrician yaralla</t>
  </si>
  <si>
    <t>thompson electrical services</t>
  </si>
  <si>
    <t>north west electrical services</t>
  </si>
  <si>
    <t>emergency electrician prahran</t>
  </si>
  <si>
    <t>0, 2, 1, 1, 2, 2, 2, 1, 3, 0, 1, 0, 0, 0, 0, 0, 0, 0, 0, 0, 0, 0, 0, 1</t>
  </si>
  <si>
    <t>electrical services brantford</t>
  </si>
  <si>
    <t>electrical outlet installation cook county</t>
  </si>
  <si>
    <t>electrical services westminster</t>
  </si>
  <si>
    <t>lucky electrical services</t>
  </si>
  <si>
    <t>electrical installation level 1 books</t>
  </si>
  <si>
    <t>electrical services london</t>
  </si>
  <si>
    <t>2, 0, 3, 1, 5, 7, 2, 2, 4, 3, 7, 0, 0, 1, 1, 0, 0, 0, 0, 0, 1, 0, 0, 1</t>
  </si>
  <si>
    <t>electrical contractor byron bay</t>
  </si>
  <si>
    <t>emergency electrician yanchep</t>
  </si>
  <si>
    <t>electrical panel installation scott county</t>
  </si>
  <si>
    <t>find an emergency electrician near me</t>
  </si>
  <si>
    <t>residential electrical services sebastopol ca</t>
  </si>
  <si>
    <t>0, 0, 0, 1, 0, 1, 0, 0, 1, 1, 0, 1, 0, 0, 0, 0, 0, 0, 0, 0, 0, 0, 0, 1</t>
  </si>
  <si>
    <t>electrical contractor bristol</t>
  </si>
  <si>
    <t>0, 0, 1, 1, 0, 1, 1, 0, 2, 0, 1, 2, 0, 0, 0, 0, 0, 0, 0, 0, 0, 0, 0, 1</t>
  </si>
  <si>
    <t>commercial electrical installation atlanta ga</t>
  </si>
  <si>
    <t>commercial electrical contractor denver</t>
  </si>
  <si>
    <t>1, 0, 1, 0, 0, 1, 2, 0, 0, 0, 0, 0, 0, 0, 0, 0, 0, 0, 0, 0, 0, 0, 0, 1</t>
  </si>
  <si>
    <t>g w electrical services</t>
  </si>
  <si>
    <t>electrical installation level 2 book</t>
  </si>
  <si>
    <t>2, 1, 1, 1, 1, 1, 1, 1, 1, 2, 1, 2, 1, 1, 2, 2, 1, 0, 0, 3, 1, 1, 1, 2</t>
  </si>
  <si>
    <t>24-hour/emergency electrician</t>
  </si>
  <si>
    <t>0, 1, 0, 2, 0, 0, 0, 0, 1, 0, 2, 0, 0, 0, 0, 0, 0, 0, 0, 0, 0, 0, 0, 1</t>
  </si>
  <si>
    <t>electrical installation lincolnshire il</t>
  </si>
  <si>
    <t>brookdale emergency electrician</t>
  </si>
  <si>
    <t>0, 0, 0, 1, 0, 0, 0, 0, 0, 3, 1, 0, 0, 0, 0, 0, 0, 0, 0, 0, 0, 0, 0, 1</t>
  </si>
  <si>
    <t>whirlpool bath electrical installation</t>
  </si>
  <si>
    <t>emergency electrician dublin 15</t>
  </si>
  <si>
    <t>0, 0, 0, 0, 1, 3, 0, 0, 0, 0, 0, 0, 0, 0, 0, 0, 0, 0, 0, 0, 0, 0, 0, 1</t>
  </si>
  <si>
    <t>electrical contractor margate</t>
  </si>
  <si>
    <t>electrical contractor training program ectp</t>
  </si>
  <si>
    <t>residential electrical services mckinney tx</t>
  </si>
  <si>
    <t>emergency electrician hills district</t>
  </si>
  <si>
    <t>walters electrical services</t>
  </si>
  <si>
    <t>0, 0, 1, 0, 0, 0, 1, 0, 0, 0, 0, 0, 0, 0, 0, 0, 0, 0, 0, 2, 0, 1, 0, 1</t>
  </si>
  <si>
    <t>electrical services in queenstown</t>
  </si>
  <si>
    <t>kays electrical services</t>
  </si>
  <si>
    <t>2, 3, 6, 1, 1, 0, 0, 0, 0, 0, 0, 0, 0, 0, 0, 2, 0, 0, 0, 0, 0, 0, 0, 1</t>
  </si>
  <si>
    <t>emergency electrician karawara</t>
  </si>
  <si>
    <t>0, 0, 0, 0, 1, 0, 1, 0, 0, 0, 0, 2, 1, 0, 1, 0, 0, 0, 0, 0, 0, 0, 0, 1</t>
  </si>
  <si>
    <t>electrical services wymondham</t>
  </si>
  <si>
    <t>emergency electrician maple grove</t>
  </si>
  <si>
    <t>electrical installation wallpaper</t>
  </si>
  <si>
    <t>level 2 diploma electrical installation</t>
  </si>
  <si>
    <t>3, 0, 0, 0, 0, 0, 0, 0, 1, 0, 2, 1, 0, 0, 0, 0, 0, 0, 0, 0, 0, 0, 0, 1</t>
  </si>
  <si>
    <t>ges electrical services</t>
  </si>
  <si>
    <t>0, 0, 0, 2, 0, 0, 0, 0, 0, 0, 0, 0, 0, 0, 0, 0, 0, 0, 0, 0, 1, 0, 0, 1</t>
  </si>
  <si>
    <t>new electrical installation certificate</t>
  </si>
  <si>
    <t>0, 0, 0, 0, 0, 0, 0, 1, 1, 0, 0, 0, 1, 0, 0, 1, 1, 0, 0, 0, 0, 0, 0, 1</t>
  </si>
  <si>
    <t>jimmy's electrical services</t>
  </si>
  <si>
    <t>emergency electrician irving</t>
  </si>
  <si>
    <t>electrical installation layout</t>
  </si>
  <si>
    <t>michigan electrical contractor license</t>
  </si>
  <si>
    <t>electrical services san antonio</t>
  </si>
  <si>
    <t>electrical contractor classes</t>
  </si>
  <si>
    <t>0, 0, 0, 1, 0, 0, 0, 0, 0, 1, 0, 0, 0, 0, 0, 0, 0, 0, 1, 0, 0, 0, 0, 1</t>
  </si>
  <si>
    <t>electrical contractor in buffalo grove il</t>
  </si>
  <si>
    <t>0, 0, 0, 0, 0, 0, 0, 0, 1, 1, 3, 1, 0, 0, 0, 0, 0, 0, 0, 0, 0, 0, 0, 1</t>
  </si>
  <si>
    <t>basic electrical installation work pdf download</t>
  </si>
  <si>
    <t>emergency electrician huntingdale</t>
  </si>
  <si>
    <t>0, 0, 0, 1, 0, 0, 2, 0, 0, 1, 1, 0, 0, 0, 0, 0, 0, 0, 0, 0, 0, 0, 0, 1</t>
  </si>
  <si>
    <t>electrical safety services</t>
  </si>
  <si>
    <t>0, 2, 2, 4, 1, 0, 4, 1, 1, 2, 2, 0, 0, 0, 0, 0, 0, 0, 0, 0, 0, 0, 0, 1</t>
  </si>
  <si>
    <t>eips engineering services electrical</t>
  </si>
  <si>
    <t>0, 0, 0, 1, 0, 0, 0, 0, 0, 0, 0, 13, 6, 3, 0, 0, 0, 0, 0, 3, 7, 7, 12, 9</t>
  </si>
  <si>
    <t>method statement electrical installation pdf</t>
  </si>
  <si>
    <t>0, 0, 0, 0, 0, 0, 0, 0, 2, 2, 1, 1, 0, 0, 0, 0, 0, 0, 0, 0, 0, 0, 0, 1</t>
  </si>
  <si>
    <t>nm electrical services</t>
  </si>
  <si>
    <t>electrical contractor pa</t>
  </si>
  <si>
    <t>register as a electrical contractor</t>
  </si>
  <si>
    <t>electrical contractor kenilworth il</t>
  </si>
  <si>
    <t>pallion electrical services</t>
  </si>
  <si>
    <t>tyneside electrical services ltd</t>
  </si>
  <si>
    <t>0, 0, 0, 0, 0, 0, 0, 0, 0, 2, 3, 0, 0, 0, 3, 0, 0, 0, 0, 1, 0, 0, 0, 1</t>
  </si>
  <si>
    <t>electrical installation birtinya</t>
  </si>
  <si>
    <t>electrical repairs wesley chapel</t>
  </si>
  <si>
    <t>agricultural electrical services grande prairie</t>
  </si>
  <si>
    <t>0, 0, 0, 1, 1, 0, 0, 4, 0, 0, 0, 0, 0, 0, 0, 0, 0, 0, 0, 0, 0, 0, 0, 1</t>
  </si>
  <si>
    <t>fox electrical services</t>
  </si>
  <si>
    <t>1, 0, 0, 1, 1, 1, 0, 0, 0, 1, 1, 0, 0, 0, 0, 0, 0, 0, 1, 0, 0, 0, 0, 1</t>
  </si>
  <si>
    <t>electrical installation training</t>
  </si>
  <si>
    <t>0, 0, 4, 1, 2, 0, 0, 1, 1, 2, 3, 2, 3, 6, 4, 1, 3, 2, 2, 5, 2, 0, 0, 2</t>
  </si>
  <si>
    <t>auto electrical services tamworth</t>
  </si>
  <si>
    <t>emergency electrician newport</t>
  </si>
  <si>
    <t>emergency electrician lake county</t>
  </si>
  <si>
    <t>commercial electrical repairs apollo beach</t>
  </si>
  <si>
    <t>nova electrical services</t>
  </si>
  <si>
    <t>emergency electrician stoke on trent</t>
  </si>
  <si>
    <t>0, 0, 0, 0, 0, 0, 0, 1, 0, 1, 0, 1, 0, 0, 2, 0, 0, 0, 0, 0, 0, 0, 0, 1</t>
  </si>
  <si>
    <t>electrical contracting services llc</t>
  </si>
  <si>
    <t>emergency electrician east granville</t>
  </si>
  <si>
    <t>parkland electrical services</t>
  </si>
  <si>
    <t>0, 0, 1, 1, 0, 1, 1, 3, 1, 6, 1, 0, 0, 0, 0, 0, 0, 0, 0, 0, 0, 0, 0, 1</t>
  </si>
  <si>
    <t>emergency electrician pagewood</t>
  </si>
  <si>
    <t>hall electrical services</t>
  </si>
  <si>
    <t>1, 0, 0, 2, 0, 0, 0, 2, 2, 0, 0, 0, 0, 0, 0, 0, 0, 0, 0, 0, 0, 0, 0, 1</t>
  </si>
  <si>
    <t>manpower electrical services</t>
  </si>
  <si>
    <t>m and l electrical services</t>
  </si>
  <si>
    <t>markham electrical services</t>
  </si>
  <si>
    <t>electrical services noosaville bc</t>
  </si>
  <si>
    <t>emergency electrician murarrie</t>
  </si>
  <si>
    <t>angel electrical services</t>
  </si>
  <si>
    <t>1, 0, 0, 0, 0, 0, 0, 0, 0, 0, 0, 0, 0, 0, 0, 0, 2, 0, 0, 0, 0, 0, 0, 1</t>
  </si>
  <si>
    <t>lb electrical services</t>
  </si>
  <si>
    <t>0, 0, 0, 0, 0, 1, 0, 1, 0, 0, 0, 0, 0, 0, 2, 0, 0, 0, 0, 0, 0, 0, 0, 1</t>
  </si>
  <si>
    <t>emergency electrician blackfen</t>
  </si>
  <si>
    <t>0, 0, 0, 1, 0, 2, 0, 1, 1, 0, 0, 1, 0, 0, 0, 0, 0, 0, 0, 0, 0, 0, 0, 1</t>
  </si>
  <si>
    <t>electrical repairs katy</t>
  </si>
  <si>
    <t>0, 0, 1, 0, 0, 0, 0, 0, 0, 3, 5, 0, 0, 0, 0, 0, 0, 0, 0, 0, 0, 0, 0, 1</t>
  </si>
  <si>
    <t>electrical installation quality plan</t>
  </si>
  <si>
    <t>electrical contractor in new york</t>
  </si>
  <si>
    <t>auto electrical services auckland</t>
  </si>
  <si>
    <t>electrical services burnaby</t>
  </si>
  <si>
    <t>4, 3, 0, 0, 1, 1, 1, 1, 0, 0, 1, 0, 0, 0, 0, 0, 0, 0, 0, 0, 0, 0, 0, 1</t>
  </si>
  <si>
    <t>electrical services in bollington</t>
  </si>
  <si>
    <t>electrical contractor central coast</t>
  </si>
  <si>
    <t>1, 0, 0, 0, 0, 2, 0, 2, 0, 0, 0, 0, 0, 0, 0, 0, 0, 0, 0, 0, 0, 0, 0, 1</t>
  </si>
  <si>
    <t>c &amp; j electrical services</t>
  </si>
  <si>
    <t>1, 0, 0, 0, 0, 0, 0, 0, 1, 0, 0, 0, 0, 0, 0, 0, 1, 0, 0, 1, 0, 0, 1, 1</t>
  </si>
  <si>
    <t>electrical services pretoria east</t>
  </si>
  <si>
    <t>electrical contractor education</t>
  </si>
  <si>
    <t>electrical services in diepsloot, gauteng</t>
  </si>
  <si>
    <t>emergency electrician north lake</t>
  </si>
  <si>
    <t>electrical contractors insurance services</t>
  </si>
  <si>
    <t>0, 0, 0, 4, 2, 1, 2, 2, 1, 5, 2, 0, 0, 1, 1, 0, 1, 0, 0, 0, 0, 0, 0, 1</t>
  </si>
  <si>
    <t>electrical contractor saskatoon</t>
  </si>
  <si>
    <t>0, 1, 0, 1, 0, 1, 1, 2, 0, 0, 0, 0, 0, 0, 0, 0, 0, 0, 0, 0, 0, 0, 0, 1</t>
  </si>
  <si>
    <t>electrical cable installation test</t>
  </si>
  <si>
    <t>paramount electrical services</t>
  </si>
  <si>
    <t>electrical services maitland</t>
  </si>
  <si>
    <t>0, 0, 0, 1, 0, 0, 0, 0, 0, 2, 0, 1, 0, 0, 0, 0, 0, 0, 0, 0, 0, 0, 0, 1</t>
  </si>
  <si>
    <t>commercial electrical services larkspur</t>
  </si>
  <si>
    <t>0, 0, 0, 0, 0, 0, 0, 2, 0, 1, 2, 0, 0, 0, 0, 0, 0, 0, 0, 0, 0, 0, 0, 1</t>
  </si>
  <si>
    <t>electrical contractor somerset</t>
  </si>
  <si>
    <t>0, 0, 0, 0, 0, 0, 0, 0, 0, 0, 0, 0, 0, 0, 1, 1, 0, 0, 0, 0, 0, 0, 0, 1</t>
  </si>
  <si>
    <t>electrical repairs baltimore</t>
  </si>
  <si>
    <t>0, 0, 0, 0, 3, 0, 1, 2, 1, 3, 1, 0, 0, 0, 0, 0, 0, 0, 0, 0, 0, 0, 0, 1</t>
  </si>
  <si>
    <t>gps electrical services</t>
  </si>
  <si>
    <t>0, 0, 0, 0, 0, 0, 0, 0, 0, 0, 0, 0, 0, 0, 0, 0, 1, 0, 0, 0, 0, 1, 0, 1</t>
  </si>
  <si>
    <t>emergency electrician cook county</t>
  </si>
  <si>
    <t>electrical services icon</t>
  </si>
  <si>
    <t>0, 1, 0, 2, 0, 0, 0, 0, 0, 0, 0, 0, 0, 0, 0, 0, 0, 2, 0, 1, 0, 0, 0, 1</t>
  </si>
  <si>
    <t>automobile electrical repairs</t>
  </si>
  <si>
    <t>charlton electrical services</t>
  </si>
  <si>
    <t>0, 0, 0, 0, 0, 0, 0, 0, 0, 0, 0, 0, 0, 0, 0, 0, 0, 3, 0, 2, 0, 0, 0, 1</t>
  </si>
  <si>
    <t>managed electrical services</t>
  </si>
  <si>
    <t>electrical contractor boise</t>
  </si>
  <si>
    <t>emergency electrician south yarra</t>
  </si>
  <si>
    <t>0, 3, 2, 0, 0, 2, 3, 2, 0, 0, 2, 0, 0, 0, 0, 0, 0, 0, 0, 0, 0, 0, 0, 1</t>
  </si>
  <si>
    <t>electrical contractor springfield</t>
  </si>
  <si>
    <t>0, 0, 1, 0, 0, 0, 0, 1, 0, 0, 1, 1, 0, 0, 0, 0, 0, 0, 0, 0, 0, 0, 0, 1</t>
  </si>
  <si>
    <t>electrical building installation</t>
  </si>
  <si>
    <t>0, 0, 0, 0, 0, 0, 3, 0, 0, 3, 0, 1, 1, 0, 4, 0, 0, 2, 1, 0, 1, 0, 0, 1</t>
  </si>
  <si>
    <t>services offered by direct future electrical</t>
  </si>
  <si>
    <t>0, 0, 0, 0, 0, 0, 0, 0, 0, 0, 0, 4, 3, 0, 0, 0, 0, 0, 0, 0, 0, 0, 0, 1</t>
  </si>
  <si>
    <t>mobile caravan electrical repairs near me</t>
  </si>
  <si>
    <t>1, 0, 0, 0, 0, 0, 0, 0, 1, 1, 0, 0, 0, 0, 0, 0, 0, 1, 0, 0, 0, 0, 0, 1</t>
  </si>
  <si>
    <t>electrical contractor in rancho santa fe</t>
  </si>
  <si>
    <t>electrical installation boynton beach fl</t>
  </si>
  <si>
    <t>commercial electrical services corona</t>
  </si>
  <si>
    <t>0, 0, 0, 1, 1, 0, 0, 1, 0, 0, 1, 0, 0, 0, 0, 0, 0, 0, 0, 0, 0, 0, 0, 1</t>
  </si>
  <si>
    <t>emergency electrician hattiesburg</t>
  </si>
  <si>
    <t>0, 0, 1, 0, 1, 1, 0, 1, 0, 0, 0, 0, 0, 0, 0, 0, 0, 0, 0, 0, 0, 0, 0, 1</t>
  </si>
  <si>
    <t>electrical contractor little current</t>
  </si>
  <si>
    <t>0, 1, 2, 1, 2, 0, 1, 2, 2, 0, 1, 0, 0, 0, 0, 0, 0, 0, 0, 0, 0, 0, 0, 1</t>
  </si>
  <si>
    <t>electrical services cypress</t>
  </si>
  <si>
    <t>electrical installation service sydney</t>
  </si>
  <si>
    <t>cbd electrical services</t>
  </si>
  <si>
    <t>0, 0, 0, 0, 1, 0, 0, 0, 0, 0, 0, 0, 0, 0, 2, 0, 0, 0, 0, 0, 0, 0, 0, 1</t>
  </si>
  <si>
    <t>electrical contractor pricing guide</t>
  </si>
  <si>
    <t>1, 3, 1, 0, 1, 1, 0, 0, 3, 1, 0, 2, 0, 1, 0, 0, 0, 0, 1, 0, 0, 0, 0, 1</t>
  </si>
  <si>
    <t>emergency electrician chelmsford</t>
  </si>
  <si>
    <t>0, 0, 0, 0, 0, 0, 1, 1, 0, 0, 1, 0, 0, 0, 1, 0, 0, 0, 0, 0, 0, 0, 0, 1</t>
  </si>
  <si>
    <t>electrical installation apprenticeships</t>
  </si>
  <si>
    <t>wa electrical services</t>
  </si>
  <si>
    <t>stratford electrical services</t>
  </si>
  <si>
    <t>residential electrical estimation services</t>
  </si>
  <si>
    <t>0, 1, 0, 1, 0, 0, 0, 0, 0, 0, 0, 0, 0, 0, 0, 0, 0, 0, 0, 0, 0, 1, 0, 1</t>
  </si>
  <si>
    <t>emergency electrician clyde</t>
  </si>
  <si>
    <t>pool electrical services chisholm</t>
  </si>
  <si>
    <t>0, 0, 0, 0, 2, 1, 0, 3, 2, 0, 0, 0, 0, 0, 0, 0, 0, 0, 0, 0, 0, 0, 0, 1</t>
  </si>
  <si>
    <t>emergency electrician renton wa</t>
  </si>
  <si>
    <t>j p electrical services</t>
  </si>
  <si>
    <t>emergency electrician woodvale</t>
  </si>
  <si>
    <t>electrical services chiswick</t>
  </si>
  <si>
    <t>electrical contractor london ontario</t>
  </si>
  <si>
    <t>tender for electrical installation</t>
  </si>
  <si>
    <t>kalahari electrical services</t>
  </si>
  <si>
    <t>0, 0, 2, 0, 0, 5, 0, 0, 0, 0, 0, 0, 2, 2, 1, 1, 0, 3, 3, 1, 1, 0, 1, 2</t>
  </si>
  <si>
    <t>anton electrical services</t>
  </si>
  <si>
    <t>elmsford emergency electrician</t>
  </si>
  <si>
    <t>electrical handyman services kelowna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</si>
</sst>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5">
    <font>
      <sz val="10.0"/>
      <color rgb="FF000000"/>
      <name val="Arial"/>
      <scheme val="minor"/>
    </font>
    <font>
      <sz val="11.0"/>
      <color theme="1"/>
      <name val="Carlito"/>
    </font>
    <font>
      <color theme="1"/>
      <name val="Arial"/>
      <scheme val="minor"/>
    </font>
    <font>
      <b/>
      <sz val="11.0"/>
      <color rgb="FF17365D"/>
      <name val="Montserrat"/>
    </font>
    <font>
      <sz val="11.0"/>
      <color theme="1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E8F0FE"/>
        <bgColor rgb="FFE8F0FE"/>
      </patternFill>
    </fill>
    <fill>
      <patternFill patternType="solid">
        <fgColor rgb="FFEAF7EA"/>
        <bgColor rgb="FFEAF7EA"/>
      </patternFill>
    </fill>
    <fill>
      <patternFill patternType="solid">
        <fgColor rgb="FFFFF7E6"/>
        <bgColor rgb="FFFFF7E6"/>
      </patternFill>
    </fill>
    <fill>
      <patternFill patternType="solid">
        <fgColor rgb="FFF8FBFF"/>
        <bgColor rgb="FFF8FBFF"/>
      </patternFill>
    </fill>
  </fills>
  <borders count="13">
    <border/>
    <border>
      <left style="medium">
        <color rgb="FFB6C2D9"/>
      </left>
      <right style="thin">
        <color rgb="FFE2E8F0"/>
      </right>
      <top style="medium">
        <color rgb="FFB6C2D9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medium">
        <color rgb="FFB6C2D9"/>
      </top>
      <bottom style="thin">
        <color rgb="FFE2E8F0"/>
      </bottom>
    </border>
    <border>
      <left style="thin">
        <color rgb="FFE2E8F0"/>
      </left>
      <right style="medium">
        <color rgb="FFB6C2D9"/>
      </right>
      <top style="medium">
        <color rgb="FFB6C2D9"/>
      </top>
      <bottom style="thin">
        <color rgb="FFE2E8F0"/>
      </bottom>
    </border>
    <border>
      <left style="medium">
        <color rgb="FFB6C2D9"/>
      </left>
      <right style="thin">
        <color rgb="FFE2E8F0"/>
      </right>
      <top style="thin">
        <color rgb="FFE2E8F0"/>
      </top>
      <bottom style="medium">
        <color rgb="FFB6C2D9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B6C2D9"/>
      </bottom>
    </border>
    <border>
      <left style="thin">
        <color rgb="FFE2E8F0"/>
      </left>
      <right style="medium">
        <color rgb="FFB6C2D9"/>
      </right>
      <top style="thin">
        <color rgb="FFE2E8F0"/>
      </top>
      <bottom style="medium">
        <color rgb="FFB6C2D9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</border>
    <border>
      <left style="thin">
        <color rgb="FFE2E8F0"/>
      </left>
      <right style="thin">
        <color rgb="FFE2E8F0"/>
      </right>
      <top style="thin">
        <color rgb="FFE2E8F0"/>
      </top>
    </border>
    <border>
      <left style="thin">
        <color rgb="FFE2E8F0"/>
      </left>
      <top style="thin">
        <color rgb="FFE2E8F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readingOrder="0"/>
    </xf>
    <xf borderId="2" fillId="2" fontId="3" numFmtId="0" xfId="0" applyAlignment="1" applyBorder="1" applyFont="1">
      <alignment shrinkToFit="0" vertical="bottom" wrapText="1"/>
    </xf>
    <xf borderId="0" fillId="0" fontId="2" numFmtId="164" xfId="0" applyAlignment="1" applyFont="1" applyNumberFormat="1">
      <alignment readingOrder="0"/>
    </xf>
    <xf borderId="2" fillId="3" fontId="3" numFmtId="0" xfId="0" applyAlignment="1" applyBorder="1" applyFill="1" applyFont="1">
      <alignment shrinkToFit="0" vertical="bottom" wrapText="1"/>
    </xf>
    <xf borderId="0" fillId="0" fontId="2" numFmtId="165" xfId="0" applyAlignment="1" applyFont="1" applyNumberFormat="1">
      <alignment readingOrder="0"/>
    </xf>
    <xf borderId="2" fillId="2" fontId="1" numFmtId="0" xfId="0" applyAlignment="1" applyBorder="1" applyFont="1">
      <alignment vertical="bottom"/>
    </xf>
    <xf borderId="3" fillId="3" fontId="3" numFmtId="0" xfId="0" applyAlignment="1" applyBorder="1" applyFont="1">
      <alignment shrinkToFit="0" vertical="bottom" wrapText="1"/>
    </xf>
    <xf borderId="0" fillId="0" fontId="1" numFmtId="0" xfId="0" applyAlignment="1" applyFont="1">
      <alignment vertical="bottom"/>
    </xf>
    <xf borderId="4" fillId="2" fontId="3" numFmtId="0" xfId="0" applyAlignment="1" applyBorder="1" applyFont="1">
      <alignment shrinkToFit="0" vertical="bottom" wrapText="1"/>
    </xf>
    <xf borderId="5" fillId="2" fontId="3" numFmtId="0" xfId="0" applyAlignment="1" applyBorder="1" applyFont="1">
      <alignment shrinkToFit="0" vertical="bottom" wrapText="1"/>
    </xf>
    <xf borderId="5" fillId="2" fontId="1" numFmtId="0" xfId="0" applyAlignment="1" applyBorder="1" applyFont="1">
      <alignment vertical="bottom"/>
    </xf>
    <xf borderId="5" fillId="3" fontId="1" numFmtId="0" xfId="0" applyAlignment="1" applyBorder="1" applyFont="1">
      <alignment vertical="bottom"/>
    </xf>
    <xf borderId="6" fillId="3" fontId="1" numFmtId="0" xfId="0" applyAlignment="1" applyBorder="1" applyFont="1">
      <alignment vertical="bottom"/>
    </xf>
    <xf borderId="7" fillId="4" fontId="4" numFmtId="0" xfId="0" applyAlignment="1" applyBorder="1" applyFill="1" applyFont="1">
      <alignment vertical="bottom"/>
    </xf>
    <xf borderId="8" fillId="5" fontId="4" numFmtId="0" xfId="0" applyAlignment="1" applyBorder="1" applyFill="1" applyFont="1">
      <alignment vertical="bottom"/>
    </xf>
    <xf borderId="8" fillId="3" fontId="4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9" fillId="3" fontId="4" numFmtId="0" xfId="0" applyAlignment="1" applyBorder="1" applyFont="1">
      <alignment vertical="bottom"/>
    </xf>
    <xf borderId="7" fillId="4" fontId="1" numFmtId="0" xfId="0" applyAlignment="1" applyBorder="1" applyFont="1">
      <alignment vertical="bottom"/>
    </xf>
    <xf borderId="8" fillId="5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11" fillId="3" fontId="4" numFmtId="0" xfId="0" applyAlignment="1" applyBorder="1" applyFont="1">
      <alignment vertical="bottom"/>
    </xf>
    <xf borderId="12" fillId="3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21.13"/>
    <col customWidth="1" min="2" max="2" width="23.25"/>
    <col customWidth="1" min="3" max="11" width="18.88"/>
    <col customWidth="1" min="12" max="12" width="28.88"/>
    <col customWidth="1" min="13" max="13" width="2.63"/>
    <col customWidth="1" min="14" max="23" width="18.88"/>
    <col customWidth="1" min="24" max="24" width="28.88"/>
    <col customWidth="1" min="25" max="26" width="8.63"/>
  </cols>
  <sheetData>
    <row r="1">
      <c r="A1" s="1"/>
      <c r="B1" s="3" t="s">
        <v>1</v>
      </c>
      <c r="C1" s="3" t="s">
        <v>20</v>
      </c>
      <c r="D1" s="3" t="s">
        <v>21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5" t="s">
        <v>32</v>
      </c>
      <c r="M1" s="7"/>
      <c r="N1" s="3" t="s">
        <v>1</v>
      </c>
      <c r="O1" s="3" t="s">
        <v>20</v>
      </c>
      <c r="P1" s="3" t="s">
        <v>21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8" t="s">
        <v>64</v>
      </c>
      <c r="Y1" s="9"/>
      <c r="Z1" s="9"/>
    </row>
    <row r="2">
      <c r="A2" s="10" t="s">
        <v>76</v>
      </c>
      <c r="B2" s="11" t="s">
        <v>81</v>
      </c>
      <c r="C2" s="12"/>
      <c r="D2" s="12"/>
      <c r="E2" s="12"/>
      <c r="F2" s="12"/>
      <c r="G2" s="12"/>
      <c r="H2" s="12"/>
      <c r="I2" s="12"/>
      <c r="J2" s="12"/>
      <c r="K2" s="12"/>
      <c r="L2" s="13"/>
      <c r="M2" s="12"/>
      <c r="N2" s="11" t="s">
        <v>105</v>
      </c>
      <c r="O2" s="12"/>
      <c r="P2" s="12"/>
      <c r="Q2" s="12"/>
      <c r="R2" s="12"/>
      <c r="S2" s="12"/>
      <c r="T2" s="12"/>
      <c r="U2" s="12"/>
      <c r="V2" s="12"/>
      <c r="W2" s="12"/>
      <c r="X2" s="14"/>
      <c r="Y2" s="9"/>
      <c r="Z2" s="9"/>
    </row>
    <row r="3">
      <c r="A3" s="15" t="s">
        <v>125</v>
      </c>
      <c r="B3" s="16" t="str">
        <f t="shared" ref="B3:K3" si="1">IF($A3="","",IF(OR(ISNUMBER(SEARCH(LOWER($A3),LOWER(B$1))),AND(RIGHT(LOWER($A3),1)="s",ISNUMBER(SEARCH(LEFT(LOWER($A3),LEN($A3)-1),LOWER(B$1))))),B$1,B$1&amp;" "&amp;$A3))</f>
        <v>electrician cape town near me</v>
      </c>
      <c r="C3" s="16" t="str">
        <f t="shared" si="1"/>
        <v>electrical services near me</v>
      </c>
      <c r="D3" s="16" t="str">
        <f t="shared" si="1"/>
        <v>electrical repairs near me</v>
      </c>
      <c r="E3" s="16" t="str">
        <f t="shared" si="1"/>
        <v>emergency electrician near me</v>
      </c>
      <c r="F3" s="16" t="str">
        <f t="shared" si="1"/>
        <v>residential electrician near me</v>
      </c>
      <c r="G3" s="16" t="str">
        <f t="shared" si="1"/>
        <v>commercial electrician near me</v>
      </c>
      <c r="H3" s="16" t="str">
        <f t="shared" si="1"/>
        <v>electrical contractor near me</v>
      </c>
      <c r="I3" s="16" t="str">
        <f t="shared" si="1"/>
        <v>electrical compliance certificate near me</v>
      </c>
      <c r="J3" s="16" t="str">
        <f t="shared" si="1"/>
        <v>electrical installation near me</v>
      </c>
      <c r="K3" s="16" t="str">
        <f t="shared" si="1"/>
        <v>electrical maintenance near me</v>
      </c>
      <c r="L3" s="17" t="str">
        <f>IFERROR(__xludf.DUMMYFUNCTION("SORT(UNIQUE(FILTER(FLATTEN(B3:K82),FLATTEN(B3:K82)&lt;&gt;"""")))"),"commercial electrician affordable")</f>
        <v>commercial electrician affordable</v>
      </c>
      <c r="M3" s="18"/>
      <c r="N3" s="16" t="str">
        <f t="shared" ref="N3:W3" si="2">IF($A3="","",IF(OR(ISNUMBER(SEARCH(LOWER($A3),LOWER(N$1))),AND(RIGHT(LOWER($A3),1)="s",ISNUMBER(SEARCH(LEFT(LOWER($A3),LEN($A3)-1),LOWER(N$1))))),N$1,$A3&amp;" "&amp;N$1))</f>
        <v>near me electrician cape town</v>
      </c>
      <c r="O3" s="16" t="str">
        <f t="shared" si="2"/>
        <v>near me electrical services</v>
      </c>
      <c r="P3" s="16" t="str">
        <f t="shared" si="2"/>
        <v>near me electrical repairs</v>
      </c>
      <c r="Q3" s="16" t="str">
        <f t="shared" si="2"/>
        <v>near me emergency electrician</v>
      </c>
      <c r="R3" s="16" t="str">
        <f t="shared" si="2"/>
        <v>near me residential electrician</v>
      </c>
      <c r="S3" s="16" t="str">
        <f t="shared" si="2"/>
        <v>near me commercial electrician</v>
      </c>
      <c r="T3" s="16" t="str">
        <f t="shared" si="2"/>
        <v>near me electrical contractor</v>
      </c>
      <c r="U3" s="16" t="str">
        <f t="shared" si="2"/>
        <v>near me electrical compliance certificate</v>
      </c>
      <c r="V3" s="16" t="str">
        <f t="shared" si="2"/>
        <v>near me electrical installation</v>
      </c>
      <c r="W3" s="16" t="str">
        <f t="shared" si="2"/>
        <v>near me electrical maintenance</v>
      </c>
      <c r="X3" s="19" t="str">
        <f>IFERROR(__xludf.DUMMYFUNCTION("SORT(UNIQUE(FILTER(FLATTEN(N3:W82),FLATTEN(N3:W82)&lt;&gt;"""")))"),"affordable commercial electrician")</f>
        <v>affordable commercial electrician</v>
      </c>
      <c r="Y3" s="9"/>
      <c r="Z3" s="9"/>
    </row>
    <row r="4">
      <c r="A4" s="15" t="s">
        <v>276</v>
      </c>
      <c r="B4" s="16" t="str">
        <f t="shared" ref="B4:K4" si="3">IF($A4="","",IF(OR(ISNUMBER(SEARCH(LOWER($A4),LOWER(B$1))),AND(RIGHT(LOWER($A4),1)="s",ISNUMBER(SEARCH(LEFT(LOWER($A4),LEN($A4)-1),LOWER(B$1))))),B$1,B$1&amp;" "&amp;$A4))</f>
        <v>electrician cape town</v>
      </c>
      <c r="C4" s="16" t="str">
        <f t="shared" si="3"/>
        <v>electrical services cape town</v>
      </c>
      <c r="D4" s="16" t="str">
        <f t="shared" si="3"/>
        <v>electrical repairs cape town</v>
      </c>
      <c r="E4" s="16" t="str">
        <f t="shared" si="3"/>
        <v>emergency electrician cape town</v>
      </c>
      <c r="F4" s="16" t="str">
        <f t="shared" si="3"/>
        <v>residential electrician cape town</v>
      </c>
      <c r="G4" s="16" t="str">
        <f t="shared" si="3"/>
        <v>commercial electrician cape town</v>
      </c>
      <c r="H4" s="16" t="str">
        <f t="shared" si="3"/>
        <v>electrical contractor cape town</v>
      </c>
      <c r="I4" s="16" t="str">
        <f t="shared" si="3"/>
        <v>electrical compliance certificate cape town</v>
      </c>
      <c r="J4" s="16" t="str">
        <f t="shared" si="3"/>
        <v>electrical installation cape town</v>
      </c>
      <c r="K4" s="16" t="str">
        <f t="shared" si="3"/>
        <v>electrical maintenance cape town</v>
      </c>
      <c r="L4" s="17" t="str">
        <f>IFERROR(__xludf.DUMMYFUNCTION("""COMPUTED_VALUE"""),"commercial electrician call out")</f>
        <v>commercial electrician call out</v>
      </c>
      <c r="M4" s="18"/>
      <c r="N4" s="16" t="str">
        <f t="shared" ref="N4:W4" si="4">IF($A4="","",IF(OR(ISNUMBER(SEARCH(LOWER($A4),LOWER(N$1))),AND(RIGHT(LOWER($A4),1)="s",ISNUMBER(SEARCH(LEFT(LOWER($A4),LEN($A4)-1),LOWER(N$1))))),N$1,$A4&amp;" "&amp;N$1))</f>
        <v>electrician cape town</v>
      </c>
      <c r="O4" s="16" t="str">
        <f t="shared" si="4"/>
        <v>cape town electrical services</v>
      </c>
      <c r="P4" s="16" t="str">
        <f t="shared" si="4"/>
        <v>cape town electrical repairs</v>
      </c>
      <c r="Q4" s="16" t="str">
        <f t="shared" si="4"/>
        <v>cape town emergency electrician</v>
      </c>
      <c r="R4" s="16" t="str">
        <f t="shared" si="4"/>
        <v>cape town residential electrician</v>
      </c>
      <c r="S4" s="16" t="str">
        <f t="shared" si="4"/>
        <v>cape town commercial electrician</v>
      </c>
      <c r="T4" s="16" t="str">
        <f t="shared" si="4"/>
        <v>cape town electrical contractor</v>
      </c>
      <c r="U4" s="16" t="str">
        <f t="shared" si="4"/>
        <v>cape town electrical compliance certificate</v>
      </c>
      <c r="V4" s="16" t="str">
        <f t="shared" si="4"/>
        <v>cape town electrical installation</v>
      </c>
      <c r="W4" s="16" t="str">
        <f t="shared" si="4"/>
        <v>cape town electrical maintenance</v>
      </c>
      <c r="X4" s="19" t="str">
        <f>IFERROR(__xludf.DUMMYFUNCTION("""COMPUTED_VALUE"""),"affordable electrical compliance certificate")</f>
        <v>affordable electrical compliance certificate</v>
      </c>
      <c r="Y4" s="9"/>
      <c r="Z4" s="9"/>
    </row>
    <row r="5">
      <c r="A5" s="15" t="s">
        <v>356</v>
      </c>
      <c r="B5" s="16" t="str">
        <f t="shared" ref="B5:K5" si="5">IF($A5="","",IF(OR(ISNUMBER(SEARCH(LOWER($A5),LOWER(B$1))),AND(RIGHT(LOWER($A5),1)="s",ISNUMBER(SEARCH(LEFT(LOWER($A5),LEN($A5)-1),LOWER(B$1))))),B$1,B$1&amp;" "&amp;$A5))</f>
        <v>electrician cape town same day</v>
      </c>
      <c r="C5" s="16" t="str">
        <f t="shared" si="5"/>
        <v>electrical services same day</v>
      </c>
      <c r="D5" s="16" t="str">
        <f t="shared" si="5"/>
        <v>electrical repairs same day</v>
      </c>
      <c r="E5" s="16" t="str">
        <f t="shared" si="5"/>
        <v>emergency electrician same day</v>
      </c>
      <c r="F5" s="16" t="str">
        <f t="shared" si="5"/>
        <v>residential electrician same day</v>
      </c>
      <c r="G5" s="16" t="str">
        <f t="shared" si="5"/>
        <v>commercial electrician same day</v>
      </c>
      <c r="H5" s="16" t="str">
        <f t="shared" si="5"/>
        <v>electrical contractor same day</v>
      </c>
      <c r="I5" s="16" t="str">
        <f t="shared" si="5"/>
        <v>electrical compliance certificate same day</v>
      </c>
      <c r="J5" s="16" t="str">
        <f t="shared" si="5"/>
        <v>electrical installation same day</v>
      </c>
      <c r="K5" s="16" t="str">
        <f t="shared" si="5"/>
        <v>electrical maintenance same day</v>
      </c>
      <c r="L5" s="17" t="str">
        <f>IFERROR(__xludf.DUMMYFUNCTION("""COMPUTED_VALUE"""),"commercial electrician cape town")</f>
        <v>commercial electrician cape town</v>
      </c>
      <c r="M5" s="18"/>
      <c r="N5" s="16" t="str">
        <f t="shared" ref="N5:W5" si="6">IF($A5="","",IF(OR(ISNUMBER(SEARCH(LOWER($A5),LOWER(N$1))),AND(RIGHT(LOWER($A5),1)="s",ISNUMBER(SEARCH(LEFT(LOWER($A5),LEN($A5)-1),LOWER(N$1))))),N$1,$A5&amp;" "&amp;N$1))</f>
        <v>same day electrician cape town</v>
      </c>
      <c r="O5" s="16" t="str">
        <f t="shared" si="6"/>
        <v>same day electrical services</v>
      </c>
      <c r="P5" s="16" t="str">
        <f t="shared" si="6"/>
        <v>same day electrical repairs</v>
      </c>
      <c r="Q5" s="16" t="str">
        <f t="shared" si="6"/>
        <v>same day emergency electrician</v>
      </c>
      <c r="R5" s="16" t="str">
        <f t="shared" si="6"/>
        <v>same day residential electrician</v>
      </c>
      <c r="S5" s="16" t="str">
        <f t="shared" si="6"/>
        <v>same day commercial electrician</v>
      </c>
      <c r="T5" s="16" t="str">
        <f t="shared" si="6"/>
        <v>same day electrical contractor</v>
      </c>
      <c r="U5" s="16" t="str">
        <f t="shared" si="6"/>
        <v>same day electrical compliance certificate</v>
      </c>
      <c r="V5" s="16" t="str">
        <f t="shared" si="6"/>
        <v>same day electrical installation</v>
      </c>
      <c r="W5" s="16" t="str">
        <f t="shared" si="6"/>
        <v>same day electrical maintenance</v>
      </c>
      <c r="X5" s="19" t="str">
        <f>IFERROR(__xludf.DUMMYFUNCTION("""COMPUTED_VALUE"""),"affordable electrical contractor")</f>
        <v>affordable electrical contractor</v>
      </c>
      <c r="Y5" s="9"/>
      <c r="Z5" s="9"/>
    </row>
    <row r="6">
      <c r="A6" s="15" t="s">
        <v>423</v>
      </c>
      <c r="B6" s="16" t="str">
        <f t="shared" ref="B6:K6" si="7">IF($A6="","",IF(OR(ISNUMBER(SEARCH(LOWER($A6),LOWER(B$1))),AND(RIGHT(LOWER($A6),1)="s",ISNUMBER(SEARCH(LEFT(LOWER($A6),LEN($A6)-1),LOWER(B$1))))),B$1,B$1&amp;" "&amp;$A6))</f>
        <v>electrician cape town emergency</v>
      </c>
      <c r="C6" s="16" t="str">
        <f t="shared" si="7"/>
        <v>electrical services emergency</v>
      </c>
      <c r="D6" s="16" t="str">
        <f t="shared" si="7"/>
        <v>electrical repairs emergency</v>
      </c>
      <c r="E6" s="16" t="str">
        <f t="shared" si="7"/>
        <v>emergency electrician</v>
      </c>
      <c r="F6" s="16" t="str">
        <f t="shared" si="7"/>
        <v>residential electrician emergency</v>
      </c>
      <c r="G6" s="16" t="str">
        <f t="shared" si="7"/>
        <v>commercial electrician emergency</v>
      </c>
      <c r="H6" s="16" t="str">
        <f t="shared" si="7"/>
        <v>electrical contractor emergency</v>
      </c>
      <c r="I6" s="16" t="str">
        <f t="shared" si="7"/>
        <v>electrical compliance certificate emergency</v>
      </c>
      <c r="J6" s="16" t="str">
        <f t="shared" si="7"/>
        <v>electrical installation emergency</v>
      </c>
      <c r="K6" s="16" t="str">
        <f t="shared" si="7"/>
        <v>electrical maintenance emergency</v>
      </c>
      <c r="L6" s="17" t="str">
        <f>IFERROR(__xludf.DUMMYFUNCTION("""COMPUTED_VALUE"""),"commercial electrician COC")</f>
        <v>commercial electrician COC</v>
      </c>
      <c r="M6" s="18"/>
      <c r="N6" s="16" t="str">
        <f t="shared" ref="N6:W6" si="8">IF($A6="","",IF(OR(ISNUMBER(SEARCH(LOWER($A6),LOWER(N$1))),AND(RIGHT(LOWER($A6),1)="s",ISNUMBER(SEARCH(LEFT(LOWER($A6),LEN($A6)-1),LOWER(N$1))))),N$1,$A6&amp;" "&amp;N$1))</f>
        <v>emergency electrician cape town</v>
      </c>
      <c r="O6" s="16" t="str">
        <f t="shared" si="8"/>
        <v>emergency electrical services</v>
      </c>
      <c r="P6" s="16" t="str">
        <f t="shared" si="8"/>
        <v>emergency electrical repairs</v>
      </c>
      <c r="Q6" s="16" t="str">
        <f t="shared" si="8"/>
        <v>emergency electrician</v>
      </c>
      <c r="R6" s="16" t="str">
        <f t="shared" si="8"/>
        <v>emergency residential electrician</v>
      </c>
      <c r="S6" s="16" t="str">
        <f t="shared" si="8"/>
        <v>emergency commercial electrician</v>
      </c>
      <c r="T6" s="16" t="str">
        <f t="shared" si="8"/>
        <v>emergency electrical contractor</v>
      </c>
      <c r="U6" s="16" t="str">
        <f t="shared" si="8"/>
        <v>emergency electrical compliance certificate</v>
      </c>
      <c r="V6" s="16" t="str">
        <f t="shared" si="8"/>
        <v>emergency electrical installation</v>
      </c>
      <c r="W6" s="16" t="str">
        <f t="shared" si="8"/>
        <v>emergency electrical maintenance</v>
      </c>
      <c r="X6" s="19" t="str">
        <f>IFERROR(__xludf.DUMMYFUNCTION("""COMPUTED_VALUE"""),"affordable electrical installation")</f>
        <v>affordable electrical installation</v>
      </c>
      <c r="Y6" s="9"/>
      <c r="Z6" s="9"/>
    </row>
    <row r="7">
      <c r="A7" s="15" t="s">
        <v>487</v>
      </c>
      <c r="B7" s="16" t="str">
        <f t="shared" ref="B7:K7" si="9">IF($A7="","",IF(OR(ISNUMBER(SEARCH(LOWER($A7),LOWER(B$1))),AND(RIGHT(LOWER($A7),1)="s",ISNUMBER(SEARCH(LEFT(LOWER($A7),LEN($A7)-1),LOWER(B$1))))),B$1,B$1&amp;" "&amp;$A7))</f>
        <v>electrician cape town affordable</v>
      </c>
      <c r="C7" s="16" t="str">
        <f t="shared" si="9"/>
        <v>electrical services affordable</v>
      </c>
      <c r="D7" s="16" t="str">
        <f t="shared" si="9"/>
        <v>electrical repairs affordable</v>
      </c>
      <c r="E7" s="16" t="str">
        <f t="shared" si="9"/>
        <v>emergency electrician affordable</v>
      </c>
      <c r="F7" s="16" t="str">
        <f t="shared" si="9"/>
        <v>residential electrician affordable</v>
      </c>
      <c r="G7" s="16" t="str">
        <f t="shared" si="9"/>
        <v>commercial electrician affordable</v>
      </c>
      <c r="H7" s="16" t="str">
        <f t="shared" si="9"/>
        <v>electrical contractor affordable</v>
      </c>
      <c r="I7" s="16" t="str">
        <f t="shared" si="9"/>
        <v>electrical compliance certificate affordable</v>
      </c>
      <c r="J7" s="16" t="str">
        <f t="shared" si="9"/>
        <v>electrical installation affordable</v>
      </c>
      <c r="K7" s="16" t="str">
        <f t="shared" si="9"/>
        <v>electrical maintenance affordable</v>
      </c>
      <c r="L7" s="17" t="str">
        <f>IFERROR(__xludf.DUMMYFUNCTION("""COMPUTED_VALUE"""),"commercial electrician company")</f>
        <v>commercial electrician company</v>
      </c>
      <c r="M7" s="18"/>
      <c r="N7" s="16" t="str">
        <f t="shared" ref="N7:W7" si="10">IF($A7="","",IF(OR(ISNUMBER(SEARCH(LOWER($A7),LOWER(N$1))),AND(RIGHT(LOWER($A7),1)="s",ISNUMBER(SEARCH(LEFT(LOWER($A7),LEN($A7)-1),LOWER(N$1))))),N$1,$A7&amp;" "&amp;N$1))</f>
        <v>affordable electrician cape town</v>
      </c>
      <c r="O7" s="16" t="str">
        <f t="shared" si="10"/>
        <v>affordable electrical services</v>
      </c>
      <c r="P7" s="16" t="str">
        <f t="shared" si="10"/>
        <v>affordable electrical repairs</v>
      </c>
      <c r="Q7" s="16" t="str">
        <f t="shared" si="10"/>
        <v>affordable emergency electrician</v>
      </c>
      <c r="R7" s="16" t="str">
        <f t="shared" si="10"/>
        <v>affordable residential electrician</v>
      </c>
      <c r="S7" s="16" t="str">
        <f t="shared" si="10"/>
        <v>affordable commercial electrician</v>
      </c>
      <c r="T7" s="16" t="str">
        <f t="shared" si="10"/>
        <v>affordable electrical contractor</v>
      </c>
      <c r="U7" s="16" t="str">
        <f t="shared" si="10"/>
        <v>affordable electrical compliance certificate</v>
      </c>
      <c r="V7" s="16" t="str">
        <f t="shared" si="10"/>
        <v>affordable electrical installation</v>
      </c>
      <c r="W7" s="16" t="str">
        <f t="shared" si="10"/>
        <v>affordable electrical maintenance</v>
      </c>
      <c r="X7" s="19" t="str">
        <f>IFERROR(__xludf.DUMMYFUNCTION("""COMPUTED_VALUE"""),"affordable electrical maintenance")</f>
        <v>affordable electrical maintenance</v>
      </c>
      <c r="Y7" s="9"/>
      <c r="Z7" s="9"/>
    </row>
    <row r="8">
      <c r="A8" s="15" t="s">
        <v>563</v>
      </c>
      <c r="B8" s="16" t="str">
        <f t="shared" ref="B8:K8" si="11">IF($A8="","",IF(OR(ISNUMBER(SEARCH(LOWER($A8),LOWER(B$1))),AND(RIGHT(LOWER($A8),1)="s",ISNUMBER(SEARCH(LEFT(LOWER($A8),LEN($A8)-1),LOWER(B$1))))),B$1,B$1&amp;" "&amp;$A8))</f>
        <v>electrician cape town qualified</v>
      </c>
      <c r="C8" s="16" t="str">
        <f t="shared" si="11"/>
        <v>electrical services qualified</v>
      </c>
      <c r="D8" s="16" t="str">
        <f t="shared" si="11"/>
        <v>electrical repairs qualified</v>
      </c>
      <c r="E8" s="16" t="str">
        <f t="shared" si="11"/>
        <v>emergency electrician qualified</v>
      </c>
      <c r="F8" s="16" t="str">
        <f t="shared" si="11"/>
        <v>residential electrician qualified</v>
      </c>
      <c r="G8" s="16" t="str">
        <f t="shared" si="11"/>
        <v>commercial electrician qualified</v>
      </c>
      <c r="H8" s="16" t="str">
        <f t="shared" si="11"/>
        <v>electrical contractor qualified</v>
      </c>
      <c r="I8" s="16" t="str">
        <f t="shared" si="11"/>
        <v>electrical compliance certificate qualified</v>
      </c>
      <c r="J8" s="16" t="str">
        <f t="shared" si="11"/>
        <v>electrical installation qualified</v>
      </c>
      <c r="K8" s="16" t="str">
        <f t="shared" si="11"/>
        <v>electrical maintenance qualified</v>
      </c>
      <c r="L8" s="17" t="str">
        <f>IFERROR(__xludf.DUMMYFUNCTION("""COMPUTED_VALUE"""),"commercial electrician contractor")</f>
        <v>commercial electrician contractor</v>
      </c>
      <c r="M8" s="18"/>
      <c r="N8" s="16" t="str">
        <f t="shared" ref="N8:W8" si="12">IF($A8="","",IF(OR(ISNUMBER(SEARCH(LOWER($A8),LOWER(N$1))),AND(RIGHT(LOWER($A8),1)="s",ISNUMBER(SEARCH(LEFT(LOWER($A8),LEN($A8)-1),LOWER(N$1))))),N$1,$A8&amp;" "&amp;N$1))</f>
        <v>qualified electrician cape town</v>
      </c>
      <c r="O8" s="16" t="str">
        <f t="shared" si="12"/>
        <v>qualified electrical services</v>
      </c>
      <c r="P8" s="16" t="str">
        <f t="shared" si="12"/>
        <v>qualified electrical repairs</v>
      </c>
      <c r="Q8" s="16" t="str">
        <f t="shared" si="12"/>
        <v>qualified emergency electrician</v>
      </c>
      <c r="R8" s="16" t="str">
        <f t="shared" si="12"/>
        <v>qualified residential electrician</v>
      </c>
      <c r="S8" s="16" t="str">
        <f t="shared" si="12"/>
        <v>qualified commercial electrician</v>
      </c>
      <c r="T8" s="16" t="str">
        <f t="shared" si="12"/>
        <v>qualified electrical contractor</v>
      </c>
      <c r="U8" s="16" t="str">
        <f t="shared" si="12"/>
        <v>qualified electrical compliance certificate</v>
      </c>
      <c r="V8" s="16" t="str">
        <f t="shared" si="12"/>
        <v>qualified electrical installation</v>
      </c>
      <c r="W8" s="16" t="str">
        <f t="shared" si="12"/>
        <v>qualified electrical maintenance</v>
      </c>
      <c r="X8" s="19" t="str">
        <f>IFERROR(__xludf.DUMMYFUNCTION("""COMPUTED_VALUE"""),"affordable electrical repairs")</f>
        <v>affordable electrical repairs</v>
      </c>
      <c r="Y8" s="9"/>
      <c r="Z8" s="9"/>
    </row>
    <row r="9">
      <c r="A9" s="15" t="s">
        <v>620</v>
      </c>
      <c r="B9" s="16" t="str">
        <f t="shared" ref="B9:K9" si="13">IF($A9="","",IF(OR(ISNUMBER(SEARCH(LOWER($A9),LOWER(B$1))),AND(RIGHT(LOWER($A9),1)="s",ISNUMBER(SEARCH(LEFT(LOWER($A9),LEN($A9)-1),LOWER(B$1))))),B$1,B$1&amp;" "&amp;$A9))</f>
        <v>electrician cape town licensed</v>
      </c>
      <c r="C9" s="16" t="str">
        <f t="shared" si="13"/>
        <v>electrical services licensed</v>
      </c>
      <c r="D9" s="16" t="str">
        <f t="shared" si="13"/>
        <v>electrical repairs licensed</v>
      </c>
      <c r="E9" s="16" t="str">
        <f t="shared" si="13"/>
        <v>emergency electrician licensed</v>
      </c>
      <c r="F9" s="16" t="str">
        <f t="shared" si="13"/>
        <v>residential electrician licensed</v>
      </c>
      <c r="G9" s="16" t="str">
        <f t="shared" si="13"/>
        <v>commercial electrician licensed</v>
      </c>
      <c r="H9" s="16" t="str">
        <f t="shared" si="13"/>
        <v>electrical contractor licensed</v>
      </c>
      <c r="I9" s="16" t="str">
        <f t="shared" si="13"/>
        <v>electrical compliance certificate licensed</v>
      </c>
      <c r="J9" s="16" t="str">
        <f t="shared" si="13"/>
        <v>electrical installation licensed</v>
      </c>
      <c r="K9" s="16" t="str">
        <f t="shared" si="13"/>
        <v>electrical maintenance licensed</v>
      </c>
      <c r="L9" s="17" t="str">
        <f>IFERROR(__xludf.DUMMYFUNCTION("""COMPUTED_VALUE"""),"commercial electrician cost")</f>
        <v>commercial electrician cost</v>
      </c>
      <c r="M9" s="18"/>
      <c r="N9" s="16" t="str">
        <f t="shared" ref="N9:W9" si="14">IF($A9="","",IF(OR(ISNUMBER(SEARCH(LOWER($A9),LOWER(N$1))),AND(RIGHT(LOWER($A9),1)="s",ISNUMBER(SEARCH(LEFT(LOWER($A9),LEN($A9)-1),LOWER(N$1))))),N$1,$A9&amp;" "&amp;N$1))</f>
        <v>licensed electrician cape town</v>
      </c>
      <c r="O9" s="16" t="str">
        <f t="shared" si="14"/>
        <v>licensed electrical services</v>
      </c>
      <c r="P9" s="16" t="str">
        <f t="shared" si="14"/>
        <v>licensed electrical repairs</v>
      </c>
      <c r="Q9" s="16" t="str">
        <f t="shared" si="14"/>
        <v>licensed emergency electrician</v>
      </c>
      <c r="R9" s="16" t="str">
        <f t="shared" si="14"/>
        <v>licensed residential electrician</v>
      </c>
      <c r="S9" s="16" t="str">
        <f t="shared" si="14"/>
        <v>licensed commercial electrician</v>
      </c>
      <c r="T9" s="16" t="str">
        <f t="shared" si="14"/>
        <v>licensed electrical contractor</v>
      </c>
      <c r="U9" s="16" t="str">
        <f t="shared" si="14"/>
        <v>licensed electrical compliance certificate</v>
      </c>
      <c r="V9" s="16" t="str">
        <f t="shared" si="14"/>
        <v>licensed electrical installation</v>
      </c>
      <c r="W9" s="16" t="str">
        <f t="shared" si="14"/>
        <v>licensed electrical maintenance</v>
      </c>
      <c r="X9" s="19" t="str">
        <f>IFERROR(__xludf.DUMMYFUNCTION("""COMPUTED_VALUE"""),"affordable electrical services")</f>
        <v>affordable electrical services</v>
      </c>
      <c r="Y9" s="9"/>
      <c r="Z9" s="9"/>
    </row>
    <row r="10">
      <c r="A10" s="15" t="s">
        <v>669</v>
      </c>
      <c r="B10" s="16" t="str">
        <f t="shared" ref="B10:K10" si="15">IF($A10="","",IF(OR(ISNUMBER(SEARCH(LOWER($A10),LOWER(B$1))),AND(RIGHT(LOWER($A10),1)="s",ISNUMBER(SEARCH(LEFT(LOWER($A10),LEN($A10)-1),LOWER(B$1))))),B$1,B$1&amp;" "&amp;$A10))</f>
        <v>electrician cape town reliable</v>
      </c>
      <c r="C10" s="16" t="str">
        <f t="shared" si="15"/>
        <v>electrical services reliable</v>
      </c>
      <c r="D10" s="16" t="str">
        <f t="shared" si="15"/>
        <v>electrical repairs reliable</v>
      </c>
      <c r="E10" s="16" t="str">
        <f t="shared" si="15"/>
        <v>emergency electrician reliable</v>
      </c>
      <c r="F10" s="16" t="str">
        <f t="shared" si="15"/>
        <v>residential electrician reliable</v>
      </c>
      <c r="G10" s="16" t="str">
        <f t="shared" si="15"/>
        <v>commercial electrician reliable</v>
      </c>
      <c r="H10" s="16" t="str">
        <f t="shared" si="15"/>
        <v>electrical contractor reliable</v>
      </c>
      <c r="I10" s="16" t="str">
        <f t="shared" si="15"/>
        <v>electrical compliance certificate reliable</v>
      </c>
      <c r="J10" s="16" t="str">
        <f t="shared" si="15"/>
        <v>electrical installation reliable</v>
      </c>
      <c r="K10" s="16" t="str">
        <f t="shared" si="15"/>
        <v>electrical maintenance reliable</v>
      </c>
      <c r="L10" s="17" t="str">
        <f>IFERROR(__xludf.DUMMYFUNCTION("""COMPUTED_VALUE"""),"commercial electrician emergency")</f>
        <v>commercial electrician emergency</v>
      </c>
      <c r="M10" s="18"/>
      <c r="N10" s="16" t="str">
        <f t="shared" ref="N10:W10" si="16">IF($A10="","",IF(OR(ISNUMBER(SEARCH(LOWER($A10),LOWER(N$1))),AND(RIGHT(LOWER($A10),1)="s",ISNUMBER(SEARCH(LEFT(LOWER($A10),LEN($A10)-1),LOWER(N$1))))),N$1,$A10&amp;" "&amp;N$1))</f>
        <v>reliable electrician cape town</v>
      </c>
      <c r="O10" s="16" t="str">
        <f t="shared" si="16"/>
        <v>reliable electrical services</v>
      </c>
      <c r="P10" s="16" t="str">
        <f t="shared" si="16"/>
        <v>reliable electrical repairs</v>
      </c>
      <c r="Q10" s="16" t="str">
        <f t="shared" si="16"/>
        <v>reliable emergency electrician</v>
      </c>
      <c r="R10" s="16" t="str">
        <f t="shared" si="16"/>
        <v>reliable residential electrician</v>
      </c>
      <c r="S10" s="16" t="str">
        <f t="shared" si="16"/>
        <v>reliable commercial electrician</v>
      </c>
      <c r="T10" s="16" t="str">
        <f t="shared" si="16"/>
        <v>reliable electrical contractor</v>
      </c>
      <c r="U10" s="16" t="str">
        <f t="shared" si="16"/>
        <v>reliable electrical compliance certificate</v>
      </c>
      <c r="V10" s="16" t="str">
        <f t="shared" si="16"/>
        <v>reliable electrical installation</v>
      </c>
      <c r="W10" s="16" t="str">
        <f t="shared" si="16"/>
        <v>reliable electrical maintenance</v>
      </c>
      <c r="X10" s="19" t="str">
        <f>IFERROR(__xludf.DUMMYFUNCTION("""COMPUTED_VALUE"""),"affordable electrician cape town")</f>
        <v>affordable electrician cape town</v>
      </c>
      <c r="Y10" s="9"/>
      <c r="Z10" s="9"/>
    </row>
    <row r="11">
      <c r="A11" s="15" t="s">
        <v>713</v>
      </c>
      <c r="B11" s="16" t="str">
        <f t="shared" ref="B11:K11" si="17">IF($A11="","",IF(OR(ISNUMBER(SEARCH(LOWER($A11),LOWER(B$1))),AND(RIGHT(LOWER($A11),1)="s",ISNUMBER(SEARCH(LEFT(LOWER($A11),LEN($A11)-1),LOWER(B$1))))),B$1,B$1&amp;" "&amp;$A11))</f>
        <v>electrician cape town professional</v>
      </c>
      <c r="C11" s="16" t="str">
        <f t="shared" si="17"/>
        <v>electrical services professional</v>
      </c>
      <c r="D11" s="16" t="str">
        <f t="shared" si="17"/>
        <v>electrical repairs professional</v>
      </c>
      <c r="E11" s="16" t="str">
        <f t="shared" si="17"/>
        <v>emergency electrician professional</v>
      </c>
      <c r="F11" s="16" t="str">
        <f t="shared" si="17"/>
        <v>residential electrician professional</v>
      </c>
      <c r="G11" s="16" t="str">
        <f t="shared" si="17"/>
        <v>commercial electrician professional</v>
      </c>
      <c r="H11" s="16" t="str">
        <f t="shared" si="17"/>
        <v>electrical contractor professional</v>
      </c>
      <c r="I11" s="16" t="str">
        <f t="shared" si="17"/>
        <v>electrical compliance certificate professional</v>
      </c>
      <c r="J11" s="16" t="str">
        <f t="shared" si="17"/>
        <v>electrical installation professional</v>
      </c>
      <c r="K11" s="16" t="str">
        <f t="shared" si="17"/>
        <v>electrical maintenance professional</v>
      </c>
      <c r="L11" s="17" t="str">
        <f>IFERROR(__xludf.DUMMYFUNCTION("""COMPUTED_VALUE"""),"commercial electrician inspection")</f>
        <v>commercial electrician inspection</v>
      </c>
      <c r="M11" s="18"/>
      <c r="N11" s="16" t="str">
        <f t="shared" ref="N11:W11" si="18">IF($A11="","",IF(OR(ISNUMBER(SEARCH(LOWER($A11),LOWER(N$1))),AND(RIGHT(LOWER($A11),1)="s",ISNUMBER(SEARCH(LEFT(LOWER($A11),LEN($A11)-1),LOWER(N$1))))),N$1,$A11&amp;" "&amp;N$1))</f>
        <v>professional electrician cape town</v>
      </c>
      <c r="O11" s="16" t="str">
        <f t="shared" si="18"/>
        <v>professional electrical services</v>
      </c>
      <c r="P11" s="16" t="str">
        <f t="shared" si="18"/>
        <v>professional electrical repairs</v>
      </c>
      <c r="Q11" s="16" t="str">
        <f t="shared" si="18"/>
        <v>professional emergency electrician</v>
      </c>
      <c r="R11" s="16" t="str">
        <f t="shared" si="18"/>
        <v>professional residential electrician</v>
      </c>
      <c r="S11" s="16" t="str">
        <f t="shared" si="18"/>
        <v>professional commercial electrician</v>
      </c>
      <c r="T11" s="16" t="str">
        <f t="shared" si="18"/>
        <v>professional electrical contractor</v>
      </c>
      <c r="U11" s="16" t="str">
        <f t="shared" si="18"/>
        <v>professional electrical compliance certificate</v>
      </c>
      <c r="V11" s="16" t="str">
        <f t="shared" si="18"/>
        <v>professional electrical installation</v>
      </c>
      <c r="W11" s="16" t="str">
        <f t="shared" si="18"/>
        <v>professional electrical maintenance</v>
      </c>
      <c r="X11" s="19" t="str">
        <f>IFERROR(__xludf.DUMMYFUNCTION("""COMPUTED_VALUE"""),"affordable emergency electrician")</f>
        <v>affordable emergency electrician</v>
      </c>
      <c r="Y11" s="9"/>
      <c r="Z11" s="9"/>
    </row>
    <row r="12">
      <c r="A12" s="15" t="s">
        <v>739</v>
      </c>
      <c r="B12" s="16" t="str">
        <f t="shared" ref="B12:K12" si="19">IF($A12="","",IF(OR(ISNUMBER(SEARCH(LOWER($A12),LOWER(B$1))),AND(RIGHT(LOWER($A12),1)="s",ISNUMBER(SEARCH(LEFT(LOWER($A12),LEN($A12)-1),LOWER(B$1))))),B$1,B$1&amp;" "&amp;$A12))</f>
        <v>electrician cape town local</v>
      </c>
      <c r="C12" s="16" t="str">
        <f t="shared" si="19"/>
        <v>electrical services local</v>
      </c>
      <c r="D12" s="16" t="str">
        <f t="shared" si="19"/>
        <v>electrical repairs local</v>
      </c>
      <c r="E12" s="16" t="str">
        <f t="shared" si="19"/>
        <v>emergency electrician local</v>
      </c>
      <c r="F12" s="16" t="str">
        <f t="shared" si="19"/>
        <v>residential electrician local</v>
      </c>
      <c r="G12" s="16" t="str">
        <f t="shared" si="19"/>
        <v>commercial electrician local</v>
      </c>
      <c r="H12" s="16" t="str">
        <f t="shared" si="19"/>
        <v>electrical contractor local</v>
      </c>
      <c r="I12" s="16" t="str">
        <f t="shared" si="19"/>
        <v>electrical compliance certificate local</v>
      </c>
      <c r="J12" s="16" t="str">
        <f t="shared" si="19"/>
        <v>electrical installation local</v>
      </c>
      <c r="K12" s="16" t="str">
        <f t="shared" si="19"/>
        <v>electrical maintenance local</v>
      </c>
      <c r="L12" s="17" t="str">
        <f>IFERROR(__xludf.DUMMYFUNCTION("""COMPUTED_VALUE"""),"commercial electrician installation")</f>
        <v>commercial electrician installation</v>
      </c>
      <c r="M12" s="18"/>
      <c r="N12" s="16" t="str">
        <f t="shared" ref="N12:W12" si="20">IF($A12="","",IF(OR(ISNUMBER(SEARCH(LOWER($A12),LOWER(N$1))),AND(RIGHT(LOWER($A12),1)="s",ISNUMBER(SEARCH(LEFT(LOWER($A12),LEN($A12)-1),LOWER(N$1))))),N$1,$A12&amp;" "&amp;N$1))</f>
        <v>local electrician cape town</v>
      </c>
      <c r="O12" s="16" t="str">
        <f t="shared" si="20"/>
        <v>local electrical services</v>
      </c>
      <c r="P12" s="16" t="str">
        <f t="shared" si="20"/>
        <v>local electrical repairs</v>
      </c>
      <c r="Q12" s="16" t="str">
        <f t="shared" si="20"/>
        <v>local emergency electrician</v>
      </c>
      <c r="R12" s="16" t="str">
        <f t="shared" si="20"/>
        <v>local residential electrician</v>
      </c>
      <c r="S12" s="16" t="str">
        <f t="shared" si="20"/>
        <v>local commercial electrician</v>
      </c>
      <c r="T12" s="16" t="str">
        <f t="shared" si="20"/>
        <v>local electrical contractor</v>
      </c>
      <c r="U12" s="16" t="str">
        <f t="shared" si="20"/>
        <v>local electrical compliance certificate</v>
      </c>
      <c r="V12" s="16" t="str">
        <f t="shared" si="20"/>
        <v>local electrical installation</v>
      </c>
      <c r="W12" s="16" t="str">
        <f t="shared" si="20"/>
        <v>local electrical maintenance</v>
      </c>
      <c r="X12" s="19" t="str">
        <f>IFERROR(__xludf.DUMMYFUNCTION("""COMPUTED_VALUE"""),"affordable residential electrician")</f>
        <v>affordable residential electrician</v>
      </c>
      <c r="Y12" s="9"/>
      <c r="Z12" s="9"/>
    </row>
    <row r="13">
      <c r="A13" s="15" t="s">
        <v>765</v>
      </c>
      <c r="B13" s="16" t="str">
        <f t="shared" ref="B13:K13" si="21">IF($A13="","",IF(OR(ISNUMBER(SEARCH(LOWER($A13),LOWER(B$1))),AND(RIGHT(LOWER($A13),1)="s",ISNUMBER(SEARCH(LEFT(LOWER($A13),LEN($A13)-1),LOWER(B$1))))),B$1,B$1&amp;" "&amp;$A13))</f>
        <v>electrician cape town call out</v>
      </c>
      <c r="C13" s="16" t="str">
        <f t="shared" si="21"/>
        <v>electrical services call out</v>
      </c>
      <c r="D13" s="16" t="str">
        <f t="shared" si="21"/>
        <v>electrical repairs call out</v>
      </c>
      <c r="E13" s="16" t="str">
        <f t="shared" si="21"/>
        <v>emergency electrician call out</v>
      </c>
      <c r="F13" s="16" t="str">
        <f t="shared" si="21"/>
        <v>residential electrician call out</v>
      </c>
      <c r="G13" s="16" t="str">
        <f t="shared" si="21"/>
        <v>commercial electrician call out</v>
      </c>
      <c r="H13" s="16" t="str">
        <f t="shared" si="21"/>
        <v>electrical contractor call out</v>
      </c>
      <c r="I13" s="16" t="str">
        <f t="shared" si="21"/>
        <v>electrical compliance certificate call out</v>
      </c>
      <c r="J13" s="16" t="str">
        <f t="shared" si="21"/>
        <v>electrical installation call out</v>
      </c>
      <c r="K13" s="16" t="str">
        <f t="shared" si="21"/>
        <v>electrical maintenance call out</v>
      </c>
      <c r="L13" s="17" t="str">
        <f>IFERROR(__xludf.DUMMYFUNCTION("""COMPUTED_VALUE"""),"commercial electrician licensed")</f>
        <v>commercial electrician licensed</v>
      </c>
      <c r="M13" s="18"/>
      <c r="N13" s="16" t="str">
        <f t="shared" ref="N13:W13" si="22">IF($A13="","",IF(OR(ISNUMBER(SEARCH(LOWER($A13),LOWER(N$1))),AND(RIGHT(LOWER($A13),1)="s",ISNUMBER(SEARCH(LEFT(LOWER($A13),LEN($A13)-1),LOWER(N$1))))),N$1,$A13&amp;" "&amp;N$1))</f>
        <v>call out electrician cape town</v>
      </c>
      <c r="O13" s="16" t="str">
        <f t="shared" si="22"/>
        <v>call out electrical services</v>
      </c>
      <c r="P13" s="16" t="str">
        <f t="shared" si="22"/>
        <v>call out electrical repairs</v>
      </c>
      <c r="Q13" s="16" t="str">
        <f t="shared" si="22"/>
        <v>call out emergency electrician</v>
      </c>
      <c r="R13" s="16" t="str">
        <f t="shared" si="22"/>
        <v>call out residential electrician</v>
      </c>
      <c r="S13" s="16" t="str">
        <f t="shared" si="22"/>
        <v>call out commercial electrician</v>
      </c>
      <c r="T13" s="16" t="str">
        <f t="shared" si="22"/>
        <v>call out electrical contractor</v>
      </c>
      <c r="U13" s="16" t="str">
        <f t="shared" si="22"/>
        <v>call out electrical compliance certificate</v>
      </c>
      <c r="V13" s="16" t="str">
        <f t="shared" si="22"/>
        <v>call out electrical installation</v>
      </c>
      <c r="W13" s="16" t="str">
        <f t="shared" si="22"/>
        <v>call out electrical maintenance</v>
      </c>
      <c r="X13" s="19" t="str">
        <f>IFERROR(__xludf.DUMMYFUNCTION("""COMPUTED_VALUE"""),"call out commercial electrician")</f>
        <v>call out commercial electrician</v>
      </c>
      <c r="Y13" s="9"/>
      <c r="Z13" s="9"/>
    </row>
    <row r="14">
      <c r="A14" s="15" t="s">
        <v>792</v>
      </c>
      <c r="B14" s="16" t="str">
        <f t="shared" ref="B14:K14" si="23">IF($A14="","",IF(OR(ISNUMBER(SEARCH(LOWER($A14),LOWER(B$1))),AND(RIGHT(LOWER($A14),1)="s",ISNUMBER(SEARCH(LEFT(LOWER($A14),LEN($A14)-1),LOWER(B$1))))),B$1,B$1&amp;" "&amp;$A14))</f>
        <v>electrician cape town cost</v>
      </c>
      <c r="C14" s="16" t="str">
        <f t="shared" si="23"/>
        <v>electrical services cost</v>
      </c>
      <c r="D14" s="16" t="str">
        <f t="shared" si="23"/>
        <v>electrical repairs cost</v>
      </c>
      <c r="E14" s="16" t="str">
        <f t="shared" si="23"/>
        <v>emergency electrician cost</v>
      </c>
      <c r="F14" s="16" t="str">
        <f t="shared" si="23"/>
        <v>residential electrician cost</v>
      </c>
      <c r="G14" s="16" t="str">
        <f t="shared" si="23"/>
        <v>commercial electrician cost</v>
      </c>
      <c r="H14" s="16" t="str">
        <f t="shared" si="23"/>
        <v>electrical contractor cost</v>
      </c>
      <c r="I14" s="16" t="str">
        <f t="shared" si="23"/>
        <v>electrical compliance certificate cost</v>
      </c>
      <c r="J14" s="16" t="str">
        <f t="shared" si="23"/>
        <v>electrical installation cost</v>
      </c>
      <c r="K14" s="16" t="str">
        <f t="shared" si="23"/>
        <v>electrical maintenance cost</v>
      </c>
      <c r="L14" s="17" t="str">
        <f>IFERROR(__xludf.DUMMYFUNCTION("""COMPUTED_VALUE"""),"commercial electrician local")</f>
        <v>commercial electrician local</v>
      </c>
      <c r="M14" s="18"/>
      <c r="N14" s="16" t="str">
        <f t="shared" ref="N14:W14" si="24">IF($A14="","",IF(OR(ISNUMBER(SEARCH(LOWER($A14),LOWER(N$1))),AND(RIGHT(LOWER($A14),1)="s",ISNUMBER(SEARCH(LEFT(LOWER($A14),LEN($A14)-1),LOWER(N$1))))),N$1,$A14&amp;" "&amp;N$1))</f>
        <v>cost electrician cape town</v>
      </c>
      <c r="O14" s="16" t="str">
        <f t="shared" si="24"/>
        <v>cost electrical services</v>
      </c>
      <c r="P14" s="16" t="str">
        <f t="shared" si="24"/>
        <v>cost electrical repairs</v>
      </c>
      <c r="Q14" s="16" t="str">
        <f t="shared" si="24"/>
        <v>cost emergency electrician</v>
      </c>
      <c r="R14" s="16" t="str">
        <f t="shared" si="24"/>
        <v>cost residential electrician</v>
      </c>
      <c r="S14" s="16" t="str">
        <f t="shared" si="24"/>
        <v>cost commercial electrician</v>
      </c>
      <c r="T14" s="16" t="str">
        <f t="shared" si="24"/>
        <v>cost electrical contractor</v>
      </c>
      <c r="U14" s="16" t="str">
        <f t="shared" si="24"/>
        <v>cost electrical compliance certificate</v>
      </c>
      <c r="V14" s="16" t="str">
        <f t="shared" si="24"/>
        <v>cost electrical installation</v>
      </c>
      <c r="W14" s="16" t="str">
        <f t="shared" si="24"/>
        <v>cost electrical maintenance</v>
      </c>
      <c r="X14" s="19" t="str">
        <f>IFERROR(__xludf.DUMMYFUNCTION("""COMPUTED_VALUE"""),"call out electrical compliance certificate")</f>
        <v>call out electrical compliance certificate</v>
      </c>
      <c r="Y14" s="9"/>
      <c r="Z14" s="9"/>
    </row>
    <row r="15">
      <c r="A15" s="15" t="s">
        <v>829</v>
      </c>
      <c r="B15" s="16" t="str">
        <f t="shared" ref="B15:K15" si="25">IF($A15="","",IF(OR(ISNUMBER(SEARCH(LOWER($A15),LOWER(B$1))),AND(RIGHT(LOWER($A15),1)="s",ISNUMBER(SEARCH(LEFT(LOWER($A15),LEN($A15)-1),LOWER(B$1))))),B$1,B$1&amp;" "&amp;$A15))</f>
        <v>electrician cape town quote</v>
      </c>
      <c r="C15" s="16" t="str">
        <f t="shared" si="25"/>
        <v>electrical services quote</v>
      </c>
      <c r="D15" s="16" t="str">
        <f t="shared" si="25"/>
        <v>electrical repairs quote</v>
      </c>
      <c r="E15" s="16" t="str">
        <f t="shared" si="25"/>
        <v>emergency electrician quote</v>
      </c>
      <c r="F15" s="16" t="str">
        <f t="shared" si="25"/>
        <v>residential electrician quote</v>
      </c>
      <c r="G15" s="16" t="str">
        <f t="shared" si="25"/>
        <v>commercial electrician quote</v>
      </c>
      <c r="H15" s="16" t="str">
        <f t="shared" si="25"/>
        <v>electrical contractor quote</v>
      </c>
      <c r="I15" s="16" t="str">
        <f t="shared" si="25"/>
        <v>electrical compliance certificate quote</v>
      </c>
      <c r="J15" s="16" t="str">
        <f t="shared" si="25"/>
        <v>electrical installation quote</v>
      </c>
      <c r="K15" s="16" t="str">
        <f t="shared" si="25"/>
        <v>electrical maintenance quote</v>
      </c>
      <c r="L15" s="17" t="str">
        <f>IFERROR(__xludf.DUMMYFUNCTION("""COMPUTED_VALUE"""),"commercial electrician near me")</f>
        <v>commercial electrician near me</v>
      </c>
      <c r="M15" s="18"/>
      <c r="N15" s="16" t="str">
        <f t="shared" ref="N15:W15" si="26">IF($A15="","",IF(OR(ISNUMBER(SEARCH(LOWER($A15),LOWER(N$1))),AND(RIGHT(LOWER($A15),1)="s",ISNUMBER(SEARCH(LEFT(LOWER($A15),LEN($A15)-1),LOWER(N$1))))),N$1,$A15&amp;" "&amp;N$1))</f>
        <v>quote electrician cape town</v>
      </c>
      <c r="O15" s="16" t="str">
        <f t="shared" si="26"/>
        <v>quote electrical services</v>
      </c>
      <c r="P15" s="16" t="str">
        <f t="shared" si="26"/>
        <v>quote electrical repairs</v>
      </c>
      <c r="Q15" s="16" t="str">
        <f t="shared" si="26"/>
        <v>quote emergency electrician</v>
      </c>
      <c r="R15" s="16" t="str">
        <f t="shared" si="26"/>
        <v>quote residential electrician</v>
      </c>
      <c r="S15" s="16" t="str">
        <f t="shared" si="26"/>
        <v>quote commercial electrician</v>
      </c>
      <c r="T15" s="16" t="str">
        <f t="shared" si="26"/>
        <v>quote electrical contractor</v>
      </c>
      <c r="U15" s="16" t="str">
        <f t="shared" si="26"/>
        <v>quote electrical compliance certificate</v>
      </c>
      <c r="V15" s="16" t="str">
        <f t="shared" si="26"/>
        <v>quote electrical installation</v>
      </c>
      <c r="W15" s="16" t="str">
        <f t="shared" si="26"/>
        <v>quote electrical maintenance</v>
      </c>
      <c r="X15" s="19" t="str">
        <f>IFERROR(__xludf.DUMMYFUNCTION("""COMPUTED_VALUE"""),"call out electrical contractor")</f>
        <v>call out electrical contractor</v>
      </c>
      <c r="Y15" s="9"/>
      <c r="Z15" s="9"/>
    </row>
    <row r="16">
      <c r="A16" s="15" t="s">
        <v>871</v>
      </c>
      <c r="B16" s="16" t="str">
        <f t="shared" ref="B16:K16" si="27">IF($A16="","",IF(OR(ISNUMBER(SEARCH(LOWER($A16),LOWER(B$1))),AND(RIGHT(LOWER($A16),1)="s",ISNUMBER(SEARCH(LEFT(LOWER($A16),LEN($A16)-1),LOWER(B$1))))),B$1,B$1&amp;" "&amp;$A16))</f>
        <v>electrician cape town COC</v>
      </c>
      <c r="C16" s="16" t="str">
        <f t="shared" si="27"/>
        <v>electrical services COC</v>
      </c>
      <c r="D16" s="16" t="str">
        <f t="shared" si="27"/>
        <v>electrical repairs COC</v>
      </c>
      <c r="E16" s="16" t="str">
        <f t="shared" si="27"/>
        <v>emergency electrician COC</v>
      </c>
      <c r="F16" s="16" t="str">
        <f t="shared" si="27"/>
        <v>residential electrician COC</v>
      </c>
      <c r="G16" s="16" t="str">
        <f t="shared" si="27"/>
        <v>commercial electrician COC</v>
      </c>
      <c r="H16" s="16" t="str">
        <f t="shared" si="27"/>
        <v>electrical contractor COC</v>
      </c>
      <c r="I16" s="16" t="str">
        <f t="shared" si="27"/>
        <v>electrical compliance certificate COC</v>
      </c>
      <c r="J16" s="16" t="str">
        <f t="shared" si="27"/>
        <v>electrical installation COC</v>
      </c>
      <c r="K16" s="16" t="str">
        <f t="shared" si="27"/>
        <v>electrical maintenance COC</v>
      </c>
      <c r="L16" s="17" t="str">
        <f>IFERROR(__xludf.DUMMYFUNCTION("""COMPUTED_VALUE"""),"commercial electrician professional")</f>
        <v>commercial electrician professional</v>
      </c>
      <c r="M16" s="18"/>
      <c r="N16" s="16" t="str">
        <f t="shared" ref="N16:W16" si="28">IF($A16="","",IF(OR(ISNUMBER(SEARCH(LOWER($A16),LOWER(N$1))),AND(RIGHT(LOWER($A16),1)="s",ISNUMBER(SEARCH(LEFT(LOWER($A16),LEN($A16)-1),LOWER(N$1))))),N$1,$A16&amp;" "&amp;N$1))</f>
        <v>COC electrician cape town</v>
      </c>
      <c r="O16" s="16" t="str">
        <f t="shared" si="28"/>
        <v>COC electrical services</v>
      </c>
      <c r="P16" s="16" t="str">
        <f t="shared" si="28"/>
        <v>COC electrical repairs</v>
      </c>
      <c r="Q16" s="16" t="str">
        <f t="shared" si="28"/>
        <v>COC emergency electrician</v>
      </c>
      <c r="R16" s="16" t="str">
        <f t="shared" si="28"/>
        <v>COC residential electrician</v>
      </c>
      <c r="S16" s="16" t="str">
        <f t="shared" si="28"/>
        <v>COC commercial electrician</v>
      </c>
      <c r="T16" s="16" t="str">
        <f t="shared" si="28"/>
        <v>COC electrical contractor</v>
      </c>
      <c r="U16" s="16" t="str">
        <f t="shared" si="28"/>
        <v>COC electrical compliance certificate</v>
      </c>
      <c r="V16" s="16" t="str">
        <f t="shared" si="28"/>
        <v>COC electrical installation</v>
      </c>
      <c r="W16" s="16" t="str">
        <f t="shared" si="28"/>
        <v>COC electrical maintenance</v>
      </c>
      <c r="X16" s="19" t="str">
        <f>IFERROR(__xludf.DUMMYFUNCTION("""COMPUTED_VALUE"""),"call out electrical installation")</f>
        <v>call out electrical installation</v>
      </c>
      <c r="Y16" s="9"/>
      <c r="Z16" s="9"/>
    </row>
    <row r="17">
      <c r="A17" s="15" t="s">
        <v>924</v>
      </c>
      <c r="B17" s="16" t="str">
        <f t="shared" ref="B17:K17" si="29">IF($A17="","",IF(OR(ISNUMBER(SEARCH(LOWER($A17),LOWER(B$1))),AND(RIGHT(LOWER($A17),1)="s",ISNUMBER(SEARCH(LEFT(LOWER($A17),LEN($A17)-1),LOWER(B$1))))),B$1,B$1&amp;" "&amp;$A17))</f>
        <v>electrician cape town inspection</v>
      </c>
      <c r="C17" s="16" t="str">
        <f t="shared" si="29"/>
        <v>electrical services inspection</v>
      </c>
      <c r="D17" s="16" t="str">
        <f t="shared" si="29"/>
        <v>electrical repairs inspection</v>
      </c>
      <c r="E17" s="16" t="str">
        <f t="shared" si="29"/>
        <v>emergency electrician inspection</v>
      </c>
      <c r="F17" s="16" t="str">
        <f t="shared" si="29"/>
        <v>residential electrician inspection</v>
      </c>
      <c r="G17" s="16" t="str">
        <f t="shared" si="29"/>
        <v>commercial electrician inspection</v>
      </c>
      <c r="H17" s="16" t="str">
        <f t="shared" si="29"/>
        <v>electrical contractor inspection</v>
      </c>
      <c r="I17" s="16" t="str">
        <f t="shared" si="29"/>
        <v>electrical compliance certificate inspection</v>
      </c>
      <c r="J17" s="16" t="str">
        <f t="shared" si="29"/>
        <v>electrical installation inspection</v>
      </c>
      <c r="K17" s="16" t="str">
        <f t="shared" si="29"/>
        <v>electrical maintenance inspection</v>
      </c>
      <c r="L17" s="17" t="str">
        <f>IFERROR(__xludf.DUMMYFUNCTION("""COMPUTED_VALUE"""),"commercial electrician qualified")</f>
        <v>commercial electrician qualified</v>
      </c>
      <c r="M17" s="18"/>
      <c r="N17" s="16" t="str">
        <f t="shared" ref="N17:W17" si="30">IF($A17="","",IF(OR(ISNUMBER(SEARCH(LOWER($A17),LOWER(N$1))),AND(RIGHT(LOWER($A17),1)="s",ISNUMBER(SEARCH(LEFT(LOWER($A17),LEN($A17)-1),LOWER(N$1))))),N$1,$A17&amp;" "&amp;N$1))</f>
        <v>inspection electrician cape town</v>
      </c>
      <c r="O17" s="16" t="str">
        <f t="shared" si="30"/>
        <v>inspection electrical services</v>
      </c>
      <c r="P17" s="16" t="str">
        <f t="shared" si="30"/>
        <v>inspection electrical repairs</v>
      </c>
      <c r="Q17" s="16" t="str">
        <f t="shared" si="30"/>
        <v>inspection emergency electrician</v>
      </c>
      <c r="R17" s="16" t="str">
        <f t="shared" si="30"/>
        <v>inspection residential electrician</v>
      </c>
      <c r="S17" s="16" t="str">
        <f t="shared" si="30"/>
        <v>inspection commercial electrician</v>
      </c>
      <c r="T17" s="16" t="str">
        <f t="shared" si="30"/>
        <v>inspection electrical contractor</v>
      </c>
      <c r="U17" s="16" t="str">
        <f t="shared" si="30"/>
        <v>inspection electrical compliance certificate</v>
      </c>
      <c r="V17" s="16" t="str">
        <f t="shared" si="30"/>
        <v>inspection electrical installation</v>
      </c>
      <c r="W17" s="16" t="str">
        <f t="shared" si="30"/>
        <v>inspection electrical maintenance</v>
      </c>
      <c r="X17" s="19" t="str">
        <f>IFERROR(__xludf.DUMMYFUNCTION("""COMPUTED_VALUE"""),"call out electrical maintenance")</f>
        <v>call out electrical maintenance</v>
      </c>
      <c r="Y17" s="9"/>
      <c r="Z17" s="9"/>
    </row>
    <row r="18">
      <c r="A18" s="15" t="s">
        <v>972</v>
      </c>
      <c r="B18" s="16" t="str">
        <f t="shared" ref="B18:K18" si="31">IF($A18="","",IF(OR(ISNUMBER(SEARCH(LOWER($A18),LOWER(B$1))),AND(RIGHT(LOWER($A18),1)="s",ISNUMBER(SEARCH(LEFT(LOWER($A18),LEN($A18)-1),LOWER(B$1))))),B$1,B$1&amp;" "&amp;$A18))</f>
        <v>electrician cape town repair</v>
      </c>
      <c r="C18" s="16" t="str">
        <f t="shared" si="31"/>
        <v>electrical services repair</v>
      </c>
      <c r="D18" s="16" t="str">
        <f t="shared" si="31"/>
        <v>electrical repairs</v>
      </c>
      <c r="E18" s="16" t="str">
        <f t="shared" si="31"/>
        <v>emergency electrician repair</v>
      </c>
      <c r="F18" s="16" t="str">
        <f t="shared" si="31"/>
        <v>residential electrician repair</v>
      </c>
      <c r="G18" s="16" t="str">
        <f t="shared" si="31"/>
        <v>commercial electrician repair</v>
      </c>
      <c r="H18" s="16" t="str">
        <f t="shared" si="31"/>
        <v>electrical contractor repair</v>
      </c>
      <c r="I18" s="16" t="str">
        <f t="shared" si="31"/>
        <v>electrical compliance certificate repair</v>
      </c>
      <c r="J18" s="16" t="str">
        <f t="shared" si="31"/>
        <v>electrical installation repair</v>
      </c>
      <c r="K18" s="16" t="str">
        <f t="shared" si="31"/>
        <v>electrical maintenance repair</v>
      </c>
      <c r="L18" s="17" t="str">
        <f>IFERROR(__xludf.DUMMYFUNCTION("""COMPUTED_VALUE"""),"commercial electrician quote")</f>
        <v>commercial electrician quote</v>
      </c>
      <c r="M18" s="18"/>
      <c r="N18" s="16" t="str">
        <f t="shared" ref="N18:W18" si="32">IF($A18="","",IF(OR(ISNUMBER(SEARCH(LOWER($A18),LOWER(N$1))),AND(RIGHT(LOWER($A18),1)="s",ISNUMBER(SEARCH(LEFT(LOWER($A18),LEN($A18)-1),LOWER(N$1))))),N$1,$A18&amp;" "&amp;N$1))</f>
        <v>repair electrician cape town</v>
      </c>
      <c r="O18" s="16" t="str">
        <f t="shared" si="32"/>
        <v>repair electrical services</v>
      </c>
      <c r="P18" s="16" t="str">
        <f t="shared" si="32"/>
        <v>electrical repairs</v>
      </c>
      <c r="Q18" s="16" t="str">
        <f t="shared" si="32"/>
        <v>repair emergency electrician</v>
      </c>
      <c r="R18" s="16" t="str">
        <f t="shared" si="32"/>
        <v>repair residential electrician</v>
      </c>
      <c r="S18" s="16" t="str">
        <f t="shared" si="32"/>
        <v>repair commercial electrician</v>
      </c>
      <c r="T18" s="16" t="str">
        <f t="shared" si="32"/>
        <v>repair electrical contractor</v>
      </c>
      <c r="U18" s="16" t="str">
        <f t="shared" si="32"/>
        <v>repair electrical compliance certificate</v>
      </c>
      <c r="V18" s="16" t="str">
        <f t="shared" si="32"/>
        <v>repair electrical installation</v>
      </c>
      <c r="W18" s="16" t="str">
        <f t="shared" si="32"/>
        <v>repair electrical maintenance</v>
      </c>
      <c r="X18" s="19" t="str">
        <f>IFERROR(__xludf.DUMMYFUNCTION("""COMPUTED_VALUE"""),"call out electrical repairs")</f>
        <v>call out electrical repairs</v>
      </c>
      <c r="Y18" s="9"/>
      <c r="Z18" s="9"/>
    </row>
    <row r="19">
      <c r="A19" s="15" t="s">
        <v>1013</v>
      </c>
      <c r="B19" s="16" t="str">
        <f t="shared" ref="B19:K19" si="33">IF($A19="","",IF(OR(ISNUMBER(SEARCH(LOWER($A19),LOWER(B$1))),AND(RIGHT(LOWER($A19),1)="s",ISNUMBER(SEARCH(LEFT(LOWER($A19),LEN($A19)-1),LOWER(B$1))))),B$1,B$1&amp;" "&amp;$A19))</f>
        <v>electrician cape town installation</v>
      </c>
      <c r="C19" s="16" t="str">
        <f t="shared" si="33"/>
        <v>electrical services installation</v>
      </c>
      <c r="D19" s="16" t="str">
        <f t="shared" si="33"/>
        <v>electrical repairs installation</v>
      </c>
      <c r="E19" s="16" t="str">
        <f t="shared" si="33"/>
        <v>emergency electrician installation</v>
      </c>
      <c r="F19" s="16" t="str">
        <f t="shared" si="33"/>
        <v>residential electrician installation</v>
      </c>
      <c r="G19" s="16" t="str">
        <f t="shared" si="33"/>
        <v>commercial electrician installation</v>
      </c>
      <c r="H19" s="16" t="str">
        <f t="shared" si="33"/>
        <v>electrical contractor installation</v>
      </c>
      <c r="I19" s="16" t="str">
        <f t="shared" si="33"/>
        <v>electrical compliance certificate installation</v>
      </c>
      <c r="J19" s="16" t="str">
        <f t="shared" si="33"/>
        <v>electrical installation</v>
      </c>
      <c r="K19" s="16" t="str">
        <f t="shared" si="33"/>
        <v>electrical maintenance installation</v>
      </c>
      <c r="L19" s="17" t="str">
        <f>IFERROR(__xludf.DUMMYFUNCTION("""COMPUTED_VALUE"""),"commercial electrician reliable")</f>
        <v>commercial electrician reliable</v>
      </c>
      <c r="M19" s="18"/>
      <c r="N19" s="16" t="str">
        <f t="shared" ref="N19:W19" si="34">IF($A19="","",IF(OR(ISNUMBER(SEARCH(LOWER($A19),LOWER(N$1))),AND(RIGHT(LOWER($A19),1)="s",ISNUMBER(SEARCH(LEFT(LOWER($A19),LEN($A19)-1),LOWER(N$1))))),N$1,$A19&amp;" "&amp;N$1))</f>
        <v>installation electrician cape town</v>
      </c>
      <c r="O19" s="16" t="str">
        <f t="shared" si="34"/>
        <v>installation electrical services</v>
      </c>
      <c r="P19" s="16" t="str">
        <f t="shared" si="34"/>
        <v>installation electrical repairs</v>
      </c>
      <c r="Q19" s="16" t="str">
        <f t="shared" si="34"/>
        <v>installation emergency electrician</v>
      </c>
      <c r="R19" s="16" t="str">
        <f t="shared" si="34"/>
        <v>installation residential electrician</v>
      </c>
      <c r="S19" s="16" t="str">
        <f t="shared" si="34"/>
        <v>installation commercial electrician</v>
      </c>
      <c r="T19" s="16" t="str">
        <f t="shared" si="34"/>
        <v>installation electrical contractor</v>
      </c>
      <c r="U19" s="16" t="str">
        <f t="shared" si="34"/>
        <v>installation electrical compliance certificate</v>
      </c>
      <c r="V19" s="16" t="str">
        <f t="shared" si="34"/>
        <v>electrical installation</v>
      </c>
      <c r="W19" s="16" t="str">
        <f t="shared" si="34"/>
        <v>installation electrical maintenance</v>
      </c>
      <c r="X19" s="19" t="str">
        <f>IFERROR(__xludf.DUMMYFUNCTION("""COMPUTED_VALUE"""),"call out electrical services")</f>
        <v>call out electrical services</v>
      </c>
      <c r="Y19" s="9"/>
      <c r="Z19" s="9"/>
    </row>
    <row r="20">
      <c r="A20" s="15" t="s">
        <v>1062</v>
      </c>
      <c r="B20" s="16" t="str">
        <f t="shared" ref="B20:K20" si="35">IF($A20="","",IF(OR(ISNUMBER(SEARCH(LOWER($A20),LOWER(B$1))),AND(RIGHT(LOWER($A20),1)="s",ISNUMBER(SEARCH(LEFT(LOWER($A20),LEN($A20)-1),LOWER(B$1))))),B$1,B$1&amp;" "&amp;$A20))</f>
        <v>electrician cape town contractor</v>
      </c>
      <c r="C20" s="16" t="str">
        <f t="shared" si="35"/>
        <v>electrical services contractor</v>
      </c>
      <c r="D20" s="16" t="str">
        <f t="shared" si="35"/>
        <v>electrical repairs contractor</v>
      </c>
      <c r="E20" s="16" t="str">
        <f t="shared" si="35"/>
        <v>emergency electrician contractor</v>
      </c>
      <c r="F20" s="16" t="str">
        <f t="shared" si="35"/>
        <v>residential electrician contractor</v>
      </c>
      <c r="G20" s="16" t="str">
        <f t="shared" si="35"/>
        <v>commercial electrician contractor</v>
      </c>
      <c r="H20" s="16" t="str">
        <f t="shared" si="35"/>
        <v>electrical contractor</v>
      </c>
      <c r="I20" s="16" t="str">
        <f t="shared" si="35"/>
        <v>electrical compliance certificate contractor</v>
      </c>
      <c r="J20" s="16" t="str">
        <f t="shared" si="35"/>
        <v>electrical installation contractor</v>
      </c>
      <c r="K20" s="16" t="str">
        <f t="shared" si="35"/>
        <v>electrical maintenance contractor</v>
      </c>
      <c r="L20" s="17" t="str">
        <f>IFERROR(__xludf.DUMMYFUNCTION("""COMPUTED_VALUE"""),"commercial electrician repair")</f>
        <v>commercial electrician repair</v>
      </c>
      <c r="M20" s="18"/>
      <c r="N20" s="16" t="str">
        <f t="shared" ref="N20:W20" si="36">IF($A20="","",IF(OR(ISNUMBER(SEARCH(LOWER($A20),LOWER(N$1))),AND(RIGHT(LOWER($A20),1)="s",ISNUMBER(SEARCH(LEFT(LOWER($A20),LEN($A20)-1),LOWER(N$1))))),N$1,$A20&amp;" "&amp;N$1))</f>
        <v>contractor electrician cape town</v>
      </c>
      <c r="O20" s="16" t="str">
        <f t="shared" si="36"/>
        <v>contractor electrical services</v>
      </c>
      <c r="P20" s="16" t="str">
        <f t="shared" si="36"/>
        <v>contractor electrical repairs</v>
      </c>
      <c r="Q20" s="16" t="str">
        <f t="shared" si="36"/>
        <v>contractor emergency electrician</v>
      </c>
      <c r="R20" s="16" t="str">
        <f t="shared" si="36"/>
        <v>contractor residential electrician</v>
      </c>
      <c r="S20" s="16" t="str">
        <f t="shared" si="36"/>
        <v>contractor commercial electrician</v>
      </c>
      <c r="T20" s="16" t="str">
        <f t="shared" si="36"/>
        <v>electrical contractor</v>
      </c>
      <c r="U20" s="16" t="str">
        <f t="shared" si="36"/>
        <v>contractor electrical compliance certificate</v>
      </c>
      <c r="V20" s="16" t="str">
        <f t="shared" si="36"/>
        <v>contractor electrical installation</v>
      </c>
      <c r="W20" s="16" t="str">
        <f t="shared" si="36"/>
        <v>contractor electrical maintenance</v>
      </c>
      <c r="X20" s="19" t="str">
        <f>IFERROR(__xludf.DUMMYFUNCTION("""COMPUTED_VALUE"""),"call out electrician cape town")</f>
        <v>call out electrician cape town</v>
      </c>
      <c r="Y20" s="9"/>
      <c r="Z20" s="9"/>
    </row>
    <row r="21">
      <c r="A21" s="15" t="s">
        <v>1110</v>
      </c>
      <c r="B21" s="16" t="str">
        <f t="shared" ref="B21:K21" si="37">IF($A21="","",IF(OR(ISNUMBER(SEARCH(LOWER($A21),LOWER(B$1))),AND(RIGHT(LOWER($A21),1)="s",ISNUMBER(SEARCH(LEFT(LOWER($A21),LEN($A21)-1),LOWER(B$1))))),B$1,B$1&amp;" "&amp;$A21))</f>
        <v>electrician cape town company</v>
      </c>
      <c r="C21" s="16" t="str">
        <f t="shared" si="37"/>
        <v>electrical services company</v>
      </c>
      <c r="D21" s="16" t="str">
        <f t="shared" si="37"/>
        <v>electrical repairs company</v>
      </c>
      <c r="E21" s="16" t="str">
        <f t="shared" si="37"/>
        <v>emergency electrician company</v>
      </c>
      <c r="F21" s="16" t="str">
        <f t="shared" si="37"/>
        <v>residential electrician company</v>
      </c>
      <c r="G21" s="16" t="str">
        <f t="shared" si="37"/>
        <v>commercial electrician company</v>
      </c>
      <c r="H21" s="16" t="str">
        <f t="shared" si="37"/>
        <v>electrical contractor company</v>
      </c>
      <c r="I21" s="16" t="str">
        <f t="shared" si="37"/>
        <v>electrical compliance certificate company</v>
      </c>
      <c r="J21" s="16" t="str">
        <f t="shared" si="37"/>
        <v>electrical installation company</v>
      </c>
      <c r="K21" s="16" t="str">
        <f t="shared" si="37"/>
        <v>electrical maintenance company</v>
      </c>
      <c r="L21" s="17" t="str">
        <f>IFERROR(__xludf.DUMMYFUNCTION("""COMPUTED_VALUE"""),"commercial electrician same day")</f>
        <v>commercial electrician same day</v>
      </c>
      <c r="M21" s="18"/>
      <c r="N21" s="16" t="str">
        <f t="shared" ref="N21:W21" si="38">IF($A21="","",IF(OR(ISNUMBER(SEARCH(LOWER($A21),LOWER(N$1))),AND(RIGHT(LOWER($A21),1)="s",ISNUMBER(SEARCH(LEFT(LOWER($A21),LEN($A21)-1),LOWER(N$1))))),N$1,$A21&amp;" "&amp;N$1))</f>
        <v>company electrician cape town</v>
      </c>
      <c r="O21" s="16" t="str">
        <f t="shared" si="38"/>
        <v>company electrical services</v>
      </c>
      <c r="P21" s="16" t="str">
        <f t="shared" si="38"/>
        <v>company electrical repairs</v>
      </c>
      <c r="Q21" s="16" t="str">
        <f t="shared" si="38"/>
        <v>company emergency electrician</v>
      </c>
      <c r="R21" s="16" t="str">
        <f t="shared" si="38"/>
        <v>company residential electrician</v>
      </c>
      <c r="S21" s="16" t="str">
        <f t="shared" si="38"/>
        <v>company commercial electrician</v>
      </c>
      <c r="T21" s="16" t="str">
        <f t="shared" si="38"/>
        <v>company electrical contractor</v>
      </c>
      <c r="U21" s="16" t="str">
        <f t="shared" si="38"/>
        <v>company electrical compliance certificate</v>
      </c>
      <c r="V21" s="16" t="str">
        <f t="shared" si="38"/>
        <v>company electrical installation</v>
      </c>
      <c r="W21" s="16" t="str">
        <f t="shared" si="38"/>
        <v>company electrical maintenance</v>
      </c>
      <c r="X21" s="19" t="str">
        <f>IFERROR(__xludf.DUMMYFUNCTION("""COMPUTED_VALUE"""),"call out emergency electrician")</f>
        <v>call out emergency electrician</v>
      </c>
      <c r="Y21" s="9"/>
      <c r="Z21" s="9"/>
    </row>
    <row r="22">
      <c r="A22" s="15" t="s">
        <v>1161</v>
      </c>
      <c r="B22" s="16" t="str">
        <f t="shared" ref="B22:K22" si="39">IF($A22="","",IF(OR(ISNUMBER(SEARCH(LOWER($A22),LOWER(B$1))),AND(RIGHT(LOWER($A22),1)="s",ISNUMBER(SEARCH(LEFT(LOWER($A22),LEN($A22)-1),LOWER(B$1))))),B$1,B$1&amp;" "&amp;$A22))</f>
        <v>electrician cape town service</v>
      </c>
      <c r="C22" s="16" t="str">
        <f t="shared" si="39"/>
        <v>electrical services</v>
      </c>
      <c r="D22" s="16" t="str">
        <f t="shared" si="39"/>
        <v>electrical repairs service</v>
      </c>
      <c r="E22" s="16" t="str">
        <f t="shared" si="39"/>
        <v>emergency electrician service</v>
      </c>
      <c r="F22" s="16" t="str">
        <f t="shared" si="39"/>
        <v>residential electrician service</v>
      </c>
      <c r="G22" s="16" t="str">
        <f t="shared" si="39"/>
        <v>commercial electrician service</v>
      </c>
      <c r="H22" s="16" t="str">
        <f t="shared" si="39"/>
        <v>electrical contractor service</v>
      </c>
      <c r="I22" s="16" t="str">
        <f t="shared" si="39"/>
        <v>electrical compliance certificate service</v>
      </c>
      <c r="J22" s="16" t="str">
        <f t="shared" si="39"/>
        <v>electrical installation service</v>
      </c>
      <c r="K22" s="16" t="str">
        <f t="shared" si="39"/>
        <v>electrical maintenance service</v>
      </c>
      <c r="L22" s="17" t="str">
        <f>IFERROR(__xludf.DUMMYFUNCTION("""COMPUTED_VALUE"""),"commercial electrician service")</f>
        <v>commercial electrician service</v>
      </c>
      <c r="M22" s="18"/>
      <c r="N22" s="16" t="str">
        <f t="shared" ref="N22:W22" si="40">IF($A22="","",IF(OR(ISNUMBER(SEARCH(LOWER($A22),LOWER(N$1))),AND(RIGHT(LOWER($A22),1)="s",ISNUMBER(SEARCH(LEFT(LOWER($A22),LEN($A22)-1),LOWER(N$1))))),N$1,$A22&amp;" "&amp;N$1))</f>
        <v>service electrician cape town</v>
      </c>
      <c r="O22" s="16" t="str">
        <f t="shared" si="40"/>
        <v>electrical services</v>
      </c>
      <c r="P22" s="16" t="str">
        <f t="shared" si="40"/>
        <v>service electrical repairs</v>
      </c>
      <c r="Q22" s="16" t="str">
        <f t="shared" si="40"/>
        <v>service emergency electrician</v>
      </c>
      <c r="R22" s="16" t="str">
        <f t="shared" si="40"/>
        <v>service residential electrician</v>
      </c>
      <c r="S22" s="16" t="str">
        <f t="shared" si="40"/>
        <v>service commercial electrician</v>
      </c>
      <c r="T22" s="16" t="str">
        <f t="shared" si="40"/>
        <v>service electrical contractor</v>
      </c>
      <c r="U22" s="16" t="str">
        <f t="shared" si="40"/>
        <v>service electrical compliance certificate</v>
      </c>
      <c r="V22" s="16" t="str">
        <f t="shared" si="40"/>
        <v>service electrical installation</v>
      </c>
      <c r="W22" s="16" t="str">
        <f t="shared" si="40"/>
        <v>service electrical maintenance</v>
      </c>
      <c r="X22" s="19" t="str">
        <f>IFERROR(__xludf.DUMMYFUNCTION("""COMPUTED_VALUE"""),"call out residential electrician")</f>
        <v>call out residential electrician</v>
      </c>
      <c r="Y22" s="9"/>
      <c r="Z22" s="9"/>
    </row>
    <row r="23">
      <c r="A23" s="20"/>
      <c r="B23" s="21" t="str">
        <f t="shared" ref="B23:K23" si="41">IF($A23="","",IF(OR(ISNUMBER(SEARCH(LOWER($A23),LOWER(B$1))),AND(RIGHT(LOWER($A23),1)="s",ISNUMBER(SEARCH(LEFT(LOWER($A23),LEN($A23)-1),LOWER(B$1))))),B$1,B$1&amp;" "&amp;$A23))</f>
        <v/>
      </c>
      <c r="C23" s="21" t="str">
        <f t="shared" si="41"/>
        <v/>
      </c>
      <c r="D23" s="21" t="str">
        <f t="shared" si="41"/>
        <v/>
      </c>
      <c r="E23" s="21" t="str">
        <f t="shared" si="41"/>
        <v/>
      </c>
      <c r="F23" s="21" t="str">
        <f t="shared" si="41"/>
        <v/>
      </c>
      <c r="G23" s="21" t="str">
        <f t="shared" si="41"/>
        <v/>
      </c>
      <c r="H23" s="21" t="str">
        <f t="shared" si="41"/>
        <v/>
      </c>
      <c r="I23" s="21" t="str">
        <f t="shared" si="41"/>
        <v/>
      </c>
      <c r="J23" s="21" t="str">
        <f t="shared" si="41"/>
        <v/>
      </c>
      <c r="K23" s="21" t="str">
        <f t="shared" si="41"/>
        <v/>
      </c>
      <c r="L23" s="17" t="str">
        <f>IFERROR(__xludf.DUMMYFUNCTION("""COMPUTED_VALUE"""),"electrical compliance certificate affordable")</f>
        <v>electrical compliance certificate affordable</v>
      </c>
      <c r="M23" s="18"/>
      <c r="N23" s="21" t="str">
        <f t="shared" ref="N23:W23" si="42">IF($A23="","",IF(OR(ISNUMBER(SEARCH(LOWER($A23),LOWER(N$1))),AND(RIGHT(LOWER($A23),1)="s",ISNUMBER(SEARCH(LEFT(LOWER($A23),LEN($A23)-1),LOWER(N$1))))),N$1,$A23&amp;" "&amp;N$1))</f>
        <v/>
      </c>
      <c r="O23" s="21" t="str">
        <f t="shared" si="42"/>
        <v/>
      </c>
      <c r="P23" s="21" t="str">
        <f t="shared" si="42"/>
        <v/>
      </c>
      <c r="Q23" s="21" t="str">
        <f t="shared" si="42"/>
        <v/>
      </c>
      <c r="R23" s="21" t="str">
        <f t="shared" si="42"/>
        <v/>
      </c>
      <c r="S23" s="21" t="str">
        <f t="shared" si="42"/>
        <v/>
      </c>
      <c r="T23" s="21" t="str">
        <f t="shared" si="42"/>
        <v/>
      </c>
      <c r="U23" s="21" t="str">
        <f t="shared" si="42"/>
        <v/>
      </c>
      <c r="V23" s="21" t="str">
        <f t="shared" si="42"/>
        <v/>
      </c>
      <c r="W23" s="21" t="str">
        <f t="shared" si="42"/>
        <v/>
      </c>
      <c r="X23" s="19" t="str">
        <f>IFERROR(__xludf.DUMMYFUNCTION("""COMPUTED_VALUE"""),"cape town commercial electrician")</f>
        <v>cape town commercial electrician</v>
      </c>
      <c r="Y23" s="9"/>
      <c r="Z23" s="9"/>
    </row>
    <row r="24">
      <c r="A24" s="20"/>
      <c r="B24" s="21" t="str">
        <f t="shared" ref="B24:K24" si="43">IF($A24="","",IF(OR(ISNUMBER(SEARCH(LOWER($A24),LOWER(B$1))),AND(RIGHT(LOWER($A24),1)="s",ISNUMBER(SEARCH(LEFT(LOWER($A24),LEN($A24)-1),LOWER(B$1))))),B$1,B$1&amp;" "&amp;$A24))</f>
        <v/>
      </c>
      <c r="C24" s="21" t="str">
        <f t="shared" si="43"/>
        <v/>
      </c>
      <c r="D24" s="21" t="str">
        <f t="shared" si="43"/>
        <v/>
      </c>
      <c r="E24" s="21" t="str">
        <f t="shared" si="43"/>
        <v/>
      </c>
      <c r="F24" s="21" t="str">
        <f t="shared" si="43"/>
        <v/>
      </c>
      <c r="G24" s="21" t="str">
        <f t="shared" si="43"/>
        <v/>
      </c>
      <c r="H24" s="21" t="str">
        <f t="shared" si="43"/>
        <v/>
      </c>
      <c r="I24" s="21" t="str">
        <f t="shared" si="43"/>
        <v/>
      </c>
      <c r="J24" s="21" t="str">
        <f t="shared" si="43"/>
        <v/>
      </c>
      <c r="K24" s="21" t="str">
        <f t="shared" si="43"/>
        <v/>
      </c>
      <c r="L24" s="17" t="str">
        <f>IFERROR(__xludf.DUMMYFUNCTION("""COMPUTED_VALUE"""),"electrical compliance certificate call out")</f>
        <v>electrical compliance certificate call out</v>
      </c>
      <c r="M24" s="18"/>
      <c r="N24" s="21" t="str">
        <f t="shared" ref="N24:W24" si="44">IF($A24="","",IF(OR(ISNUMBER(SEARCH(LOWER($A24),LOWER(N$1))),AND(RIGHT(LOWER($A24),1)="s",ISNUMBER(SEARCH(LEFT(LOWER($A24),LEN($A24)-1),LOWER(N$1))))),N$1,$A24&amp;" "&amp;N$1))</f>
        <v/>
      </c>
      <c r="O24" s="21" t="str">
        <f t="shared" si="44"/>
        <v/>
      </c>
      <c r="P24" s="21" t="str">
        <f t="shared" si="44"/>
        <v/>
      </c>
      <c r="Q24" s="21" t="str">
        <f t="shared" si="44"/>
        <v/>
      </c>
      <c r="R24" s="21" t="str">
        <f t="shared" si="44"/>
        <v/>
      </c>
      <c r="S24" s="21" t="str">
        <f t="shared" si="44"/>
        <v/>
      </c>
      <c r="T24" s="21" t="str">
        <f t="shared" si="44"/>
        <v/>
      </c>
      <c r="U24" s="21" t="str">
        <f t="shared" si="44"/>
        <v/>
      </c>
      <c r="V24" s="21" t="str">
        <f t="shared" si="44"/>
        <v/>
      </c>
      <c r="W24" s="21" t="str">
        <f t="shared" si="44"/>
        <v/>
      </c>
      <c r="X24" s="19" t="str">
        <f>IFERROR(__xludf.DUMMYFUNCTION("""COMPUTED_VALUE"""),"cape town electrical compliance certificate")</f>
        <v>cape town electrical compliance certificate</v>
      </c>
      <c r="Y24" s="9"/>
      <c r="Z24" s="9"/>
    </row>
    <row r="25">
      <c r="A25" s="20"/>
      <c r="B25" s="21" t="str">
        <f t="shared" ref="B25:K25" si="45">IF($A25="","",IF(OR(ISNUMBER(SEARCH(LOWER($A25),LOWER(B$1))),AND(RIGHT(LOWER($A25),1)="s",ISNUMBER(SEARCH(LEFT(LOWER($A25),LEN($A25)-1),LOWER(B$1))))),B$1,B$1&amp;" "&amp;$A25))</f>
        <v/>
      </c>
      <c r="C25" s="21" t="str">
        <f t="shared" si="45"/>
        <v/>
      </c>
      <c r="D25" s="21" t="str">
        <f t="shared" si="45"/>
        <v/>
      </c>
      <c r="E25" s="21" t="str">
        <f t="shared" si="45"/>
        <v/>
      </c>
      <c r="F25" s="21" t="str">
        <f t="shared" si="45"/>
        <v/>
      </c>
      <c r="G25" s="21" t="str">
        <f t="shared" si="45"/>
        <v/>
      </c>
      <c r="H25" s="21" t="str">
        <f t="shared" si="45"/>
        <v/>
      </c>
      <c r="I25" s="21" t="str">
        <f t="shared" si="45"/>
        <v/>
      </c>
      <c r="J25" s="21" t="str">
        <f t="shared" si="45"/>
        <v/>
      </c>
      <c r="K25" s="21" t="str">
        <f t="shared" si="45"/>
        <v/>
      </c>
      <c r="L25" s="17" t="str">
        <f>IFERROR(__xludf.DUMMYFUNCTION("""COMPUTED_VALUE"""),"electrical compliance certificate cape town")</f>
        <v>electrical compliance certificate cape town</v>
      </c>
      <c r="M25" s="18"/>
      <c r="N25" s="21" t="str">
        <f t="shared" ref="N25:W25" si="46">IF($A25="","",IF(OR(ISNUMBER(SEARCH(LOWER($A25),LOWER(N$1))),AND(RIGHT(LOWER($A25),1)="s",ISNUMBER(SEARCH(LEFT(LOWER($A25),LEN($A25)-1),LOWER(N$1))))),N$1,$A25&amp;" "&amp;N$1))</f>
        <v/>
      </c>
      <c r="O25" s="21" t="str">
        <f t="shared" si="46"/>
        <v/>
      </c>
      <c r="P25" s="21" t="str">
        <f t="shared" si="46"/>
        <v/>
      </c>
      <c r="Q25" s="21" t="str">
        <f t="shared" si="46"/>
        <v/>
      </c>
      <c r="R25" s="21" t="str">
        <f t="shared" si="46"/>
        <v/>
      </c>
      <c r="S25" s="21" t="str">
        <f t="shared" si="46"/>
        <v/>
      </c>
      <c r="T25" s="21" t="str">
        <f t="shared" si="46"/>
        <v/>
      </c>
      <c r="U25" s="21" t="str">
        <f t="shared" si="46"/>
        <v/>
      </c>
      <c r="V25" s="21" t="str">
        <f t="shared" si="46"/>
        <v/>
      </c>
      <c r="W25" s="21" t="str">
        <f t="shared" si="46"/>
        <v/>
      </c>
      <c r="X25" s="19" t="str">
        <f>IFERROR(__xludf.DUMMYFUNCTION("""COMPUTED_VALUE"""),"cape town electrical contractor")</f>
        <v>cape town electrical contractor</v>
      </c>
      <c r="Y25" s="9"/>
      <c r="Z25" s="9"/>
    </row>
    <row r="26">
      <c r="A26" s="20"/>
      <c r="B26" s="21" t="str">
        <f t="shared" ref="B26:K26" si="47">IF($A26="","",IF(OR(ISNUMBER(SEARCH(LOWER($A26),LOWER(B$1))),AND(RIGHT(LOWER($A26),1)="s",ISNUMBER(SEARCH(LEFT(LOWER($A26),LEN($A26)-1),LOWER(B$1))))),B$1,B$1&amp;" "&amp;$A26))</f>
        <v/>
      </c>
      <c r="C26" s="21" t="str">
        <f t="shared" si="47"/>
        <v/>
      </c>
      <c r="D26" s="21" t="str">
        <f t="shared" si="47"/>
        <v/>
      </c>
      <c r="E26" s="21" t="str">
        <f t="shared" si="47"/>
        <v/>
      </c>
      <c r="F26" s="21" t="str">
        <f t="shared" si="47"/>
        <v/>
      </c>
      <c r="G26" s="21" t="str">
        <f t="shared" si="47"/>
        <v/>
      </c>
      <c r="H26" s="21" t="str">
        <f t="shared" si="47"/>
        <v/>
      </c>
      <c r="I26" s="21" t="str">
        <f t="shared" si="47"/>
        <v/>
      </c>
      <c r="J26" s="21" t="str">
        <f t="shared" si="47"/>
        <v/>
      </c>
      <c r="K26" s="21" t="str">
        <f t="shared" si="47"/>
        <v/>
      </c>
      <c r="L26" s="17" t="str">
        <f>IFERROR(__xludf.DUMMYFUNCTION("""COMPUTED_VALUE"""),"electrical compliance certificate COC")</f>
        <v>electrical compliance certificate COC</v>
      </c>
      <c r="M26" s="18"/>
      <c r="N26" s="21" t="str">
        <f t="shared" ref="N26:W26" si="48">IF($A26="","",IF(OR(ISNUMBER(SEARCH(LOWER($A26),LOWER(N$1))),AND(RIGHT(LOWER($A26),1)="s",ISNUMBER(SEARCH(LEFT(LOWER($A26),LEN($A26)-1),LOWER(N$1))))),N$1,$A26&amp;" "&amp;N$1))</f>
        <v/>
      </c>
      <c r="O26" s="21" t="str">
        <f t="shared" si="48"/>
        <v/>
      </c>
      <c r="P26" s="21" t="str">
        <f t="shared" si="48"/>
        <v/>
      </c>
      <c r="Q26" s="21" t="str">
        <f t="shared" si="48"/>
        <v/>
      </c>
      <c r="R26" s="21" t="str">
        <f t="shared" si="48"/>
        <v/>
      </c>
      <c r="S26" s="21" t="str">
        <f t="shared" si="48"/>
        <v/>
      </c>
      <c r="T26" s="21" t="str">
        <f t="shared" si="48"/>
        <v/>
      </c>
      <c r="U26" s="21" t="str">
        <f t="shared" si="48"/>
        <v/>
      </c>
      <c r="V26" s="21" t="str">
        <f t="shared" si="48"/>
        <v/>
      </c>
      <c r="W26" s="21" t="str">
        <f t="shared" si="48"/>
        <v/>
      </c>
      <c r="X26" s="19" t="str">
        <f>IFERROR(__xludf.DUMMYFUNCTION("""COMPUTED_VALUE"""),"cape town electrical installation")</f>
        <v>cape town electrical installation</v>
      </c>
      <c r="Y26" s="9"/>
      <c r="Z26" s="9"/>
    </row>
    <row r="27">
      <c r="A27" s="20"/>
      <c r="B27" s="21" t="str">
        <f t="shared" ref="B27:K27" si="49">IF($A27="","",IF(OR(ISNUMBER(SEARCH(LOWER($A27),LOWER(B$1))),AND(RIGHT(LOWER($A27),1)="s",ISNUMBER(SEARCH(LEFT(LOWER($A27),LEN($A27)-1),LOWER(B$1))))),B$1,B$1&amp;" "&amp;$A27))</f>
        <v/>
      </c>
      <c r="C27" s="21" t="str">
        <f t="shared" si="49"/>
        <v/>
      </c>
      <c r="D27" s="21" t="str">
        <f t="shared" si="49"/>
        <v/>
      </c>
      <c r="E27" s="21" t="str">
        <f t="shared" si="49"/>
        <v/>
      </c>
      <c r="F27" s="21" t="str">
        <f t="shared" si="49"/>
        <v/>
      </c>
      <c r="G27" s="21" t="str">
        <f t="shared" si="49"/>
        <v/>
      </c>
      <c r="H27" s="21" t="str">
        <f t="shared" si="49"/>
        <v/>
      </c>
      <c r="I27" s="21" t="str">
        <f t="shared" si="49"/>
        <v/>
      </c>
      <c r="J27" s="21" t="str">
        <f t="shared" si="49"/>
        <v/>
      </c>
      <c r="K27" s="21" t="str">
        <f t="shared" si="49"/>
        <v/>
      </c>
      <c r="L27" s="17" t="str">
        <f>IFERROR(__xludf.DUMMYFUNCTION("""COMPUTED_VALUE"""),"electrical compliance certificate company")</f>
        <v>electrical compliance certificate company</v>
      </c>
      <c r="M27" s="18"/>
      <c r="N27" s="21" t="str">
        <f t="shared" ref="N27:W27" si="50">IF($A27="","",IF(OR(ISNUMBER(SEARCH(LOWER($A27),LOWER(N$1))),AND(RIGHT(LOWER($A27),1)="s",ISNUMBER(SEARCH(LEFT(LOWER($A27),LEN($A27)-1),LOWER(N$1))))),N$1,$A27&amp;" "&amp;N$1))</f>
        <v/>
      </c>
      <c r="O27" s="21" t="str">
        <f t="shared" si="50"/>
        <v/>
      </c>
      <c r="P27" s="21" t="str">
        <f t="shared" si="50"/>
        <v/>
      </c>
      <c r="Q27" s="21" t="str">
        <f t="shared" si="50"/>
        <v/>
      </c>
      <c r="R27" s="21" t="str">
        <f t="shared" si="50"/>
        <v/>
      </c>
      <c r="S27" s="21" t="str">
        <f t="shared" si="50"/>
        <v/>
      </c>
      <c r="T27" s="21" t="str">
        <f t="shared" si="50"/>
        <v/>
      </c>
      <c r="U27" s="21" t="str">
        <f t="shared" si="50"/>
        <v/>
      </c>
      <c r="V27" s="21" t="str">
        <f t="shared" si="50"/>
        <v/>
      </c>
      <c r="W27" s="21" t="str">
        <f t="shared" si="50"/>
        <v/>
      </c>
      <c r="X27" s="19" t="str">
        <f>IFERROR(__xludf.DUMMYFUNCTION("""COMPUTED_VALUE"""),"cape town electrical maintenance")</f>
        <v>cape town electrical maintenance</v>
      </c>
      <c r="Y27" s="9"/>
      <c r="Z27" s="9"/>
    </row>
    <row r="28">
      <c r="A28" s="20"/>
      <c r="B28" s="21" t="str">
        <f t="shared" ref="B28:K28" si="51">IF($A28="","",IF(OR(ISNUMBER(SEARCH(LOWER($A28),LOWER(B$1))),AND(RIGHT(LOWER($A28),1)="s",ISNUMBER(SEARCH(LEFT(LOWER($A28),LEN($A28)-1),LOWER(B$1))))),B$1,B$1&amp;" "&amp;$A28))</f>
        <v/>
      </c>
      <c r="C28" s="21" t="str">
        <f t="shared" si="51"/>
        <v/>
      </c>
      <c r="D28" s="21" t="str">
        <f t="shared" si="51"/>
        <v/>
      </c>
      <c r="E28" s="21" t="str">
        <f t="shared" si="51"/>
        <v/>
      </c>
      <c r="F28" s="21" t="str">
        <f t="shared" si="51"/>
        <v/>
      </c>
      <c r="G28" s="21" t="str">
        <f t="shared" si="51"/>
        <v/>
      </c>
      <c r="H28" s="21" t="str">
        <f t="shared" si="51"/>
        <v/>
      </c>
      <c r="I28" s="21" t="str">
        <f t="shared" si="51"/>
        <v/>
      </c>
      <c r="J28" s="21" t="str">
        <f t="shared" si="51"/>
        <v/>
      </c>
      <c r="K28" s="21" t="str">
        <f t="shared" si="51"/>
        <v/>
      </c>
      <c r="L28" s="17" t="str">
        <f>IFERROR(__xludf.DUMMYFUNCTION("""COMPUTED_VALUE"""),"electrical compliance certificate contractor")</f>
        <v>electrical compliance certificate contractor</v>
      </c>
      <c r="M28" s="18"/>
      <c r="N28" s="21" t="str">
        <f t="shared" ref="N28:W28" si="52">IF($A28="","",IF(OR(ISNUMBER(SEARCH(LOWER($A28),LOWER(N$1))),AND(RIGHT(LOWER($A28),1)="s",ISNUMBER(SEARCH(LEFT(LOWER($A28),LEN($A28)-1),LOWER(N$1))))),N$1,$A28&amp;" "&amp;N$1))</f>
        <v/>
      </c>
      <c r="O28" s="21" t="str">
        <f t="shared" si="52"/>
        <v/>
      </c>
      <c r="P28" s="21" t="str">
        <f t="shared" si="52"/>
        <v/>
      </c>
      <c r="Q28" s="21" t="str">
        <f t="shared" si="52"/>
        <v/>
      </c>
      <c r="R28" s="21" t="str">
        <f t="shared" si="52"/>
        <v/>
      </c>
      <c r="S28" s="21" t="str">
        <f t="shared" si="52"/>
        <v/>
      </c>
      <c r="T28" s="21" t="str">
        <f t="shared" si="52"/>
        <v/>
      </c>
      <c r="U28" s="21" t="str">
        <f t="shared" si="52"/>
        <v/>
      </c>
      <c r="V28" s="21" t="str">
        <f t="shared" si="52"/>
        <v/>
      </c>
      <c r="W28" s="21" t="str">
        <f t="shared" si="52"/>
        <v/>
      </c>
      <c r="X28" s="19" t="str">
        <f>IFERROR(__xludf.DUMMYFUNCTION("""COMPUTED_VALUE"""),"cape town electrical repairs")</f>
        <v>cape town electrical repairs</v>
      </c>
      <c r="Y28" s="9"/>
      <c r="Z28" s="9"/>
    </row>
    <row r="29">
      <c r="A29" s="20"/>
      <c r="B29" s="21" t="str">
        <f t="shared" ref="B29:K29" si="53">IF($A29="","",IF(OR(ISNUMBER(SEARCH(LOWER($A29),LOWER(B$1))),AND(RIGHT(LOWER($A29),1)="s",ISNUMBER(SEARCH(LEFT(LOWER($A29),LEN($A29)-1),LOWER(B$1))))),B$1,B$1&amp;" "&amp;$A29))</f>
        <v/>
      </c>
      <c r="C29" s="21" t="str">
        <f t="shared" si="53"/>
        <v/>
      </c>
      <c r="D29" s="21" t="str">
        <f t="shared" si="53"/>
        <v/>
      </c>
      <c r="E29" s="21" t="str">
        <f t="shared" si="53"/>
        <v/>
      </c>
      <c r="F29" s="21" t="str">
        <f t="shared" si="53"/>
        <v/>
      </c>
      <c r="G29" s="21" t="str">
        <f t="shared" si="53"/>
        <v/>
      </c>
      <c r="H29" s="21" t="str">
        <f t="shared" si="53"/>
        <v/>
      </c>
      <c r="I29" s="21" t="str">
        <f t="shared" si="53"/>
        <v/>
      </c>
      <c r="J29" s="21" t="str">
        <f t="shared" si="53"/>
        <v/>
      </c>
      <c r="K29" s="21" t="str">
        <f t="shared" si="53"/>
        <v/>
      </c>
      <c r="L29" s="17" t="str">
        <f>IFERROR(__xludf.DUMMYFUNCTION("""COMPUTED_VALUE"""),"electrical compliance certificate cost")</f>
        <v>electrical compliance certificate cost</v>
      </c>
      <c r="M29" s="18"/>
      <c r="N29" s="21" t="str">
        <f t="shared" ref="N29:W29" si="54">IF($A29="","",IF(OR(ISNUMBER(SEARCH(LOWER($A29),LOWER(N$1))),AND(RIGHT(LOWER($A29),1)="s",ISNUMBER(SEARCH(LEFT(LOWER($A29),LEN($A29)-1),LOWER(N$1))))),N$1,$A29&amp;" "&amp;N$1))</f>
        <v/>
      </c>
      <c r="O29" s="21" t="str">
        <f t="shared" si="54"/>
        <v/>
      </c>
      <c r="P29" s="21" t="str">
        <f t="shared" si="54"/>
        <v/>
      </c>
      <c r="Q29" s="21" t="str">
        <f t="shared" si="54"/>
        <v/>
      </c>
      <c r="R29" s="21" t="str">
        <f t="shared" si="54"/>
        <v/>
      </c>
      <c r="S29" s="21" t="str">
        <f t="shared" si="54"/>
        <v/>
      </c>
      <c r="T29" s="21" t="str">
        <f t="shared" si="54"/>
        <v/>
      </c>
      <c r="U29" s="21" t="str">
        <f t="shared" si="54"/>
        <v/>
      </c>
      <c r="V29" s="21" t="str">
        <f t="shared" si="54"/>
        <v/>
      </c>
      <c r="W29" s="21" t="str">
        <f t="shared" si="54"/>
        <v/>
      </c>
      <c r="X29" s="19" t="str">
        <f>IFERROR(__xludf.DUMMYFUNCTION("""COMPUTED_VALUE"""),"cape town electrical services")</f>
        <v>cape town electrical services</v>
      </c>
      <c r="Y29" s="9"/>
      <c r="Z29" s="9"/>
    </row>
    <row r="30">
      <c r="A30" s="20"/>
      <c r="B30" s="21" t="str">
        <f t="shared" ref="B30:K30" si="55">IF($A30="","",IF(OR(ISNUMBER(SEARCH(LOWER($A30),LOWER(B$1))),AND(RIGHT(LOWER($A30),1)="s",ISNUMBER(SEARCH(LEFT(LOWER($A30),LEN($A30)-1),LOWER(B$1))))),B$1,B$1&amp;" "&amp;$A30))</f>
        <v/>
      </c>
      <c r="C30" s="21" t="str">
        <f t="shared" si="55"/>
        <v/>
      </c>
      <c r="D30" s="21" t="str">
        <f t="shared" si="55"/>
        <v/>
      </c>
      <c r="E30" s="21" t="str">
        <f t="shared" si="55"/>
        <v/>
      </c>
      <c r="F30" s="21" t="str">
        <f t="shared" si="55"/>
        <v/>
      </c>
      <c r="G30" s="21" t="str">
        <f t="shared" si="55"/>
        <v/>
      </c>
      <c r="H30" s="21" t="str">
        <f t="shared" si="55"/>
        <v/>
      </c>
      <c r="I30" s="21" t="str">
        <f t="shared" si="55"/>
        <v/>
      </c>
      <c r="J30" s="21" t="str">
        <f t="shared" si="55"/>
        <v/>
      </c>
      <c r="K30" s="21" t="str">
        <f t="shared" si="55"/>
        <v/>
      </c>
      <c r="L30" s="17" t="str">
        <f>IFERROR(__xludf.DUMMYFUNCTION("""COMPUTED_VALUE"""),"electrical compliance certificate emergency")</f>
        <v>electrical compliance certificate emergency</v>
      </c>
      <c r="M30" s="18"/>
      <c r="N30" s="21" t="str">
        <f t="shared" ref="N30:W30" si="56">IF($A30="","",IF(OR(ISNUMBER(SEARCH(LOWER($A30),LOWER(N$1))),AND(RIGHT(LOWER($A30),1)="s",ISNUMBER(SEARCH(LEFT(LOWER($A30),LEN($A30)-1),LOWER(N$1))))),N$1,$A30&amp;" "&amp;N$1))</f>
        <v/>
      </c>
      <c r="O30" s="21" t="str">
        <f t="shared" si="56"/>
        <v/>
      </c>
      <c r="P30" s="21" t="str">
        <f t="shared" si="56"/>
        <v/>
      </c>
      <c r="Q30" s="21" t="str">
        <f t="shared" si="56"/>
        <v/>
      </c>
      <c r="R30" s="21" t="str">
        <f t="shared" si="56"/>
        <v/>
      </c>
      <c r="S30" s="21" t="str">
        <f t="shared" si="56"/>
        <v/>
      </c>
      <c r="T30" s="21" t="str">
        <f t="shared" si="56"/>
        <v/>
      </c>
      <c r="U30" s="21" t="str">
        <f t="shared" si="56"/>
        <v/>
      </c>
      <c r="V30" s="21" t="str">
        <f t="shared" si="56"/>
        <v/>
      </c>
      <c r="W30" s="21" t="str">
        <f t="shared" si="56"/>
        <v/>
      </c>
      <c r="X30" s="19" t="str">
        <f>IFERROR(__xludf.DUMMYFUNCTION("""COMPUTED_VALUE"""),"cape town emergency electrician")</f>
        <v>cape town emergency electrician</v>
      </c>
      <c r="Y30" s="9"/>
      <c r="Z30" s="9"/>
    </row>
    <row r="31">
      <c r="A31" s="20"/>
      <c r="B31" s="21" t="str">
        <f t="shared" ref="B31:K31" si="57">IF($A31="","",IF(OR(ISNUMBER(SEARCH(LOWER($A31),LOWER(B$1))),AND(RIGHT(LOWER($A31),1)="s",ISNUMBER(SEARCH(LEFT(LOWER($A31),LEN($A31)-1),LOWER(B$1))))),B$1,B$1&amp;" "&amp;$A31))</f>
        <v/>
      </c>
      <c r="C31" s="21" t="str">
        <f t="shared" si="57"/>
        <v/>
      </c>
      <c r="D31" s="21" t="str">
        <f t="shared" si="57"/>
        <v/>
      </c>
      <c r="E31" s="21" t="str">
        <f t="shared" si="57"/>
        <v/>
      </c>
      <c r="F31" s="21" t="str">
        <f t="shared" si="57"/>
        <v/>
      </c>
      <c r="G31" s="21" t="str">
        <f t="shared" si="57"/>
        <v/>
      </c>
      <c r="H31" s="21" t="str">
        <f t="shared" si="57"/>
        <v/>
      </c>
      <c r="I31" s="21" t="str">
        <f t="shared" si="57"/>
        <v/>
      </c>
      <c r="J31" s="21" t="str">
        <f t="shared" si="57"/>
        <v/>
      </c>
      <c r="K31" s="21" t="str">
        <f t="shared" si="57"/>
        <v/>
      </c>
      <c r="L31" s="17" t="str">
        <f>IFERROR(__xludf.DUMMYFUNCTION("""COMPUTED_VALUE"""),"electrical compliance certificate inspection")</f>
        <v>electrical compliance certificate inspection</v>
      </c>
      <c r="M31" s="18"/>
      <c r="N31" s="21" t="str">
        <f t="shared" ref="N31:W31" si="58">IF($A31="","",IF(OR(ISNUMBER(SEARCH(LOWER($A31),LOWER(N$1))),AND(RIGHT(LOWER($A31),1)="s",ISNUMBER(SEARCH(LEFT(LOWER($A31),LEN($A31)-1),LOWER(N$1))))),N$1,$A31&amp;" "&amp;N$1))</f>
        <v/>
      </c>
      <c r="O31" s="21" t="str">
        <f t="shared" si="58"/>
        <v/>
      </c>
      <c r="P31" s="21" t="str">
        <f t="shared" si="58"/>
        <v/>
      </c>
      <c r="Q31" s="21" t="str">
        <f t="shared" si="58"/>
        <v/>
      </c>
      <c r="R31" s="21" t="str">
        <f t="shared" si="58"/>
        <v/>
      </c>
      <c r="S31" s="21" t="str">
        <f t="shared" si="58"/>
        <v/>
      </c>
      <c r="T31" s="21" t="str">
        <f t="shared" si="58"/>
        <v/>
      </c>
      <c r="U31" s="21" t="str">
        <f t="shared" si="58"/>
        <v/>
      </c>
      <c r="V31" s="21" t="str">
        <f t="shared" si="58"/>
        <v/>
      </c>
      <c r="W31" s="21" t="str">
        <f t="shared" si="58"/>
        <v/>
      </c>
      <c r="X31" s="19" t="str">
        <f>IFERROR(__xludf.DUMMYFUNCTION("""COMPUTED_VALUE"""),"cape town residential electrician")</f>
        <v>cape town residential electrician</v>
      </c>
      <c r="Y31" s="9"/>
      <c r="Z31" s="9"/>
    </row>
    <row r="32">
      <c r="A32" s="20"/>
      <c r="B32" s="21" t="str">
        <f t="shared" ref="B32:K32" si="59">IF($A32="","",IF(OR(ISNUMBER(SEARCH(LOWER($A32),LOWER(B$1))),AND(RIGHT(LOWER($A32),1)="s",ISNUMBER(SEARCH(LEFT(LOWER($A32),LEN($A32)-1),LOWER(B$1))))),B$1,B$1&amp;" "&amp;$A32))</f>
        <v/>
      </c>
      <c r="C32" s="21" t="str">
        <f t="shared" si="59"/>
        <v/>
      </c>
      <c r="D32" s="21" t="str">
        <f t="shared" si="59"/>
        <v/>
      </c>
      <c r="E32" s="21" t="str">
        <f t="shared" si="59"/>
        <v/>
      </c>
      <c r="F32" s="21" t="str">
        <f t="shared" si="59"/>
        <v/>
      </c>
      <c r="G32" s="21" t="str">
        <f t="shared" si="59"/>
        <v/>
      </c>
      <c r="H32" s="21" t="str">
        <f t="shared" si="59"/>
        <v/>
      </c>
      <c r="I32" s="21" t="str">
        <f t="shared" si="59"/>
        <v/>
      </c>
      <c r="J32" s="21" t="str">
        <f t="shared" si="59"/>
        <v/>
      </c>
      <c r="K32" s="21" t="str">
        <f t="shared" si="59"/>
        <v/>
      </c>
      <c r="L32" s="17" t="str">
        <f>IFERROR(__xludf.DUMMYFUNCTION("""COMPUTED_VALUE"""),"electrical compliance certificate installation")</f>
        <v>electrical compliance certificate installation</v>
      </c>
      <c r="M32" s="18"/>
      <c r="N32" s="21" t="str">
        <f t="shared" ref="N32:W32" si="60">IF($A32="","",IF(OR(ISNUMBER(SEARCH(LOWER($A32),LOWER(N$1))),AND(RIGHT(LOWER($A32),1)="s",ISNUMBER(SEARCH(LEFT(LOWER($A32),LEN($A32)-1),LOWER(N$1))))),N$1,$A32&amp;" "&amp;N$1))</f>
        <v/>
      </c>
      <c r="O32" s="21" t="str">
        <f t="shared" si="60"/>
        <v/>
      </c>
      <c r="P32" s="21" t="str">
        <f t="shared" si="60"/>
        <v/>
      </c>
      <c r="Q32" s="21" t="str">
        <f t="shared" si="60"/>
        <v/>
      </c>
      <c r="R32" s="21" t="str">
        <f t="shared" si="60"/>
        <v/>
      </c>
      <c r="S32" s="21" t="str">
        <f t="shared" si="60"/>
        <v/>
      </c>
      <c r="T32" s="21" t="str">
        <f t="shared" si="60"/>
        <v/>
      </c>
      <c r="U32" s="21" t="str">
        <f t="shared" si="60"/>
        <v/>
      </c>
      <c r="V32" s="21" t="str">
        <f t="shared" si="60"/>
        <v/>
      </c>
      <c r="W32" s="21" t="str">
        <f t="shared" si="60"/>
        <v/>
      </c>
      <c r="X32" s="19" t="str">
        <f>IFERROR(__xludf.DUMMYFUNCTION("""COMPUTED_VALUE"""),"COC commercial electrician")</f>
        <v>COC commercial electrician</v>
      </c>
      <c r="Y32" s="9"/>
      <c r="Z32" s="9"/>
    </row>
    <row r="33">
      <c r="A33" s="20"/>
      <c r="B33" s="21" t="str">
        <f t="shared" ref="B33:K33" si="61">IF($A33="","",IF(OR(ISNUMBER(SEARCH(LOWER($A33),LOWER(B$1))),AND(RIGHT(LOWER($A33),1)="s",ISNUMBER(SEARCH(LEFT(LOWER($A33),LEN($A33)-1),LOWER(B$1))))),B$1,B$1&amp;" "&amp;$A33))</f>
        <v/>
      </c>
      <c r="C33" s="21" t="str">
        <f t="shared" si="61"/>
        <v/>
      </c>
      <c r="D33" s="21" t="str">
        <f t="shared" si="61"/>
        <v/>
      </c>
      <c r="E33" s="21" t="str">
        <f t="shared" si="61"/>
        <v/>
      </c>
      <c r="F33" s="21" t="str">
        <f t="shared" si="61"/>
        <v/>
      </c>
      <c r="G33" s="21" t="str">
        <f t="shared" si="61"/>
        <v/>
      </c>
      <c r="H33" s="21" t="str">
        <f t="shared" si="61"/>
        <v/>
      </c>
      <c r="I33" s="21" t="str">
        <f t="shared" si="61"/>
        <v/>
      </c>
      <c r="J33" s="21" t="str">
        <f t="shared" si="61"/>
        <v/>
      </c>
      <c r="K33" s="21" t="str">
        <f t="shared" si="61"/>
        <v/>
      </c>
      <c r="L33" s="17" t="str">
        <f>IFERROR(__xludf.DUMMYFUNCTION("""COMPUTED_VALUE"""),"electrical compliance certificate licensed")</f>
        <v>electrical compliance certificate licensed</v>
      </c>
      <c r="M33" s="18"/>
      <c r="N33" s="21" t="str">
        <f t="shared" ref="N33:W33" si="62">IF($A33="","",IF(OR(ISNUMBER(SEARCH(LOWER($A33),LOWER(N$1))),AND(RIGHT(LOWER($A33),1)="s",ISNUMBER(SEARCH(LEFT(LOWER($A33),LEN($A33)-1),LOWER(N$1))))),N$1,$A33&amp;" "&amp;N$1))</f>
        <v/>
      </c>
      <c r="O33" s="21" t="str">
        <f t="shared" si="62"/>
        <v/>
      </c>
      <c r="P33" s="21" t="str">
        <f t="shared" si="62"/>
        <v/>
      </c>
      <c r="Q33" s="21" t="str">
        <f t="shared" si="62"/>
        <v/>
      </c>
      <c r="R33" s="21" t="str">
        <f t="shared" si="62"/>
        <v/>
      </c>
      <c r="S33" s="21" t="str">
        <f t="shared" si="62"/>
        <v/>
      </c>
      <c r="T33" s="21" t="str">
        <f t="shared" si="62"/>
        <v/>
      </c>
      <c r="U33" s="21" t="str">
        <f t="shared" si="62"/>
        <v/>
      </c>
      <c r="V33" s="21" t="str">
        <f t="shared" si="62"/>
        <v/>
      </c>
      <c r="W33" s="21" t="str">
        <f t="shared" si="62"/>
        <v/>
      </c>
      <c r="X33" s="19" t="str">
        <f>IFERROR(__xludf.DUMMYFUNCTION("""COMPUTED_VALUE"""),"COC electrical compliance certificate")</f>
        <v>COC electrical compliance certificate</v>
      </c>
      <c r="Y33" s="9"/>
      <c r="Z33" s="9"/>
    </row>
    <row r="34">
      <c r="A34" s="20"/>
      <c r="B34" s="21" t="str">
        <f t="shared" ref="B34:K34" si="63">IF($A34="","",IF(OR(ISNUMBER(SEARCH(LOWER($A34),LOWER(B$1))),AND(RIGHT(LOWER($A34),1)="s",ISNUMBER(SEARCH(LEFT(LOWER($A34),LEN($A34)-1),LOWER(B$1))))),B$1,B$1&amp;" "&amp;$A34))</f>
        <v/>
      </c>
      <c r="C34" s="21" t="str">
        <f t="shared" si="63"/>
        <v/>
      </c>
      <c r="D34" s="21" t="str">
        <f t="shared" si="63"/>
        <v/>
      </c>
      <c r="E34" s="21" t="str">
        <f t="shared" si="63"/>
        <v/>
      </c>
      <c r="F34" s="21" t="str">
        <f t="shared" si="63"/>
        <v/>
      </c>
      <c r="G34" s="21" t="str">
        <f t="shared" si="63"/>
        <v/>
      </c>
      <c r="H34" s="21" t="str">
        <f t="shared" si="63"/>
        <v/>
      </c>
      <c r="I34" s="21" t="str">
        <f t="shared" si="63"/>
        <v/>
      </c>
      <c r="J34" s="21" t="str">
        <f t="shared" si="63"/>
        <v/>
      </c>
      <c r="K34" s="21" t="str">
        <f t="shared" si="63"/>
        <v/>
      </c>
      <c r="L34" s="17" t="str">
        <f>IFERROR(__xludf.DUMMYFUNCTION("""COMPUTED_VALUE"""),"electrical compliance certificate local")</f>
        <v>electrical compliance certificate local</v>
      </c>
      <c r="M34" s="18"/>
      <c r="N34" s="21" t="str">
        <f t="shared" ref="N34:W34" si="64">IF($A34="","",IF(OR(ISNUMBER(SEARCH(LOWER($A34),LOWER(N$1))),AND(RIGHT(LOWER($A34),1)="s",ISNUMBER(SEARCH(LEFT(LOWER($A34),LEN($A34)-1),LOWER(N$1))))),N$1,$A34&amp;" "&amp;N$1))</f>
        <v/>
      </c>
      <c r="O34" s="21" t="str">
        <f t="shared" si="64"/>
        <v/>
      </c>
      <c r="P34" s="21" t="str">
        <f t="shared" si="64"/>
        <v/>
      </c>
      <c r="Q34" s="21" t="str">
        <f t="shared" si="64"/>
        <v/>
      </c>
      <c r="R34" s="21" t="str">
        <f t="shared" si="64"/>
        <v/>
      </c>
      <c r="S34" s="21" t="str">
        <f t="shared" si="64"/>
        <v/>
      </c>
      <c r="T34" s="21" t="str">
        <f t="shared" si="64"/>
        <v/>
      </c>
      <c r="U34" s="21" t="str">
        <f t="shared" si="64"/>
        <v/>
      </c>
      <c r="V34" s="21" t="str">
        <f t="shared" si="64"/>
        <v/>
      </c>
      <c r="W34" s="21" t="str">
        <f t="shared" si="64"/>
        <v/>
      </c>
      <c r="X34" s="19" t="str">
        <f>IFERROR(__xludf.DUMMYFUNCTION("""COMPUTED_VALUE"""),"COC electrical contractor")</f>
        <v>COC electrical contractor</v>
      </c>
      <c r="Y34" s="9"/>
      <c r="Z34" s="9"/>
    </row>
    <row r="35">
      <c r="A35" s="20"/>
      <c r="B35" s="21" t="str">
        <f t="shared" ref="B35:K35" si="65">IF($A35="","",IF(OR(ISNUMBER(SEARCH(LOWER($A35),LOWER(B$1))),AND(RIGHT(LOWER($A35),1)="s",ISNUMBER(SEARCH(LEFT(LOWER($A35),LEN($A35)-1),LOWER(B$1))))),B$1,B$1&amp;" "&amp;$A35))</f>
        <v/>
      </c>
      <c r="C35" s="21" t="str">
        <f t="shared" si="65"/>
        <v/>
      </c>
      <c r="D35" s="21" t="str">
        <f t="shared" si="65"/>
        <v/>
      </c>
      <c r="E35" s="21" t="str">
        <f t="shared" si="65"/>
        <v/>
      </c>
      <c r="F35" s="21" t="str">
        <f t="shared" si="65"/>
        <v/>
      </c>
      <c r="G35" s="21" t="str">
        <f t="shared" si="65"/>
        <v/>
      </c>
      <c r="H35" s="21" t="str">
        <f t="shared" si="65"/>
        <v/>
      </c>
      <c r="I35" s="21" t="str">
        <f t="shared" si="65"/>
        <v/>
      </c>
      <c r="J35" s="21" t="str">
        <f t="shared" si="65"/>
        <v/>
      </c>
      <c r="K35" s="21" t="str">
        <f t="shared" si="65"/>
        <v/>
      </c>
      <c r="L35" s="17" t="str">
        <f>IFERROR(__xludf.DUMMYFUNCTION("""COMPUTED_VALUE"""),"electrical compliance certificate near me")</f>
        <v>electrical compliance certificate near me</v>
      </c>
      <c r="M35" s="18"/>
      <c r="N35" s="21" t="str">
        <f t="shared" ref="N35:W35" si="66">IF($A35="","",IF(OR(ISNUMBER(SEARCH(LOWER($A35),LOWER(N$1))),AND(RIGHT(LOWER($A35),1)="s",ISNUMBER(SEARCH(LEFT(LOWER($A35),LEN($A35)-1),LOWER(N$1))))),N$1,$A35&amp;" "&amp;N$1))</f>
        <v/>
      </c>
      <c r="O35" s="21" t="str">
        <f t="shared" si="66"/>
        <v/>
      </c>
      <c r="P35" s="21" t="str">
        <f t="shared" si="66"/>
        <v/>
      </c>
      <c r="Q35" s="21" t="str">
        <f t="shared" si="66"/>
        <v/>
      </c>
      <c r="R35" s="21" t="str">
        <f t="shared" si="66"/>
        <v/>
      </c>
      <c r="S35" s="21" t="str">
        <f t="shared" si="66"/>
        <v/>
      </c>
      <c r="T35" s="21" t="str">
        <f t="shared" si="66"/>
        <v/>
      </c>
      <c r="U35" s="21" t="str">
        <f t="shared" si="66"/>
        <v/>
      </c>
      <c r="V35" s="21" t="str">
        <f t="shared" si="66"/>
        <v/>
      </c>
      <c r="W35" s="21" t="str">
        <f t="shared" si="66"/>
        <v/>
      </c>
      <c r="X35" s="19" t="str">
        <f>IFERROR(__xludf.DUMMYFUNCTION("""COMPUTED_VALUE"""),"COC electrical installation")</f>
        <v>COC electrical installation</v>
      </c>
      <c r="Y35" s="9"/>
      <c r="Z35" s="9"/>
    </row>
    <row r="36">
      <c r="A36" s="20"/>
      <c r="B36" s="21" t="str">
        <f t="shared" ref="B36:K36" si="67">IF($A36="","",IF(OR(ISNUMBER(SEARCH(LOWER($A36),LOWER(B$1))),AND(RIGHT(LOWER($A36),1)="s",ISNUMBER(SEARCH(LEFT(LOWER($A36),LEN($A36)-1),LOWER(B$1))))),B$1,B$1&amp;" "&amp;$A36))</f>
        <v/>
      </c>
      <c r="C36" s="21" t="str">
        <f t="shared" si="67"/>
        <v/>
      </c>
      <c r="D36" s="21" t="str">
        <f t="shared" si="67"/>
        <v/>
      </c>
      <c r="E36" s="21" t="str">
        <f t="shared" si="67"/>
        <v/>
      </c>
      <c r="F36" s="21" t="str">
        <f t="shared" si="67"/>
        <v/>
      </c>
      <c r="G36" s="21" t="str">
        <f t="shared" si="67"/>
        <v/>
      </c>
      <c r="H36" s="21" t="str">
        <f t="shared" si="67"/>
        <v/>
      </c>
      <c r="I36" s="21" t="str">
        <f t="shared" si="67"/>
        <v/>
      </c>
      <c r="J36" s="21" t="str">
        <f t="shared" si="67"/>
        <v/>
      </c>
      <c r="K36" s="21" t="str">
        <f t="shared" si="67"/>
        <v/>
      </c>
      <c r="L36" s="17" t="str">
        <f>IFERROR(__xludf.DUMMYFUNCTION("""COMPUTED_VALUE"""),"electrical compliance certificate professional")</f>
        <v>electrical compliance certificate professional</v>
      </c>
      <c r="M36" s="18"/>
      <c r="N36" s="21" t="str">
        <f t="shared" ref="N36:W36" si="68">IF($A36="","",IF(OR(ISNUMBER(SEARCH(LOWER($A36),LOWER(N$1))),AND(RIGHT(LOWER($A36),1)="s",ISNUMBER(SEARCH(LEFT(LOWER($A36),LEN($A36)-1),LOWER(N$1))))),N$1,$A36&amp;" "&amp;N$1))</f>
        <v/>
      </c>
      <c r="O36" s="21" t="str">
        <f t="shared" si="68"/>
        <v/>
      </c>
      <c r="P36" s="21" t="str">
        <f t="shared" si="68"/>
        <v/>
      </c>
      <c r="Q36" s="21" t="str">
        <f t="shared" si="68"/>
        <v/>
      </c>
      <c r="R36" s="21" t="str">
        <f t="shared" si="68"/>
        <v/>
      </c>
      <c r="S36" s="21" t="str">
        <f t="shared" si="68"/>
        <v/>
      </c>
      <c r="T36" s="21" t="str">
        <f t="shared" si="68"/>
        <v/>
      </c>
      <c r="U36" s="21" t="str">
        <f t="shared" si="68"/>
        <v/>
      </c>
      <c r="V36" s="21" t="str">
        <f t="shared" si="68"/>
        <v/>
      </c>
      <c r="W36" s="21" t="str">
        <f t="shared" si="68"/>
        <v/>
      </c>
      <c r="X36" s="19" t="str">
        <f>IFERROR(__xludf.DUMMYFUNCTION("""COMPUTED_VALUE"""),"COC electrical maintenance")</f>
        <v>COC electrical maintenance</v>
      </c>
      <c r="Y36" s="9"/>
      <c r="Z36" s="9"/>
    </row>
    <row r="37">
      <c r="A37" s="20"/>
      <c r="B37" s="21" t="str">
        <f t="shared" ref="B37:K37" si="69">IF($A37="","",IF(OR(ISNUMBER(SEARCH(LOWER($A37),LOWER(B$1))),AND(RIGHT(LOWER($A37),1)="s",ISNUMBER(SEARCH(LEFT(LOWER($A37),LEN($A37)-1),LOWER(B$1))))),B$1,B$1&amp;" "&amp;$A37))</f>
        <v/>
      </c>
      <c r="C37" s="21" t="str">
        <f t="shared" si="69"/>
        <v/>
      </c>
      <c r="D37" s="21" t="str">
        <f t="shared" si="69"/>
        <v/>
      </c>
      <c r="E37" s="21" t="str">
        <f t="shared" si="69"/>
        <v/>
      </c>
      <c r="F37" s="21" t="str">
        <f t="shared" si="69"/>
        <v/>
      </c>
      <c r="G37" s="21" t="str">
        <f t="shared" si="69"/>
        <v/>
      </c>
      <c r="H37" s="21" t="str">
        <f t="shared" si="69"/>
        <v/>
      </c>
      <c r="I37" s="21" t="str">
        <f t="shared" si="69"/>
        <v/>
      </c>
      <c r="J37" s="21" t="str">
        <f t="shared" si="69"/>
        <v/>
      </c>
      <c r="K37" s="21" t="str">
        <f t="shared" si="69"/>
        <v/>
      </c>
      <c r="L37" s="17" t="str">
        <f>IFERROR(__xludf.DUMMYFUNCTION("""COMPUTED_VALUE"""),"electrical compliance certificate qualified")</f>
        <v>electrical compliance certificate qualified</v>
      </c>
      <c r="M37" s="18"/>
      <c r="N37" s="21" t="str">
        <f t="shared" ref="N37:W37" si="70">IF($A37="","",IF(OR(ISNUMBER(SEARCH(LOWER($A37),LOWER(N$1))),AND(RIGHT(LOWER($A37),1)="s",ISNUMBER(SEARCH(LEFT(LOWER($A37),LEN($A37)-1),LOWER(N$1))))),N$1,$A37&amp;" "&amp;N$1))</f>
        <v/>
      </c>
      <c r="O37" s="21" t="str">
        <f t="shared" si="70"/>
        <v/>
      </c>
      <c r="P37" s="21" t="str">
        <f t="shared" si="70"/>
        <v/>
      </c>
      <c r="Q37" s="21" t="str">
        <f t="shared" si="70"/>
        <v/>
      </c>
      <c r="R37" s="21" t="str">
        <f t="shared" si="70"/>
        <v/>
      </c>
      <c r="S37" s="21" t="str">
        <f t="shared" si="70"/>
        <v/>
      </c>
      <c r="T37" s="21" t="str">
        <f t="shared" si="70"/>
        <v/>
      </c>
      <c r="U37" s="21" t="str">
        <f t="shared" si="70"/>
        <v/>
      </c>
      <c r="V37" s="21" t="str">
        <f t="shared" si="70"/>
        <v/>
      </c>
      <c r="W37" s="21" t="str">
        <f t="shared" si="70"/>
        <v/>
      </c>
      <c r="X37" s="19" t="str">
        <f>IFERROR(__xludf.DUMMYFUNCTION("""COMPUTED_VALUE"""),"COC electrical repairs")</f>
        <v>COC electrical repairs</v>
      </c>
      <c r="Y37" s="9"/>
      <c r="Z37" s="9"/>
    </row>
    <row r="38">
      <c r="A38" s="20"/>
      <c r="B38" s="21" t="str">
        <f t="shared" ref="B38:K38" si="71">IF($A38="","",IF(OR(ISNUMBER(SEARCH(LOWER($A38),LOWER(B$1))),AND(RIGHT(LOWER($A38),1)="s",ISNUMBER(SEARCH(LEFT(LOWER($A38),LEN($A38)-1),LOWER(B$1))))),B$1,B$1&amp;" "&amp;$A38))</f>
        <v/>
      </c>
      <c r="C38" s="21" t="str">
        <f t="shared" si="71"/>
        <v/>
      </c>
      <c r="D38" s="21" t="str">
        <f t="shared" si="71"/>
        <v/>
      </c>
      <c r="E38" s="21" t="str">
        <f t="shared" si="71"/>
        <v/>
      </c>
      <c r="F38" s="21" t="str">
        <f t="shared" si="71"/>
        <v/>
      </c>
      <c r="G38" s="21" t="str">
        <f t="shared" si="71"/>
        <v/>
      </c>
      <c r="H38" s="21" t="str">
        <f t="shared" si="71"/>
        <v/>
      </c>
      <c r="I38" s="21" t="str">
        <f t="shared" si="71"/>
        <v/>
      </c>
      <c r="J38" s="21" t="str">
        <f t="shared" si="71"/>
        <v/>
      </c>
      <c r="K38" s="21" t="str">
        <f t="shared" si="71"/>
        <v/>
      </c>
      <c r="L38" s="17" t="str">
        <f>IFERROR(__xludf.DUMMYFUNCTION("""COMPUTED_VALUE"""),"electrical compliance certificate quote")</f>
        <v>electrical compliance certificate quote</v>
      </c>
      <c r="M38" s="18"/>
      <c r="N38" s="21" t="str">
        <f t="shared" ref="N38:W38" si="72">IF($A38="","",IF(OR(ISNUMBER(SEARCH(LOWER($A38),LOWER(N$1))),AND(RIGHT(LOWER($A38),1)="s",ISNUMBER(SEARCH(LEFT(LOWER($A38),LEN($A38)-1),LOWER(N$1))))),N$1,$A38&amp;" "&amp;N$1))</f>
        <v/>
      </c>
      <c r="O38" s="21" t="str">
        <f t="shared" si="72"/>
        <v/>
      </c>
      <c r="P38" s="21" t="str">
        <f t="shared" si="72"/>
        <v/>
      </c>
      <c r="Q38" s="21" t="str">
        <f t="shared" si="72"/>
        <v/>
      </c>
      <c r="R38" s="21" t="str">
        <f t="shared" si="72"/>
        <v/>
      </c>
      <c r="S38" s="21" t="str">
        <f t="shared" si="72"/>
        <v/>
      </c>
      <c r="T38" s="21" t="str">
        <f t="shared" si="72"/>
        <v/>
      </c>
      <c r="U38" s="21" t="str">
        <f t="shared" si="72"/>
        <v/>
      </c>
      <c r="V38" s="21" t="str">
        <f t="shared" si="72"/>
        <v/>
      </c>
      <c r="W38" s="21" t="str">
        <f t="shared" si="72"/>
        <v/>
      </c>
      <c r="X38" s="19" t="str">
        <f>IFERROR(__xludf.DUMMYFUNCTION("""COMPUTED_VALUE"""),"COC electrical services")</f>
        <v>COC electrical services</v>
      </c>
      <c r="Y38" s="9"/>
      <c r="Z38" s="9"/>
    </row>
    <row r="39">
      <c r="A39" s="20"/>
      <c r="B39" s="21" t="str">
        <f t="shared" ref="B39:K39" si="73">IF($A39="","",IF(OR(ISNUMBER(SEARCH(LOWER($A39),LOWER(B$1))),AND(RIGHT(LOWER($A39),1)="s",ISNUMBER(SEARCH(LEFT(LOWER($A39),LEN($A39)-1),LOWER(B$1))))),B$1,B$1&amp;" "&amp;$A39))</f>
        <v/>
      </c>
      <c r="C39" s="21" t="str">
        <f t="shared" si="73"/>
        <v/>
      </c>
      <c r="D39" s="21" t="str">
        <f t="shared" si="73"/>
        <v/>
      </c>
      <c r="E39" s="21" t="str">
        <f t="shared" si="73"/>
        <v/>
      </c>
      <c r="F39" s="21" t="str">
        <f t="shared" si="73"/>
        <v/>
      </c>
      <c r="G39" s="21" t="str">
        <f t="shared" si="73"/>
        <v/>
      </c>
      <c r="H39" s="21" t="str">
        <f t="shared" si="73"/>
        <v/>
      </c>
      <c r="I39" s="21" t="str">
        <f t="shared" si="73"/>
        <v/>
      </c>
      <c r="J39" s="21" t="str">
        <f t="shared" si="73"/>
        <v/>
      </c>
      <c r="K39" s="21" t="str">
        <f t="shared" si="73"/>
        <v/>
      </c>
      <c r="L39" s="17" t="str">
        <f>IFERROR(__xludf.DUMMYFUNCTION("""COMPUTED_VALUE"""),"electrical compliance certificate reliable")</f>
        <v>electrical compliance certificate reliable</v>
      </c>
      <c r="M39" s="18"/>
      <c r="N39" s="21" t="str">
        <f t="shared" ref="N39:W39" si="74">IF($A39="","",IF(OR(ISNUMBER(SEARCH(LOWER($A39),LOWER(N$1))),AND(RIGHT(LOWER($A39),1)="s",ISNUMBER(SEARCH(LEFT(LOWER($A39),LEN($A39)-1),LOWER(N$1))))),N$1,$A39&amp;" "&amp;N$1))</f>
        <v/>
      </c>
      <c r="O39" s="21" t="str">
        <f t="shared" si="74"/>
        <v/>
      </c>
      <c r="P39" s="21" t="str">
        <f t="shared" si="74"/>
        <v/>
      </c>
      <c r="Q39" s="21" t="str">
        <f t="shared" si="74"/>
        <v/>
      </c>
      <c r="R39" s="21" t="str">
        <f t="shared" si="74"/>
        <v/>
      </c>
      <c r="S39" s="21" t="str">
        <f t="shared" si="74"/>
        <v/>
      </c>
      <c r="T39" s="21" t="str">
        <f t="shared" si="74"/>
        <v/>
      </c>
      <c r="U39" s="21" t="str">
        <f t="shared" si="74"/>
        <v/>
      </c>
      <c r="V39" s="21" t="str">
        <f t="shared" si="74"/>
        <v/>
      </c>
      <c r="W39" s="21" t="str">
        <f t="shared" si="74"/>
        <v/>
      </c>
      <c r="X39" s="19" t="str">
        <f>IFERROR(__xludf.DUMMYFUNCTION("""COMPUTED_VALUE"""),"COC electrician cape town")</f>
        <v>COC electrician cape town</v>
      </c>
      <c r="Y39" s="9"/>
      <c r="Z39" s="9"/>
    </row>
    <row r="40">
      <c r="A40" s="20"/>
      <c r="B40" s="21" t="str">
        <f t="shared" ref="B40:K40" si="75">IF($A40="","",IF(OR(ISNUMBER(SEARCH(LOWER($A40),LOWER(B$1))),AND(RIGHT(LOWER($A40),1)="s",ISNUMBER(SEARCH(LEFT(LOWER($A40),LEN($A40)-1),LOWER(B$1))))),B$1,B$1&amp;" "&amp;$A40))</f>
        <v/>
      </c>
      <c r="C40" s="21" t="str">
        <f t="shared" si="75"/>
        <v/>
      </c>
      <c r="D40" s="21" t="str">
        <f t="shared" si="75"/>
        <v/>
      </c>
      <c r="E40" s="21" t="str">
        <f t="shared" si="75"/>
        <v/>
      </c>
      <c r="F40" s="21" t="str">
        <f t="shared" si="75"/>
        <v/>
      </c>
      <c r="G40" s="21" t="str">
        <f t="shared" si="75"/>
        <v/>
      </c>
      <c r="H40" s="21" t="str">
        <f t="shared" si="75"/>
        <v/>
      </c>
      <c r="I40" s="21" t="str">
        <f t="shared" si="75"/>
        <v/>
      </c>
      <c r="J40" s="21" t="str">
        <f t="shared" si="75"/>
        <v/>
      </c>
      <c r="K40" s="21" t="str">
        <f t="shared" si="75"/>
        <v/>
      </c>
      <c r="L40" s="17" t="str">
        <f>IFERROR(__xludf.DUMMYFUNCTION("""COMPUTED_VALUE"""),"electrical compliance certificate repair")</f>
        <v>electrical compliance certificate repair</v>
      </c>
      <c r="M40" s="18"/>
      <c r="N40" s="21" t="str">
        <f t="shared" ref="N40:W40" si="76">IF($A40="","",IF(OR(ISNUMBER(SEARCH(LOWER($A40),LOWER(N$1))),AND(RIGHT(LOWER($A40),1)="s",ISNUMBER(SEARCH(LEFT(LOWER($A40),LEN($A40)-1),LOWER(N$1))))),N$1,$A40&amp;" "&amp;N$1))</f>
        <v/>
      </c>
      <c r="O40" s="21" t="str">
        <f t="shared" si="76"/>
        <v/>
      </c>
      <c r="P40" s="21" t="str">
        <f t="shared" si="76"/>
        <v/>
      </c>
      <c r="Q40" s="21" t="str">
        <f t="shared" si="76"/>
        <v/>
      </c>
      <c r="R40" s="21" t="str">
        <f t="shared" si="76"/>
        <v/>
      </c>
      <c r="S40" s="21" t="str">
        <f t="shared" si="76"/>
        <v/>
      </c>
      <c r="T40" s="21" t="str">
        <f t="shared" si="76"/>
        <v/>
      </c>
      <c r="U40" s="21" t="str">
        <f t="shared" si="76"/>
        <v/>
      </c>
      <c r="V40" s="21" t="str">
        <f t="shared" si="76"/>
        <v/>
      </c>
      <c r="W40" s="21" t="str">
        <f t="shared" si="76"/>
        <v/>
      </c>
      <c r="X40" s="19" t="str">
        <f>IFERROR(__xludf.DUMMYFUNCTION("""COMPUTED_VALUE"""),"COC emergency electrician")</f>
        <v>COC emergency electrician</v>
      </c>
      <c r="Y40" s="9"/>
      <c r="Z40" s="9"/>
    </row>
    <row r="41">
      <c r="A41" s="20"/>
      <c r="B41" s="21" t="str">
        <f t="shared" ref="B41:K41" si="77">IF($A41="","",IF(OR(ISNUMBER(SEARCH(LOWER($A41),LOWER(B$1))),AND(RIGHT(LOWER($A41),1)="s",ISNUMBER(SEARCH(LEFT(LOWER($A41),LEN($A41)-1),LOWER(B$1))))),B$1,B$1&amp;" "&amp;$A41))</f>
        <v/>
      </c>
      <c r="C41" s="21" t="str">
        <f t="shared" si="77"/>
        <v/>
      </c>
      <c r="D41" s="21" t="str">
        <f t="shared" si="77"/>
        <v/>
      </c>
      <c r="E41" s="21" t="str">
        <f t="shared" si="77"/>
        <v/>
      </c>
      <c r="F41" s="21" t="str">
        <f t="shared" si="77"/>
        <v/>
      </c>
      <c r="G41" s="21" t="str">
        <f t="shared" si="77"/>
        <v/>
      </c>
      <c r="H41" s="21" t="str">
        <f t="shared" si="77"/>
        <v/>
      </c>
      <c r="I41" s="21" t="str">
        <f t="shared" si="77"/>
        <v/>
      </c>
      <c r="J41" s="21" t="str">
        <f t="shared" si="77"/>
        <v/>
      </c>
      <c r="K41" s="21" t="str">
        <f t="shared" si="77"/>
        <v/>
      </c>
      <c r="L41" s="17" t="str">
        <f>IFERROR(__xludf.DUMMYFUNCTION("""COMPUTED_VALUE"""),"electrical compliance certificate same day")</f>
        <v>electrical compliance certificate same day</v>
      </c>
      <c r="M41" s="18"/>
      <c r="N41" s="21" t="str">
        <f t="shared" ref="N41:W41" si="78">IF($A41="","",IF(OR(ISNUMBER(SEARCH(LOWER($A41),LOWER(N$1))),AND(RIGHT(LOWER($A41),1)="s",ISNUMBER(SEARCH(LEFT(LOWER($A41),LEN($A41)-1),LOWER(N$1))))),N$1,$A41&amp;" "&amp;N$1))</f>
        <v/>
      </c>
      <c r="O41" s="21" t="str">
        <f t="shared" si="78"/>
        <v/>
      </c>
      <c r="P41" s="21" t="str">
        <f t="shared" si="78"/>
        <v/>
      </c>
      <c r="Q41" s="21" t="str">
        <f t="shared" si="78"/>
        <v/>
      </c>
      <c r="R41" s="21" t="str">
        <f t="shared" si="78"/>
        <v/>
      </c>
      <c r="S41" s="21" t="str">
        <f t="shared" si="78"/>
        <v/>
      </c>
      <c r="T41" s="21" t="str">
        <f t="shared" si="78"/>
        <v/>
      </c>
      <c r="U41" s="21" t="str">
        <f t="shared" si="78"/>
        <v/>
      </c>
      <c r="V41" s="21" t="str">
        <f t="shared" si="78"/>
        <v/>
      </c>
      <c r="W41" s="21" t="str">
        <f t="shared" si="78"/>
        <v/>
      </c>
      <c r="X41" s="19" t="str">
        <f>IFERROR(__xludf.DUMMYFUNCTION("""COMPUTED_VALUE"""),"COC residential electrician")</f>
        <v>COC residential electrician</v>
      </c>
      <c r="Y41" s="9"/>
      <c r="Z41" s="9"/>
    </row>
    <row r="42">
      <c r="A42" s="20"/>
      <c r="B42" s="21" t="str">
        <f t="shared" ref="B42:K42" si="79">IF($A42="","",IF(OR(ISNUMBER(SEARCH(LOWER($A42),LOWER(B$1))),AND(RIGHT(LOWER($A42),1)="s",ISNUMBER(SEARCH(LEFT(LOWER($A42),LEN($A42)-1),LOWER(B$1))))),B$1,B$1&amp;" "&amp;$A42))</f>
        <v/>
      </c>
      <c r="C42" s="21" t="str">
        <f t="shared" si="79"/>
        <v/>
      </c>
      <c r="D42" s="21" t="str">
        <f t="shared" si="79"/>
        <v/>
      </c>
      <c r="E42" s="21" t="str">
        <f t="shared" si="79"/>
        <v/>
      </c>
      <c r="F42" s="21" t="str">
        <f t="shared" si="79"/>
        <v/>
      </c>
      <c r="G42" s="21" t="str">
        <f t="shared" si="79"/>
        <v/>
      </c>
      <c r="H42" s="21" t="str">
        <f t="shared" si="79"/>
        <v/>
      </c>
      <c r="I42" s="21" t="str">
        <f t="shared" si="79"/>
        <v/>
      </c>
      <c r="J42" s="21" t="str">
        <f t="shared" si="79"/>
        <v/>
      </c>
      <c r="K42" s="21" t="str">
        <f t="shared" si="79"/>
        <v/>
      </c>
      <c r="L42" s="17" t="str">
        <f>IFERROR(__xludf.DUMMYFUNCTION("""COMPUTED_VALUE"""),"electrical compliance certificate service")</f>
        <v>electrical compliance certificate service</v>
      </c>
      <c r="M42" s="18"/>
      <c r="N42" s="21" t="str">
        <f t="shared" ref="N42:W42" si="80">IF($A42="","",IF(OR(ISNUMBER(SEARCH(LOWER($A42),LOWER(N$1))),AND(RIGHT(LOWER($A42),1)="s",ISNUMBER(SEARCH(LEFT(LOWER($A42),LEN($A42)-1),LOWER(N$1))))),N$1,$A42&amp;" "&amp;N$1))</f>
        <v/>
      </c>
      <c r="O42" s="21" t="str">
        <f t="shared" si="80"/>
        <v/>
      </c>
      <c r="P42" s="21" t="str">
        <f t="shared" si="80"/>
        <v/>
      </c>
      <c r="Q42" s="21" t="str">
        <f t="shared" si="80"/>
        <v/>
      </c>
      <c r="R42" s="21" t="str">
        <f t="shared" si="80"/>
        <v/>
      </c>
      <c r="S42" s="21" t="str">
        <f t="shared" si="80"/>
        <v/>
      </c>
      <c r="T42" s="21" t="str">
        <f t="shared" si="80"/>
        <v/>
      </c>
      <c r="U42" s="21" t="str">
        <f t="shared" si="80"/>
        <v/>
      </c>
      <c r="V42" s="21" t="str">
        <f t="shared" si="80"/>
        <v/>
      </c>
      <c r="W42" s="21" t="str">
        <f t="shared" si="80"/>
        <v/>
      </c>
      <c r="X42" s="19" t="str">
        <f>IFERROR(__xludf.DUMMYFUNCTION("""COMPUTED_VALUE"""),"company commercial electrician")</f>
        <v>company commercial electrician</v>
      </c>
      <c r="Y42" s="9"/>
      <c r="Z42" s="9"/>
    </row>
    <row r="43">
      <c r="A43" s="20"/>
      <c r="B43" s="21" t="str">
        <f t="shared" ref="B43:K43" si="81">IF($A43="","",IF(OR(ISNUMBER(SEARCH(LOWER($A43),LOWER(B$1))),AND(RIGHT(LOWER($A43),1)="s",ISNUMBER(SEARCH(LEFT(LOWER($A43),LEN($A43)-1),LOWER(B$1))))),B$1,B$1&amp;" "&amp;$A43))</f>
        <v/>
      </c>
      <c r="C43" s="21" t="str">
        <f t="shared" si="81"/>
        <v/>
      </c>
      <c r="D43" s="21" t="str">
        <f t="shared" si="81"/>
        <v/>
      </c>
      <c r="E43" s="21" t="str">
        <f t="shared" si="81"/>
        <v/>
      </c>
      <c r="F43" s="21" t="str">
        <f t="shared" si="81"/>
        <v/>
      </c>
      <c r="G43" s="21" t="str">
        <f t="shared" si="81"/>
        <v/>
      </c>
      <c r="H43" s="21" t="str">
        <f t="shared" si="81"/>
        <v/>
      </c>
      <c r="I43" s="21" t="str">
        <f t="shared" si="81"/>
        <v/>
      </c>
      <c r="J43" s="21" t="str">
        <f t="shared" si="81"/>
        <v/>
      </c>
      <c r="K43" s="21" t="str">
        <f t="shared" si="81"/>
        <v/>
      </c>
      <c r="L43" s="17" t="str">
        <f>IFERROR(__xludf.DUMMYFUNCTION("""COMPUTED_VALUE"""),"electrical contractor")</f>
        <v>electrical contractor</v>
      </c>
      <c r="M43" s="18"/>
      <c r="N43" s="21" t="str">
        <f t="shared" ref="N43:W43" si="82">IF($A43="","",IF(OR(ISNUMBER(SEARCH(LOWER($A43),LOWER(N$1))),AND(RIGHT(LOWER($A43),1)="s",ISNUMBER(SEARCH(LEFT(LOWER($A43),LEN($A43)-1),LOWER(N$1))))),N$1,$A43&amp;" "&amp;N$1))</f>
        <v/>
      </c>
      <c r="O43" s="21" t="str">
        <f t="shared" si="82"/>
        <v/>
      </c>
      <c r="P43" s="21" t="str">
        <f t="shared" si="82"/>
        <v/>
      </c>
      <c r="Q43" s="21" t="str">
        <f t="shared" si="82"/>
        <v/>
      </c>
      <c r="R43" s="21" t="str">
        <f t="shared" si="82"/>
        <v/>
      </c>
      <c r="S43" s="21" t="str">
        <f t="shared" si="82"/>
        <v/>
      </c>
      <c r="T43" s="21" t="str">
        <f t="shared" si="82"/>
        <v/>
      </c>
      <c r="U43" s="21" t="str">
        <f t="shared" si="82"/>
        <v/>
      </c>
      <c r="V43" s="21" t="str">
        <f t="shared" si="82"/>
        <v/>
      </c>
      <c r="W43" s="21" t="str">
        <f t="shared" si="82"/>
        <v/>
      </c>
      <c r="X43" s="19" t="str">
        <f>IFERROR(__xludf.DUMMYFUNCTION("""COMPUTED_VALUE"""),"company electrical compliance certificate")</f>
        <v>company electrical compliance certificate</v>
      </c>
      <c r="Y43" s="9"/>
      <c r="Z43" s="9"/>
    </row>
    <row r="44">
      <c r="A44" s="20"/>
      <c r="B44" s="21" t="str">
        <f t="shared" ref="B44:K44" si="83">IF($A44="","",IF(OR(ISNUMBER(SEARCH(LOWER($A44),LOWER(B$1))),AND(RIGHT(LOWER($A44),1)="s",ISNUMBER(SEARCH(LEFT(LOWER($A44),LEN($A44)-1),LOWER(B$1))))),B$1,B$1&amp;" "&amp;$A44))</f>
        <v/>
      </c>
      <c r="C44" s="21" t="str">
        <f t="shared" si="83"/>
        <v/>
      </c>
      <c r="D44" s="21" t="str">
        <f t="shared" si="83"/>
        <v/>
      </c>
      <c r="E44" s="21" t="str">
        <f t="shared" si="83"/>
        <v/>
      </c>
      <c r="F44" s="21" t="str">
        <f t="shared" si="83"/>
        <v/>
      </c>
      <c r="G44" s="21" t="str">
        <f t="shared" si="83"/>
        <v/>
      </c>
      <c r="H44" s="21" t="str">
        <f t="shared" si="83"/>
        <v/>
      </c>
      <c r="I44" s="21" t="str">
        <f t="shared" si="83"/>
        <v/>
      </c>
      <c r="J44" s="21" t="str">
        <f t="shared" si="83"/>
        <v/>
      </c>
      <c r="K44" s="21" t="str">
        <f t="shared" si="83"/>
        <v/>
      </c>
      <c r="L44" s="17" t="str">
        <f>IFERROR(__xludf.DUMMYFUNCTION("""COMPUTED_VALUE"""),"electrical contractor affordable")</f>
        <v>electrical contractor affordable</v>
      </c>
      <c r="M44" s="18"/>
      <c r="N44" s="21" t="str">
        <f t="shared" ref="N44:W44" si="84">IF($A44="","",IF(OR(ISNUMBER(SEARCH(LOWER($A44),LOWER(N$1))),AND(RIGHT(LOWER($A44),1)="s",ISNUMBER(SEARCH(LEFT(LOWER($A44),LEN($A44)-1),LOWER(N$1))))),N$1,$A44&amp;" "&amp;N$1))</f>
        <v/>
      </c>
      <c r="O44" s="21" t="str">
        <f t="shared" si="84"/>
        <v/>
      </c>
      <c r="P44" s="21" t="str">
        <f t="shared" si="84"/>
        <v/>
      </c>
      <c r="Q44" s="21" t="str">
        <f t="shared" si="84"/>
        <v/>
      </c>
      <c r="R44" s="21" t="str">
        <f t="shared" si="84"/>
        <v/>
      </c>
      <c r="S44" s="21" t="str">
        <f t="shared" si="84"/>
        <v/>
      </c>
      <c r="T44" s="21" t="str">
        <f t="shared" si="84"/>
        <v/>
      </c>
      <c r="U44" s="21" t="str">
        <f t="shared" si="84"/>
        <v/>
      </c>
      <c r="V44" s="21" t="str">
        <f t="shared" si="84"/>
        <v/>
      </c>
      <c r="W44" s="21" t="str">
        <f t="shared" si="84"/>
        <v/>
      </c>
      <c r="X44" s="19" t="str">
        <f>IFERROR(__xludf.DUMMYFUNCTION("""COMPUTED_VALUE"""),"company electrical contractor")</f>
        <v>company electrical contractor</v>
      </c>
      <c r="Y44" s="9"/>
      <c r="Z44" s="9"/>
    </row>
    <row r="45">
      <c r="A45" s="20"/>
      <c r="B45" s="21" t="str">
        <f t="shared" ref="B45:K45" si="85">IF($A45="","",IF(OR(ISNUMBER(SEARCH(LOWER($A45),LOWER(B$1))),AND(RIGHT(LOWER($A45),1)="s",ISNUMBER(SEARCH(LEFT(LOWER($A45),LEN($A45)-1),LOWER(B$1))))),B$1,B$1&amp;" "&amp;$A45))</f>
        <v/>
      </c>
      <c r="C45" s="21" t="str">
        <f t="shared" si="85"/>
        <v/>
      </c>
      <c r="D45" s="21" t="str">
        <f t="shared" si="85"/>
        <v/>
      </c>
      <c r="E45" s="21" t="str">
        <f t="shared" si="85"/>
        <v/>
      </c>
      <c r="F45" s="21" t="str">
        <f t="shared" si="85"/>
        <v/>
      </c>
      <c r="G45" s="21" t="str">
        <f t="shared" si="85"/>
        <v/>
      </c>
      <c r="H45" s="21" t="str">
        <f t="shared" si="85"/>
        <v/>
      </c>
      <c r="I45" s="21" t="str">
        <f t="shared" si="85"/>
        <v/>
      </c>
      <c r="J45" s="21" t="str">
        <f t="shared" si="85"/>
        <v/>
      </c>
      <c r="K45" s="21" t="str">
        <f t="shared" si="85"/>
        <v/>
      </c>
      <c r="L45" s="17" t="str">
        <f>IFERROR(__xludf.DUMMYFUNCTION("""COMPUTED_VALUE"""),"electrical contractor call out")</f>
        <v>electrical contractor call out</v>
      </c>
      <c r="M45" s="18"/>
      <c r="N45" s="21" t="str">
        <f t="shared" ref="N45:W45" si="86">IF($A45="","",IF(OR(ISNUMBER(SEARCH(LOWER($A45),LOWER(N$1))),AND(RIGHT(LOWER($A45),1)="s",ISNUMBER(SEARCH(LEFT(LOWER($A45),LEN($A45)-1),LOWER(N$1))))),N$1,$A45&amp;" "&amp;N$1))</f>
        <v/>
      </c>
      <c r="O45" s="21" t="str">
        <f t="shared" si="86"/>
        <v/>
      </c>
      <c r="P45" s="21" t="str">
        <f t="shared" si="86"/>
        <v/>
      </c>
      <c r="Q45" s="21" t="str">
        <f t="shared" si="86"/>
        <v/>
      </c>
      <c r="R45" s="21" t="str">
        <f t="shared" si="86"/>
        <v/>
      </c>
      <c r="S45" s="21" t="str">
        <f t="shared" si="86"/>
        <v/>
      </c>
      <c r="T45" s="21" t="str">
        <f t="shared" si="86"/>
        <v/>
      </c>
      <c r="U45" s="21" t="str">
        <f t="shared" si="86"/>
        <v/>
      </c>
      <c r="V45" s="21" t="str">
        <f t="shared" si="86"/>
        <v/>
      </c>
      <c r="W45" s="21" t="str">
        <f t="shared" si="86"/>
        <v/>
      </c>
      <c r="X45" s="19" t="str">
        <f>IFERROR(__xludf.DUMMYFUNCTION("""COMPUTED_VALUE"""),"company electrical installation")</f>
        <v>company electrical installation</v>
      </c>
      <c r="Y45" s="9"/>
      <c r="Z45" s="9"/>
    </row>
    <row r="46">
      <c r="A46" s="20"/>
      <c r="B46" s="21" t="str">
        <f t="shared" ref="B46:K46" si="87">IF($A46="","",IF(OR(ISNUMBER(SEARCH(LOWER($A46),LOWER(B$1))),AND(RIGHT(LOWER($A46),1)="s",ISNUMBER(SEARCH(LEFT(LOWER($A46),LEN($A46)-1),LOWER(B$1))))),B$1,B$1&amp;" "&amp;$A46))</f>
        <v/>
      </c>
      <c r="C46" s="21" t="str">
        <f t="shared" si="87"/>
        <v/>
      </c>
      <c r="D46" s="21" t="str">
        <f t="shared" si="87"/>
        <v/>
      </c>
      <c r="E46" s="21" t="str">
        <f t="shared" si="87"/>
        <v/>
      </c>
      <c r="F46" s="21" t="str">
        <f t="shared" si="87"/>
        <v/>
      </c>
      <c r="G46" s="21" t="str">
        <f t="shared" si="87"/>
        <v/>
      </c>
      <c r="H46" s="21" t="str">
        <f t="shared" si="87"/>
        <v/>
      </c>
      <c r="I46" s="21" t="str">
        <f t="shared" si="87"/>
        <v/>
      </c>
      <c r="J46" s="21" t="str">
        <f t="shared" si="87"/>
        <v/>
      </c>
      <c r="K46" s="21" t="str">
        <f t="shared" si="87"/>
        <v/>
      </c>
      <c r="L46" s="17" t="str">
        <f>IFERROR(__xludf.DUMMYFUNCTION("""COMPUTED_VALUE"""),"electrical contractor cape town")</f>
        <v>electrical contractor cape town</v>
      </c>
      <c r="M46" s="18"/>
      <c r="N46" s="21" t="str">
        <f t="shared" ref="N46:W46" si="88">IF($A46="","",IF(OR(ISNUMBER(SEARCH(LOWER($A46),LOWER(N$1))),AND(RIGHT(LOWER($A46),1)="s",ISNUMBER(SEARCH(LEFT(LOWER($A46),LEN($A46)-1),LOWER(N$1))))),N$1,$A46&amp;" "&amp;N$1))</f>
        <v/>
      </c>
      <c r="O46" s="21" t="str">
        <f t="shared" si="88"/>
        <v/>
      </c>
      <c r="P46" s="21" t="str">
        <f t="shared" si="88"/>
        <v/>
      </c>
      <c r="Q46" s="21" t="str">
        <f t="shared" si="88"/>
        <v/>
      </c>
      <c r="R46" s="21" t="str">
        <f t="shared" si="88"/>
        <v/>
      </c>
      <c r="S46" s="21" t="str">
        <f t="shared" si="88"/>
        <v/>
      </c>
      <c r="T46" s="21" t="str">
        <f t="shared" si="88"/>
        <v/>
      </c>
      <c r="U46" s="21" t="str">
        <f t="shared" si="88"/>
        <v/>
      </c>
      <c r="V46" s="21" t="str">
        <f t="shared" si="88"/>
        <v/>
      </c>
      <c r="W46" s="21" t="str">
        <f t="shared" si="88"/>
        <v/>
      </c>
      <c r="X46" s="19" t="str">
        <f>IFERROR(__xludf.DUMMYFUNCTION("""COMPUTED_VALUE"""),"company electrical maintenance")</f>
        <v>company electrical maintenance</v>
      </c>
      <c r="Y46" s="9"/>
      <c r="Z46" s="9"/>
    </row>
    <row r="47">
      <c r="A47" s="20"/>
      <c r="B47" s="21" t="str">
        <f t="shared" ref="B47:K47" si="89">IF($A47="","",IF(OR(ISNUMBER(SEARCH(LOWER($A47),LOWER(B$1))),AND(RIGHT(LOWER($A47),1)="s",ISNUMBER(SEARCH(LEFT(LOWER($A47),LEN($A47)-1),LOWER(B$1))))),B$1,B$1&amp;" "&amp;$A47))</f>
        <v/>
      </c>
      <c r="C47" s="21" t="str">
        <f t="shared" si="89"/>
        <v/>
      </c>
      <c r="D47" s="21" t="str">
        <f t="shared" si="89"/>
        <v/>
      </c>
      <c r="E47" s="21" t="str">
        <f t="shared" si="89"/>
        <v/>
      </c>
      <c r="F47" s="21" t="str">
        <f t="shared" si="89"/>
        <v/>
      </c>
      <c r="G47" s="21" t="str">
        <f t="shared" si="89"/>
        <v/>
      </c>
      <c r="H47" s="21" t="str">
        <f t="shared" si="89"/>
        <v/>
      </c>
      <c r="I47" s="21" t="str">
        <f t="shared" si="89"/>
        <v/>
      </c>
      <c r="J47" s="21" t="str">
        <f t="shared" si="89"/>
        <v/>
      </c>
      <c r="K47" s="21" t="str">
        <f t="shared" si="89"/>
        <v/>
      </c>
      <c r="L47" s="17" t="str">
        <f>IFERROR(__xludf.DUMMYFUNCTION("""COMPUTED_VALUE"""),"electrical contractor COC")</f>
        <v>electrical contractor COC</v>
      </c>
      <c r="M47" s="18"/>
      <c r="N47" s="21" t="str">
        <f t="shared" ref="N47:W47" si="90">IF($A47="","",IF(OR(ISNUMBER(SEARCH(LOWER($A47),LOWER(N$1))),AND(RIGHT(LOWER($A47),1)="s",ISNUMBER(SEARCH(LEFT(LOWER($A47),LEN($A47)-1),LOWER(N$1))))),N$1,$A47&amp;" "&amp;N$1))</f>
        <v/>
      </c>
      <c r="O47" s="21" t="str">
        <f t="shared" si="90"/>
        <v/>
      </c>
      <c r="P47" s="21" t="str">
        <f t="shared" si="90"/>
        <v/>
      </c>
      <c r="Q47" s="21" t="str">
        <f t="shared" si="90"/>
        <v/>
      </c>
      <c r="R47" s="21" t="str">
        <f t="shared" si="90"/>
        <v/>
      </c>
      <c r="S47" s="21" t="str">
        <f t="shared" si="90"/>
        <v/>
      </c>
      <c r="T47" s="21" t="str">
        <f t="shared" si="90"/>
        <v/>
      </c>
      <c r="U47" s="21" t="str">
        <f t="shared" si="90"/>
        <v/>
      </c>
      <c r="V47" s="21" t="str">
        <f t="shared" si="90"/>
        <v/>
      </c>
      <c r="W47" s="21" t="str">
        <f t="shared" si="90"/>
        <v/>
      </c>
      <c r="X47" s="19" t="str">
        <f>IFERROR(__xludf.DUMMYFUNCTION("""COMPUTED_VALUE"""),"company electrical repairs")</f>
        <v>company electrical repairs</v>
      </c>
      <c r="Y47" s="9"/>
      <c r="Z47" s="9"/>
    </row>
    <row r="48">
      <c r="A48" s="20"/>
      <c r="B48" s="21" t="str">
        <f t="shared" ref="B48:K48" si="91">IF($A48="","",IF(OR(ISNUMBER(SEARCH(LOWER($A48),LOWER(B$1))),AND(RIGHT(LOWER($A48),1)="s",ISNUMBER(SEARCH(LEFT(LOWER($A48),LEN($A48)-1),LOWER(B$1))))),B$1,B$1&amp;" "&amp;$A48))</f>
        <v/>
      </c>
      <c r="C48" s="21" t="str">
        <f t="shared" si="91"/>
        <v/>
      </c>
      <c r="D48" s="21" t="str">
        <f t="shared" si="91"/>
        <v/>
      </c>
      <c r="E48" s="21" t="str">
        <f t="shared" si="91"/>
        <v/>
      </c>
      <c r="F48" s="21" t="str">
        <f t="shared" si="91"/>
        <v/>
      </c>
      <c r="G48" s="21" t="str">
        <f t="shared" si="91"/>
        <v/>
      </c>
      <c r="H48" s="21" t="str">
        <f t="shared" si="91"/>
        <v/>
      </c>
      <c r="I48" s="21" t="str">
        <f t="shared" si="91"/>
        <v/>
      </c>
      <c r="J48" s="21" t="str">
        <f t="shared" si="91"/>
        <v/>
      </c>
      <c r="K48" s="21" t="str">
        <f t="shared" si="91"/>
        <v/>
      </c>
      <c r="L48" s="17" t="str">
        <f>IFERROR(__xludf.DUMMYFUNCTION("""COMPUTED_VALUE"""),"electrical contractor company")</f>
        <v>electrical contractor company</v>
      </c>
      <c r="M48" s="18"/>
      <c r="N48" s="21" t="str">
        <f t="shared" ref="N48:W48" si="92">IF($A48="","",IF(OR(ISNUMBER(SEARCH(LOWER($A48),LOWER(N$1))),AND(RIGHT(LOWER($A48),1)="s",ISNUMBER(SEARCH(LEFT(LOWER($A48),LEN($A48)-1),LOWER(N$1))))),N$1,$A48&amp;" "&amp;N$1))</f>
        <v/>
      </c>
      <c r="O48" s="21" t="str">
        <f t="shared" si="92"/>
        <v/>
      </c>
      <c r="P48" s="21" t="str">
        <f t="shared" si="92"/>
        <v/>
      </c>
      <c r="Q48" s="21" t="str">
        <f t="shared" si="92"/>
        <v/>
      </c>
      <c r="R48" s="21" t="str">
        <f t="shared" si="92"/>
        <v/>
      </c>
      <c r="S48" s="21" t="str">
        <f t="shared" si="92"/>
        <v/>
      </c>
      <c r="T48" s="21" t="str">
        <f t="shared" si="92"/>
        <v/>
      </c>
      <c r="U48" s="21" t="str">
        <f t="shared" si="92"/>
        <v/>
      </c>
      <c r="V48" s="21" t="str">
        <f t="shared" si="92"/>
        <v/>
      </c>
      <c r="W48" s="21" t="str">
        <f t="shared" si="92"/>
        <v/>
      </c>
      <c r="X48" s="19" t="str">
        <f>IFERROR(__xludf.DUMMYFUNCTION("""COMPUTED_VALUE"""),"company electrical services")</f>
        <v>company electrical services</v>
      </c>
      <c r="Y48" s="9"/>
      <c r="Z48" s="9"/>
    </row>
    <row r="49">
      <c r="A49" s="20"/>
      <c r="B49" s="21" t="str">
        <f t="shared" ref="B49:K49" si="93">IF($A49="","",IF(OR(ISNUMBER(SEARCH(LOWER($A49),LOWER(B$1))),AND(RIGHT(LOWER($A49),1)="s",ISNUMBER(SEARCH(LEFT(LOWER($A49),LEN($A49)-1),LOWER(B$1))))),B$1,B$1&amp;" "&amp;$A49))</f>
        <v/>
      </c>
      <c r="C49" s="21" t="str">
        <f t="shared" si="93"/>
        <v/>
      </c>
      <c r="D49" s="21" t="str">
        <f t="shared" si="93"/>
        <v/>
      </c>
      <c r="E49" s="21" t="str">
        <f t="shared" si="93"/>
        <v/>
      </c>
      <c r="F49" s="21" t="str">
        <f t="shared" si="93"/>
        <v/>
      </c>
      <c r="G49" s="21" t="str">
        <f t="shared" si="93"/>
        <v/>
      </c>
      <c r="H49" s="21" t="str">
        <f t="shared" si="93"/>
        <v/>
      </c>
      <c r="I49" s="21" t="str">
        <f t="shared" si="93"/>
        <v/>
      </c>
      <c r="J49" s="21" t="str">
        <f t="shared" si="93"/>
        <v/>
      </c>
      <c r="K49" s="21" t="str">
        <f t="shared" si="93"/>
        <v/>
      </c>
      <c r="L49" s="17" t="str">
        <f>IFERROR(__xludf.DUMMYFUNCTION("""COMPUTED_VALUE"""),"electrical contractor cost")</f>
        <v>electrical contractor cost</v>
      </c>
      <c r="M49" s="18"/>
      <c r="N49" s="21" t="str">
        <f t="shared" ref="N49:W49" si="94">IF($A49="","",IF(OR(ISNUMBER(SEARCH(LOWER($A49),LOWER(N$1))),AND(RIGHT(LOWER($A49),1)="s",ISNUMBER(SEARCH(LEFT(LOWER($A49),LEN($A49)-1),LOWER(N$1))))),N$1,$A49&amp;" "&amp;N$1))</f>
        <v/>
      </c>
      <c r="O49" s="21" t="str">
        <f t="shared" si="94"/>
        <v/>
      </c>
      <c r="P49" s="21" t="str">
        <f t="shared" si="94"/>
        <v/>
      </c>
      <c r="Q49" s="21" t="str">
        <f t="shared" si="94"/>
        <v/>
      </c>
      <c r="R49" s="21" t="str">
        <f t="shared" si="94"/>
        <v/>
      </c>
      <c r="S49" s="21" t="str">
        <f t="shared" si="94"/>
        <v/>
      </c>
      <c r="T49" s="21" t="str">
        <f t="shared" si="94"/>
        <v/>
      </c>
      <c r="U49" s="21" t="str">
        <f t="shared" si="94"/>
        <v/>
      </c>
      <c r="V49" s="21" t="str">
        <f t="shared" si="94"/>
        <v/>
      </c>
      <c r="W49" s="21" t="str">
        <f t="shared" si="94"/>
        <v/>
      </c>
      <c r="X49" s="19" t="str">
        <f>IFERROR(__xludf.DUMMYFUNCTION("""COMPUTED_VALUE"""),"company electrician cape town")</f>
        <v>company electrician cape town</v>
      </c>
      <c r="Y49" s="9"/>
      <c r="Z49" s="9"/>
    </row>
    <row r="50">
      <c r="A50" s="20"/>
      <c r="B50" s="21" t="str">
        <f t="shared" ref="B50:K50" si="95">IF($A50="","",IF(OR(ISNUMBER(SEARCH(LOWER($A50),LOWER(B$1))),AND(RIGHT(LOWER($A50),1)="s",ISNUMBER(SEARCH(LEFT(LOWER($A50),LEN($A50)-1),LOWER(B$1))))),B$1,B$1&amp;" "&amp;$A50))</f>
        <v/>
      </c>
      <c r="C50" s="21" t="str">
        <f t="shared" si="95"/>
        <v/>
      </c>
      <c r="D50" s="21" t="str">
        <f t="shared" si="95"/>
        <v/>
      </c>
      <c r="E50" s="21" t="str">
        <f t="shared" si="95"/>
        <v/>
      </c>
      <c r="F50" s="21" t="str">
        <f t="shared" si="95"/>
        <v/>
      </c>
      <c r="G50" s="21" t="str">
        <f t="shared" si="95"/>
        <v/>
      </c>
      <c r="H50" s="21" t="str">
        <f t="shared" si="95"/>
        <v/>
      </c>
      <c r="I50" s="21" t="str">
        <f t="shared" si="95"/>
        <v/>
      </c>
      <c r="J50" s="21" t="str">
        <f t="shared" si="95"/>
        <v/>
      </c>
      <c r="K50" s="21" t="str">
        <f t="shared" si="95"/>
        <v/>
      </c>
      <c r="L50" s="17" t="str">
        <f>IFERROR(__xludf.DUMMYFUNCTION("""COMPUTED_VALUE"""),"electrical contractor emergency")</f>
        <v>electrical contractor emergency</v>
      </c>
      <c r="M50" s="18"/>
      <c r="N50" s="21" t="str">
        <f t="shared" ref="N50:W50" si="96">IF($A50="","",IF(OR(ISNUMBER(SEARCH(LOWER($A50),LOWER(N$1))),AND(RIGHT(LOWER($A50),1)="s",ISNUMBER(SEARCH(LEFT(LOWER($A50),LEN($A50)-1),LOWER(N$1))))),N$1,$A50&amp;" "&amp;N$1))</f>
        <v/>
      </c>
      <c r="O50" s="21" t="str">
        <f t="shared" si="96"/>
        <v/>
      </c>
      <c r="P50" s="21" t="str">
        <f t="shared" si="96"/>
        <v/>
      </c>
      <c r="Q50" s="21" t="str">
        <f t="shared" si="96"/>
        <v/>
      </c>
      <c r="R50" s="21" t="str">
        <f t="shared" si="96"/>
        <v/>
      </c>
      <c r="S50" s="21" t="str">
        <f t="shared" si="96"/>
        <v/>
      </c>
      <c r="T50" s="21" t="str">
        <f t="shared" si="96"/>
        <v/>
      </c>
      <c r="U50" s="21" t="str">
        <f t="shared" si="96"/>
        <v/>
      </c>
      <c r="V50" s="21" t="str">
        <f t="shared" si="96"/>
        <v/>
      </c>
      <c r="W50" s="21" t="str">
        <f t="shared" si="96"/>
        <v/>
      </c>
      <c r="X50" s="19" t="str">
        <f>IFERROR(__xludf.DUMMYFUNCTION("""COMPUTED_VALUE"""),"company emergency electrician")</f>
        <v>company emergency electrician</v>
      </c>
      <c r="Y50" s="9"/>
      <c r="Z50" s="9"/>
    </row>
    <row r="51">
      <c r="A51" s="20"/>
      <c r="B51" s="21" t="str">
        <f t="shared" ref="B51:K51" si="97">IF($A51="","",IF(OR(ISNUMBER(SEARCH(LOWER($A51),LOWER(B$1))),AND(RIGHT(LOWER($A51),1)="s",ISNUMBER(SEARCH(LEFT(LOWER($A51),LEN($A51)-1),LOWER(B$1))))),B$1,B$1&amp;" "&amp;$A51))</f>
        <v/>
      </c>
      <c r="C51" s="21" t="str">
        <f t="shared" si="97"/>
        <v/>
      </c>
      <c r="D51" s="21" t="str">
        <f t="shared" si="97"/>
        <v/>
      </c>
      <c r="E51" s="21" t="str">
        <f t="shared" si="97"/>
        <v/>
      </c>
      <c r="F51" s="21" t="str">
        <f t="shared" si="97"/>
        <v/>
      </c>
      <c r="G51" s="21" t="str">
        <f t="shared" si="97"/>
        <v/>
      </c>
      <c r="H51" s="21" t="str">
        <f t="shared" si="97"/>
        <v/>
      </c>
      <c r="I51" s="21" t="str">
        <f t="shared" si="97"/>
        <v/>
      </c>
      <c r="J51" s="21" t="str">
        <f t="shared" si="97"/>
        <v/>
      </c>
      <c r="K51" s="21" t="str">
        <f t="shared" si="97"/>
        <v/>
      </c>
      <c r="L51" s="17" t="str">
        <f>IFERROR(__xludf.DUMMYFUNCTION("""COMPUTED_VALUE"""),"electrical contractor inspection")</f>
        <v>electrical contractor inspection</v>
      </c>
      <c r="M51" s="18"/>
      <c r="N51" s="21" t="str">
        <f t="shared" ref="N51:W51" si="98">IF($A51="","",IF(OR(ISNUMBER(SEARCH(LOWER($A51),LOWER(N$1))),AND(RIGHT(LOWER($A51),1)="s",ISNUMBER(SEARCH(LEFT(LOWER($A51),LEN($A51)-1),LOWER(N$1))))),N$1,$A51&amp;" "&amp;N$1))</f>
        <v/>
      </c>
      <c r="O51" s="21" t="str">
        <f t="shared" si="98"/>
        <v/>
      </c>
      <c r="P51" s="21" t="str">
        <f t="shared" si="98"/>
        <v/>
      </c>
      <c r="Q51" s="21" t="str">
        <f t="shared" si="98"/>
        <v/>
      </c>
      <c r="R51" s="21" t="str">
        <f t="shared" si="98"/>
        <v/>
      </c>
      <c r="S51" s="21" t="str">
        <f t="shared" si="98"/>
        <v/>
      </c>
      <c r="T51" s="21" t="str">
        <f t="shared" si="98"/>
        <v/>
      </c>
      <c r="U51" s="21" t="str">
        <f t="shared" si="98"/>
        <v/>
      </c>
      <c r="V51" s="21" t="str">
        <f t="shared" si="98"/>
        <v/>
      </c>
      <c r="W51" s="21" t="str">
        <f t="shared" si="98"/>
        <v/>
      </c>
      <c r="X51" s="19" t="str">
        <f>IFERROR(__xludf.DUMMYFUNCTION("""COMPUTED_VALUE"""),"company residential electrician")</f>
        <v>company residential electrician</v>
      </c>
      <c r="Y51" s="9"/>
      <c r="Z51" s="9"/>
    </row>
    <row r="52">
      <c r="A52" s="20"/>
      <c r="B52" s="21" t="str">
        <f t="shared" ref="B52:K52" si="99">IF($A52="","",IF(OR(ISNUMBER(SEARCH(LOWER($A52),LOWER(B$1))),AND(RIGHT(LOWER($A52),1)="s",ISNUMBER(SEARCH(LEFT(LOWER($A52),LEN($A52)-1),LOWER(B$1))))),B$1,B$1&amp;" "&amp;$A52))</f>
        <v/>
      </c>
      <c r="C52" s="21" t="str">
        <f t="shared" si="99"/>
        <v/>
      </c>
      <c r="D52" s="21" t="str">
        <f t="shared" si="99"/>
        <v/>
      </c>
      <c r="E52" s="21" t="str">
        <f t="shared" si="99"/>
        <v/>
      </c>
      <c r="F52" s="21" t="str">
        <f t="shared" si="99"/>
        <v/>
      </c>
      <c r="G52" s="21" t="str">
        <f t="shared" si="99"/>
        <v/>
      </c>
      <c r="H52" s="21" t="str">
        <f t="shared" si="99"/>
        <v/>
      </c>
      <c r="I52" s="21" t="str">
        <f t="shared" si="99"/>
        <v/>
      </c>
      <c r="J52" s="21" t="str">
        <f t="shared" si="99"/>
        <v/>
      </c>
      <c r="K52" s="21" t="str">
        <f t="shared" si="99"/>
        <v/>
      </c>
      <c r="L52" s="17" t="str">
        <f>IFERROR(__xludf.DUMMYFUNCTION("""COMPUTED_VALUE"""),"electrical contractor installation")</f>
        <v>electrical contractor installation</v>
      </c>
      <c r="M52" s="18"/>
      <c r="N52" s="21" t="str">
        <f t="shared" ref="N52:W52" si="100">IF($A52="","",IF(OR(ISNUMBER(SEARCH(LOWER($A52),LOWER(N$1))),AND(RIGHT(LOWER($A52),1)="s",ISNUMBER(SEARCH(LEFT(LOWER($A52),LEN($A52)-1),LOWER(N$1))))),N$1,$A52&amp;" "&amp;N$1))</f>
        <v/>
      </c>
      <c r="O52" s="21" t="str">
        <f t="shared" si="100"/>
        <v/>
      </c>
      <c r="P52" s="21" t="str">
        <f t="shared" si="100"/>
        <v/>
      </c>
      <c r="Q52" s="21" t="str">
        <f t="shared" si="100"/>
        <v/>
      </c>
      <c r="R52" s="21" t="str">
        <f t="shared" si="100"/>
        <v/>
      </c>
      <c r="S52" s="21" t="str">
        <f t="shared" si="100"/>
        <v/>
      </c>
      <c r="T52" s="21" t="str">
        <f t="shared" si="100"/>
        <v/>
      </c>
      <c r="U52" s="21" t="str">
        <f t="shared" si="100"/>
        <v/>
      </c>
      <c r="V52" s="21" t="str">
        <f t="shared" si="100"/>
        <v/>
      </c>
      <c r="W52" s="21" t="str">
        <f t="shared" si="100"/>
        <v/>
      </c>
      <c r="X52" s="19" t="str">
        <f>IFERROR(__xludf.DUMMYFUNCTION("""COMPUTED_VALUE"""),"contractor commercial electrician")</f>
        <v>contractor commercial electrician</v>
      </c>
      <c r="Y52" s="9"/>
      <c r="Z52" s="9"/>
    </row>
    <row r="53">
      <c r="A53" s="20"/>
      <c r="B53" s="21" t="str">
        <f t="shared" ref="B53:K53" si="101">IF($A53="","",IF(OR(ISNUMBER(SEARCH(LOWER($A53),LOWER(B$1))),AND(RIGHT(LOWER($A53),1)="s",ISNUMBER(SEARCH(LEFT(LOWER($A53),LEN($A53)-1),LOWER(B$1))))),B$1,B$1&amp;" "&amp;$A53))</f>
        <v/>
      </c>
      <c r="C53" s="21" t="str">
        <f t="shared" si="101"/>
        <v/>
      </c>
      <c r="D53" s="21" t="str">
        <f t="shared" si="101"/>
        <v/>
      </c>
      <c r="E53" s="21" t="str">
        <f t="shared" si="101"/>
        <v/>
      </c>
      <c r="F53" s="21" t="str">
        <f t="shared" si="101"/>
        <v/>
      </c>
      <c r="G53" s="21" t="str">
        <f t="shared" si="101"/>
        <v/>
      </c>
      <c r="H53" s="21" t="str">
        <f t="shared" si="101"/>
        <v/>
      </c>
      <c r="I53" s="21" t="str">
        <f t="shared" si="101"/>
        <v/>
      </c>
      <c r="J53" s="21" t="str">
        <f t="shared" si="101"/>
        <v/>
      </c>
      <c r="K53" s="21" t="str">
        <f t="shared" si="101"/>
        <v/>
      </c>
      <c r="L53" s="17" t="str">
        <f>IFERROR(__xludf.DUMMYFUNCTION("""COMPUTED_VALUE"""),"electrical contractor licensed")</f>
        <v>electrical contractor licensed</v>
      </c>
      <c r="M53" s="18"/>
      <c r="N53" s="21" t="str">
        <f t="shared" ref="N53:W53" si="102">IF($A53="","",IF(OR(ISNUMBER(SEARCH(LOWER($A53),LOWER(N$1))),AND(RIGHT(LOWER($A53),1)="s",ISNUMBER(SEARCH(LEFT(LOWER($A53),LEN($A53)-1),LOWER(N$1))))),N$1,$A53&amp;" "&amp;N$1))</f>
        <v/>
      </c>
      <c r="O53" s="21" t="str">
        <f t="shared" si="102"/>
        <v/>
      </c>
      <c r="P53" s="21" t="str">
        <f t="shared" si="102"/>
        <v/>
      </c>
      <c r="Q53" s="21" t="str">
        <f t="shared" si="102"/>
        <v/>
      </c>
      <c r="R53" s="21" t="str">
        <f t="shared" si="102"/>
        <v/>
      </c>
      <c r="S53" s="21" t="str">
        <f t="shared" si="102"/>
        <v/>
      </c>
      <c r="T53" s="21" t="str">
        <f t="shared" si="102"/>
        <v/>
      </c>
      <c r="U53" s="21" t="str">
        <f t="shared" si="102"/>
        <v/>
      </c>
      <c r="V53" s="21" t="str">
        <f t="shared" si="102"/>
        <v/>
      </c>
      <c r="W53" s="21" t="str">
        <f t="shared" si="102"/>
        <v/>
      </c>
      <c r="X53" s="19" t="str">
        <f>IFERROR(__xludf.DUMMYFUNCTION("""COMPUTED_VALUE"""),"contractor electrical compliance certificate")</f>
        <v>contractor electrical compliance certificate</v>
      </c>
      <c r="Y53" s="9"/>
      <c r="Z53" s="9"/>
    </row>
    <row r="54">
      <c r="A54" s="20"/>
      <c r="B54" s="21" t="str">
        <f t="shared" ref="B54:K54" si="103">IF($A54="","",IF(OR(ISNUMBER(SEARCH(LOWER($A54),LOWER(B$1))),AND(RIGHT(LOWER($A54),1)="s",ISNUMBER(SEARCH(LEFT(LOWER($A54),LEN($A54)-1),LOWER(B$1))))),B$1,B$1&amp;" "&amp;$A54))</f>
        <v/>
      </c>
      <c r="C54" s="21" t="str">
        <f t="shared" si="103"/>
        <v/>
      </c>
      <c r="D54" s="21" t="str">
        <f t="shared" si="103"/>
        <v/>
      </c>
      <c r="E54" s="21" t="str">
        <f t="shared" si="103"/>
        <v/>
      </c>
      <c r="F54" s="21" t="str">
        <f t="shared" si="103"/>
        <v/>
      </c>
      <c r="G54" s="21" t="str">
        <f t="shared" si="103"/>
        <v/>
      </c>
      <c r="H54" s="21" t="str">
        <f t="shared" si="103"/>
        <v/>
      </c>
      <c r="I54" s="21" t="str">
        <f t="shared" si="103"/>
        <v/>
      </c>
      <c r="J54" s="21" t="str">
        <f t="shared" si="103"/>
        <v/>
      </c>
      <c r="K54" s="21" t="str">
        <f t="shared" si="103"/>
        <v/>
      </c>
      <c r="L54" s="17" t="str">
        <f>IFERROR(__xludf.DUMMYFUNCTION("""COMPUTED_VALUE"""),"electrical contractor local")</f>
        <v>electrical contractor local</v>
      </c>
      <c r="M54" s="18"/>
      <c r="N54" s="21" t="str">
        <f t="shared" ref="N54:W54" si="104">IF($A54="","",IF(OR(ISNUMBER(SEARCH(LOWER($A54),LOWER(N$1))),AND(RIGHT(LOWER($A54),1)="s",ISNUMBER(SEARCH(LEFT(LOWER($A54),LEN($A54)-1),LOWER(N$1))))),N$1,$A54&amp;" "&amp;N$1))</f>
        <v/>
      </c>
      <c r="O54" s="21" t="str">
        <f t="shared" si="104"/>
        <v/>
      </c>
      <c r="P54" s="21" t="str">
        <f t="shared" si="104"/>
        <v/>
      </c>
      <c r="Q54" s="21" t="str">
        <f t="shared" si="104"/>
        <v/>
      </c>
      <c r="R54" s="21" t="str">
        <f t="shared" si="104"/>
        <v/>
      </c>
      <c r="S54" s="21" t="str">
        <f t="shared" si="104"/>
        <v/>
      </c>
      <c r="T54" s="21" t="str">
        <f t="shared" si="104"/>
        <v/>
      </c>
      <c r="U54" s="21" t="str">
        <f t="shared" si="104"/>
        <v/>
      </c>
      <c r="V54" s="21" t="str">
        <f t="shared" si="104"/>
        <v/>
      </c>
      <c r="W54" s="21" t="str">
        <f t="shared" si="104"/>
        <v/>
      </c>
      <c r="X54" s="19" t="str">
        <f>IFERROR(__xludf.DUMMYFUNCTION("""COMPUTED_VALUE"""),"contractor electrical installation")</f>
        <v>contractor electrical installation</v>
      </c>
      <c r="Y54" s="9"/>
      <c r="Z54" s="9"/>
    </row>
    <row r="55">
      <c r="A55" s="20"/>
      <c r="B55" s="21" t="str">
        <f t="shared" ref="B55:K55" si="105">IF($A55="","",IF(OR(ISNUMBER(SEARCH(LOWER($A55),LOWER(B$1))),AND(RIGHT(LOWER($A55),1)="s",ISNUMBER(SEARCH(LEFT(LOWER($A55),LEN($A55)-1),LOWER(B$1))))),B$1,B$1&amp;" "&amp;$A55))</f>
        <v/>
      </c>
      <c r="C55" s="21" t="str">
        <f t="shared" si="105"/>
        <v/>
      </c>
      <c r="D55" s="21" t="str">
        <f t="shared" si="105"/>
        <v/>
      </c>
      <c r="E55" s="21" t="str">
        <f t="shared" si="105"/>
        <v/>
      </c>
      <c r="F55" s="21" t="str">
        <f t="shared" si="105"/>
        <v/>
      </c>
      <c r="G55" s="21" t="str">
        <f t="shared" si="105"/>
        <v/>
      </c>
      <c r="H55" s="21" t="str">
        <f t="shared" si="105"/>
        <v/>
      </c>
      <c r="I55" s="21" t="str">
        <f t="shared" si="105"/>
        <v/>
      </c>
      <c r="J55" s="21" t="str">
        <f t="shared" si="105"/>
        <v/>
      </c>
      <c r="K55" s="21" t="str">
        <f t="shared" si="105"/>
        <v/>
      </c>
      <c r="L55" s="17" t="str">
        <f>IFERROR(__xludf.DUMMYFUNCTION("""COMPUTED_VALUE"""),"electrical contractor near me")</f>
        <v>electrical contractor near me</v>
      </c>
      <c r="M55" s="18"/>
      <c r="N55" s="21" t="str">
        <f t="shared" ref="N55:W55" si="106">IF($A55="","",IF(OR(ISNUMBER(SEARCH(LOWER($A55),LOWER(N$1))),AND(RIGHT(LOWER($A55),1)="s",ISNUMBER(SEARCH(LEFT(LOWER($A55),LEN($A55)-1),LOWER(N$1))))),N$1,$A55&amp;" "&amp;N$1))</f>
        <v/>
      </c>
      <c r="O55" s="21" t="str">
        <f t="shared" si="106"/>
        <v/>
      </c>
      <c r="P55" s="21" t="str">
        <f t="shared" si="106"/>
        <v/>
      </c>
      <c r="Q55" s="21" t="str">
        <f t="shared" si="106"/>
        <v/>
      </c>
      <c r="R55" s="21" t="str">
        <f t="shared" si="106"/>
        <v/>
      </c>
      <c r="S55" s="21" t="str">
        <f t="shared" si="106"/>
        <v/>
      </c>
      <c r="T55" s="21" t="str">
        <f t="shared" si="106"/>
        <v/>
      </c>
      <c r="U55" s="21" t="str">
        <f t="shared" si="106"/>
        <v/>
      </c>
      <c r="V55" s="21" t="str">
        <f t="shared" si="106"/>
        <v/>
      </c>
      <c r="W55" s="21" t="str">
        <f t="shared" si="106"/>
        <v/>
      </c>
      <c r="X55" s="19" t="str">
        <f>IFERROR(__xludf.DUMMYFUNCTION("""COMPUTED_VALUE"""),"contractor electrical maintenance")</f>
        <v>contractor electrical maintenance</v>
      </c>
      <c r="Y55" s="9"/>
      <c r="Z55" s="9"/>
    </row>
    <row r="56">
      <c r="A56" s="20"/>
      <c r="B56" s="21" t="str">
        <f t="shared" ref="B56:K56" si="107">IF($A56="","",IF(OR(ISNUMBER(SEARCH(LOWER($A56),LOWER(B$1))),AND(RIGHT(LOWER($A56),1)="s",ISNUMBER(SEARCH(LEFT(LOWER($A56),LEN($A56)-1),LOWER(B$1))))),B$1,B$1&amp;" "&amp;$A56))</f>
        <v/>
      </c>
      <c r="C56" s="21" t="str">
        <f t="shared" si="107"/>
        <v/>
      </c>
      <c r="D56" s="21" t="str">
        <f t="shared" si="107"/>
        <v/>
      </c>
      <c r="E56" s="21" t="str">
        <f t="shared" si="107"/>
        <v/>
      </c>
      <c r="F56" s="21" t="str">
        <f t="shared" si="107"/>
        <v/>
      </c>
      <c r="G56" s="21" t="str">
        <f t="shared" si="107"/>
        <v/>
      </c>
      <c r="H56" s="21" t="str">
        <f t="shared" si="107"/>
        <v/>
      </c>
      <c r="I56" s="21" t="str">
        <f t="shared" si="107"/>
        <v/>
      </c>
      <c r="J56" s="21" t="str">
        <f t="shared" si="107"/>
        <v/>
      </c>
      <c r="K56" s="21" t="str">
        <f t="shared" si="107"/>
        <v/>
      </c>
      <c r="L56" s="17" t="str">
        <f>IFERROR(__xludf.DUMMYFUNCTION("""COMPUTED_VALUE"""),"electrical contractor professional")</f>
        <v>electrical contractor professional</v>
      </c>
      <c r="M56" s="18"/>
      <c r="N56" s="21" t="str">
        <f t="shared" ref="N56:W56" si="108">IF($A56="","",IF(OR(ISNUMBER(SEARCH(LOWER($A56),LOWER(N$1))),AND(RIGHT(LOWER($A56),1)="s",ISNUMBER(SEARCH(LEFT(LOWER($A56),LEN($A56)-1),LOWER(N$1))))),N$1,$A56&amp;" "&amp;N$1))</f>
        <v/>
      </c>
      <c r="O56" s="21" t="str">
        <f t="shared" si="108"/>
        <v/>
      </c>
      <c r="P56" s="21" t="str">
        <f t="shared" si="108"/>
        <v/>
      </c>
      <c r="Q56" s="21" t="str">
        <f t="shared" si="108"/>
        <v/>
      </c>
      <c r="R56" s="21" t="str">
        <f t="shared" si="108"/>
        <v/>
      </c>
      <c r="S56" s="21" t="str">
        <f t="shared" si="108"/>
        <v/>
      </c>
      <c r="T56" s="21" t="str">
        <f t="shared" si="108"/>
        <v/>
      </c>
      <c r="U56" s="21" t="str">
        <f t="shared" si="108"/>
        <v/>
      </c>
      <c r="V56" s="21" t="str">
        <f t="shared" si="108"/>
        <v/>
      </c>
      <c r="W56" s="21" t="str">
        <f t="shared" si="108"/>
        <v/>
      </c>
      <c r="X56" s="19" t="str">
        <f>IFERROR(__xludf.DUMMYFUNCTION("""COMPUTED_VALUE"""),"contractor electrical repairs")</f>
        <v>contractor electrical repairs</v>
      </c>
      <c r="Y56" s="9"/>
      <c r="Z56" s="9"/>
    </row>
    <row r="57">
      <c r="A57" s="20"/>
      <c r="B57" s="21" t="str">
        <f t="shared" ref="B57:K57" si="109">IF($A57="","",IF(OR(ISNUMBER(SEARCH(LOWER($A57),LOWER(B$1))),AND(RIGHT(LOWER($A57),1)="s",ISNUMBER(SEARCH(LEFT(LOWER($A57),LEN($A57)-1),LOWER(B$1))))),B$1,B$1&amp;" "&amp;$A57))</f>
        <v/>
      </c>
      <c r="C57" s="21" t="str">
        <f t="shared" si="109"/>
        <v/>
      </c>
      <c r="D57" s="21" t="str">
        <f t="shared" si="109"/>
        <v/>
      </c>
      <c r="E57" s="21" t="str">
        <f t="shared" si="109"/>
        <v/>
      </c>
      <c r="F57" s="21" t="str">
        <f t="shared" si="109"/>
        <v/>
      </c>
      <c r="G57" s="21" t="str">
        <f t="shared" si="109"/>
        <v/>
      </c>
      <c r="H57" s="21" t="str">
        <f t="shared" si="109"/>
        <v/>
      </c>
      <c r="I57" s="21" t="str">
        <f t="shared" si="109"/>
        <v/>
      </c>
      <c r="J57" s="21" t="str">
        <f t="shared" si="109"/>
        <v/>
      </c>
      <c r="K57" s="21" t="str">
        <f t="shared" si="109"/>
        <v/>
      </c>
      <c r="L57" s="17" t="str">
        <f>IFERROR(__xludf.DUMMYFUNCTION("""COMPUTED_VALUE"""),"electrical contractor qualified")</f>
        <v>electrical contractor qualified</v>
      </c>
      <c r="M57" s="18"/>
      <c r="N57" s="21" t="str">
        <f t="shared" ref="N57:W57" si="110">IF($A57="","",IF(OR(ISNUMBER(SEARCH(LOWER($A57),LOWER(N$1))),AND(RIGHT(LOWER($A57),1)="s",ISNUMBER(SEARCH(LEFT(LOWER($A57),LEN($A57)-1),LOWER(N$1))))),N$1,$A57&amp;" "&amp;N$1))</f>
        <v/>
      </c>
      <c r="O57" s="21" t="str">
        <f t="shared" si="110"/>
        <v/>
      </c>
      <c r="P57" s="21" t="str">
        <f t="shared" si="110"/>
        <v/>
      </c>
      <c r="Q57" s="21" t="str">
        <f t="shared" si="110"/>
        <v/>
      </c>
      <c r="R57" s="21" t="str">
        <f t="shared" si="110"/>
        <v/>
      </c>
      <c r="S57" s="21" t="str">
        <f t="shared" si="110"/>
        <v/>
      </c>
      <c r="T57" s="21" t="str">
        <f t="shared" si="110"/>
        <v/>
      </c>
      <c r="U57" s="21" t="str">
        <f t="shared" si="110"/>
        <v/>
      </c>
      <c r="V57" s="21" t="str">
        <f t="shared" si="110"/>
        <v/>
      </c>
      <c r="W57" s="21" t="str">
        <f t="shared" si="110"/>
        <v/>
      </c>
      <c r="X57" s="19" t="str">
        <f>IFERROR(__xludf.DUMMYFUNCTION("""COMPUTED_VALUE"""),"contractor electrical services")</f>
        <v>contractor electrical services</v>
      </c>
      <c r="Y57" s="9"/>
      <c r="Z57" s="9"/>
    </row>
    <row r="58">
      <c r="A58" s="20"/>
      <c r="B58" s="21" t="str">
        <f t="shared" ref="B58:K58" si="111">IF($A58="","",IF(OR(ISNUMBER(SEARCH(LOWER($A58),LOWER(B$1))),AND(RIGHT(LOWER($A58),1)="s",ISNUMBER(SEARCH(LEFT(LOWER($A58),LEN($A58)-1),LOWER(B$1))))),B$1,B$1&amp;" "&amp;$A58))</f>
        <v/>
      </c>
      <c r="C58" s="21" t="str">
        <f t="shared" si="111"/>
        <v/>
      </c>
      <c r="D58" s="21" t="str">
        <f t="shared" si="111"/>
        <v/>
      </c>
      <c r="E58" s="21" t="str">
        <f t="shared" si="111"/>
        <v/>
      </c>
      <c r="F58" s="21" t="str">
        <f t="shared" si="111"/>
        <v/>
      </c>
      <c r="G58" s="21" t="str">
        <f t="shared" si="111"/>
        <v/>
      </c>
      <c r="H58" s="21" t="str">
        <f t="shared" si="111"/>
        <v/>
      </c>
      <c r="I58" s="21" t="str">
        <f t="shared" si="111"/>
        <v/>
      </c>
      <c r="J58" s="21" t="str">
        <f t="shared" si="111"/>
        <v/>
      </c>
      <c r="K58" s="21" t="str">
        <f t="shared" si="111"/>
        <v/>
      </c>
      <c r="L58" s="17" t="str">
        <f>IFERROR(__xludf.DUMMYFUNCTION("""COMPUTED_VALUE"""),"electrical contractor quote")</f>
        <v>electrical contractor quote</v>
      </c>
      <c r="M58" s="18"/>
      <c r="N58" s="21" t="str">
        <f t="shared" ref="N58:W58" si="112">IF($A58="","",IF(OR(ISNUMBER(SEARCH(LOWER($A58),LOWER(N$1))),AND(RIGHT(LOWER($A58),1)="s",ISNUMBER(SEARCH(LEFT(LOWER($A58),LEN($A58)-1),LOWER(N$1))))),N$1,$A58&amp;" "&amp;N$1))</f>
        <v/>
      </c>
      <c r="O58" s="21" t="str">
        <f t="shared" si="112"/>
        <v/>
      </c>
      <c r="P58" s="21" t="str">
        <f t="shared" si="112"/>
        <v/>
      </c>
      <c r="Q58" s="21" t="str">
        <f t="shared" si="112"/>
        <v/>
      </c>
      <c r="R58" s="21" t="str">
        <f t="shared" si="112"/>
        <v/>
      </c>
      <c r="S58" s="21" t="str">
        <f t="shared" si="112"/>
        <v/>
      </c>
      <c r="T58" s="21" t="str">
        <f t="shared" si="112"/>
        <v/>
      </c>
      <c r="U58" s="21" t="str">
        <f t="shared" si="112"/>
        <v/>
      </c>
      <c r="V58" s="21" t="str">
        <f t="shared" si="112"/>
        <v/>
      </c>
      <c r="W58" s="21" t="str">
        <f t="shared" si="112"/>
        <v/>
      </c>
      <c r="X58" s="19" t="str">
        <f>IFERROR(__xludf.DUMMYFUNCTION("""COMPUTED_VALUE"""),"contractor electrician cape town")</f>
        <v>contractor electrician cape town</v>
      </c>
      <c r="Y58" s="9"/>
      <c r="Z58" s="9"/>
    </row>
    <row r="59">
      <c r="A59" s="20"/>
      <c r="B59" s="21" t="str">
        <f t="shared" ref="B59:K59" si="113">IF($A59="","",IF(OR(ISNUMBER(SEARCH(LOWER($A59),LOWER(B$1))),AND(RIGHT(LOWER($A59),1)="s",ISNUMBER(SEARCH(LEFT(LOWER($A59),LEN($A59)-1),LOWER(B$1))))),B$1,B$1&amp;" "&amp;$A59))</f>
        <v/>
      </c>
      <c r="C59" s="21" t="str">
        <f t="shared" si="113"/>
        <v/>
      </c>
      <c r="D59" s="21" t="str">
        <f t="shared" si="113"/>
        <v/>
      </c>
      <c r="E59" s="21" t="str">
        <f t="shared" si="113"/>
        <v/>
      </c>
      <c r="F59" s="21" t="str">
        <f t="shared" si="113"/>
        <v/>
      </c>
      <c r="G59" s="21" t="str">
        <f t="shared" si="113"/>
        <v/>
      </c>
      <c r="H59" s="21" t="str">
        <f t="shared" si="113"/>
        <v/>
      </c>
      <c r="I59" s="21" t="str">
        <f t="shared" si="113"/>
        <v/>
      </c>
      <c r="J59" s="21" t="str">
        <f t="shared" si="113"/>
        <v/>
      </c>
      <c r="K59" s="21" t="str">
        <f t="shared" si="113"/>
        <v/>
      </c>
      <c r="L59" s="17" t="str">
        <f>IFERROR(__xludf.DUMMYFUNCTION("""COMPUTED_VALUE"""),"electrical contractor reliable")</f>
        <v>electrical contractor reliable</v>
      </c>
      <c r="M59" s="18"/>
      <c r="N59" s="21" t="str">
        <f t="shared" ref="N59:W59" si="114">IF($A59="","",IF(OR(ISNUMBER(SEARCH(LOWER($A59),LOWER(N$1))),AND(RIGHT(LOWER($A59),1)="s",ISNUMBER(SEARCH(LEFT(LOWER($A59),LEN($A59)-1),LOWER(N$1))))),N$1,$A59&amp;" "&amp;N$1))</f>
        <v/>
      </c>
      <c r="O59" s="21" t="str">
        <f t="shared" si="114"/>
        <v/>
      </c>
      <c r="P59" s="21" t="str">
        <f t="shared" si="114"/>
        <v/>
      </c>
      <c r="Q59" s="21" t="str">
        <f t="shared" si="114"/>
        <v/>
      </c>
      <c r="R59" s="21" t="str">
        <f t="shared" si="114"/>
        <v/>
      </c>
      <c r="S59" s="21" t="str">
        <f t="shared" si="114"/>
        <v/>
      </c>
      <c r="T59" s="21" t="str">
        <f t="shared" si="114"/>
        <v/>
      </c>
      <c r="U59" s="21" t="str">
        <f t="shared" si="114"/>
        <v/>
      </c>
      <c r="V59" s="21" t="str">
        <f t="shared" si="114"/>
        <v/>
      </c>
      <c r="W59" s="21" t="str">
        <f t="shared" si="114"/>
        <v/>
      </c>
      <c r="X59" s="19" t="str">
        <f>IFERROR(__xludf.DUMMYFUNCTION("""COMPUTED_VALUE"""),"contractor emergency electrician")</f>
        <v>contractor emergency electrician</v>
      </c>
      <c r="Y59" s="9"/>
      <c r="Z59" s="9"/>
    </row>
    <row r="60">
      <c r="A60" s="20"/>
      <c r="B60" s="21" t="str">
        <f t="shared" ref="B60:K60" si="115">IF($A60="","",IF(OR(ISNUMBER(SEARCH(LOWER($A60),LOWER(B$1))),AND(RIGHT(LOWER($A60),1)="s",ISNUMBER(SEARCH(LEFT(LOWER($A60),LEN($A60)-1),LOWER(B$1))))),B$1,B$1&amp;" "&amp;$A60))</f>
        <v/>
      </c>
      <c r="C60" s="21" t="str">
        <f t="shared" si="115"/>
        <v/>
      </c>
      <c r="D60" s="21" t="str">
        <f t="shared" si="115"/>
        <v/>
      </c>
      <c r="E60" s="21" t="str">
        <f t="shared" si="115"/>
        <v/>
      </c>
      <c r="F60" s="21" t="str">
        <f t="shared" si="115"/>
        <v/>
      </c>
      <c r="G60" s="21" t="str">
        <f t="shared" si="115"/>
        <v/>
      </c>
      <c r="H60" s="21" t="str">
        <f t="shared" si="115"/>
        <v/>
      </c>
      <c r="I60" s="21" t="str">
        <f t="shared" si="115"/>
        <v/>
      </c>
      <c r="J60" s="21" t="str">
        <f t="shared" si="115"/>
        <v/>
      </c>
      <c r="K60" s="21" t="str">
        <f t="shared" si="115"/>
        <v/>
      </c>
      <c r="L60" s="17" t="str">
        <f>IFERROR(__xludf.DUMMYFUNCTION("""COMPUTED_VALUE"""),"electrical contractor repair")</f>
        <v>electrical contractor repair</v>
      </c>
      <c r="M60" s="18"/>
      <c r="N60" s="21" t="str">
        <f t="shared" ref="N60:W60" si="116">IF($A60="","",IF(OR(ISNUMBER(SEARCH(LOWER($A60),LOWER(N$1))),AND(RIGHT(LOWER($A60),1)="s",ISNUMBER(SEARCH(LEFT(LOWER($A60),LEN($A60)-1),LOWER(N$1))))),N$1,$A60&amp;" "&amp;N$1))</f>
        <v/>
      </c>
      <c r="O60" s="21" t="str">
        <f t="shared" si="116"/>
        <v/>
      </c>
      <c r="P60" s="21" t="str">
        <f t="shared" si="116"/>
        <v/>
      </c>
      <c r="Q60" s="21" t="str">
        <f t="shared" si="116"/>
        <v/>
      </c>
      <c r="R60" s="21" t="str">
        <f t="shared" si="116"/>
        <v/>
      </c>
      <c r="S60" s="21" t="str">
        <f t="shared" si="116"/>
        <v/>
      </c>
      <c r="T60" s="21" t="str">
        <f t="shared" si="116"/>
        <v/>
      </c>
      <c r="U60" s="21" t="str">
        <f t="shared" si="116"/>
        <v/>
      </c>
      <c r="V60" s="21" t="str">
        <f t="shared" si="116"/>
        <v/>
      </c>
      <c r="W60" s="21" t="str">
        <f t="shared" si="116"/>
        <v/>
      </c>
      <c r="X60" s="19" t="str">
        <f>IFERROR(__xludf.DUMMYFUNCTION("""COMPUTED_VALUE"""),"contractor residential electrician")</f>
        <v>contractor residential electrician</v>
      </c>
      <c r="Y60" s="9"/>
      <c r="Z60" s="9"/>
    </row>
    <row r="61">
      <c r="A61" s="20"/>
      <c r="B61" s="21" t="str">
        <f t="shared" ref="B61:K61" si="117">IF($A61="","",IF(OR(ISNUMBER(SEARCH(LOWER($A61),LOWER(B$1))),AND(RIGHT(LOWER($A61),1)="s",ISNUMBER(SEARCH(LEFT(LOWER($A61),LEN($A61)-1),LOWER(B$1))))),B$1,B$1&amp;" "&amp;$A61))</f>
        <v/>
      </c>
      <c r="C61" s="21" t="str">
        <f t="shared" si="117"/>
        <v/>
      </c>
      <c r="D61" s="21" t="str">
        <f t="shared" si="117"/>
        <v/>
      </c>
      <c r="E61" s="21" t="str">
        <f t="shared" si="117"/>
        <v/>
      </c>
      <c r="F61" s="21" t="str">
        <f t="shared" si="117"/>
        <v/>
      </c>
      <c r="G61" s="21" t="str">
        <f t="shared" si="117"/>
        <v/>
      </c>
      <c r="H61" s="21" t="str">
        <f t="shared" si="117"/>
        <v/>
      </c>
      <c r="I61" s="21" t="str">
        <f t="shared" si="117"/>
        <v/>
      </c>
      <c r="J61" s="21" t="str">
        <f t="shared" si="117"/>
        <v/>
      </c>
      <c r="K61" s="21" t="str">
        <f t="shared" si="117"/>
        <v/>
      </c>
      <c r="L61" s="17" t="str">
        <f>IFERROR(__xludf.DUMMYFUNCTION("""COMPUTED_VALUE"""),"electrical contractor same day")</f>
        <v>electrical contractor same day</v>
      </c>
      <c r="M61" s="18"/>
      <c r="N61" s="21" t="str">
        <f t="shared" ref="N61:W61" si="118">IF($A61="","",IF(OR(ISNUMBER(SEARCH(LOWER($A61),LOWER(N$1))),AND(RIGHT(LOWER($A61),1)="s",ISNUMBER(SEARCH(LEFT(LOWER($A61),LEN($A61)-1),LOWER(N$1))))),N$1,$A61&amp;" "&amp;N$1))</f>
        <v/>
      </c>
      <c r="O61" s="21" t="str">
        <f t="shared" si="118"/>
        <v/>
      </c>
      <c r="P61" s="21" t="str">
        <f t="shared" si="118"/>
        <v/>
      </c>
      <c r="Q61" s="21" t="str">
        <f t="shared" si="118"/>
        <v/>
      </c>
      <c r="R61" s="21" t="str">
        <f t="shared" si="118"/>
        <v/>
      </c>
      <c r="S61" s="21" t="str">
        <f t="shared" si="118"/>
        <v/>
      </c>
      <c r="T61" s="21" t="str">
        <f t="shared" si="118"/>
        <v/>
      </c>
      <c r="U61" s="21" t="str">
        <f t="shared" si="118"/>
        <v/>
      </c>
      <c r="V61" s="21" t="str">
        <f t="shared" si="118"/>
        <v/>
      </c>
      <c r="W61" s="21" t="str">
        <f t="shared" si="118"/>
        <v/>
      </c>
      <c r="X61" s="19" t="str">
        <f>IFERROR(__xludf.DUMMYFUNCTION("""COMPUTED_VALUE"""),"cost commercial electrician")</f>
        <v>cost commercial electrician</v>
      </c>
      <c r="Y61" s="9"/>
      <c r="Z61" s="9"/>
    </row>
    <row r="62">
      <c r="A62" s="20"/>
      <c r="B62" s="21" t="str">
        <f t="shared" ref="B62:K62" si="119">IF($A62="","",IF(OR(ISNUMBER(SEARCH(LOWER($A62),LOWER(B$1))),AND(RIGHT(LOWER($A62),1)="s",ISNUMBER(SEARCH(LEFT(LOWER($A62),LEN($A62)-1),LOWER(B$1))))),B$1,B$1&amp;" "&amp;$A62))</f>
        <v/>
      </c>
      <c r="C62" s="21" t="str">
        <f t="shared" si="119"/>
        <v/>
      </c>
      <c r="D62" s="21" t="str">
        <f t="shared" si="119"/>
        <v/>
      </c>
      <c r="E62" s="21" t="str">
        <f t="shared" si="119"/>
        <v/>
      </c>
      <c r="F62" s="21" t="str">
        <f t="shared" si="119"/>
        <v/>
      </c>
      <c r="G62" s="21" t="str">
        <f t="shared" si="119"/>
        <v/>
      </c>
      <c r="H62" s="21" t="str">
        <f t="shared" si="119"/>
        <v/>
      </c>
      <c r="I62" s="21" t="str">
        <f t="shared" si="119"/>
        <v/>
      </c>
      <c r="J62" s="21" t="str">
        <f t="shared" si="119"/>
        <v/>
      </c>
      <c r="K62" s="21" t="str">
        <f t="shared" si="119"/>
        <v/>
      </c>
      <c r="L62" s="17" t="str">
        <f>IFERROR(__xludf.DUMMYFUNCTION("""COMPUTED_VALUE"""),"electrical contractor service")</f>
        <v>electrical contractor service</v>
      </c>
      <c r="M62" s="18"/>
      <c r="N62" s="21" t="str">
        <f t="shared" ref="N62:W62" si="120">IF($A62="","",IF(OR(ISNUMBER(SEARCH(LOWER($A62),LOWER(N$1))),AND(RIGHT(LOWER($A62),1)="s",ISNUMBER(SEARCH(LEFT(LOWER($A62),LEN($A62)-1),LOWER(N$1))))),N$1,$A62&amp;" "&amp;N$1))</f>
        <v/>
      </c>
      <c r="O62" s="21" t="str">
        <f t="shared" si="120"/>
        <v/>
      </c>
      <c r="P62" s="21" t="str">
        <f t="shared" si="120"/>
        <v/>
      </c>
      <c r="Q62" s="21" t="str">
        <f t="shared" si="120"/>
        <v/>
      </c>
      <c r="R62" s="21" t="str">
        <f t="shared" si="120"/>
        <v/>
      </c>
      <c r="S62" s="21" t="str">
        <f t="shared" si="120"/>
        <v/>
      </c>
      <c r="T62" s="21" t="str">
        <f t="shared" si="120"/>
        <v/>
      </c>
      <c r="U62" s="21" t="str">
        <f t="shared" si="120"/>
        <v/>
      </c>
      <c r="V62" s="21" t="str">
        <f t="shared" si="120"/>
        <v/>
      </c>
      <c r="W62" s="21" t="str">
        <f t="shared" si="120"/>
        <v/>
      </c>
      <c r="X62" s="19" t="str">
        <f>IFERROR(__xludf.DUMMYFUNCTION("""COMPUTED_VALUE"""),"cost electrical compliance certificate")</f>
        <v>cost electrical compliance certificate</v>
      </c>
      <c r="Y62" s="9"/>
      <c r="Z62" s="9"/>
    </row>
    <row r="63">
      <c r="A63" s="20"/>
      <c r="B63" s="21" t="str">
        <f t="shared" ref="B63:K63" si="121">IF($A63="","",IF(OR(ISNUMBER(SEARCH(LOWER($A63),LOWER(B$1))),AND(RIGHT(LOWER($A63),1)="s",ISNUMBER(SEARCH(LEFT(LOWER($A63),LEN($A63)-1),LOWER(B$1))))),B$1,B$1&amp;" "&amp;$A63))</f>
        <v/>
      </c>
      <c r="C63" s="21" t="str">
        <f t="shared" si="121"/>
        <v/>
      </c>
      <c r="D63" s="21" t="str">
        <f t="shared" si="121"/>
        <v/>
      </c>
      <c r="E63" s="21" t="str">
        <f t="shared" si="121"/>
        <v/>
      </c>
      <c r="F63" s="21" t="str">
        <f t="shared" si="121"/>
        <v/>
      </c>
      <c r="G63" s="21" t="str">
        <f t="shared" si="121"/>
        <v/>
      </c>
      <c r="H63" s="21" t="str">
        <f t="shared" si="121"/>
        <v/>
      </c>
      <c r="I63" s="21" t="str">
        <f t="shared" si="121"/>
        <v/>
      </c>
      <c r="J63" s="21" t="str">
        <f t="shared" si="121"/>
        <v/>
      </c>
      <c r="K63" s="21" t="str">
        <f t="shared" si="121"/>
        <v/>
      </c>
      <c r="L63" s="17" t="str">
        <f>IFERROR(__xludf.DUMMYFUNCTION("""COMPUTED_VALUE"""),"electrical installation")</f>
        <v>electrical installation</v>
      </c>
      <c r="M63" s="18"/>
      <c r="N63" s="21" t="str">
        <f t="shared" ref="N63:W63" si="122">IF($A63="","",IF(OR(ISNUMBER(SEARCH(LOWER($A63),LOWER(N$1))),AND(RIGHT(LOWER($A63),1)="s",ISNUMBER(SEARCH(LEFT(LOWER($A63),LEN($A63)-1),LOWER(N$1))))),N$1,$A63&amp;" "&amp;N$1))</f>
        <v/>
      </c>
      <c r="O63" s="21" t="str">
        <f t="shared" si="122"/>
        <v/>
      </c>
      <c r="P63" s="21" t="str">
        <f t="shared" si="122"/>
        <v/>
      </c>
      <c r="Q63" s="21" t="str">
        <f t="shared" si="122"/>
        <v/>
      </c>
      <c r="R63" s="21" t="str">
        <f t="shared" si="122"/>
        <v/>
      </c>
      <c r="S63" s="21" t="str">
        <f t="shared" si="122"/>
        <v/>
      </c>
      <c r="T63" s="21" t="str">
        <f t="shared" si="122"/>
        <v/>
      </c>
      <c r="U63" s="21" t="str">
        <f t="shared" si="122"/>
        <v/>
      </c>
      <c r="V63" s="21" t="str">
        <f t="shared" si="122"/>
        <v/>
      </c>
      <c r="W63" s="21" t="str">
        <f t="shared" si="122"/>
        <v/>
      </c>
      <c r="X63" s="19" t="str">
        <f>IFERROR(__xludf.DUMMYFUNCTION("""COMPUTED_VALUE"""),"cost electrical contractor")</f>
        <v>cost electrical contractor</v>
      </c>
      <c r="Y63" s="9"/>
      <c r="Z63" s="9"/>
    </row>
    <row r="64">
      <c r="A64" s="20"/>
      <c r="B64" s="21" t="str">
        <f t="shared" ref="B64:K64" si="123">IF($A64="","",IF(OR(ISNUMBER(SEARCH(LOWER($A64),LOWER(B$1))),AND(RIGHT(LOWER($A64),1)="s",ISNUMBER(SEARCH(LEFT(LOWER($A64),LEN($A64)-1),LOWER(B$1))))),B$1,B$1&amp;" "&amp;$A64))</f>
        <v/>
      </c>
      <c r="C64" s="21" t="str">
        <f t="shared" si="123"/>
        <v/>
      </c>
      <c r="D64" s="21" t="str">
        <f t="shared" si="123"/>
        <v/>
      </c>
      <c r="E64" s="21" t="str">
        <f t="shared" si="123"/>
        <v/>
      </c>
      <c r="F64" s="21" t="str">
        <f t="shared" si="123"/>
        <v/>
      </c>
      <c r="G64" s="21" t="str">
        <f t="shared" si="123"/>
        <v/>
      </c>
      <c r="H64" s="21" t="str">
        <f t="shared" si="123"/>
        <v/>
      </c>
      <c r="I64" s="21" t="str">
        <f t="shared" si="123"/>
        <v/>
      </c>
      <c r="J64" s="21" t="str">
        <f t="shared" si="123"/>
        <v/>
      </c>
      <c r="K64" s="21" t="str">
        <f t="shared" si="123"/>
        <v/>
      </c>
      <c r="L64" s="17" t="str">
        <f>IFERROR(__xludf.DUMMYFUNCTION("""COMPUTED_VALUE"""),"electrical installation affordable")</f>
        <v>electrical installation affordable</v>
      </c>
      <c r="M64" s="18"/>
      <c r="N64" s="21" t="str">
        <f t="shared" ref="N64:W64" si="124">IF($A64="","",IF(OR(ISNUMBER(SEARCH(LOWER($A64),LOWER(N$1))),AND(RIGHT(LOWER($A64),1)="s",ISNUMBER(SEARCH(LEFT(LOWER($A64),LEN($A64)-1),LOWER(N$1))))),N$1,$A64&amp;" "&amp;N$1))</f>
        <v/>
      </c>
      <c r="O64" s="21" t="str">
        <f t="shared" si="124"/>
        <v/>
      </c>
      <c r="P64" s="21" t="str">
        <f t="shared" si="124"/>
        <v/>
      </c>
      <c r="Q64" s="21" t="str">
        <f t="shared" si="124"/>
        <v/>
      </c>
      <c r="R64" s="21" t="str">
        <f t="shared" si="124"/>
        <v/>
      </c>
      <c r="S64" s="21" t="str">
        <f t="shared" si="124"/>
        <v/>
      </c>
      <c r="T64" s="21" t="str">
        <f t="shared" si="124"/>
        <v/>
      </c>
      <c r="U64" s="21" t="str">
        <f t="shared" si="124"/>
        <v/>
      </c>
      <c r="V64" s="21" t="str">
        <f t="shared" si="124"/>
        <v/>
      </c>
      <c r="W64" s="21" t="str">
        <f t="shared" si="124"/>
        <v/>
      </c>
      <c r="X64" s="19" t="str">
        <f>IFERROR(__xludf.DUMMYFUNCTION("""COMPUTED_VALUE"""),"cost electrical installation")</f>
        <v>cost electrical installation</v>
      </c>
      <c r="Y64" s="9"/>
      <c r="Z64" s="9"/>
    </row>
    <row r="65">
      <c r="A65" s="20"/>
      <c r="B65" s="21" t="str">
        <f t="shared" ref="B65:K65" si="125">IF($A65="","",IF(OR(ISNUMBER(SEARCH(LOWER($A65),LOWER(B$1))),AND(RIGHT(LOWER($A65),1)="s",ISNUMBER(SEARCH(LEFT(LOWER($A65),LEN($A65)-1),LOWER(B$1))))),B$1,B$1&amp;" "&amp;$A65))</f>
        <v/>
      </c>
      <c r="C65" s="21" t="str">
        <f t="shared" si="125"/>
        <v/>
      </c>
      <c r="D65" s="21" t="str">
        <f t="shared" si="125"/>
        <v/>
      </c>
      <c r="E65" s="21" t="str">
        <f t="shared" si="125"/>
        <v/>
      </c>
      <c r="F65" s="21" t="str">
        <f t="shared" si="125"/>
        <v/>
      </c>
      <c r="G65" s="21" t="str">
        <f t="shared" si="125"/>
        <v/>
      </c>
      <c r="H65" s="21" t="str">
        <f t="shared" si="125"/>
        <v/>
      </c>
      <c r="I65" s="21" t="str">
        <f t="shared" si="125"/>
        <v/>
      </c>
      <c r="J65" s="21" t="str">
        <f t="shared" si="125"/>
        <v/>
      </c>
      <c r="K65" s="21" t="str">
        <f t="shared" si="125"/>
        <v/>
      </c>
      <c r="L65" s="17" t="str">
        <f>IFERROR(__xludf.DUMMYFUNCTION("""COMPUTED_VALUE"""),"electrical installation call out")</f>
        <v>electrical installation call out</v>
      </c>
      <c r="M65" s="18"/>
      <c r="N65" s="21" t="str">
        <f t="shared" ref="N65:W65" si="126">IF($A65="","",IF(OR(ISNUMBER(SEARCH(LOWER($A65),LOWER(N$1))),AND(RIGHT(LOWER($A65),1)="s",ISNUMBER(SEARCH(LEFT(LOWER($A65),LEN($A65)-1),LOWER(N$1))))),N$1,$A65&amp;" "&amp;N$1))</f>
        <v/>
      </c>
      <c r="O65" s="21" t="str">
        <f t="shared" si="126"/>
        <v/>
      </c>
      <c r="P65" s="21" t="str">
        <f t="shared" si="126"/>
        <v/>
      </c>
      <c r="Q65" s="21" t="str">
        <f t="shared" si="126"/>
        <v/>
      </c>
      <c r="R65" s="21" t="str">
        <f t="shared" si="126"/>
        <v/>
      </c>
      <c r="S65" s="21" t="str">
        <f t="shared" si="126"/>
        <v/>
      </c>
      <c r="T65" s="21" t="str">
        <f t="shared" si="126"/>
        <v/>
      </c>
      <c r="U65" s="21" t="str">
        <f t="shared" si="126"/>
        <v/>
      </c>
      <c r="V65" s="21" t="str">
        <f t="shared" si="126"/>
        <v/>
      </c>
      <c r="W65" s="21" t="str">
        <f t="shared" si="126"/>
        <v/>
      </c>
      <c r="X65" s="19" t="str">
        <f>IFERROR(__xludf.DUMMYFUNCTION("""COMPUTED_VALUE"""),"cost electrical maintenance")</f>
        <v>cost electrical maintenance</v>
      </c>
      <c r="Y65" s="9"/>
      <c r="Z65" s="9"/>
    </row>
    <row r="66">
      <c r="A66" s="20"/>
      <c r="B66" s="21" t="str">
        <f t="shared" ref="B66:K66" si="127">IF($A66="","",IF(OR(ISNUMBER(SEARCH(LOWER($A66),LOWER(B$1))),AND(RIGHT(LOWER($A66),1)="s",ISNUMBER(SEARCH(LEFT(LOWER($A66),LEN($A66)-1),LOWER(B$1))))),B$1,B$1&amp;" "&amp;$A66))</f>
        <v/>
      </c>
      <c r="C66" s="21" t="str">
        <f t="shared" si="127"/>
        <v/>
      </c>
      <c r="D66" s="21" t="str">
        <f t="shared" si="127"/>
        <v/>
      </c>
      <c r="E66" s="21" t="str">
        <f t="shared" si="127"/>
        <v/>
      </c>
      <c r="F66" s="21" t="str">
        <f t="shared" si="127"/>
        <v/>
      </c>
      <c r="G66" s="21" t="str">
        <f t="shared" si="127"/>
        <v/>
      </c>
      <c r="H66" s="21" t="str">
        <f t="shared" si="127"/>
        <v/>
      </c>
      <c r="I66" s="21" t="str">
        <f t="shared" si="127"/>
        <v/>
      </c>
      <c r="J66" s="21" t="str">
        <f t="shared" si="127"/>
        <v/>
      </c>
      <c r="K66" s="21" t="str">
        <f t="shared" si="127"/>
        <v/>
      </c>
      <c r="L66" s="17" t="str">
        <f>IFERROR(__xludf.DUMMYFUNCTION("""COMPUTED_VALUE"""),"electrical installation cape town")</f>
        <v>electrical installation cape town</v>
      </c>
      <c r="M66" s="18"/>
      <c r="N66" s="21" t="str">
        <f t="shared" ref="N66:W66" si="128">IF($A66="","",IF(OR(ISNUMBER(SEARCH(LOWER($A66),LOWER(N$1))),AND(RIGHT(LOWER($A66),1)="s",ISNUMBER(SEARCH(LEFT(LOWER($A66),LEN($A66)-1),LOWER(N$1))))),N$1,$A66&amp;" "&amp;N$1))</f>
        <v/>
      </c>
      <c r="O66" s="21" t="str">
        <f t="shared" si="128"/>
        <v/>
      </c>
      <c r="P66" s="21" t="str">
        <f t="shared" si="128"/>
        <v/>
      </c>
      <c r="Q66" s="21" t="str">
        <f t="shared" si="128"/>
        <v/>
      </c>
      <c r="R66" s="21" t="str">
        <f t="shared" si="128"/>
        <v/>
      </c>
      <c r="S66" s="21" t="str">
        <f t="shared" si="128"/>
        <v/>
      </c>
      <c r="T66" s="21" t="str">
        <f t="shared" si="128"/>
        <v/>
      </c>
      <c r="U66" s="21" t="str">
        <f t="shared" si="128"/>
        <v/>
      </c>
      <c r="V66" s="21" t="str">
        <f t="shared" si="128"/>
        <v/>
      </c>
      <c r="W66" s="21" t="str">
        <f t="shared" si="128"/>
        <v/>
      </c>
      <c r="X66" s="19" t="str">
        <f>IFERROR(__xludf.DUMMYFUNCTION("""COMPUTED_VALUE"""),"cost electrical repairs")</f>
        <v>cost electrical repairs</v>
      </c>
      <c r="Y66" s="9"/>
      <c r="Z66" s="9"/>
    </row>
    <row r="67">
      <c r="A67" s="20"/>
      <c r="B67" s="21" t="str">
        <f t="shared" ref="B67:K67" si="129">IF($A67="","",IF(OR(ISNUMBER(SEARCH(LOWER($A67),LOWER(B$1))),AND(RIGHT(LOWER($A67),1)="s",ISNUMBER(SEARCH(LEFT(LOWER($A67),LEN($A67)-1),LOWER(B$1))))),B$1,B$1&amp;" "&amp;$A67))</f>
        <v/>
      </c>
      <c r="C67" s="21" t="str">
        <f t="shared" si="129"/>
        <v/>
      </c>
      <c r="D67" s="21" t="str">
        <f t="shared" si="129"/>
        <v/>
      </c>
      <c r="E67" s="21" t="str">
        <f t="shared" si="129"/>
        <v/>
      </c>
      <c r="F67" s="21" t="str">
        <f t="shared" si="129"/>
        <v/>
      </c>
      <c r="G67" s="21" t="str">
        <f t="shared" si="129"/>
        <v/>
      </c>
      <c r="H67" s="21" t="str">
        <f t="shared" si="129"/>
        <v/>
      </c>
      <c r="I67" s="21" t="str">
        <f t="shared" si="129"/>
        <v/>
      </c>
      <c r="J67" s="21" t="str">
        <f t="shared" si="129"/>
        <v/>
      </c>
      <c r="K67" s="21" t="str">
        <f t="shared" si="129"/>
        <v/>
      </c>
      <c r="L67" s="17" t="str">
        <f>IFERROR(__xludf.DUMMYFUNCTION("""COMPUTED_VALUE"""),"electrical installation COC")</f>
        <v>electrical installation COC</v>
      </c>
      <c r="M67" s="18"/>
      <c r="N67" s="21" t="str">
        <f t="shared" ref="N67:W67" si="130">IF($A67="","",IF(OR(ISNUMBER(SEARCH(LOWER($A67),LOWER(N$1))),AND(RIGHT(LOWER($A67),1)="s",ISNUMBER(SEARCH(LEFT(LOWER($A67),LEN($A67)-1),LOWER(N$1))))),N$1,$A67&amp;" "&amp;N$1))</f>
        <v/>
      </c>
      <c r="O67" s="21" t="str">
        <f t="shared" si="130"/>
        <v/>
      </c>
      <c r="P67" s="21" t="str">
        <f t="shared" si="130"/>
        <v/>
      </c>
      <c r="Q67" s="21" t="str">
        <f t="shared" si="130"/>
        <v/>
      </c>
      <c r="R67" s="21" t="str">
        <f t="shared" si="130"/>
        <v/>
      </c>
      <c r="S67" s="21" t="str">
        <f t="shared" si="130"/>
        <v/>
      </c>
      <c r="T67" s="21" t="str">
        <f t="shared" si="130"/>
        <v/>
      </c>
      <c r="U67" s="21" t="str">
        <f t="shared" si="130"/>
        <v/>
      </c>
      <c r="V67" s="21" t="str">
        <f t="shared" si="130"/>
        <v/>
      </c>
      <c r="W67" s="21" t="str">
        <f t="shared" si="130"/>
        <v/>
      </c>
      <c r="X67" s="19" t="str">
        <f>IFERROR(__xludf.DUMMYFUNCTION("""COMPUTED_VALUE"""),"cost electrical services")</f>
        <v>cost electrical services</v>
      </c>
      <c r="Y67" s="9"/>
      <c r="Z67" s="9"/>
    </row>
    <row r="68">
      <c r="A68" s="20"/>
      <c r="B68" s="21" t="str">
        <f t="shared" ref="B68:K68" si="131">IF($A68="","",IF(OR(ISNUMBER(SEARCH(LOWER($A68),LOWER(B$1))),AND(RIGHT(LOWER($A68),1)="s",ISNUMBER(SEARCH(LEFT(LOWER($A68),LEN($A68)-1),LOWER(B$1))))),B$1,B$1&amp;" "&amp;$A68))</f>
        <v/>
      </c>
      <c r="C68" s="21" t="str">
        <f t="shared" si="131"/>
        <v/>
      </c>
      <c r="D68" s="21" t="str">
        <f t="shared" si="131"/>
        <v/>
      </c>
      <c r="E68" s="21" t="str">
        <f t="shared" si="131"/>
        <v/>
      </c>
      <c r="F68" s="21" t="str">
        <f t="shared" si="131"/>
        <v/>
      </c>
      <c r="G68" s="21" t="str">
        <f t="shared" si="131"/>
        <v/>
      </c>
      <c r="H68" s="21" t="str">
        <f t="shared" si="131"/>
        <v/>
      </c>
      <c r="I68" s="21" t="str">
        <f t="shared" si="131"/>
        <v/>
      </c>
      <c r="J68" s="21" t="str">
        <f t="shared" si="131"/>
        <v/>
      </c>
      <c r="K68" s="21" t="str">
        <f t="shared" si="131"/>
        <v/>
      </c>
      <c r="L68" s="17" t="str">
        <f>IFERROR(__xludf.DUMMYFUNCTION("""COMPUTED_VALUE"""),"electrical installation company")</f>
        <v>electrical installation company</v>
      </c>
      <c r="M68" s="18"/>
      <c r="N68" s="21" t="str">
        <f t="shared" ref="N68:W68" si="132">IF($A68="","",IF(OR(ISNUMBER(SEARCH(LOWER($A68),LOWER(N$1))),AND(RIGHT(LOWER($A68),1)="s",ISNUMBER(SEARCH(LEFT(LOWER($A68),LEN($A68)-1),LOWER(N$1))))),N$1,$A68&amp;" "&amp;N$1))</f>
        <v/>
      </c>
      <c r="O68" s="21" t="str">
        <f t="shared" si="132"/>
        <v/>
      </c>
      <c r="P68" s="21" t="str">
        <f t="shared" si="132"/>
        <v/>
      </c>
      <c r="Q68" s="21" t="str">
        <f t="shared" si="132"/>
        <v/>
      </c>
      <c r="R68" s="21" t="str">
        <f t="shared" si="132"/>
        <v/>
      </c>
      <c r="S68" s="21" t="str">
        <f t="shared" si="132"/>
        <v/>
      </c>
      <c r="T68" s="21" t="str">
        <f t="shared" si="132"/>
        <v/>
      </c>
      <c r="U68" s="21" t="str">
        <f t="shared" si="132"/>
        <v/>
      </c>
      <c r="V68" s="21" t="str">
        <f t="shared" si="132"/>
        <v/>
      </c>
      <c r="W68" s="21" t="str">
        <f t="shared" si="132"/>
        <v/>
      </c>
      <c r="X68" s="19" t="str">
        <f>IFERROR(__xludf.DUMMYFUNCTION("""COMPUTED_VALUE"""),"cost electrician cape town")</f>
        <v>cost electrician cape town</v>
      </c>
      <c r="Y68" s="9"/>
      <c r="Z68" s="9"/>
    </row>
    <row r="69">
      <c r="A69" s="20"/>
      <c r="B69" s="21" t="str">
        <f t="shared" ref="B69:K69" si="133">IF($A69="","",IF(OR(ISNUMBER(SEARCH(LOWER($A69),LOWER(B$1))),AND(RIGHT(LOWER($A69),1)="s",ISNUMBER(SEARCH(LEFT(LOWER($A69),LEN($A69)-1),LOWER(B$1))))),B$1,B$1&amp;" "&amp;$A69))</f>
        <v/>
      </c>
      <c r="C69" s="21" t="str">
        <f t="shared" si="133"/>
        <v/>
      </c>
      <c r="D69" s="21" t="str">
        <f t="shared" si="133"/>
        <v/>
      </c>
      <c r="E69" s="21" t="str">
        <f t="shared" si="133"/>
        <v/>
      </c>
      <c r="F69" s="21" t="str">
        <f t="shared" si="133"/>
        <v/>
      </c>
      <c r="G69" s="21" t="str">
        <f t="shared" si="133"/>
        <v/>
      </c>
      <c r="H69" s="21" t="str">
        <f t="shared" si="133"/>
        <v/>
      </c>
      <c r="I69" s="21" t="str">
        <f t="shared" si="133"/>
        <v/>
      </c>
      <c r="J69" s="21" t="str">
        <f t="shared" si="133"/>
        <v/>
      </c>
      <c r="K69" s="21" t="str">
        <f t="shared" si="133"/>
        <v/>
      </c>
      <c r="L69" s="17" t="str">
        <f>IFERROR(__xludf.DUMMYFUNCTION("""COMPUTED_VALUE"""),"electrical installation contractor")</f>
        <v>electrical installation contractor</v>
      </c>
      <c r="M69" s="18"/>
      <c r="N69" s="21" t="str">
        <f t="shared" ref="N69:W69" si="134">IF($A69="","",IF(OR(ISNUMBER(SEARCH(LOWER($A69),LOWER(N$1))),AND(RIGHT(LOWER($A69),1)="s",ISNUMBER(SEARCH(LEFT(LOWER($A69),LEN($A69)-1),LOWER(N$1))))),N$1,$A69&amp;" "&amp;N$1))</f>
        <v/>
      </c>
      <c r="O69" s="21" t="str">
        <f t="shared" si="134"/>
        <v/>
      </c>
      <c r="P69" s="21" t="str">
        <f t="shared" si="134"/>
        <v/>
      </c>
      <c r="Q69" s="21" t="str">
        <f t="shared" si="134"/>
        <v/>
      </c>
      <c r="R69" s="21" t="str">
        <f t="shared" si="134"/>
        <v/>
      </c>
      <c r="S69" s="21" t="str">
        <f t="shared" si="134"/>
        <v/>
      </c>
      <c r="T69" s="21" t="str">
        <f t="shared" si="134"/>
        <v/>
      </c>
      <c r="U69" s="21" t="str">
        <f t="shared" si="134"/>
        <v/>
      </c>
      <c r="V69" s="21" t="str">
        <f t="shared" si="134"/>
        <v/>
      </c>
      <c r="W69" s="21" t="str">
        <f t="shared" si="134"/>
        <v/>
      </c>
      <c r="X69" s="19" t="str">
        <f>IFERROR(__xludf.DUMMYFUNCTION("""COMPUTED_VALUE"""),"cost emergency electrician")</f>
        <v>cost emergency electrician</v>
      </c>
      <c r="Y69" s="9"/>
      <c r="Z69" s="9"/>
    </row>
    <row r="70">
      <c r="A70" s="20"/>
      <c r="B70" s="21" t="str">
        <f t="shared" ref="B70:K70" si="135">IF($A70="","",IF(OR(ISNUMBER(SEARCH(LOWER($A70),LOWER(B$1))),AND(RIGHT(LOWER($A70),1)="s",ISNUMBER(SEARCH(LEFT(LOWER($A70),LEN($A70)-1),LOWER(B$1))))),B$1,B$1&amp;" "&amp;$A70))</f>
        <v/>
      </c>
      <c r="C70" s="21" t="str">
        <f t="shared" si="135"/>
        <v/>
      </c>
      <c r="D70" s="21" t="str">
        <f t="shared" si="135"/>
        <v/>
      </c>
      <c r="E70" s="21" t="str">
        <f t="shared" si="135"/>
        <v/>
      </c>
      <c r="F70" s="21" t="str">
        <f t="shared" si="135"/>
        <v/>
      </c>
      <c r="G70" s="21" t="str">
        <f t="shared" si="135"/>
        <v/>
      </c>
      <c r="H70" s="21" t="str">
        <f t="shared" si="135"/>
        <v/>
      </c>
      <c r="I70" s="21" t="str">
        <f t="shared" si="135"/>
        <v/>
      </c>
      <c r="J70" s="21" t="str">
        <f t="shared" si="135"/>
        <v/>
      </c>
      <c r="K70" s="21" t="str">
        <f t="shared" si="135"/>
        <v/>
      </c>
      <c r="L70" s="17" t="str">
        <f>IFERROR(__xludf.DUMMYFUNCTION("""COMPUTED_VALUE"""),"electrical installation cost")</f>
        <v>electrical installation cost</v>
      </c>
      <c r="M70" s="18"/>
      <c r="N70" s="21" t="str">
        <f t="shared" ref="N70:W70" si="136">IF($A70="","",IF(OR(ISNUMBER(SEARCH(LOWER($A70),LOWER(N$1))),AND(RIGHT(LOWER($A70),1)="s",ISNUMBER(SEARCH(LEFT(LOWER($A70),LEN($A70)-1),LOWER(N$1))))),N$1,$A70&amp;" "&amp;N$1))</f>
        <v/>
      </c>
      <c r="O70" s="21" t="str">
        <f t="shared" si="136"/>
        <v/>
      </c>
      <c r="P70" s="21" t="str">
        <f t="shared" si="136"/>
        <v/>
      </c>
      <c r="Q70" s="21" t="str">
        <f t="shared" si="136"/>
        <v/>
      </c>
      <c r="R70" s="21" t="str">
        <f t="shared" si="136"/>
        <v/>
      </c>
      <c r="S70" s="21" t="str">
        <f t="shared" si="136"/>
        <v/>
      </c>
      <c r="T70" s="21" t="str">
        <f t="shared" si="136"/>
        <v/>
      </c>
      <c r="U70" s="21" t="str">
        <f t="shared" si="136"/>
        <v/>
      </c>
      <c r="V70" s="21" t="str">
        <f t="shared" si="136"/>
        <v/>
      </c>
      <c r="W70" s="21" t="str">
        <f t="shared" si="136"/>
        <v/>
      </c>
      <c r="X70" s="19" t="str">
        <f>IFERROR(__xludf.DUMMYFUNCTION("""COMPUTED_VALUE"""),"cost residential electrician")</f>
        <v>cost residential electrician</v>
      </c>
      <c r="Y70" s="9"/>
      <c r="Z70" s="9"/>
    </row>
    <row r="71">
      <c r="A71" s="20"/>
      <c r="B71" s="21" t="str">
        <f t="shared" ref="B71:K71" si="137">IF($A71="","",IF(OR(ISNUMBER(SEARCH(LOWER($A71),LOWER(B$1))),AND(RIGHT(LOWER($A71),1)="s",ISNUMBER(SEARCH(LEFT(LOWER($A71),LEN($A71)-1),LOWER(B$1))))),B$1,B$1&amp;" "&amp;$A71))</f>
        <v/>
      </c>
      <c r="C71" s="21" t="str">
        <f t="shared" si="137"/>
        <v/>
      </c>
      <c r="D71" s="21" t="str">
        <f t="shared" si="137"/>
        <v/>
      </c>
      <c r="E71" s="21" t="str">
        <f t="shared" si="137"/>
        <v/>
      </c>
      <c r="F71" s="21" t="str">
        <f t="shared" si="137"/>
        <v/>
      </c>
      <c r="G71" s="21" t="str">
        <f t="shared" si="137"/>
        <v/>
      </c>
      <c r="H71" s="21" t="str">
        <f t="shared" si="137"/>
        <v/>
      </c>
      <c r="I71" s="21" t="str">
        <f t="shared" si="137"/>
        <v/>
      </c>
      <c r="J71" s="21" t="str">
        <f t="shared" si="137"/>
        <v/>
      </c>
      <c r="K71" s="21" t="str">
        <f t="shared" si="137"/>
        <v/>
      </c>
      <c r="L71" s="17" t="str">
        <f>IFERROR(__xludf.DUMMYFUNCTION("""COMPUTED_VALUE"""),"electrical installation emergency")</f>
        <v>electrical installation emergency</v>
      </c>
      <c r="M71" s="18"/>
      <c r="N71" s="21" t="str">
        <f t="shared" ref="N71:W71" si="138">IF($A71="","",IF(OR(ISNUMBER(SEARCH(LOWER($A71),LOWER(N$1))),AND(RIGHT(LOWER($A71),1)="s",ISNUMBER(SEARCH(LEFT(LOWER($A71),LEN($A71)-1),LOWER(N$1))))),N$1,$A71&amp;" "&amp;N$1))</f>
        <v/>
      </c>
      <c r="O71" s="21" t="str">
        <f t="shared" si="138"/>
        <v/>
      </c>
      <c r="P71" s="21" t="str">
        <f t="shared" si="138"/>
        <v/>
      </c>
      <c r="Q71" s="21" t="str">
        <f t="shared" si="138"/>
        <v/>
      </c>
      <c r="R71" s="21" t="str">
        <f t="shared" si="138"/>
        <v/>
      </c>
      <c r="S71" s="21" t="str">
        <f t="shared" si="138"/>
        <v/>
      </c>
      <c r="T71" s="21" t="str">
        <f t="shared" si="138"/>
        <v/>
      </c>
      <c r="U71" s="21" t="str">
        <f t="shared" si="138"/>
        <v/>
      </c>
      <c r="V71" s="21" t="str">
        <f t="shared" si="138"/>
        <v/>
      </c>
      <c r="W71" s="21" t="str">
        <f t="shared" si="138"/>
        <v/>
      </c>
      <c r="X71" s="19" t="str">
        <f>IFERROR(__xludf.DUMMYFUNCTION("""COMPUTED_VALUE"""),"electrical contractor")</f>
        <v>electrical contractor</v>
      </c>
      <c r="Y71" s="9"/>
      <c r="Z71" s="9"/>
    </row>
    <row r="72">
      <c r="A72" s="20"/>
      <c r="B72" s="21" t="str">
        <f t="shared" ref="B72:K72" si="139">IF($A72="","",IF(OR(ISNUMBER(SEARCH(LOWER($A72),LOWER(B$1))),AND(RIGHT(LOWER($A72),1)="s",ISNUMBER(SEARCH(LEFT(LOWER($A72),LEN($A72)-1),LOWER(B$1))))),B$1,B$1&amp;" "&amp;$A72))</f>
        <v/>
      </c>
      <c r="C72" s="21" t="str">
        <f t="shared" si="139"/>
        <v/>
      </c>
      <c r="D72" s="21" t="str">
        <f t="shared" si="139"/>
        <v/>
      </c>
      <c r="E72" s="21" t="str">
        <f t="shared" si="139"/>
        <v/>
      </c>
      <c r="F72" s="21" t="str">
        <f t="shared" si="139"/>
        <v/>
      </c>
      <c r="G72" s="21" t="str">
        <f t="shared" si="139"/>
        <v/>
      </c>
      <c r="H72" s="21" t="str">
        <f t="shared" si="139"/>
        <v/>
      </c>
      <c r="I72" s="21" t="str">
        <f t="shared" si="139"/>
        <v/>
      </c>
      <c r="J72" s="21" t="str">
        <f t="shared" si="139"/>
        <v/>
      </c>
      <c r="K72" s="21" t="str">
        <f t="shared" si="139"/>
        <v/>
      </c>
      <c r="L72" s="17" t="str">
        <f>IFERROR(__xludf.DUMMYFUNCTION("""COMPUTED_VALUE"""),"electrical installation inspection")</f>
        <v>electrical installation inspection</v>
      </c>
      <c r="M72" s="18"/>
      <c r="N72" s="21" t="str">
        <f t="shared" ref="N72:W72" si="140">IF($A72="","",IF(OR(ISNUMBER(SEARCH(LOWER($A72),LOWER(N$1))),AND(RIGHT(LOWER($A72),1)="s",ISNUMBER(SEARCH(LEFT(LOWER($A72),LEN($A72)-1),LOWER(N$1))))),N$1,$A72&amp;" "&amp;N$1))</f>
        <v/>
      </c>
      <c r="O72" s="21" t="str">
        <f t="shared" si="140"/>
        <v/>
      </c>
      <c r="P72" s="21" t="str">
        <f t="shared" si="140"/>
        <v/>
      </c>
      <c r="Q72" s="21" t="str">
        <f t="shared" si="140"/>
        <v/>
      </c>
      <c r="R72" s="21" t="str">
        <f t="shared" si="140"/>
        <v/>
      </c>
      <c r="S72" s="21" t="str">
        <f t="shared" si="140"/>
        <v/>
      </c>
      <c r="T72" s="21" t="str">
        <f t="shared" si="140"/>
        <v/>
      </c>
      <c r="U72" s="21" t="str">
        <f t="shared" si="140"/>
        <v/>
      </c>
      <c r="V72" s="21" t="str">
        <f t="shared" si="140"/>
        <v/>
      </c>
      <c r="W72" s="21" t="str">
        <f t="shared" si="140"/>
        <v/>
      </c>
      <c r="X72" s="19" t="str">
        <f>IFERROR(__xludf.DUMMYFUNCTION("""COMPUTED_VALUE"""),"electrical installation")</f>
        <v>electrical installation</v>
      </c>
      <c r="Y72" s="9"/>
      <c r="Z72" s="9"/>
    </row>
    <row r="73">
      <c r="A73" s="20"/>
      <c r="B73" s="21" t="str">
        <f t="shared" ref="B73:K73" si="141">IF($A73="","",IF(OR(ISNUMBER(SEARCH(LOWER($A73),LOWER(B$1))),AND(RIGHT(LOWER($A73),1)="s",ISNUMBER(SEARCH(LEFT(LOWER($A73),LEN($A73)-1),LOWER(B$1))))),B$1,B$1&amp;" "&amp;$A73))</f>
        <v/>
      </c>
      <c r="C73" s="21" t="str">
        <f t="shared" si="141"/>
        <v/>
      </c>
      <c r="D73" s="21" t="str">
        <f t="shared" si="141"/>
        <v/>
      </c>
      <c r="E73" s="21" t="str">
        <f t="shared" si="141"/>
        <v/>
      </c>
      <c r="F73" s="21" t="str">
        <f t="shared" si="141"/>
        <v/>
      </c>
      <c r="G73" s="21" t="str">
        <f t="shared" si="141"/>
        <v/>
      </c>
      <c r="H73" s="21" t="str">
        <f t="shared" si="141"/>
        <v/>
      </c>
      <c r="I73" s="21" t="str">
        <f t="shared" si="141"/>
        <v/>
      </c>
      <c r="J73" s="21" t="str">
        <f t="shared" si="141"/>
        <v/>
      </c>
      <c r="K73" s="21" t="str">
        <f t="shared" si="141"/>
        <v/>
      </c>
      <c r="L73" s="17" t="str">
        <f>IFERROR(__xludf.DUMMYFUNCTION("""COMPUTED_VALUE"""),"electrical installation licensed")</f>
        <v>electrical installation licensed</v>
      </c>
      <c r="M73" s="18"/>
      <c r="N73" s="21" t="str">
        <f t="shared" ref="N73:W73" si="142">IF($A73="","",IF(OR(ISNUMBER(SEARCH(LOWER($A73),LOWER(N$1))),AND(RIGHT(LOWER($A73),1)="s",ISNUMBER(SEARCH(LEFT(LOWER($A73),LEN($A73)-1),LOWER(N$1))))),N$1,$A73&amp;" "&amp;N$1))</f>
        <v/>
      </c>
      <c r="O73" s="21" t="str">
        <f t="shared" si="142"/>
        <v/>
      </c>
      <c r="P73" s="21" t="str">
        <f t="shared" si="142"/>
        <v/>
      </c>
      <c r="Q73" s="21" t="str">
        <f t="shared" si="142"/>
        <v/>
      </c>
      <c r="R73" s="21" t="str">
        <f t="shared" si="142"/>
        <v/>
      </c>
      <c r="S73" s="21" t="str">
        <f t="shared" si="142"/>
        <v/>
      </c>
      <c r="T73" s="21" t="str">
        <f t="shared" si="142"/>
        <v/>
      </c>
      <c r="U73" s="21" t="str">
        <f t="shared" si="142"/>
        <v/>
      </c>
      <c r="V73" s="21" t="str">
        <f t="shared" si="142"/>
        <v/>
      </c>
      <c r="W73" s="21" t="str">
        <f t="shared" si="142"/>
        <v/>
      </c>
      <c r="X73" s="19" t="str">
        <f>IFERROR(__xludf.DUMMYFUNCTION("""COMPUTED_VALUE"""),"electrical repairs")</f>
        <v>electrical repairs</v>
      </c>
      <c r="Y73" s="9"/>
      <c r="Z73" s="9"/>
    </row>
    <row r="74">
      <c r="A74" s="20"/>
      <c r="B74" s="21" t="str">
        <f t="shared" ref="B74:K74" si="143">IF($A74="","",IF(OR(ISNUMBER(SEARCH(LOWER($A74),LOWER(B$1))),AND(RIGHT(LOWER($A74),1)="s",ISNUMBER(SEARCH(LEFT(LOWER($A74),LEN($A74)-1),LOWER(B$1))))),B$1,B$1&amp;" "&amp;$A74))</f>
        <v/>
      </c>
      <c r="C74" s="21" t="str">
        <f t="shared" si="143"/>
        <v/>
      </c>
      <c r="D74" s="21" t="str">
        <f t="shared" si="143"/>
        <v/>
      </c>
      <c r="E74" s="21" t="str">
        <f t="shared" si="143"/>
        <v/>
      </c>
      <c r="F74" s="21" t="str">
        <f t="shared" si="143"/>
        <v/>
      </c>
      <c r="G74" s="21" t="str">
        <f t="shared" si="143"/>
        <v/>
      </c>
      <c r="H74" s="21" t="str">
        <f t="shared" si="143"/>
        <v/>
      </c>
      <c r="I74" s="21" t="str">
        <f t="shared" si="143"/>
        <v/>
      </c>
      <c r="J74" s="21" t="str">
        <f t="shared" si="143"/>
        <v/>
      </c>
      <c r="K74" s="21" t="str">
        <f t="shared" si="143"/>
        <v/>
      </c>
      <c r="L74" s="17" t="str">
        <f>IFERROR(__xludf.DUMMYFUNCTION("""COMPUTED_VALUE"""),"electrical installation local")</f>
        <v>electrical installation local</v>
      </c>
      <c r="M74" s="18"/>
      <c r="N74" s="21" t="str">
        <f t="shared" ref="N74:W74" si="144">IF($A74="","",IF(OR(ISNUMBER(SEARCH(LOWER($A74),LOWER(N$1))),AND(RIGHT(LOWER($A74),1)="s",ISNUMBER(SEARCH(LEFT(LOWER($A74),LEN($A74)-1),LOWER(N$1))))),N$1,$A74&amp;" "&amp;N$1))</f>
        <v/>
      </c>
      <c r="O74" s="21" t="str">
        <f t="shared" si="144"/>
        <v/>
      </c>
      <c r="P74" s="21" t="str">
        <f t="shared" si="144"/>
        <v/>
      </c>
      <c r="Q74" s="21" t="str">
        <f t="shared" si="144"/>
        <v/>
      </c>
      <c r="R74" s="21" t="str">
        <f t="shared" si="144"/>
        <v/>
      </c>
      <c r="S74" s="21" t="str">
        <f t="shared" si="144"/>
        <v/>
      </c>
      <c r="T74" s="21" t="str">
        <f t="shared" si="144"/>
        <v/>
      </c>
      <c r="U74" s="21" t="str">
        <f t="shared" si="144"/>
        <v/>
      </c>
      <c r="V74" s="21" t="str">
        <f t="shared" si="144"/>
        <v/>
      </c>
      <c r="W74" s="21" t="str">
        <f t="shared" si="144"/>
        <v/>
      </c>
      <c r="X74" s="19" t="str">
        <f>IFERROR(__xludf.DUMMYFUNCTION("""COMPUTED_VALUE"""),"electrical services")</f>
        <v>electrical services</v>
      </c>
      <c r="Y74" s="9"/>
      <c r="Z74" s="9"/>
    </row>
    <row r="75">
      <c r="A75" s="20"/>
      <c r="B75" s="21" t="str">
        <f t="shared" ref="B75:K75" si="145">IF($A75="","",IF(OR(ISNUMBER(SEARCH(LOWER($A75),LOWER(B$1))),AND(RIGHT(LOWER($A75),1)="s",ISNUMBER(SEARCH(LEFT(LOWER($A75),LEN($A75)-1),LOWER(B$1))))),B$1,B$1&amp;" "&amp;$A75))</f>
        <v/>
      </c>
      <c r="C75" s="21" t="str">
        <f t="shared" si="145"/>
        <v/>
      </c>
      <c r="D75" s="21" t="str">
        <f t="shared" si="145"/>
        <v/>
      </c>
      <c r="E75" s="21" t="str">
        <f t="shared" si="145"/>
        <v/>
      </c>
      <c r="F75" s="21" t="str">
        <f t="shared" si="145"/>
        <v/>
      </c>
      <c r="G75" s="21" t="str">
        <f t="shared" si="145"/>
        <v/>
      </c>
      <c r="H75" s="21" t="str">
        <f t="shared" si="145"/>
        <v/>
      </c>
      <c r="I75" s="21" t="str">
        <f t="shared" si="145"/>
        <v/>
      </c>
      <c r="J75" s="21" t="str">
        <f t="shared" si="145"/>
        <v/>
      </c>
      <c r="K75" s="21" t="str">
        <f t="shared" si="145"/>
        <v/>
      </c>
      <c r="L75" s="17" t="str">
        <f>IFERROR(__xludf.DUMMYFUNCTION("""COMPUTED_VALUE"""),"electrical installation near me")</f>
        <v>electrical installation near me</v>
      </c>
      <c r="M75" s="18"/>
      <c r="N75" s="21" t="str">
        <f t="shared" ref="N75:W75" si="146">IF($A75="","",IF(OR(ISNUMBER(SEARCH(LOWER($A75),LOWER(N$1))),AND(RIGHT(LOWER($A75),1)="s",ISNUMBER(SEARCH(LEFT(LOWER($A75),LEN($A75)-1),LOWER(N$1))))),N$1,$A75&amp;" "&amp;N$1))</f>
        <v/>
      </c>
      <c r="O75" s="21" t="str">
        <f t="shared" si="146"/>
        <v/>
      </c>
      <c r="P75" s="21" t="str">
        <f t="shared" si="146"/>
        <v/>
      </c>
      <c r="Q75" s="21" t="str">
        <f t="shared" si="146"/>
        <v/>
      </c>
      <c r="R75" s="21" t="str">
        <f t="shared" si="146"/>
        <v/>
      </c>
      <c r="S75" s="21" t="str">
        <f t="shared" si="146"/>
        <v/>
      </c>
      <c r="T75" s="21" t="str">
        <f t="shared" si="146"/>
        <v/>
      </c>
      <c r="U75" s="21" t="str">
        <f t="shared" si="146"/>
        <v/>
      </c>
      <c r="V75" s="21" t="str">
        <f t="shared" si="146"/>
        <v/>
      </c>
      <c r="W75" s="21" t="str">
        <f t="shared" si="146"/>
        <v/>
      </c>
      <c r="X75" s="19" t="str">
        <f>IFERROR(__xludf.DUMMYFUNCTION("""COMPUTED_VALUE"""),"electrician cape town")</f>
        <v>electrician cape town</v>
      </c>
      <c r="Y75" s="9"/>
      <c r="Z75" s="9"/>
    </row>
    <row r="76">
      <c r="A76" s="20"/>
      <c r="B76" s="21" t="str">
        <f t="shared" ref="B76:K76" si="147">IF($A76="","",IF(OR(ISNUMBER(SEARCH(LOWER($A76),LOWER(B$1))),AND(RIGHT(LOWER($A76),1)="s",ISNUMBER(SEARCH(LEFT(LOWER($A76),LEN($A76)-1),LOWER(B$1))))),B$1,B$1&amp;" "&amp;$A76))</f>
        <v/>
      </c>
      <c r="C76" s="21" t="str">
        <f t="shared" si="147"/>
        <v/>
      </c>
      <c r="D76" s="21" t="str">
        <f t="shared" si="147"/>
        <v/>
      </c>
      <c r="E76" s="21" t="str">
        <f t="shared" si="147"/>
        <v/>
      </c>
      <c r="F76" s="21" t="str">
        <f t="shared" si="147"/>
        <v/>
      </c>
      <c r="G76" s="21" t="str">
        <f t="shared" si="147"/>
        <v/>
      </c>
      <c r="H76" s="21" t="str">
        <f t="shared" si="147"/>
        <v/>
      </c>
      <c r="I76" s="21" t="str">
        <f t="shared" si="147"/>
        <v/>
      </c>
      <c r="J76" s="21" t="str">
        <f t="shared" si="147"/>
        <v/>
      </c>
      <c r="K76" s="21" t="str">
        <f t="shared" si="147"/>
        <v/>
      </c>
      <c r="L76" s="17" t="str">
        <f>IFERROR(__xludf.DUMMYFUNCTION("""COMPUTED_VALUE"""),"electrical installation professional")</f>
        <v>electrical installation professional</v>
      </c>
      <c r="M76" s="18"/>
      <c r="N76" s="21" t="str">
        <f t="shared" ref="N76:W76" si="148">IF($A76="","",IF(OR(ISNUMBER(SEARCH(LOWER($A76),LOWER(N$1))),AND(RIGHT(LOWER($A76),1)="s",ISNUMBER(SEARCH(LEFT(LOWER($A76),LEN($A76)-1),LOWER(N$1))))),N$1,$A76&amp;" "&amp;N$1))</f>
        <v/>
      </c>
      <c r="O76" s="21" t="str">
        <f t="shared" si="148"/>
        <v/>
      </c>
      <c r="P76" s="21" t="str">
        <f t="shared" si="148"/>
        <v/>
      </c>
      <c r="Q76" s="21" t="str">
        <f t="shared" si="148"/>
        <v/>
      </c>
      <c r="R76" s="21" t="str">
        <f t="shared" si="148"/>
        <v/>
      </c>
      <c r="S76" s="21" t="str">
        <f t="shared" si="148"/>
        <v/>
      </c>
      <c r="T76" s="21" t="str">
        <f t="shared" si="148"/>
        <v/>
      </c>
      <c r="U76" s="21" t="str">
        <f t="shared" si="148"/>
        <v/>
      </c>
      <c r="V76" s="21" t="str">
        <f t="shared" si="148"/>
        <v/>
      </c>
      <c r="W76" s="21" t="str">
        <f t="shared" si="148"/>
        <v/>
      </c>
      <c r="X76" s="19" t="str">
        <f>IFERROR(__xludf.DUMMYFUNCTION("""COMPUTED_VALUE"""),"emergency commercial electrician")</f>
        <v>emergency commercial electrician</v>
      </c>
      <c r="Y76" s="9"/>
      <c r="Z76" s="9"/>
    </row>
    <row r="77">
      <c r="A77" s="20"/>
      <c r="B77" s="21" t="str">
        <f t="shared" ref="B77:K77" si="149">IF($A77="","",IF(OR(ISNUMBER(SEARCH(LOWER($A77),LOWER(B$1))),AND(RIGHT(LOWER($A77),1)="s",ISNUMBER(SEARCH(LEFT(LOWER($A77),LEN($A77)-1),LOWER(B$1))))),B$1,B$1&amp;" "&amp;$A77))</f>
        <v/>
      </c>
      <c r="C77" s="21" t="str">
        <f t="shared" si="149"/>
        <v/>
      </c>
      <c r="D77" s="21" t="str">
        <f t="shared" si="149"/>
        <v/>
      </c>
      <c r="E77" s="21" t="str">
        <f t="shared" si="149"/>
        <v/>
      </c>
      <c r="F77" s="21" t="str">
        <f t="shared" si="149"/>
        <v/>
      </c>
      <c r="G77" s="21" t="str">
        <f t="shared" si="149"/>
        <v/>
      </c>
      <c r="H77" s="21" t="str">
        <f t="shared" si="149"/>
        <v/>
      </c>
      <c r="I77" s="21" t="str">
        <f t="shared" si="149"/>
        <v/>
      </c>
      <c r="J77" s="21" t="str">
        <f t="shared" si="149"/>
        <v/>
      </c>
      <c r="K77" s="21" t="str">
        <f t="shared" si="149"/>
        <v/>
      </c>
      <c r="L77" s="17" t="str">
        <f>IFERROR(__xludf.DUMMYFUNCTION("""COMPUTED_VALUE"""),"electrical installation qualified")</f>
        <v>electrical installation qualified</v>
      </c>
      <c r="M77" s="18"/>
      <c r="N77" s="21" t="str">
        <f t="shared" ref="N77:W77" si="150">IF($A77="","",IF(OR(ISNUMBER(SEARCH(LOWER($A77),LOWER(N$1))),AND(RIGHT(LOWER($A77),1)="s",ISNUMBER(SEARCH(LEFT(LOWER($A77),LEN($A77)-1),LOWER(N$1))))),N$1,$A77&amp;" "&amp;N$1))</f>
        <v/>
      </c>
      <c r="O77" s="21" t="str">
        <f t="shared" si="150"/>
        <v/>
      </c>
      <c r="P77" s="21" t="str">
        <f t="shared" si="150"/>
        <v/>
      </c>
      <c r="Q77" s="21" t="str">
        <f t="shared" si="150"/>
        <v/>
      </c>
      <c r="R77" s="21" t="str">
        <f t="shared" si="150"/>
        <v/>
      </c>
      <c r="S77" s="21" t="str">
        <f t="shared" si="150"/>
        <v/>
      </c>
      <c r="T77" s="21" t="str">
        <f t="shared" si="150"/>
        <v/>
      </c>
      <c r="U77" s="21" t="str">
        <f t="shared" si="150"/>
        <v/>
      </c>
      <c r="V77" s="21" t="str">
        <f t="shared" si="150"/>
        <v/>
      </c>
      <c r="W77" s="21" t="str">
        <f t="shared" si="150"/>
        <v/>
      </c>
      <c r="X77" s="19" t="str">
        <f>IFERROR(__xludf.DUMMYFUNCTION("""COMPUTED_VALUE"""),"emergency electrical compliance certificate")</f>
        <v>emergency electrical compliance certificate</v>
      </c>
      <c r="Y77" s="9"/>
      <c r="Z77" s="9"/>
    </row>
    <row r="78">
      <c r="A78" s="20"/>
      <c r="B78" s="21" t="str">
        <f t="shared" ref="B78:K78" si="151">IF($A78="","",IF(OR(ISNUMBER(SEARCH(LOWER($A78),LOWER(B$1))),AND(RIGHT(LOWER($A78),1)="s",ISNUMBER(SEARCH(LEFT(LOWER($A78),LEN($A78)-1),LOWER(B$1))))),B$1,B$1&amp;" "&amp;$A78))</f>
        <v/>
      </c>
      <c r="C78" s="21" t="str">
        <f t="shared" si="151"/>
        <v/>
      </c>
      <c r="D78" s="21" t="str">
        <f t="shared" si="151"/>
        <v/>
      </c>
      <c r="E78" s="21" t="str">
        <f t="shared" si="151"/>
        <v/>
      </c>
      <c r="F78" s="21" t="str">
        <f t="shared" si="151"/>
        <v/>
      </c>
      <c r="G78" s="21" t="str">
        <f t="shared" si="151"/>
        <v/>
      </c>
      <c r="H78" s="21" t="str">
        <f t="shared" si="151"/>
        <v/>
      </c>
      <c r="I78" s="21" t="str">
        <f t="shared" si="151"/>
        <v/>
      </c>
      <c r="J78" s="21" t="str">
        <f t="shared" si="151"/>
        <v/>
      </c>
      <c r="K78" s="21" t="str">
        <f t="shared" si="151"/>
        <v/>
      </c>
      <c r="L78" s="17" t="str">
        <f>IFERROR(__xludf.DUMMYFUNCTION("""COMPUTED_VALUE"""),"electrical installation quote")</f>
        <v>electrical installation quote</v>
      </c>
      <c r="M78" s="18"/>
      <c r="N78" s="21" t="str">
        <f t="shared" ref="N78:W78" si="152">IF($A78="","",IF(OR(ISNUMBER(SEARCH(LOWER($A78),LOWER(N$1))),AND(RIGHT(LOWER($A78),1)="s",ISNUMBER(SEARCH(LEFT(LOWER($A78),LEN($A78)-1),LOWER(N$1))))),N$1,$A78&amp;" "&amp;N$1))</f>
        <v/>
      </c>
      <c r="O78" s="21" t="str">
        <f t="shared" si="152"/>
        <v/>
      </c>
      <c r="P78" s="21" t="str">
        <f t="shared" si="152"/>
        <v/>
      </c>
      <c r="Q78" s="21" t="str">
        <f t="shared" si="152"/>
        <v/>
      </c>
      <c r="R78" s="21" t="str">
        <f t="shared" si="152"/>
        <v/>
      </c>
      <c r="S78" s="21" t="str">
        <f t="shared" si="152"/>
        <v/>
      </c>
      <c r="T78" s="21" t="str">
        <f t="shared" si="152"/>
        <v/>
      </c>
      <c r="U78" s="21" t="str">
        <f t="shared" si="152"/>
        <v/>
      </c>
      <c r="V78" s="21" t="str">
        <f t="shared" si="152"/>
        <v/>
      </c>
      <c r="W78" s="21" t="str">
        <f t="shared" si="152"/>
        <v/>
      </c>
      <c r="X78" s="19" t="str">
        <f>IFERROR(__xludf.DUMMYFUNCTION("""COMPUTED_VALUE"""),"emergency electrical contractor")</f>
        <v>emergency electrical contractor</v>
      </c>
      <c r="Y78" s="9"/>
      <c r="Z78" s="9"/>
    </row>
    <row r="79">
      <c r="A79" s="20"/>
      <c r="B79" s="21" t="str">
        <f t="shared" ref="B79:K79" si="153">IF($A79="","",IF(OR(ISNUMBER(SEARCH(LOWER($A79),LOWER(B$1))),AND(RIGHT(LOWER($A79),1)="s",ISNUMBER(SEARCH(LEFT(LOWER($A79),LEN($A79)-1),LOWER(B$1))))),B$1,B$1&amp;" "&amp;$A79))</f>
        <v/>
      </c>
      <c r="C79" s="21" t="str">
        <f t="shared" si="153"/>
        <v/>
      </c>
      <c r="D79" s="21" t="str">
        <f t="shared" si="153"/>
        <v/>
      </c>
      <c r="E79" s="21" t="str">
        <f t="shared" si="153"/>
        <v/>
      </c>
      <c r="F79" s="21" t="str">
        <f t="shared" si="153"/>
        <v/>
      </c>
      <c r="G79" s="21" t="str">
        <f t="shared" si="153"/>
        <v/>
      </c>
      <c r="H79" s="21" t="str">
        <f t="shared" si="153"/>
        <v/>
      </c>
      <c r="I79" s="21" t="str">
        <f t="shared" si="153"/>
        <v/>
      </c>
      <c r="J79" s="21" t="str">
        <f t="shared" si="153"/>
        <v/>
      </c>
      <c r="K79" s="21" t="str">
        <f t="shared" si="153"/>
        <v/>
      </c>
      <c r="L79" s="17" t="str">
        <f>IFERROR(__xludf.DUMMYFUNCTION("""COMPUTED_VALUE"""),"electrical installation reliable")</f>
        <v>electrical installation reliable</v>
      </c>
      <c r="M79" s="18"/>
      <c r="N79" s="21" t="str">
        <f t="shared" ref="N79:W79" si="154">IF($A79="","",IF(OR(ISNUMBER(SEARCH(LOWER($A79),LOWER(N$1))),AND(RIGHT(LOWER($A79),1)="s",ISNUMBER(SEARCH(LEFT(LOWER($A79),LEN($A79)-1),LOWER(N$1))))),N$1,$A79&amp;" "&amp;N$1))</f>
        <v/>
      </c>
      <c r="O79" s="21" t="str">
        <f t="shared" si="154"/>
        <v/>
      </c>
      <c r="P79" s="21" t="str">
        <f t="shared" si="154"/>
        <v/>
      </c>
      <c r="Q79" s="21" t="str">
        <f t="shared" si="154"/>
        <v/>
      </c>
      <c r="R79" s="21" t="str">
        <f t="shared" si="154"/>
        <v/>
      </c>
      <c r="S79" s="21" t="str">
        <f t="shared" si="154"/>
        <v/>
      </c>
      <c r="T79" s="21" t="str">
        <f t="shared" si="154"/>
        <v/>
      </c>
      <c r="U79" s="21" t="str">
        <f t="shared" si="154"/>
        <v/>
      </c>
      <c r="V79" s="21" t="str">
        <f t="shared" si="154"/>
        <v/>
      </c>
      <c r="W79" s="21" t="str">
        <f t="shared" si="154"/>
        <v/>
      </c>
      <c r="X79" s="19" t="str">
        <f>IFERROR(__xludf.DUMMYFUNCTION("""COMPUTED_VALUE"""),"emergency electrical installation")</f>
        <v>emergency electrical installation</v>
      </c>
      <c r="Y79" s="9"/>
      <c r="Z79" s="9"/>
    </row>
    <row r="80">
      <c r="A80" s="20"/>
      <c r="B80" s="21" t="str">
        <f t="shared" ref="B80:K80" si="155">IF($A80="","",IF(OR(ISNUMBER(SEARCH(LOWER($A80),LOWER(B$1))),AND(RIGHT(LOWER($A80),1)="s",ISNUMBER(SEARCH(LEFT(LOWER($A80),LEN($A80)-1),LOWER(B$1))))),B$1,B$1&amp;" "&amp;$A80))</f>
        <v/>
      </c>
      <c r="C80" s="21" t="str">
        <f t="shared" si="155"/>
        <v/>
      </c>
      <c r="D80" s="21" t="str">
        <f t="shared" si="155"/>
        <v/>
      </c>
      <c r="E80" s="21" t="str">
        <f t="shared" si="155"/>
        <v/>
      </c>
      <c r="F80" s="21" t="str">
        <f t="shared" si="155"/>
        <v/>
      </c>
      <c r="G80" s="21" t="str">
        <f t="shared" si="155"/>
        <v/>
      </c>
      <c r="H80" s="21" t="str">
        <f t="shared" si="155"/>
        <v/>
      </c>
      <c r="I80" s="21" t="str">
        <f t="shared" si="155"/>
        <v/>
      </c>
      <c r="J80" s="21" t="str">
        <f t="shared" si="155"/>
        <v/>
      </c>
      <c r="K80" s="21" t="str">
        <f t="shared" si="155"/>
        <v/>
      </c>
      <c r="L80" s="17" t="str">
        <f>IFERROR(__xludf.DUMMYFUNCTION("""COMPUTED_VALUE"""),"electrical installation repair")</f>
        <v>electrical installation repair</v>
      </c>
      <c r="M80" s="18"/>
      <c r="N80" s="21" t="str">
        <f t="shared" ref="N80:W80" si="156">IF($A80="","",IF(OR(ISNUMBER(SEARCH(LOWER($A80),LOWER(N$1))),AND(RIGHT(LOWER($A80),1)="s",ISNUMBER(SEARCH(LEFT(LOWER($A80),LEN($A80)-1),LOWER(N$1))))),N$1,$A80&amp;" "&amp;N$1))</f>
        <v/>
      </c>
      <c r="O80" s="21" t="str">
        <f t="shared" si="156"/>
        <v/>
      </c>
      <c r="P80" s="21" t="str">
        <f t="shared" si="156"/>
        <v/>
      </c>
      <c r="Q80" s="21" t="str">
        <f t="shared" si="156"/>
        <v/>
      </c>
      <c r="R80" s="21" t="str">
        <f t="shared" si="156"/>
        <v/>
      </c>
      <c r="S80" s="21" t="str">
        <f t="shared" si="156"/>
        <v/>
      </c>
      <c r="T80" s="21" t="str">
        <f t="shared" si="156"/>
        <v/>
      </c>
      <c r="U80" s="21" t="str">
        <f t="shared" si="156"/>
        <v/>
      </c>
      <c r="V80" s="21" t="str">
        <f t="shared" si="156"/>
        <v/>
      </c>
      <c r="W80" s="21" t="str">
        <f t="shared" si="156"/>
        <v/>
      </c>
      <c r="X80" s="19" t="str">
        <f>IFERROR(__xludf.DUMMYFUNCTION("""COMPUTED_VALUE"""),"emergency electrical maintenance")</f>
        <v>emergency electrical maintenance</v>
      </c>
      <c r="Y80" s="9"/>
      <c r="Z80" s="9"/>
    </row>
    <row r="81">
      <c r="A81" s="20"/>
      <c r="B81" s="21" t="str">
        <f t="shared" ref="B81:K81" si="157">IF($A81="","",IF(OR(ISNUMBER(SEARCH(LOWER($A81),LOWER(B$1))),AND(RIGHT(LOWER($A81),1)="s",ISNUMBER(SEARCH(LEFT(LOWER($A81),LEN($A81)-1),LOWER(B$1))))),B$1,B$1&amp;" "&amp;$A81))</f>
        <v/>
      </c>
      <c r="C81" s="21" t="str">
        <f t="shared" si="157"/>
        <v/>
      </c>
      <c r="D81" s="21" t="str">
        <f t="shared" si="157"/>
        <v/>
      </c>
      <c r="E81" s="21" t="str">
        <f t="shared" si="157"/>
        <v/>
      </c>
      <c r="F81" s="21" t="str">
        <f t="shared" si="157"/>
        <v/>
      </c>
      <c r="G81" s="21" t="str">
        <f t="shared" si="157"/>
        <v/>
      </c>
      <c r="H81" s="21" t="str">
        <f t="shared" si="157"/>
        <v/>
      </c>
      <c r="I81" s="21" t="str">
        <f t="shared" si="157"/>
        <v/>
      </c>
      <c r="J81" s="21" t="str">
        <f t="shared" si="157"/>
        <v/>
      </c>
      <c r="K81" s="21" t="str">
        <f t="shared" si="157"/>
        <v/>
      </c>
      <c r="L81" s="17" t="str">
        <f>IFERROR(__xludf.DUMMYFUNCTION("""COMPUTED_VALUE"""),"electrical installation same day")</f>
        <v>electrical installation same day</v>
      </c>
      <c r="M81" s="18"/>
      <c r="N81" s="21" t="str">
        <f t="shared" ref="N81:W81" si="158">IF($A81="","",IF(OR(ISNUMBER(SEARCH(LOWER($A81),LOWER(N$1))),AND(RIGHT(LOWER($A81),1)="s",ISNUMBER(SEARCH(LEFT(LOWER($A81),LEN($A81)-1),LOWER(N$1))))),N$1,$A81&amp;" "&amp;N$1))</f>
        <v/>
      </c>
      <c r="O81" s="21" t="str">
        <f t="shared" si="158"/>
        <v/>
      </c>
      <c r="P81" s="21" t="str">
        <f t="shared" si="158"/>
        <v/>
      </c>
      <c r="Q81" s="21" t="str">
        <f t="shared" si="158"/>
        <v/>
      </c>
      <c r="R81" s="21" t="str">
        <f t="shared" si="158"/>
        <v/>
      </c>
      <c r="S81" s="21" t="str">
        <f t="shared" si="158"/>
        <v/>
      </c>
      <c r="T81" s="21" t="str">
        <f t="shared" si="158"/>
        <v/>
      </c>
      <c r="U81" s="21" t="str">
        <f t="shared" si="158"/>
        <v/>
      </c>
      <c r="V81" s="21" t="str">
        <f t="shared" si="158"/>
        <v/>
      </c>
      <c r="W81" s="21" t="str">
        <f t="shared" si="158"/>
        <v/>
      </c>
      <c r="X81" s="19" t="str">
        <f>IFERROR(__xludf.DUMMYFUNCTION("""COMPUTED_VALUE"""),"emergency electrical repairs")</f>
        <v>emergency electrical repairs</v>
      </c>
      <c r="Y81" s="9"/>
      <c r="Z81" s="9"/>
    </row>
    <row r="82">
      <c r="A82" s="20"/>
      <c r="B82" s="21" t="str">
        <f t="shared" ref="B82:K82" si="159">IF($A82="","",IF(OR(ISNUMBER(SEARCH(LOWER($A82),LOWER(B$1))),AND(RIGHT(LOWER($A82),1)="s",ISNUMBER(SEARCH(LEFT(LOWER($A82),LEN($A82)-1),LOWER(B$1))))),B$1,B$1&amp;" "&amp;$A82))</f>
        <v/>
      </c>
      <c r="C82" s="21" t="str">
        <f t="shared" si="159"/>
        <v/>
      </c>
      <c r="D82" s="21" t="str">
        <f t="shared" si="159"/>
        <v/>
      </c>
      <c r="E82" s="21" t="str">
        <f t="shared" si="159"/>
        <v/>
      </c>
      <c r="F82" s="21" t="str">
        <f t="shared" si="159"/>
        <v/>
      </c>
      <c r="G82" s="21" t="str">
        <f t="shared" si="159"/>
        <v/>
      </c>
      <c r="H82" s="21" t="str">
        <f t="shared" si="159"/>
        <v/>
      </c>
      <c r="I82" s="21" t="str">
        <f t="shared" si="159"/>
        <v/>
      </c>
      <c r="J82" s="21" t="str">
        <f t="shared" si="159"/>
        <v/>
      </c>
      <c r="K82" s="21" t="str">
        <f t="shared" si="159"/>
        <v/>
      </c>
      <c r="L82" s="17" t="str">
        <f>IFERROR(__xludf.DUMMYFUNCTION("""COMPUTED_VALUE"""),"electrical installation service")</f>
        <v>electrical installation service</v>
      </c>
      <c r="M82" s="18"/>
      <c r="N82" s="21" t="str">
        <f t="shared" ref="N82:W82" si="160">IF($A82="","",IF(OR(ISNUMBER(SEARCH(LOWER($A82),LOWER(N$1))),AND(RIGHT(LOWER($A82),1)="s",ISNUMBER(SEARCH(LEFT(LOWER($A82),LEN($A82)-1),LOWER(N$1))))),N$1,$A82&amp;" "&amp;N$1))</f>
        <v/>
      </c>
      <c r="O82" s="21" t="str">
        <f t="shared" si="160"/>
        <v/>
      </c>
      <c r="P82" s="21" t="str">
        <f t="shared" si="160"/>
        <v/>
      </c>
      <c r="Q82" s="21" t="str">
        <f t="shared" si="160"/>
        <v/>
      </c>
      <c r="R82" s="21" t="str">
        <f t="shared" si="160"/>
        <v/>
      </c>
      <c r="S82" s="21" t="str">
        <f t="shared" si="160"/>
        <v/>
      </c>
      <c r="T82" s="21" t="str">
        <f t="shared" si="160"/>
        <v/>
      </c>
      <c r="U82" s="21" t="str">
        <f t="shared" si="160"/>
        <v/>
      </c>
      <c r="V82" s="21" t="str">
        <f t="shared" si="160"/>
        <v/>
      </c>
      <c r="W82" s="21" t="str">
        <f t="shared" si="160"/>
        <v/>
      </c>
      <c r="X82" s="19" t="str">
        <f>IFERROR(__xludf.DUMMYFUNCTION("""COMPUTED_VALUE"""),"emergency electrical services")</f>
        <v>emergency electrical services</v>
      </c>
      <c r="Y82" s="9"/>
      <c r="Z82" s="9"/>
    </row>
    <row r="83">
      <c r="A83" s="2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7" t="str">
        <f>IFERROR(__xludf.DUMMYFUNCTION("""COMPUTED_VALUE"""),"electrical maintenance affordable")</f>
        <v>electrical maintenance affordable</v>
      </c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9" t="str">
        <f>IFERROR(__xludf.DUMMYFUNCTION("""COMPUTED_VALUE"""),"emergency electrician")</f>
        <v>emergency electrician</v>
      </c>
      <c r="Y83" s="9"/>
      <c r="Z83" s="9"/>
    </row>
    <row r="84">
      <c r="A84" s="2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7" t="str">
        <f>IFERROR(__xludf.DUMMYFUNCTION("""COMPUTED_VALUE"""),"electrical maintenance call out")</f>
        <v>electrical maintenance call out</v>
      </c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9" t="str">
        <f>IFERROR(__xludf.DUMMYFUNCTION("""COMPUTED_VALUE"""),"emergency electrician cape town")</f>
        <v>emergency electrician cape town</v>
      </c>
      <c r="Y84" s="9"/>
      <c r="Z84" s="9"/>
    </row>
    <row r="85">
      <c r="A85" s="2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7" t="str">
        <f>IFERROR(__xludf.DUMMYFUNCTION("""COMPUTED_VALUE"""),"electrical maintenance cape town")</f>
        <v>electrical maintenance cape town</v>
      </c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9" t="str">
        <f>IFERROR(__xludf.DUMMYFUNCTION("""COMPUTED_VALUE"""),"emergency residential electrician")</f>
        <v>emergency residential electrician</v>
      </c>
      <c r="Y85" s="9"/>
      <c r="Z85" s="9"/>
    </row>
    <row r="86">
      <c r="A86" s="2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7" t="str">
        <f>IFERROR(__xludf.DUMMYFUNCTION("""COMPUTED_VALUE"""),"electrical maintenance COC")</f>
        <v>electrical maintenance COC</v>
      </c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9" t="str">
        <f>IFERROR(__xludf.DUMMYFUNCTION("""COMPUTED_VALUE"""),"inspection commercial electrician")</f>
        <v>inspection commercial electrician</v>
      </c>
      <c r="Y86" s="9"/>
      <c r="Z86" s="9"/>
    </row>
    <row r="87">
      <c r="A87" s="2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7" t="str">
        <f>IFERROR(__xludf.DUMMYFUNCTION("""COMPUTED_VALUE"""),"electrical maintenance company")</f>
        <v>electrical maintenance company</v>
      </c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9" t="str">
        <f>IFERROR(__xludf.DUMMYFUNCTION("""COMPUTED_VALUE"""),"inspection electrical compliance certificate")</f>
        <v>inspection electrical compliance certificate</v>
      </c>
      <c r="Y87" s="9"/>
      <c r="Z87" s="9"/>
    </row>
    <row r="88">
      <c r="A88" s="2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7" t="str">
        <f>IFERROR(__xludf.DUMMYFUNCTION("""COMPUTED_VALUE"""),"electrical maintenance contractor")</f>
        <v>electrical maintenance contractor</v>
      </c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9" t="str">
        <f>IFERROR(__xludf.DUMMYFUNCTION("""COMPUTED_VALUE"""),"inspection electrical contractor")</f>
        <v>inspection electrical contractor</v>
      </c>
      <c r="Y88" s="9"/>
      <c r="Z88" s="9"/>
    </row>
    <row r="89">
      <c r="A89" s="2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7" t="str">
        <f>IFERROR(__xludf.DUMMYFUNCTION("""COMPUTED_VALUE"""),"electrical maintenance cost")</f>
        <v>electrical maintenance cost</v>
      </c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9" t="str">
        <f>IFERROR(__xludf.DUMMYFUNCTION("""COMPUTED_VALUE"""),"inspection electrical installation")</f>
        <v>inspection electrical installation</v>
      </c>
      <c r="Y89" s="9"/>
      <c r="Z89" s="9"/>
    </row>
    <row r="90">
      <c r="A90" s="2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7" t="str">
        <f>IFERROR(__xludf.DUMMYFUNCTION("""COMPUTED_VALUE"""),"electrical maintenance emergency")</f>
        <v>electrical maintenance emergency</v>
      </c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9" t="str">
        <f>IFERROR(__xludf.DUMMYFUNCTION("""COMPUTED_VALUE"""),"inspection electrical maintenance")</f>
        <v>inspection electrical maintenance</v>
      </c>
      <c r="Y90" s="9"/>
      <c r="Z90" s="9"/>
    </row>
    <row r="91">
      <c r="A91" s="2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7" t="str">
        <f>IFERROR(__xludf.DUMMYFUNCTION("""COMPUTED_VALUE"""),"electrical maintenance inspection")</f>
        <v>electrical maintenance inspection</v>
      </c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9" t="str">
        <f>IFERROR(__xludf.DUMMYFUNCTION("""COMPUTED_VALUE"""),"inspection electrical repairs")</f>
        <v>inspection electrical repairs</v>
      </c>
      <c r="Y91" s="9"/>
      <c r="Z91" s="9"/>
    </row>
    <row r="92">
      <c r="A92" s="2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7" t="str">
        <f>IFERROR(__xludf.DUMMYFUNCTION("""COMPUTED_VALUE"""),"electrical maintenance installation")</f>
        <v>electrical maintenance installation</v>
      </c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9" t="str">
        <f>IFERROR(__xludf.DUMMYFUNCTION("""COMPUTED_VALUE"""),"inspection electrical services")</f>
        <v>inspection electrical services</v>
      </c>
      <c r="Y92" s="9"/>
      <c r="Z92" s="9"/>
    </row>
    <row r="93">
      <c r="A93" s="2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7" t="str">
        <f>IFERROR(__xludf.DUMMYFUNCTION("""COMPUTED_VALUE"""),"electrical maintenance licensed")</f>
        <v>electrical maintenance licensed</v>
      </c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9" t="str">
        <f>IFERROR(__xludf.DUMMYFUNCTION("""COMPUTED_VALUE"""),"inspection electrician cape town")</f>
        <v>inspection electrician cape town</v>
      </c>
      <c r="Y93" s="9"/>
      <c r="Z93" s="9"/>
    </row>
    <row r="94">
      <c r="A94" s="2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7" t="str">
        <f>IFERROR(__xludf.DUMMYFUNCTION("""COMPUTED_VALUE"""),"electrical maintenance local")</f>
        <v>electrical maintenance local</v>
      </c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9" t="str">
        <f>IFERROR(__xludf.DUMMYFUNCTION("""COMPUTED_VALUE"""),"inspection emergency electrician")</f>
        <v>inspection emergency electrician</v>
      </c>
      <c r="Y94" s="9"/>
      <c r="Z94" s="9"/>
    </row>
    <row r="95">
      <c r="A95" s="2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7" t="str">
        <f>IFERROR(__xludf.DUMMYFUNCTION("""COMPUTED_VALUE"""),"electrical maintenance near me")</f>
        <v>electrical maintenance near me</v>
      </c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9" t="str">
        <f>IFERROR(__xludf.DUMMYFUNCTION("""COMPUTED_VALUE"""),"inspection residential electrician")</f>
        <v>inspection residential electrician</v>
      </c>
      <c r="Y95" s="9"/>
      <c r="Z95" s="9"/>
    </row>
    <row r="96">
      <c r="A96" s="2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7" t="str">
        <f>IFERROR(__xludf.DUMMYFUNCTION("""COMPUTED_VALUE"""),"electrical maintenance professional")</f>
        <v>electrical maintenance professional</v>
      </c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9" t="str">
        <f>IFERROR(__xludf.DUMMYFUNCTION("""COMPUTED_VALUE"""),"installation commercial electrician")</f>
        <v>installation commercial electrician</v>
      </c>
      <c r="Y96" s="9"/>
      <c r="Z96" s="9"/>
    </row>
    <row r="97">
      <c r="A97" s="2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7" t="str">
        <f>IFERROR(__xludf.DUMMYFUNCTION("""COMPUTED_VALUE"""),"electrical maintenance qualified")</f>
        <v>electrical maintenance qualified</v>
      </c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9" t="str">
        <f>IFERROR(__xludf.DUMMYFUNCTION("""COMPUTED_VALUE"""),"installation electrical compliance certificate")</f>
        <v>installation electrical compliance certificate</v>
      </c>
      <c r="Y97" s="9"/>
      <c r="Z97" s="9"/>
    </row>
    <row r="98">
      <c r="A98" s="2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7" t="str">
        <f>IFERROR(__xludf.DUMMYFUNCTION("""COMPUTED_VALUE"""),"electrical maintenance quote")</f>
        <v>electrical maintenance quote</v>
      </c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9" t="str">
        <f>IFERROR(__xludf.DUMMYFUNCTION("""COMPUTED_VALUE"""),"installation electrical contractor")</f>
        <v>installation electrical contractor</v>
      </c>
      <c r="Y98" s="9"/>
      <c r="Z98" s="9"/>
    </row>
    <row r="99">
      <c r="A99" s="2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7" t="str">
        <f>IFERROR(__xludf.DUMMYFUNCTION("""COMPUTED_VALUE"""),"electrical maintenance reliable")</f>
        <v>electrical maintenance reliable</v>
      </c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9" t="str">
        <f>IFERROR(__xludf.DUMMYFUNCTION("""COMPUTED_VALUE"""),"installation electrical maintenance")</f>
        <v>installation electrical maintenance</v>
      </c>
      <c r="Y99" s="9"/>
      <c r="Z99" s="9"/>
    </row>
    <row r="100">
      <c r="A100" s="2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7" t="str">
        <f>IFERROR(__xludf.DUMMYFUNCTION("""COMPUTED_VALUE"""),"electrical maintenance repair")</f>
        <v>electrical maintenance repair</v>
      </c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9" t="str">
        <f>IFERROR(__xludf.DUMMYFUNCTION("""COMPUTED_VALUE"""),"installation electrical repairs")</f>
        <v>installation electrical repairs</v>
      </c>
      <c r="Y100" s="9"/>
      <c r="Z100" s="9"/>
    </row>
    <row r="101">
      <c r="A101" s="2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7" t="str">
        <f>IFERROR(__xludf.DUMMYFUNCTION("""COMPUTED_VALUE"""),"electrical maintenance same day")</f>
        <v>electrical maintenance same day</v>
      </c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9" t="str">
        <f>IFERROR(__xludf.DUMMYFUNCTION("""COMPUTED_VALUE"""),"installation electrical services")</f>
        <v>installation electrical services</v>
      </c>
      <c r="Y101" s="9"/>
      <c r="Z101" s="9"/>
    </row>
    <row r="102">
      <c r="A102" s="2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7" t="str">
        <f>IFERROR(__xludf.DUMMYFUNCTION("""COMPUTED_VALUE"""),"electrical maintenance service")</f>
        <v>electrical maintenance service</v>
      </c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9" t="str">
        <f>IFERROR(__xludf.DUMMYFUNCTION("""COMPUTED_VALUE"""),"installation electrician cape town")</f>
        <v>installation electrician cape town</v>
      </c>
      <c r="Y102" s="9"/>
      <c r="Z102" s="9"/>
    </row>
    <row r="103">
      <c r="A103" s="2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7" t="str">
        <f>IFERROR(__xludf.DUMMYFUNCTION("""COMPUTED_VALUE"""),"electrical repairs")</f>
        <v>electrical repairs</v>
      </c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9" t="str">
        <f>IFERROR(__xludf.DUMMYFUNCTION("""COMPUTED_VALUE"""),"installation emergency electrician")</f>
        <v>installation emergency electrician</v>
      </c>
      <c r="Y103" s="9"/>
      <c r="Z103" s="9"/>
    </row>
    <row r="104">
      <c r="A104" s="2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7" t="str">
        <f>IFERROR(__xludf.DUMMYFUNCTION("""COMPUTED_VALUE"""),"electrical repairs affordable")</f>
        <v>electrical repairs affordable</v>
      </c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9" t="str">
        <f>IFERROR(__xludf.DUMMYFUNCTION("""COMPUTED_VALUE"""),"installation residential electrician")</f>
        <v>installation residential electrician</v>
      </c>
      <c r="Y104" s="9"/>
      <c r="Z104" s="9"/>
    </row>
    <row r="105">
      <c r="A105" s="2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7" t="str">
        <f>IFERROR(__xludf.DUMMYFUNCTION("""COMPUTED_VALUE"""),"electrical repairs call out")</f>
        <v>electrical repairs call out</v>
      </c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9" t="str">
        <f>IFERROR(__xludf.DUMMYFUNCTION("""COMPUTED_VALUE"""),"licensed commercial electrician")</f>
        <v>licensed commercial electrician</v>
      </c>
      <c r="Y105" s="9"/>
      <c r="Z105" s="9"/>
    </row>
    <row r="106">
      <c r="A106" s="2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7" t="str">
        <f>IFERROR(__xludf.DUMMYFUNCTION("""COMPUTED_VALUE"""),"electrical repairs cape town")</f>
        <v>electrical repairs cape town</v>
      </c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9" t="str">
        <f>IFERROR(__xludf.DUMMYFUNCTION("""COMPUTED_VALUE"""),"licensed electrical compliance certificate")</f>
        <v>licensed electrical compliance certificate</v>
      </c>
      <c r="Y106" s="9"/>
      <c r="Z106" s="9"/>
    </row>
    <row r="107">
      <c r="A107" s="2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7" t="str">
        <f>IFERROR(__xludf.DUMMYFUNCTION("""COMPUTED_VALUE"""),"electrical repairs COC")</f>
        <v>electrical repairs COC</v>
      </c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9" t="str">
        <f>IFERROR(__xludf.DUMMYFUNCTION("""COMPUTED_VALUE"""),"licensed electrical contractor")</f>
        <v>licensed electrical contractor</v>
      </c>
      <c r="Y107" s="9"/>
      <c r="Z107" s="9"/>
    </row>
    <row r="108">
      <c r="A108" s="2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7" t="str">
        <f>IFERROR(__xludf.DUMMYFUNCTION("""COMPUTED_VALUE"""),"electrical repairs company")</f>
        <v>electrical repairs company</v>
      </c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9" t="str">
        <f>IFERROR(__xludf.DUMMYFUNCTION("""COMPUTED_VALUE"""),"licensed electrical installation")</f>
        <v>licensed electrical installation</v>
      </c>
      <c r="Y108" s="9"/>
      <c r="Z108" s="9"/>
    </row>
    <row r="109">
      <c r="A109" s="2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7" t="str">
        <f>IFERROR(__xludf.DUMMYFUNCTION("""COMPUTED_VALUE"""),"electrical repairs contractor")</f>
        <v>electrical repairs contractor</v>
      </c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9" t="str">
        <f>IFERROR(__xludf.DUMMYFUNCTION("""COMPUTED_VALUE"""),"licensed electrical maintenance")</f>
        <v>licensed electrical maintenance</v>
      </c>
      <c r="Y109" s="9"/>
      <c r="Z109" s="9"/>
    </row>
    <row r="110">
      <c r="A110" s="2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7" t="str">
        <f>IFERROR(__xludf.DUMMYFUNCTION("""COMPUTED_VALUE"""),"electrical repairs cost")</f>
        <v>electrical repairs cost</v>
      </c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9" t="str">
        <f>IFERROR(__xludf.DUMMYFUNCTION("""COMPUTED_VALUE"""),"licensed electrical repairs")</f>
        <v>licensed electrical repairs</v>
      </c>
      <c r="Y110" s="9"/>
      <c r="Z110" s="9"/>
    </row>
    <row r="111">
      <c r="A111" s="2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7" t="str">
        <f>IFERROR(__xludf.DUMMYFUNCTION("""COMPUTED_VALUE"""),"electrical repairs emergency")</f>
        <v>electrical repairs emergency</v>
      </c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9" t="str">
        <f>IFERROR(__xludf.DUMMYFUNCTION("""COMPUTED_VALUE"""),"licensed electrical services")</f>
        <v>licensed electrical services</v>
      </c>
      <c r="Y111" s="9"/>
      <c r="Z111" s="9"/>
    </row>
    <row r="112">
      <c r="A112" s="2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7" t="str">
        <f>IFERROR(__xludf.DUMMYFUNCTION("""COMPUTED_VALUE"""),"electrical repairs inspection")</f>
        <v>electrical repairs inspection</v>
      </c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9" t="str">
        <f>IFERROR(__xludf.DUMMYFUNCTION("""COMPUTED_VALUE"""),"licensed electrician cape town")</f>
        <v>licensed electrician cape town</v>
      </c>
      <c r="Y112" s="9"/>
      <c r="Z112" s="9"/>
    </row>
    <row r="113">
      <c r="A113" s="2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7" t="str">
        <f>IFERROR(__xludf.DUMMYFUNCTION("""COMPUTED_VALUE"""),"electrical repairs installation")</f>
        <v>electrical repairs installation</v>
      </c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9" t="str">
        <f>IFERROR(__xludf.DUMMYFUNCTION("""COMPUTED_VALUE"""),"licensed emergency electrician")</f>
        <v>licensed emergency electrician</v>
      </c>
      <c r="Y113" s="9"/>
      <c r="Z113" s="9"/>
    </row>
    <row r="114">
      <c r="A114" s="2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7" t="str">
        <f>IFERROR(__xludf.DUMMYFUNCTION("""COMPUTED_VALUE"""),"electrical repairs licensed")</f>
        <v>electrical repairs licensed</v>
      </c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9" t="str">
        <f>IFERROR(__xludf.DUMMYFUNCTION("""COMPUTED_VALUE"""),"licensed residential electrician")</f>
        <v>licensed residential electrician</v>
      </c>
      <c r="Y114" s="9"/>
      <c r="Z114" s="9"/>
    </row>
    <row r="115">
      <c r="A115" s="2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7" t="str">
        <f>IFERROR(__xludf.DUMMYFUNCTION("""COMPUTED_VALUE"""),"electrical repairs local")</f>
        <v>electrical repairs local</v>
      </c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9" t="str">
        <f>IFERROR(__xludf.DUMMYFUNCTION("""COMPUTED_VALUE"""),"local commercial electrician")</f>
        <v>local commercial electrician</v>
      </c>
      <c r="Y115" s="9"/>
      <c r="Z115" s="9"/>
    </row>
    <row r="116">
      <c r="A116" s="2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7" t="str">
        <f>IFERROR(__xludf.DUMMYFUNCTION("""COMPUTED_VALUE"""),"electrical repairs near me")</f>
        <v>electrical repairs near me</v>
      </c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9" t="str">
        <f>IFERROR(__xludf.DUMMYFUNCTION("""COMPUTED_VALUE"""),"local electrical compliance certificate")</f>
        <v>local electrical compliance certificate</v>
      </c>
      <c r="Y116" s="9"/>
      <c r="Z116" s="9"/>
    </row>
    <row r="117">
      <c r="A117" s="2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7" t="str">
        <f>IFERROR(__xludf.DUMMYFUNCTION("""COMPUTED_VALUE"""),"electrical repairs professional")</f>
        <v>electrical repairs professional</v>
      </c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9" t="str">
        <f>IFERROR(__xludf.DUMMYFUNCTION("""COMPUTED_VALUE"""),"local electrical contractor")</f>
        <v>local electrical contractor</v>
      </c>
      <c r="Y117" s="9"/>
      <c r="Z117" s="9"/>
    </row>
    <row r="118">
      <c r="A118" s="2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7" t="str">
        <f>IFERROR(__xludf.DUMMYFUNCTION("""COMPUTED_VALUE"""),"electrical repairs qualified")</f>
        <v>electrical repairs qualified</v>
      </c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9" t="str">
        <f>IFERROR(__xludf.DUMMYFUNCTION("""COMPUTED_VALUE"""),"local electrical installation")</f>
        <v>local electrical installation</v>
      </c>
      <c r="Y118" s="9"/>
      <c r="Z118" s="9"/>
    </row>
    <row r="119">
      <c r="A119" s="2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7" t="str">
        <f>IFERROR(__xludf.DUMMYFUNCTION("""COMPUTED_VALUE"""),"electrical repairs quote")</f>
        <v>electrical repairs quote</v>
      </c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9" t="str">
        <f>IFERROR(__xludf.DUMMYFUNCTION("""COMPUTED_VALUE"""),"local electrical maintenance")</f>
        <v>local electrical maintenance</v>
      </c>
      <c r="Y119" s="9"/>
      <c r="Z119" s="9"/>
    </row>
    <row r="120">
      <c r="A120" s="23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5" t="str">
        <f>IFERROR(__xludf.DUMMYFUNCTION("""COMPUTED_VALUE"""),"electrical repairs reliable")</f>
        <v>electrical repairs reliable</v>
      </c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6" t="str">
        <f>IFERROR(__xludf.DUMMYFUNCTION("""COMPUTED_VALUE"""),"local electrical repairs")</f>
        <v>local electrical repairs</v>
      </c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27" t="str">
        <f>IFERROR(__xludf.DUMMYFUNCTION("""COMPUTED_VALUE"""),"electrical repairs same day")</f>
        <v>electrical repairs same day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27" t="str">
        <f>IFERROR(__xludf.DUMMYFUNCTION("""COMPUTED_VALUE"""),"local electrical services")</f>
        <v>local electrical services</v>
      </c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27" t="str">
        <f>IFERROR(__xludf.DUMMYFUNCTION("""COMPUTED_VALUE"""),"electrical repairs service")</f>
        <v>electrical repairs service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27" t="str">
        <f>IFERROR(__xludf.DUMMYFUNCTION("""COMPUTED_VALUE"""),"local electrician cape town")</f>
        <v>local electrician cape town</v>
      </c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27" t="str">
        <f>IFERROR(__xludf.DUMMYFUNCTION("""COMPUTED_VALUE"""),"electrical services")</f>
        <v>electrical services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27" t="str">
        <f>IFERROR(__xludf.DUMMYFUNCTION("""COMPUTED_VALUE"""),"local emergency electrician")</f>
        <v>local emergency electrician</v>
      </c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27" t="str">
        <f>IFERROR(__xludf.DUMMYFUNCTION("""COMPUTED_VALUE"""),"electrical services affordable")</f>
        <v>electrical services affordable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27" t="str">
        <f>IFERROR(__xludf.DUMMYFUNCTION("""COMPUTED_VALUE"""),"local residential electrician")</f>
        <v>local residential electrician</v>
      </c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27" t="str">
        <f>IFERROR(__xludf.DUMMYFUNCTION("""COMPUTED_VALUE"""),"electrical services call out")</f>
        <v>electrical services call out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27" t="str">
        <f>IFERROR(__xludf.DUMMYFUNCTION("""COMPUTED_VALUE"""),"near me commercial electrician")</f>
        <v>near me commercial electrician</v>
      </c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27" t="str">
        <f>IFERROR(__xludf.DUMMYFUNCTION("""COMPUTED_VALUE"""),"electrical services cape town")</f>
        <v>electrical services cape town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27" t="str">
        <f>IFERROR(__xludf.DUMMYFUNCTION("""COMPUTED_VALUE"""),"near me electrical compliance certificate")</f>
        <v>near me electrical compliance certificate</v>
      </c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27" t="str">
        <f>IFERROR(__xludf.DUMMYFUNCTION("""COMPUTED_VALUE"""),"electrical services COC")</f>
        <v>electrical services COC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27" t="str">
        <f>IFERROR(__xludf.DUMMYFUNCTION("""COMPUTED_VALUE"""),"near me electrical contractor")</f>
        <v>near me electrical contractor</v>
      </c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27" t="str">
        <f>IFERROR(__xludf.DUMMYFUNCTION("""COMPUTED_VALUE"""),"electrical services company")</f>
        <v>electrical services company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27" t="str">
        <f>IFERROR(__xludf.DUMMYFUNCTION("""COMPUTED_VALUE"""),"near me electrical installation")</f>
        <v>near me electrical installation</v>
      </c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27" t="str">
        <f>IFERROR(__xludf.DUMMYFUNCTION("""COMPUTED_VALUE"""),"electrical services contractor")</f>
        <v>electrical services contractor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27" t="str">
        <f>IFERROR(__xludf.DUMMYFUNCTION("""COMPUTED_VALUE"""),"near me electrical maintenance")</f>
        <v>near me electrical maintenance</v>
      </c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27" t="str">
        <f>IFERROR(__xludf.DUMMYFUNCTION("""COMPUTED_VALUE"""),"electrical services cost")</f>
        <v>electrical services cost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27" t="str">
        <f>IFERROR(__xludf.DUMMYFUNCTION("""COMPUTED_VALUE"""),"near me electrical repairs")</f>
        <v>near me electrical repairs</v>
      </c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27" t="str">
        <f>IFERROR(__xludf.DUMMYFUNCTION("""COMPUTED_VALUE"""),"electrical services emergency")</f>
        <v>electrical services emergency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27" t="str">
        <f>IFERROR(__xludf.DUMMYFUNCTION("""COMPUTED_VALUE"""),"near me electrical services")</f>
        <v>near me electrical services</v>
      </c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27" t="str">
        <f>IFERROR(__xludf.DUMMYFUNCTION("""COMPUTED_VALUE"""),"electrical services inspection")</f>
        <v>electrical services inspection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27" t="str">
        <f>IFERROR(__xludf.DUMMYFUNCTION("""COMPUTED_VALUE"""),"near me electrician cape town")</f>
        <v>near me electrician cape town</v>
      </c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27" t="str">
        <f>IFERROR(__xludf.DUMMYFUNCTION("""COMPUTED_VALUE"""),"electrical services installation")</f>
        <v>electrical services installation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27" t="str">
        <f>IFERROR(__xludf.DUMMYFUNCTION("""COMPUTED_VALUE"""),"near me emergency electrician")</f>
        <v>near me emergency electrician</v>
      </c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27" t="str">
        <f>IFERROR(__xludf.DUMMYFUNCTION("""COMPUTED_VALUE"""),"electrical services licensed")</f>
        <v>electrical services licensed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27" t="str">
        <f>IFERROR(__xludf.DUMMYFUNCTION("""COMPUTED_VALUE"""),"near me residential electrician")</f>
        <v>near me residential electrician</v>
      </c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27" t="str">
        <f>IFERROR(__xludf.DUMMYFUNCTION("""COMPUTED_VALUE"""),"electrical services local")</f>
        <v>electrical services local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27" t="str">
        <f>IFERROR(__xludf.DUMMYFUNCTION("""COMPUTED_VALUE"""),"professional commercial electrician")</f>
        <v>professional commercial electrician</v>
      </c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27" t="str">
        <f>IFERROR(__xludf.DUMMYFUNCTION("""COMPUTED_VALUE"""),"electrical services near me")</f>
        <v>electrical services near me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27" t="str">
        <f>IFERROR(__xludf.DUMMYFUNCTION("""COMPUTED_VALUE"""),"professional electrical compliance certificate")</f>
        <v>professional electrical compliance certificate</v>
      </c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27" t="str">
        <f>IFERROR(__xludf.DUMMYFUNCTION("""COMPUTED_VALUE"""),"electrical services professional")</f>
        <v>electrical services professional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27" t="str">
        <f>IFERROR(__xludf.DUMMYFUNCTION("""COMPUTED_VALUE"""),"professional electrical contractor")</f>
        <v>professional electrical contractor</v>
      </c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27" t="str">
        <f>IFERROR(__xludf.DUMMYFUNCTION("""COMPUTED_VALUE"""),"electrical services qualified")</f>
        <v>electrical services qualified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27" t="str">
        <f>IFERROR(__xludf.DUMMYFUNCTION("""COMPUTED_VALUE"""),"professional electrical installation")</f>
        <v>professional electrical installation</v>
      </c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27" t="str">
        <f>IFERROR(__xludf.DUMMYFUNCTION("""COMPUTED_VALUE"""),"electrical services quote")</f>
        <v>electrical services quote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27" t="str">
        <f>IFERROR(__xludf.DUMMYFUNCTION("""COMPUTED_VALUE"""),"professional electrical maintenance")</f>
        <v>professional electrical maintenance</v>
      </c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27" t="str">
        <f>IFERROR(__xludf.DUMMYFUNCTION("""COMPUTED_VALUE"""),"electrical services reliable")</f>
        <v>electrical services reliable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27" t="str">
        <f>IFERROR(__xludf.DUMMYFUNCTION("""COMPUTED_VALUE"""),"professional electrical repairs")</f>
        <v>professional electrical repairs</v>
      </c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27" t="str">
        <f>IFERROR(__xludf.DUMMYFUNCTION("""COMPUTED_VALUE"""),"electrical services repair")</f>
        <v>electrical services repair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27" t="str">
        <f>IFERROR(__xludf.DUMMYFUNCTION("""COMPUTED_VALUE"""),"professional electrical services")</f>
        <v>professional electrical services</v>
      </c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27" t="str">
        <f>IFERROR(__xludf.DUMMYFUNCTION("""COMPUTED_VALUE"""),"electrical services same day")</f>
        <v>electrical services same day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27" t="str">
        <f>IFERROR(__xludf.DUMMYFUNCTION("""COMPUTED_VALUE"""),"professional electrician cape town")</f>
        <v>professional electrician cape town</v>
      </c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27" t="str">
        <f>IFERROR(__xludf.DUMMYFUNCTION("""COMPUTED_VALUE"""),"electrician cape town")</f>
        <v>electrician cape town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27" t="str">
        <f>IFERROR(__xludf.DUMMYFUNCTION("""COMPUTED_VALUE"""),"professional emergency electrician")</f>
        <v>professional emergency electrician</v>
      </c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27" t="str">
        <f>IFERROR(__xludf.DUMMYFUNCTION("""COMPUTED_VALUE"""),"electrician cape town affordable")</f>
        <v>electrician cape town affordable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27" t="str">
        <f>IFERROR(__xludf.DUMMYFUNCTION("""COMPUTED_VALUE"""),"professional residential electrician")</f>
        <v>professional residential electrician</v>
      </c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27" t="str">
        <f>IFERROR(__xludf.DUMMYFUNCTION("""COMPUTED_VALUE"""),"electrician cape town call out")</f>
        <v>electrician cape town call out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27" t="str">
        <f>IFERROR(__xludf.DUMMYFUNCTION("""COMPUTED_VALUE"""),"qualified commercial electrician")</f>
        <v>qualified commercial electrician</v>
      </c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27" t="str">
        <f>IFERROR(__xludf.DUMMYFUNCTION("""COMPUTED_VALUE"""),"electrician cape town COC")</f>
        <v>electrician cape town COC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27" t="str">
        <f>IFERROR(__xludf.DUMMYFUNCTION("""COMPUTED_VALUE"""),"qualified electrical compliance certificate")</f>
        <v>qualified electrical compliance certificate</v>
      </c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27" t="str">
        <f>IFERROR(__xludf.DUMMYFUNCTION("""COMPUTED_VALUE"""),"electrician cape town company")</f>
        <v>electrician cape town company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27" t="str">
        <f>IFERROR(__xludf.DUMMYFUNCTION("""COMPUTED_VALUE"""),"qualified electrical contractor")</f>
        <v>qualified electrical contractor</v>
      </c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27" t="str">
        <f>IFERROR(__xludf.DUMMYFUNCTION("""COMPUTED_VALUE"""),"electrician cape town contractor")</f>
        <v>electrician cape town contractor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27" t="str">
        <f>IFERROR(__xludf.DUMMYFUNCTION("""COMPUTED_VALUE"""),"qualified electrical installation")</f>
        <v>qualified electrical installation</v>
      </c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27" t="str">
        <f>IFERROR(__xludf.DUMMYFUNCTION("""COMPUTED_VALUE"""),"electrician cape town cost")</f>
        <v>electrician cape town cost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27" t="str">
        <f>IFERROR(__xludf.DUMMYFUNCTION("""COMPUTED_VALUE"""),"qualified electrical maintenance")</f>
        <v>qualified electrical maintenance</v>
      </c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27" t="str">
        <f>IFERROR(__xludf.DUMMYFUNCTION("""COMPUTED_VALUE"""),"electrician cape town emergency")</f>
        <v>electrician cape town emergency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27" t="str">
        <f>IFERROR(__xludf.DUMMYFUNCTION("""COMPUTED_VALUE"""),"qualified electrical repairs")</f>
        <v>qualified electrical repairs</v>
      </c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27" t="str">
        <f>IFERROR(__xludf.DUMMYFUNCTION("""COMPUTED_VALUE"""),"electrician cape town inspection")</f>
        <v>electrician cape town inspection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27" t="str">
        <f>IFERROR(__xludf.DUMMYFUNCTION("""COMPUTED_VALUE"""),"qualified electrical services")</f>
        <v>qualified electrical services</v>
      </c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27" t="str">
        <f>IFERROR(__xludf.DUMMYFUNCTION("""COMPUTED_VALUE"""),"electrician cape town installation")</f>
        <v>electrician cape town installation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27" t="str">
        <f>IFERROR(__xludf.DUMMYFUNCTION("""COMPUTED_VALUE"""),"qualified electrician cape town")</f>
        <v>qualified electrician cape town</v>
      </c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27" t="str">
        <f>IFERROR(__xludf.DUMMYFUNCTION("""COMPUTED_VALUE"""),"electrician cape town licensed")</f>
        <v>electrician cape town licensed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27" t="str">
        <f>IFERROR(__xludf.DUMMYFUNCTION("""COMPUTED_VALUE"""),"qualified emergency electrician")</f>
        <v>qualified emergency electrician</v>
      </c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27" t="str">
        <f>IFERROR(__xludf.DUMMYFUNCTION("""COMPUTED_VALUE"""),"electrician cape town local")</f>
        <v>electrician cape town local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27" t="str">
        <f>IFERROR(__xludf.DUMMYFUNCTION("""COMPUTED_VALUE"""),"qualified residential electrician")</f>
        <v>qualified residential electrician</v>
      </c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27" t="str">
        <f>IFERROR(__xludf.DUMMYFUNCTION("""COMPUTED_VALUE"""),"electrician cape town near me")</f>
        <v>electrician cape town near me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27" t="str">
        <f>IFERROR(__xludf.DUMMYFUNCTION("""COMPUTED_VALUE"""),"quote commercial electrician")</f>
        <v>quote commercial electrician</v>
      </c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27" t="str">
        <f>IFERROR(__xludf.DUMMYFUNCTION("""COMPUTED_VALUE"""),"electrician cape town professional")</f>
        <v>electrician cape town professional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27" t="str">
        <f>IFERROR(__xludf.DUMMYFUNCTION("""COMPUTED_VALUE"""),"quote electrical compliance certificate")</f>
        <v>quote electrical compliance certificate</v>
      </c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27" t="str">
        <f>IFERROR(__xludf.DUMMYFUNCTION("""COMPUTED_VALUE"""),"electrician cape town qualified")</f>
        <v>electrician cape town qualified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27" t="str">
        <f>IFERROR(__xludf.DUMMYFUNCTION("""COMPUTED_VALUE"""),"quote electrical contractor")</f>
        <v>quote electrical contractor</v>
      </c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27" t="str">
        <f>IFERROR(__xludf.DUMMYFUNCTION("""COMPUTED_VALUE"""),"electrician cape town quote")</f>
        <v>electrician cape town quote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27" t="str">
        <f>IFERROR(__xludf.DUMMYFUNCTION("""COMPUTED_VALUE"""),"quote electrical installation")</f>
        <v>quote electrical installation</v>
      </c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27" t="str">
        <f>IFERROR(__xludf.DUMMYFUNCTION("""COMPUTED_VALUE"""),"electrician cape town reliable")</f>
        <v>electrician cape town reliable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27" t="str">
        <f>IFERROR(__xludf.DUMMYFUNCTION("""COMPUTED_VALUE"""),"quote electrical maintenance")</f>
        <v>quote electrical maintenance</v>
      </c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27" t="str">
        <f>IFERROR(__xludf.DUMMYFUNCTION("""COMPUTED_VALUE"""),"electrician cape town repair")</f>
        <v>electrician cape town repair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27" t="str">
        <f>IFERROR(__xludf.DUMMYFUNCTION("""COMPUTED_VALUE"""),"quote electrical repairs")</f>
        <v>quote electrical repairs</v>
      </c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27" t="str">
        <f>IFERROR(__xludf.DUMMYFUNCTION("""COMPUTED_VALUE"""),"electrician cape town same day")</f>
        <v>electrician cape town same day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27" t="str">
        <f>IFERROR(__xludf.DUMMYFUNCTION("""COMPUTED_VALUE"""),"quote electrical services")</f>
        <v>quote electrical services</v>
      </c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27" t="str">
        <f>IFERROR(__xludf.DUMMYFUNCTION("""COMPUTED_VALUE"""),"electrician cape town service")</f>
        <v>electrician cape town service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27" t="str">
        <f>IFERROR(__xludf.DUMMYFUNCTION("""COMPUTED_VALUE"""),"quote electrician cape town")</f>
        <v>quote electrician cape town</v>
      </c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27" t="str">
        <f>IFERROR(__xludf.DUMMYFUNCTION("""COMPUTED_VALUE"""),"emergency electrician")</f>
        <v>emergency electrician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27" t="str">
        <f>IFERROR(__xludf.DUMMYFUNCTION("""COMPUTED_VALUE"""),"quote emergency electrician")</f>
        <v>quote emergency electrician</v>
      </c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27" t="str">
        <f>IFERROR(__xludf.DUMMYFUNCTION("""COMPUTED_VALUE"""),"emergency electrician affordable")</f>
        <v>emergency electrician affordable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27" t="str">
        <f>IFERROR(__xludf.DUMMYFUNCTION("""COMPUTED_VALUE"""),"quote residential electrician")</f>
        <v>quote residential electrician</v>
      </c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27" t="str">
        <f>IFERROR(__xludf.DUMMYFUNCTION("""COMPUTED_VALUE"""),"emergency electrician call out")</f>
        <v>emergency electrician call out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27" t="str">
        <f>IFERROR(__xludf.DUMMYFUNCTION("""COMPUTED_VALUE"""),"reliable commercial electrician")</f>
        <v>reliable commercial electrician</v>
      </c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27" t="str">
        <f>IFERROR(__xludf.DUMMYFUNCTION("""COMPUTED_VALUE"""),"emergency electrician cape town")</f>
        <v>emergency electrician cape town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27" t="str">
        <f>IFERROR(__xludf.DUMMYFUNCTION("""COMPUTED_VALUE"""),"reliable electrical compliance certificate")</f>
        <v>reliable electrical compliance certificate</v>
      </c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27" t="str">
        <f>IFERROR(__xludf.DUMMYFUNCTION("""COMPUTED_VALUE"""),"emergency electrician COC")</f>
        <v>emergency electrician COC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27" t="str">
        <f>IFERROR(__xludf.DUMMYFUNCTION("""COMPUTED_VALUE"""),"reliable electrical contractor")</f>
        <v>reliable electrical contractor</v>
      </c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27" t="str">
        <f>IFERROR(__xludf.DUMMYFUNCTION("""COMPUTED_VALUE"""),"emergency electrician company")</f>
        <v>emergency electrician company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27" t="str">
        <f>IFERROR(__xludf.DUMMYFUNCTION("""COMPUTED_VALUE"""),"reliable electrical installation")</f>
        <v>reliable electrical installation</v>
      </c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27" t="str">
        <f>IFERROR(__xludf.DUMMYFUNCTION("""COMPUTED_VALUE"""),"emergency electrician contractor")</f>
        <v>emergency electrician contractor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27" t="str">
        <f>IFERROR(__xludf.DUMMYFUNCTION("""COMPUTED_VALUE"""),"reliable electrical maintenance")</f>
        <v>reliable electrical maintenance</v>
      </c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27" t="str">
        <f>IFERROR(__xludf.DUMMYFUNCTION("""COMPUTED_VALUE"""),"emergency electrician cost")</f>
        <v>emergency electrician cost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27" t="str">
        <f>IFERROR(__xludf.DUMMYFUNCTION("""COMPUTED_VALUE"""),"reliable electrical repairs")</f>
        <v>reliable electrical repairs</v>
      </c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27" t="str">
        <f>IFERROR(__xludf.DUMMYFUNCTION("""COMPUTED_VALUE"""),"emergency electrician inspection")</f>
        <v>emergency electrician inspection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27" t="str">
        <f>IFERROR(__xludf.DUMMYFUNCTION("""COMPUTED_VALUE"""),"reliable electrical services")</f>
        <v>reliable electrical services</v>
      </c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27" t="str">
        <f>IFERROR(__xludf.DUMMYFUNCTION("""COMPUTED_VALUE"""),"emergency electrician installation")</f>
        <v>emergency electrician installation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27" t="str">
        <f>IFERROR(__xludf.DUMMYFUNCTION("""COMPUTED_VALUE"""),"reliable electrician cape town")</f>
        <v>reliable electrician cape town</v>
      </c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27" t="str">
        <f>IFERROR(__xludf.DUMMYFUNCTION("""COMPUTED_VALUE"""),"emergency electrician licensed")</f>
        <v>emergency electrician licensed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27" t="str">
        <f>IFERROR(__xludf.DUMMYFUNCTION("""COMPUTED_VALUE"""),"reliable emergency electrician")</f>
        <v>reliable emergency electrician</v>
      </c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27" t="str">
        <f>IFERROR(__xludf.DUMMYFUNCTION("""COMPUTED_VALUE"""),"emergency electrician local")</f>
        <v>emergency electrician local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27" t="str">
        <f>IFERROR(__xludf.DUMMYFUNCTION("""COMPUTED_VALUE"""),"reliable residential electrician")</f>
        <v>reliable residential electrician</v>
      </c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27" t="str">
        <f>IFERROR(__xludf.DUMMYFUNCTION("""COMPUTED_VALUE"""),"emergency electrician near me")</f>
        <v>emergency electrician near me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27" t="str">
        <f>IFERROR(__xludf.DUMMYFUNCTION("""COMPUTED_VALUE"""),"repair commercial electrician")</f>
        <v>repair commercial electrician</v>
      </c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27" t="str">
        <f>IFERROR(__xludf.DUMMYFUNCTION("""COMPUTED_VALUE"""),"emergency electrician professional")</f>
        <v>emergency electrician professional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27" t="str">
        <f>IFERROR(__xludf.DUMMYFUNCTION("""COMPUTED_VALUE"""),"repair electrical compliance certificate")</f>
        <v>repair electrical compliance certificate</v>
      </c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27" t="str">
        <f>IFERROR(__xludf.DUMMYFUNCTION("""COMPUTED_VALUE"""),"emergency electrician qualified")</f>
        <v>emergency electrician qualified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27" t="str">
        <f>IFERROR(__xludf.DUMMYFUNCTION("""COMPUTED_VALUE"""),"repair electrical contractor")</f>
        <v>repair electrical contractor</v>
      </c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27" t="str">
        <f>IFERROR(__xludf.DUMMYFUNCTION("""COMPUTED_VALUE"""),"emergency electrician quote")</f>
        <v>emergency electrician quote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27" t="str">
        <f>IFERROR(__xludf.DUMMYFUNCTION("""COMPUTED_VALUE"""),"repair electrical installation")</f>
        <v>repair electrical installation</v>
      </c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27" t="str">
        <f>IFERROR(__xludf.DUMMYFUNCTION("""COMPUTED_VALUE"""),"emergency electrician reliable")</f>
        <v>emergency electrician reliable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27" t="str">
        <f>IFERROR(__xludf.DUMMYFUNCTION("""COMPUTED_VALUE"""),"repair electrical maintenance")</f>
        <v>repair electrical maintenance</v>
      </c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27" t="str">
        <f>IFERROR(__xludf.DUMMYFUNCTION("""COMPUTED_VALUE"""),"emergency electrician repair")</f>
        <v>emergency electrician repair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27" t="str">
        <f>IFERROR(__xludf.DUMMYFUNCTION("""COMPUTED_VALUE"""),"repair electrical services")</f>
        <v>repair electrical services</v>
      </c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27" t="str">
        <f>IFERROR(__xludf.DUMMYFUNCTION("""COMPUTED_VALUE"""),"emergency electrician same day")</f>
        <v>emergency electrician same day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27" t="str">
        <f>IFERROR(__xludf.DUMMYFUNCTION("""COMPUTED_VALUE"""),"repair electrician cape town")</f>
        <v>repair electrician cape town</v>
      </c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27" t="str">
        <f>IFERROR(__xludf.DUMMYFUNCTION("""COMPUTED_VALUE"""),"emergency electrician service")</f>
        <v>emergency electrician service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27" t="str">
        <f>IFERROR(__xludf.DUMMYFUNCTION("""COMPUTED_VALUE"""),"repair emergency electrician")</f>
        <v>repair emergency electrician</v>
      </c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27" t="str">
        <f>IFERROR(__xludf.DUMMYFUNCTION("""COMPUTED_VALUE"""),"residential electrician affordable")</f>
        <v>residential electrician affordable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27" t="str">
        <f>IFERROR(__xludf.DUMMYFUNCTION("""COMPUTED_VALUE"""),"repair residential electrician")</f>
        <v>repair residential electrician</v>
      </c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27" t="str">
        <f>IFERROR(__xludf.DUMMYFUNCTION("""COMPUTED_VALUE"""),"residential electrician call out")</f>
        <v>residential electrician call out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27" t="str">
        <f>IFERROR(__xludf.DUMMYFUNCTION("""COMPUTED_VALUE"""),"same day commercial electrician")</f>
        <v>same day commercial electrician</v>
      </c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27" t="str">
        <f>IFERROR(__xludf.DUMMYFUNCTION("""COMPUTED_VALUE"""),"residential electrician cape town")</f>
        <v>residential electrician cape town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27" t="str">
        <f>IFERROR(__xludf.DUMMYFUNCTION("""COMPUTED_VALUE"""),"same day electrical compliance certificate")</f>
        <v>same day electrical compliance certificate</v>
      </c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27" t="str">
        <f>IFERROR(__xludf.DUMMYFUNCTION("""COMPUTED_VALUE"""),"residential electrician COC")</f>
        <v>residential electrician COC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27" t="str">
        <f>IFERROR(__xludf.DUMMYFUNCTION("""COMPUTED_VALUE"""),"same day electrical contractor")</f>
        <v>same day electrical contractor</v>
      </c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27" t="str">
        <f>IFERROR(__xludf.DUMMYFUNCTION("""COMPUTED_VALUE"""),"residential electrician company")</f>
        <v>residential electrician company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27" t="str">
        <f>IFERROR(__xludf.DUMMYFUNCTION("""COMPUTED_VALUE"""),"same day electrical installation")</f>
        <v>same day electrical installation</v>
      </c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27" t="str">
        <f>IFERROR(__xludf.DUMMYFUNCTION("""COMPUTED_VALUE"""),"residential electrician contractor")</f>
        <v>residential electrician contractor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27" t="str">
        <f>IFERROR(__xludf.DUMMYFUNCTION("""COMPUTED_VALUE"""),"same day electrical maintenance")</f>
        <v>same day electrical maintenance</v>
      </c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27" t="str">
        <f>IFERROR(__xludf.DUMMYFUNCTION("""COMPUTED_VALUE"""),"residential electrician cost")</f>
        <v>residential electrician cost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27" t="str">
        <f>IFERROR(__xludf.DUMMYFUNCTION("""COMPUTED_VALUE"""),"same day electrical repairs")</f>
        <v>same day electrical repairs</v>
      </c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27" t="str">
        <f>IFERROR(__xludf.DUMMYFUNCTION("""COMPUTED_VALUE"""),"residential electrician emergency")</f>
        <v>residential electrician emergency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27" t="str">
        <f>IFERROR(__xludf.DUMMYFUNCTION("""COMPUTED_VALUE"""),"same day electrical services")</f>
        <v>same day electrical services</v>
      </c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27" t="str">
        <f>IFERROR(__xludf.DUMMYFUNCTION("""COMPUTED_VALUE"""),"residential electrician inspection")</f>
        <v>residential electrician inspection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27" t="str">
        <f>IFERROR(__xludf.DUMMYFUNCTION("""COMPUTED_VALUE"""),"same day electrician cape town")</f>
        <v>same day electrician cape town</v>
      </c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27" t="str">
        <f>IFERROR(__xludf.DUMMYFUNCTION("""COMPUTED_VALUE"""),"residential electrician installation")</f>
        <v>residential electrician installation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27" t="str">
        <f>IFERROR(__xludf.DUMMYFUNCTION("""COMPUTED_VALUE"""),"same day emergency electrician")</f>
        <v>same day emergency electrician</v>
      </c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27" t="str">
        <f>IFERROR(__xludf.DUMMYFUNCTION("""COMPUTED_VALUE"""),"residential electrician licensed")</f>
        <v>residential electrician licensed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27" t="str">
        <f>IFERROR(__xludf.DUMMYFUNCTION("""COMPUTED_VALUE"""),"same day residential electrician")</f>
        <v>same day residential electrician</v>
      </c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27" t="str">
        <f>IFERROR(__xludf.DUMMYFUNCTION("""COMPUTED_VALUE"""),"residential electrician local")</f>
        <v>residential electrician local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27" t="str">
        <f>IFERROR(__xludf.DUMMYFUNCTION("""COMPUTED_VALUE"""),"service commercial electrician")</f>
        <v>service commercial electrician</v>
      </c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27" t="str">
        <f>IFERROR(__xludf.DUMMYFUNCTION("""COMPUTED_VALUE"""),"residential electrician near me")</f>
        <v>residential electrician near me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27" t="str">
        <f>IFERROR(__xludf.DUMMYFUNCTION("""COMPUTED_VALUE"""),"service electrical compliance certificate")</f>
        <v>service electrical compliance certificate</v>
      </c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27" t="str">
        <f>IFERROR(__xludf.DUMMYFUNCTION("""COMPUTED_VALUE"""),"residential electrician professional")</f>
        <v>residential electrician professional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27" t="str">
        <f>IFERROR(__xludf.DUMMYFUNCTION("""COMPUTED_VALUE"""),"service electrical contractor")</f>
        <v>service electrical contractor</v>
      </c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27" t="str">
        <f>IFERROR(__xludf.DUMMYFUNCTION("""COMPUTED_VALUE"""),"residential electrician qualified")</f>
        <v>residential electrician qualified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27" t="str">
        <f>IFERROR(__xludf.DUMMYFUNCTION("""COMPUTED_VALUE"""),"service electrical installation")</f>
        <v>service electrical installation</v>
      </c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27" t="str">
        <f>IFERROR(__xludf.DUMMYFUNCTION("""COMPUTED_VALUE"""),"residential electrician quote")</f>
        <v>residential electrician quote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27" t="str">
        <f>IFERROR(__xludf.DUMMYFUNCTION("""COMPUTED_VALUE"""),"service electrical maintenance")</f>
        <v>service electrical maintenance</v>
      </c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27" t="str">
        <f>IFERROR(__xludf.DUMMYFUNCTION("""COMPUTED_VALUE"""),"residential electrician reliable")</f>
        <v>residential electrician reliable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27" t="str">
        <f>IFERROR(__xludf.DUMMYFUNCTION("""COMPUTED_VALUE"""),"service electrical repairs")</f>
        <v>service electrical repairs</v>
      </c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27" t="str">
        <f>IFERROR(__xludf.DUMMYFUNCTION("""COMPUTED_VALUE"""),"residential electrician repair")</f>
        <v>residential electrician repair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27" t="str">
        <f>IFERROR(__xludf.DUMMYFUNCTION("""COMPUTED_VALUE"""),"service electrician cape town")</f>
        <v>service electrician cape town</v>
      </c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27" t="str">
        <f>IFERROR(__xludf.DUMMYFUNCTION("""COMPUTED_VALUE"""),"residential electrician same day")</f>
        <v>residential electrician same day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27" t="str">
        <f>IFERROR(__xludf.DUMMYFUNCTION("""COMPUTED_VALUE"""),"service emergency electrician")</f>
        <v>service emergency electrician</v>
      </c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27" t="str">
        <f>IFERROR(__xludf.DUMMYFUNCTION("""COMPUTED_VALUE"""),"residential electrician service")</f>
        <v>residential electrician service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27" t="str">
        <f>IFERROR(__xludf.DUMMYFUNCTION("""COMPUTED_VALUE"""),"service residential electrician")</f>
        <v>service residential electrician</v>
      </c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</row>
    <row r="2">
      <c r="A2" s="2">
        <v>1.0</v>
      </c>
      <c r="B2" s="2" t="s">
        <v>1</v>
      </c>
      <c r="C2" s="2" t="s">
        <v>23</v>
      </c>
      <c r="D2" s="2">
        <v>0.0</v>
      </c>
      <c r="E2" s="2">
        <v>300.0</v>
      </c>
      <c r="F2" s="2">
        <v>0.7</v>
      </c>
      <c r="G2" s="2">
        <v>0.81</v>
      </c>
      <c r="H2" s="2" t="s">
        <v>1</v>
      </c>
      <c r="I2" s="4">
        <v>46235.62559027778</v>
      </c>
      <c r="J2" s="2" t="s">
        <v>34</v>
      </c>
      <c r="K2" s="2">
        <v>300.0</v>
      </c>
      <c r="L2" s="2">
        <v>250.0</v>
      </c>
      <c r="M2" s="2">
        <v>250.0</v>
      </c>
      <c r="N2" s="6">
        <v>42252.0</v>
      </c>
      <c r="O2" s="2" t="s">
        <v>40</v>
      </c>
      <c r="P2" s="2" t="s">
        <v>36</v>
      </c>
      <c r="Q2" s="2" t="s">
        <v>42</v>
      </c>
      <c r="R2" s="2" t="s">
        <v>43</v>
      </c>
      <c r="S2" s="2" t="s">
        <v>44</v>
      </c>
    </row>
    <row r="3">
      <c r="A3" s="2">
        <v>2.0</v>
      </c>
      <c r="B3" s="2" t="s">
        <v>29</v>
      </c>
      <c r="C3" s="2" t="s">
        <v>23</v>
      </c>
      <c r="D3" s="2">
        <v>1.0</v>
      </c>
      <c r="E3" s="2">
        <v>250.0</v>
      </c>
      <c r="F3" s="2">
        <v>0.1</v>
      </c>
      <c r="G3" s="2">
        <v>0.35</v>
      </c>
      <c r="H3" s="2" t="s">
        <v>29</v>
      </c>
      <c r="I3" s="4">
        <v>46219.86791666667</v>
      </c>
      <c r="J3" s="2" t="s">
        <v>47</v>
      </c>
      <c r="K3" s="2">
        <v>18000.0</v>
      </c>
      <c r="L3" s="2">
        <v>60.0</v>
      </c>
      <c r="M3" s="2">
        <v>60.0</v>
      </c>
      <c r="N3" s="6">
        <v>42255.0</v>
      </c>
      <c r="O3" s="2" t="s">
        <v>49</v>
      </c>
      <c r="P3" s="2" t="s">
        <v>36</v>
      </c>
      <c r="Q3" s="2" t="s">
        <v>50</v>
      </c>
      <c r="R3" s="2" t="s">
        <v>51</v>
      </c>
      <c r="S3" s="2" t="s">
        <v>52</v>
      </c>
    </row>
    <row r="4">
      <c r="A4" s="2">
        <v>3.0</v>
      </c>
      <c r="B4" s="2" t="s">
        <v>20</v>
      </c>
      <c r="C4" s="2" t="s">
        <v>23</v>
      </c>
      <c r="D4" s="2">
        <v>38.0</v>
      </c>
      <c r="E4" s="2">
        <v>200.0</v>
      </c>
      <c r="F4" s="2">
        <v>0.6</v>
      </c>
      <c r="G4" s="2">
        <v>0.71</v>
      </c>
      <c r="H4" s="2" t="s">
        <v>20</v>
      </c>
      <c r="I4" s="4">
        <v>46228.84972222222</v>
      </c>
      <c r="J4" s="2" t="s">
        <v>34</v>
      </c>
      <c r="K4" s="2">
        <v>30000.0</v>
      </c>
      <c r="L4" s="2">
        <v>70.0</v>
      </c>
      <c r="M4" s="2">
        <v>70.0</v>
      </c>
      <c r="N4" s="6">
        <v>42257.0</v>
      </c>
      <c r="O4" s="2" t="s">
        <v>40</v>
      </c>
      <c r="P4" s="2" t="s">
        <v>36</v>
      </c>
      <c r="Q4" s="2" t="s">
        <v>56</v>
      </c>
      <c r="R4" s="2" t="s">
        <v>58</v>
      </c>
      <c r="S4" s="2" t="s">
        <v>59</v>
      </c>
    </row>
    <row r="5">
      <c r="A5" s="2">
        <v>4.0</v>
      </c>
      <c r="B5" s="2" t="s">
        <v>24</v>
      </c>
      <c r="C5" s="2" t="s">
        <v>23</v>
      </c>
      <c r="D5" s="2">
        <v>0.0</v>
      </c>
      <c r="E5" s="2">
        <v>150.0</v>
      </c>
      <c r="F5" s="2">
        <v>1.2</v>
      </c>
      <c r="G5" s="2">
        <v>0.72</v>
      </c>
      <c r="H5" s="2" t="s">
        <v>61</v>
      </c>
      <c r="I5" s="4">
        <v>46221.64528935185</v>
      </c>
      <c r="J5" s="2" t="s">
        <v>63</v>
      </c>
      <c r="K5" s="2">
        <v>38000.0</v>
      </c>
      <c r="L5" s="2">
        <v>150.0</v>
      </c>
      <c r="M5" s="2">
        <v>150.0</v>
      </c>
      <c r="N5" s="6">
        <v>42272.0</v>
      </c>
      <c r="O5" s="2" t="s">
        <v>40</v>
      </c>
      <c r="P5" s="2" t="s">
        <v>36</v>
      </c>
      <c r="Q5" s="2" t="s">
        <v>67</v>
      </c>
      <c r="R5" s="2" t="s">
        <v>68</v>
      </c>
      <c r="S5" s="2" t="s">
        <v>69</v>
      </c>
    </row>
    <row r="6">
      <c r="A6" s="2">
        <v>5.0</v>
      </c>
      <c r="B6" s="2" t="s">
        <v>70</v>
      </c>
      <c r="C6" s="2" t="s">
        <v>23</v>
      </c>
      <c r="D6" s="2">
        <v>2.0</v>
      </c>
      <c r="E6" s="2">
        <v>150.0</v>
      </c>
      <c r="F6" s="2">
        <v>0.5</v>
      </c>
      <c r="H6" s="2" t="s">
        <v>72</v>
      </c>
      <c r="I6" s="4">
        <v>46214.633518518516</v>
      </c>
      <c r="J6" s="2" t="s">
        <v>34</v>
      </c>
      <c r="K6" s="2">
        <v>7300.0</v>
      </c>
      <c r="L6" s="2">
        <v>350.0</v>
      </c>
      <c r="M6" s="2">
        <v>350.0</v>
      </c>
      <c r="N6" s="6">
        <v>43046.0</v>
      </c>
      <c r="O6" s="2" t="s">
        <v>75</v>
      </c>
      <c r="P6" s="2" t="s">
        <v>36</v>
      </c>
      <c r="Q6" s="2" t="s">
        <v>77</v>
      </c>
      <c r="S6" s="2" t="s">
        <v>44</v>
      </c>
    </row>
    <row r="7">
      <c r="A7" s="2">
        <v>6.0</v>
      </c>
      <c r="B7" s="2" t="s">
        <v>79</v>
      </c>
      <c r="C7" s="2" t="s">
        <v>23</v>
      </c>
      <c r="D7" s="2">
        <v>1.0</v>
      </c>
      <c r="E7" s="2">
        <v>150.0</v>
      </c>
      <c r="F7" s="2">
        <v>1.7</v>
      </c>
      <c r="H7" s="2" t="s">
        <v>61</v>
      </c>
      <c r="I7" s="4">
        <v>46208.12724537037</v>
      </c>
      <c r="J7" s="2" t="s">
        <v>34</v>
      </c>
      <c r="K7" s="2">
        <v>23000.0</v>
      </c>
      <c r="L7" s="2">
        <v>10.0</v>
      </c>
      <c r="M7" s="2">
        <v>10.0</v>
      </c>
      <c r="N7" s="6">
        <v>42933.0</v>
      </c>
      <c r="O7" s="2" t="s">
        <v>75</v>
      </c>
      <c r="P7" s="2" t="s">
        <v>36</v>
      </c>
      <c r="Q7" s="2" t="s">
        <v>84</v>
      </c>
      <c r="S7" s="2" t="s">
        <v>44</v>
      </c>
    </row>
    <row r="8">
      <c r="A8" s="2">
        <v>7.0</v>
      </c>
      <c r="B8" s="2" t="s">
        <v>21</v>
      </c>
      <c r="C8" s="2" t="s">
        <v>23</v>
      </c>
      <c r="D8" s="2">
        <v>1.0</v>
      </c>
      <c r="E8" s="2">
        <v>100.0</v>
      </c>
      <c r="F8" s="2">
        <v>0.5</v>
      </c>
      <c r="G8" s="2">
        <v>0.69</v>
      </c>
      <c r="H8" s="2" t="s">
        <v>88</v>
      </c>
      <c r="I8" s="4">
        <v>46227.11225694444</v>
      </c>
      <c r="J8" s="2" t="s">
        <v>34</v>
      </c>
      <c r="K8" s="2">
        <v>9000.0</v>
      </c>
      <c r="L8" s="2">
        <v>100.0</v>
      </c>
      <c r="M8" s="2">
        <v>100.0</v>
      </c>
      <c r="N8" s="6">
        <v>42258.0</v>
      </c>
      <c r="O8" s="2" t="s">
        <v>91</v>
      </c>
      <c r="P8" s="2" t="s">
        <v>36</v>
      </c>
      <c r="Q8" s="2" t="s">
        <v>93</v>
      </c>
      <c r="S8" s="2" t="s">
        <v>59</v>
      </c>
    </row>
    <row r="9">
      <c r="A9" s="2">
        <v>8.0</v>
      </c>
      <c r="B9" s="2" t="s">
        <v>96</v>
      </c>
      <c r="C9" s="2" t="s">
        <v>23</v>
      </c>
      <c r="D9" s="2">
        <v>0.0</v>
      </c>
      <c r="E9" s="2">
        <v>90.0</v>
      </c>
      <c r="F9" s="2">
        <v>0.25</v>
      </c>
      <c r="G9" s="2">
        <v>1.45</v>
      </c>
      <c r="H9" s="2" t="s">
        <v>96</v>
      </c>
      <c r="I9" s="4">
        <v>46237.26980324074</v>
      </c>
      <c r="J9" s="2" t="s">
        <v>99</v>
      </c>
      <c r="K9" s="2">
        <v>100.0</v>
      </c>
      <c r="L9" s="2">
        <v>40.0</v>
      </c>
      <c r="M9" s="2">
        <v>40.0</v>
      </c>
      <c r="N9" s="6">
        <v>42325.0</v>
      </c>
      <c r="O9" s="2" t="s">
        <v>102</v>
      </c>
      <c r="P9" s="2" t="s">
        <v>36</v>
      </c>
      <c r="Q9" s="2" t="s">
        <v>106</v>
      </c>
      <c r="S9" s="2" t="s">
        <v>107</v>
      </c>
    </row>
    <row r="10">
      <c r="A10" s="2">
        <v>9.0</v>
      </c>
      <c r="B10" s="2" t="s">
        <v>108</v>
      </c>
      <c r="C10" s="2" t="s">
        <v>23</v>
      </c>
      <c r="D10" s="2">
        <v>3.0</v>
      </c>
      <c r="E10" s="2">
        <v>70.0</v>
      </c>
      <c r="F10" s="2">
        <v>0.4</v>
      </c>
      <c r="H10" s="2" t="s">
        <v>112</v>
      </c>
      <c r="I10" s="4">
        <v>46226.39050925926</v>
      </c>
      <c r="J10" s="2" t="s">
        <v>113</v>
      </c>
      <c r="K10" s="2">
        <v>13000.0</v>
      </c>
      <c r="L10" s="2">
        <v>20.0</v>
      </c>
      <c r="M10" s="2">
        <v>20.0</v>
      </c>
      <c r="N10" s="6">
        <v>43447.0</v>
      </c>
      <c r="O10" s="2" t="s">
        <v>40</v>
      </c>
      <c r="P10" s="2" t="s">
        <v>36</v>
      </c>
      <c r="Q10" s="2" t="s">
        <v>117</v>
      </c>
      <c r="S10" s="2" t="s">
        <v>44</v>
      </c>
    </row>
    <row r="11">
      <c r="A11" s="2">
        <v>10.0</v>
      </c>
      <c r="B11" s="2" t="s">
        <v>27</v>
      </c>
      <c r="C11" s="2" t="s">
        <v>23</v>
      </c>
      <c r="D11" s="2">
        <v>39.0</v>
      </c>
      <c r="E11" s="2">
        <v>70.0</v>
      </c>
      <c r="F11" s="2">
        <v>0.15</v>
      </c>
      <c r="G11" s="2">
        <v>0.67</v>
      </c>
      <c r="H11" s="2" t="s">
        <v>123</v>
      </c>
      <c r="I11" s="4">
        <v>46229.03763888889</v>
      </c>
      <c r="J11" s="2" t="s">
        <v>34</v>
      </c>
      <c r="K11" s="2">
        <v>18000.0</v>
      </c>
      <c r="L11" s="2">
        <v>450.0</v>
      </c>
      <c r="M11" s="2">
        <v>450.0</v>
      </c>
      <c r="N11" s="6">
        <v>42332.0</v>
      </c>
      <c r="O11" s="2" t="s">
        <v>40</v>
      </c>
      <c r="P11" s="2" t="s">
        <v>36</v>
      </c>
      <c r="Q11" s="2" t="s">
        <v>128</v>
      </c>
      <c r="R11" s="2" t="s">
        <v>130</v>
      </c>
      <c r="S11" s="2" t="s">
        <v>132</v>
      </c>
    </row>
    <row r="12">
      <c r="A12" s="2">
        <v>11.0</v>
      </c>
      <c r="B12" s="2" t="s">
        <v>135</v>
      </c>
      <c r="C12" s="2" t="s">
        <v>23</v>
      </c>
      <c r="E12" s="2">
        <v>60.0</v>
      </c>
      <c r="I12" s="4"/>
      <c r="K12" s="2">
        <v>60.0</v>
      </c>
      <c r="N12" s="6">
        <v>42373.0</v>
      </c>
      <c r="Q12" s="2" t="s">
        <v>138</v>
      </c>
    </row>
    <row r="13">
      <c r="A13" s="2">
        <v>12.0</v>
      </c>
      <c r="B13" s="2" t="s">
        <v>140</v>
      </c>
      <c r="C13" s="2" t="s">
        <v>23</v>
      </c>
      <c r="E13" s="2">
        <v>60.0</v>
      </c>
      <c r="F13" s="2">
        <v>0.3</v>
      </c>
      <c r="I13" s="4"/>
      <c r="K13" s="2">
        <v>13000.0</v>
      </c>
      <c r="N13" s="6">
        <v>43851.0</v>
      </c>
      <c r="Q13" s="2" t="s">
        <v>144</v>
      </c>
    </row>
    <row r="14">
      <c r="A14" s="2">
        <v>13.0</v>
      </c>
      <c r="B14" s="2" t="s">
        <v>147</v>
      </c>
      <c r="C14" s="2" t="s">
        <v>23</v>
      </c>
      <c r="E14" s="2">
        <v>60.0</v>
      </c>
      <c r="I14" s="4"/>
      <c r="K14" s="2">
        <v>70.0</v>
      </c>
      <c r="N14" s="6">
        <v>43713.0</v>
      </c>
      <c r="Q14" s="2" t="s">
        <v>149</v>
      </c>
    </row>
    <row r="15">
      <c r="A15" s="2">
        <v>14.0</v>
      </c>
      <c r="B15" s="2" t="s">
        <v>150</v>
      </c>
      <c r="C15" s="2" t="s">
        <v>23</v>
      </c>
      <c r="E15" s="2">
        <v>40.0</v>
      </c>
      <c r="F15" s="2">
        <v>0.35</v>
      </c>
      <c r="I15" s="4"/>
      <c r="K15" s="2">
        <v>50.0</v>
      </c>
      <c r="N15" s="6">
        <v>42583.0</v>
      </c>
      <c r="O15" s="2" t="s">
        <v>40</v>
      </c>
      <c r="P15" s="2" t="s">
        <v>36</v>
      </c>
      <c r="Q15" s="2" t="s">
        <v>152</v>
      </c>
      <c r="S15" s="2" t="s">
        <v>153</v>
      </c>
    </row>
    <row r="16">
      <c r="A16" s="2">
        <v>15.0</v>
      </c>
      <c r="B16" s="2" t="s">
        <v>155</v>
      </c>
      <c r="C16" s="2" t="s">
        <v>23</v>
      </c>
      <c r="E16" s="2">
        <v>20.0</v>
      </c>
      <c r="I16" s="4"/>
      <c r="K16" s="2">
        <v>20.0</v>
      </c>
      <c r="N16" s="6">
        <v>42411.0</v>
      </c>
      <c r="O16" s="2" t="s">
        <v>91</v>
      </c>
      <c r="P16" s="2" t="s">
        <v>36</v>
      </c>
      <c r="Q16" s="2" t="s">
        <v>158</v>
      </c>
      <c r="S16" s="2" t="s">
        <v>159</v>
      </c>
    </row>
    <row r="17">
      <c r="A17" s="2">
        <v>16.0</v>
      </c>
      <c r="B17" s="2" t="s">
        <v>161</v>
      </c>
      <c r="C17" s="2" t="s">
        <v>23</v>
      </c>
      <c r="E17" s="2">
        <v>20.0</v>
      </c>
      <c r="F17" s="2">
        <v>0.2</v>
      </c>
      <c r="K17" s="2">
        <v>4000.0</v>
      </c>
      <c r="N17" s="6">
        <v>42759.0</v>
      </c>
      <c r="O17" s="2" t="s">
        <v>102</v>
      </c>
      <c r="P17" s="2" t="s">
        <v>36</v>
      </c>
      <c r="Q17" s="2" t="s">
        <v>165</v>
      </c>
      <c r="S17" s="2" t="s">
        <v>59</v>
      </c>
    </row>
    <row r="18">
      <c r="A18" s="2">
        <v>17.0</v>
      </c>
      <c r="B18" s="2" t="s">
        <v>167</v>
      </c>
      <c r="C18" s="2" t="s">
        <v>23</v>
      </c>
      <c r="D18" s="2">
        <v>1.0</v>
      </c>
      <c r="E18" s="2">
        <v>20.0</v>
      </c>
      <c r="F18" s="2">
        <v>0.45</v>
      </c>
      <c r="H18" s="2" t="s">
        <v>171</v>
      </c>
      <c r="I18" s="4">
        <v>46233.345300925925</v>
      </c>
      <c r="J18" s="2" t="s">
        <v>34</v>
      </c>
      <c r="K18" s="2">
        <v>3200.0</v>
      </c>
      <c r="L18" s="2">
        <v>30.0</v>
      </c>
      <c r="M18" s="2">
        <v>30.0</v>
      </c>
      <c r="N18" s="6">
        <v>43843.0</v>
      </c>
      <c r="O18" s="2" t="s">
        <v>40</v>
      </c>
      <c r="P18" s="2" t="s">
        <v>36</v>
      </c>
      <c r="Q18" s="2" t="s">
        <v>174</v>
      </c>
      <c r="S18" s="2" t="s">
        <v>132</v>
      </c>
    </row>
    <row r="19">
      <c r="A19" s="2">
        <v>18.0</v>
      </c>
      <c r="B19" s="2" t="s">
        <v>176</v>
      </c>
      <c r="C19" s="2" t="s">
        <v>23</v>
      </c>
      <c r="E19" s="2">
        <v>10.0</v>
      </c>
      <c r="I19" s="4"/>
      <c r="K19" s="2">
        <v>200.0</v>
      </c>
      <c r="N19" s="6">
        <v>43906.0</v>
      </c>
      <c r="Q19" s="2" t="s">
        <v>180</v>
      </c>
    </row>
    <row r="20">
      <c r="A20" s="2">
        <v>19.0</v>
      </c>
      <c r="B20" s="2" t="s">
        <v>182</v>
      </c>
      <c r="C20" s="2" t="s">
        <v>23</v>
      </c>
      <c r="E20" s="2">
        <v>10.0</v>
      </c>
      <c r="K20" s="2">
        <v>600.0</v>
      </c>
      <c r="N20" s="6">
        <v>43906.0</v>
      </c>
      <c r="Q20" s="2" t="s">
        <v>185</v>
      </c>
    </row>
    <row r="21">
      <c r="A21" s="2">
        <v>20.0</v>
      </c>
      <c r="B21" s="2" t="s">
        <v>188</v>
      </c>
      <c r="C21" s="2" t="s">
        <v>23</v>
      </c>
      <c r="E21" s="2">
        <v>10.0</v>
      </c>
      <c r="K21" s="2">
        <v>500.0</v>
      </c>
      <c r="N21" s="6">
        <v>43522.0</v>
      </c>
      <c r="Q21" s="2" t="s">
        <v>192</v>
      </c>
    </row>
    <row r="22">
      <c r="A22" s="2">
        <v>21.0</v>
      </c>
      <c r="B22" s="2" t="s">
        <v>193</v>
      </c>
      <c r="C22" s="2" t="s">
        <v>23</v>
      </c>
      <c r="E22" s="2">
        <v>10.0</v>
      </c>
      <c r="K22" s="2">
        <v>350.0</v>
      </c>
      <c r="N22" s="6">
        <v>43854.0</v>
      </c>
      <c r="Q22" s="2" t="s">
        <v>196</v>
      </c>
    </row>
    <row r="23">
      <c r="A23" s="2">
        <v>22.0</v>
      </c>
      <c r="B23" s="2" t="s">
        <v>198</v>
      </c>
      <c r="C23" s="2" t="s">
        <v>23</v>
      </c>
      <c r="K23" s="2">
        <v>40.0</v>
      </c>
      <c r="N23" s="6">
        <v>44027.0</v>
      </c>
      <c r="Q23" s="2" t="s">
        <v>200</v>
      </c>
    </row>
    <row r="24">
      <c r="A24" s="2">
        <v>23.0</v>
      </c>
      <c r="B24" s="2" t="s">
        <v>202</v>
      </c>
      <c r="C24" s="2" t="s">
        <v>23</v>
      </c>
      <c r="I24" s="4"/>
      <c r="K24" s="2">
        <v>300.0</v>
      </c>
      <c r="N24" s="6">
        <v>43997.0</v>
      </c>
      <c r="Q24" s="2" t="s">
        <v>205</v>
      </c>
    </row>
    <row r="25">
      <c r="A25" s="2">
        <v>24.0</v>
      </c>
      <c r="B25" s="2" t="s">
        <v>206</v>
      </c>
      <c r="C25" s="2" t="s">
        <v>23</v>
      </c>
      <c r="K25" s="2">
        <v>150.0</v>
      </c>
      <c r="N25" s="6">
        <v>44627.0</v>
      </c>
      <c r="Q25" s="2" t="s">
        <v>208</v>
      </c>
    </row>
    <row r="26">
      <c r="A26" s="2">
        <v>25.0</v>
      </c>
      <c r="B26" s="2" t="s">
        <v>211</v>
      </c>
      <c r="C26" s="2" t="s">
        <v>23</v>
      </c>
      <c r="K26" s="2">
        <v>100.0</v>
      </c>
      <c r="N26" s="6">
        <v>44329.0</v>
      </c>
      <c r="Q26" s="2" t="s">
        <v>215</v>
      </c>
    </row>
    <row r="27">
      <c r="A27" s="2">
        <v>26.0</v>
      </c>
      <c r="B27" s="2" t="s">
        <v>217</v>
      </c>
      <c r="C27" s="2" t="s">
        <v>23</v>
      </c>
      <c r="K27" s="2">
        <v>70.0</v>
      </c>
      <c r="N27" s="6">
        <v>45346.0</v>
      </c>
      <c r="Q27" s="2" t="s">
        <v>220</v>
      </c>
    </row>
    <row r="28">
      <c r="A28" s="2">
        <v>27.0</v>
      </c>
      <c r="B28" s="2" t="s">
        <v>223</v>
      </c>
      <c r="C28" s="2" t="s">
        <v>23</v>
      </c>
      <c r="K28" s="2">
        <v>150.0</v>
      </c>
      <c r="N28" s="6">
        <v>44665.0</v>
      </c>
      <c r="Q28" s="2" t="s">
        <v>225</v>
      </c>
    </row>
    <row r="29">
      <c r="A29" s="2">
        <v>28.0</v>
      </c>
      <c r="B29" s="2" t="s">
        <v>228</v>
      </c>
      <c r="C29" s="2" t="s">
        <v>23</v>
      </c>
      <c r="I29" s="4"/>
      <c r="K29" s="2">
        <v>900.0</v>
      </c>
      <c r="N29" s="6">
        <v>42887.0</v>
      </c>
      <c r="Q29" s="2" t="s">
        <v>230</v>
      </c>
    </row>
    <row r="30">
      <c r="A30" s="2">
        <v>29.0</v>
      </c>
      <c r="B30" s="2" t="s">
        <v>232</v>
      </c>
      <c r="C30" s="2" t="s">
        <v>23</v>
      </c>
      <c r="F30" s="2">
        <v>0.25</v>
      </c>
      <c r="I30" s="4"/>
      <c r="K30" s="2">
        <v>2200.0</v>
      </c>
      <c r="N30" s="6">
        <v>43900.0</v>
      </c>
      <c r="Q30" s="2" t="s">
        <v>234</v>
      </c>
    </row>
    <row r="31">
      <c r="A31" s="2">
        <v>30.0</v>
      </c>
      <c r="B31" s="2" t="s">
        <v>236</v>
      </c>
      <c r="C31" s="2" t="s">
        <v>23</v>
      </c>
      <c r="K31" s="2">
        <v>200.0</v>
      </c>
      <c r="N31" s="6">
        <v>45192.0</v>
      </c>
      <c r="Q31" s="2" t="s">
        <v>238</v>
      </c>
    </row>
    <row r="32">
      <c r="A32" s="2">
        <v>31.0</v>
      </c>
      <c r="B32" s="2" t="s">
        <v>239</v>
      </c>
      <c r="C32" s="2" t="s">
        <v>23</v>
      </c>
      <c r="I32" s="4"/>
      <c r="K32" s="2">
        <v>200.0</v>
      </c>
      <c r="N32" s="6">
        <v>45755.0</v>
      </c>
      <c r="Q32" s="2" t="s">
        <v>241</v>
      </c>
    </row>
    <row r="33">
      <c r="A33" s="2">
        <v>32.0</v>
      </c>
      <c r="B33" s="2" t="s">
        <v>243</v>
      </c>
      <c r="C33" s="2" t="s">
        <v>23</v>
      </c>
      <c r="K33" s="2">
        <v>1400.0</v>
      </c>
      <c r="N33" s="6">
        <v>43923.0</v>
      </c>
      <c r="Q33" s="2" t="s">
        <v>244</v>
      </c>
    </row>
    <row r="34">
      <c r="A34" s="2">
        <v>33.0</v>
      </c>
      <c r="B34" s="2" t="s">
        <v>246</v>
      </c>
      <c r="C34" s="2" t="s">
        <v>23</v>
      </c>
      <c r="K34" s="2">
        <v>60.0</v>
      </c>
      <c r="N34" s="6">
        <v>45551.0</v>
      </c>
      <c r="Q34" s="2" t="s">
        <v>249</v>
      </c>
    </row>
    <row r="35">
      <c r="A35" s="2">
        <v>34.0</v>
      </c>
      <c r="B35" s="2" t="s">
        <v>250</v>
      </c>
      <c r="C35" s="2" t="s">
        <v>23</v>
      </c>
      <c r="K35" s="2">
        <v>30.0</v>
      </c>
      <c r="N35" s="6">
        <v>45706.0</v>
      </c>
      <c r="Q35" s="2" t="s">
        <v>253</v>
      </c>
    </row>
    <row r="36">
      <c r="A36" s="2">
        <v>35.0</v>
      </c>
      <c r="B36" s="2" t="s">
        <v>254</v>
      </c>
      <c r="C36" s="2" t="s">
        <v>23</v>
      </c>
      <c r="K36" s="2">
        <v>350.0</v>
      </c>
      <c r="N36" s="6">
        <v>44621.0</v>
      </c>
      <c r="Q36" s="2" t="s">
        <v>257</v>
      </c>
    </row>
    <row r="37">
      <c r="A37" s="2">
        <v>36.0</v>
      </c>
      <c r="B37" s="2" t="s">
        <v>258</v>
      </c>
      <c r="C37" s="2" t="s">
        <v>23</v>
      </c>
      <c r="I37" s="4"/>
      <c r="N37" s="6">
        <v>42345.0</v>
      </c>
      <c r="Q37" s="2" t="s">
        <v>261</v>
      </c>
    </row>
    <row r="38">
      <c r="A38" s="2">
        <v>37.0</v>
      </c>
      <c r="B38" s="2" t="s">
        <v>264</v>
      </c>
      <c r="C38" s="2" t="s">
        <v>23</v>
      </c>
      <c r="K38" s="2">
        <v>60.0</v>
      </c>
      <c r="N38" s="6">
        <v>43929.0</v>
      </c>
      <c r="Q38" s="2" t="s">
        <v>267</v>
      </c>
    </row>
    <row r="39">
      <c r="A39" s="2">
        <v>38.0</v>
      </c>
      <c r="B39" s="2" t="s">
        <v>269</v>
      </c>
      <c r="C39" s="2" t="s">
        <v>23</v>
      </c>
      <c r="I39" s="4"/>
      <c r="N39" s="6">
        <v>42843.0</v>
      </c>
      <c r="Q39" s="2" t="s">
        <v>272</v>
      </c>
    </row>
    <row r="40">
      <c r="A40" s="2">
        <v>39.0</v>
      </c>
      <c r="B40" s="2" t="s">
        <v>274</v>
      </c>
      <c r="C40" s="2" t="s">
        <v>23</v>
      </c>
      <c r="I40" s="4"/>
      <c r="K40" s="2">
        <v>70.0</v>
      </c>
      <c r="N40" s="6">
        <v>44177.0</v>
      </c>
      <c r="Q40" s="2" t="s">
        <v>86</v>
      </c>
    </row>
    <row r="41">
      <c r="A41" s="2">
        <v>40.0</v>
      </c>
      <c r="B41" s="2" t="s">
        <v>279</v>
      </c>
      <c r="C41" s="2" t="s">
        <v>23</v>
      </c>
      <c r="K41" s="2">
        <v>300.0</v>
      </c>
      <c r="N41" s="6">
        <v>44404.0</v>
      </c>
      <c r="Q41" s="2" t="s">
        <v>282</v>
      </c>
    </row>
    <row r="42">
      <c r="A42" s="2">
        <v>41.0</v>
      </c>
      <c r="B42" s="2" t="s">
        <v>284</v>
      </c>
      <c r="C42" s="2" t="s">
        <v>23</v>
      </c>
      <c r="K42" s="2">
        <v>4400.0</v>
      </c>
      <c r="N42" s="6">
        <v>43867.0</v>
      </c>
      <c r="Q42" s="2" t="s">
        <v>288</v>
      </c>
    </row>
    <row r="43">
      <c r="A43" s="2">
        <v>42.0</v>
      </c>
      <c r="B43" s="2" t="s">
        <v>289</v>
      </c>
      <c r="C43" s="2" t="s">
        <v>23</v>
      </c>
      <c r="K43" s="2">
        <v>400.0</v>
      </c>
      <c r="N43" s="6">
        <v>43924.0</v>
      </c>
      <c r="Q43" s="2" t="s">
        <v>292</v>
      </c>
    </row>
    <row r="44">
      <c r="A44" s="2">
        <v>43.0</v>
      </c>
      <c r="B44" s="2" t="s">
        <v>294</v>
      </c>
      <c r="C44" s="2" t="s">
        <v>23</v>
      </c>
      <c r="K44" s="2">
        <v>10.0</v>
      </c>
      <c r="N44" s="6">
        <v>44823.0</v>
      </c>
      <c r="Q44" s="2" t="s">
        <v>295</v>
      </c>
    </row>
    <row r="45">
      <c r="A45" s="2">
        <v>44.0</v>
      </c>
      <c r="B45" s="2" t="s">
        <v>297</v>
      </c>
      <c r="C45" s="2" t="s">
        <v>23</v>
      </c>
      <c r="K45" s="2">
        <v>100.0</v>
      </c>
      <c r="N45" s="6">
        <v>45226.0</v>
      </c>
      <c r="Q45" s="2" t="s">
        <v>300</v>
      </c>
    </row>
    <row r="46">
      <c r="A46" s="2">
        <v>45.0</v>
      </c>
      <c r="B46" s="2" t="s">
        <v>301</v>
      </c>
      <c r="C46" s="2" t="s">
        <v>23</v>
      </c>
      <c r="I46" s="4"/>
      <c r="K46" s="2">
        <v>40.0</v>
      </c>
      <c r="N46" s="6">
        <v>45060.0</v>
      </c>
      <c r="Q46" s="2" t="s">
        <v>306</v>
      </c>
    </row>
    <row r="47">
      <c r="A47" s="2">
        <v>46.0</v>
      </c>
      <c r="B47" s="2" t="s">
        <v>307</v>
      </c>
      <c r="C47" s="2" t="s">
        <v>23</v>
      </c>
      <c r="F47" s="2">
        <v>0.5</v>
      </c>
      <c r="K47" s="2">
        <v>350.0</v>
      </c>
      <c r="N47" s="6">
        <v>43719.0</v>
      </c>
      <c r="Q47" s="2" t="s">
        <v>310</v>
      </c>
    </row>
    <row r="48">
      <c r="A48" s="2">
        <v>47.0</v>
      </c>
      <c r="B48" s="2" t="s">
        <v>313</v>
      </c>
      <c r="C48" s="2" t="s">
        <v>23</v>
      </c>
      <c r="N48" s="6">
        <v>42911.0</v>
      </c>
      <c r="Q48" s="2" t="s">
        <v>314</v>
      </c>
    </row>
    <row r="49">
      <c r="A49" s="2">
        <v>48.0</v>
      </c>
      <c r="B49" s="2" t="s">
        <v>317</v>
      </c>
      <c r="C49" s="2" t="s">
        <v>23</v>
      </c>
      <c r="K49" s="2">
        <v>400.0</v>
      </c>
      <c r="N49" s="6">
        <v>43969.0</v>
      </c>
      <c r="Q49" s="2" t="s">
        <v>320</v>
      </c>
    </row>
    <row r="50">
      <c r="A50" s="2">
        <v>49.0</v>
      </c>
      <c r="B50" s="2" t="s">
        <v>323</v>
      </c>
      <c r="C50" s="2" t="s">
        <v>23</v>
      </c>
      <c r="K50" s="2">
        <v>400.0</v>
      </c>
      <c r="N50" s="6">
        <v>43922.0</v>
      </c>
      <c r="Q50" s="2" t="s">
        <v>326</v>
      </c>
    </row>
    <row r="51">
      <c r="A51" s="2">
        <v>50.0</v>
      </c>
      <c r="B51" s="2" t="s">
        <v>327</v>
      </c>
      <c r="C51" s="2" t="s">
        <v>23</v>
      </c>
      <c r="K51" s="2">
        <v>150.0</v>
      </c>
      <c r="N51" s="6">
        <v>43872.0</v>
      </c>
      <c r="Q51" s="2" t="s">
        <v>330</v>
      </c>
    </row>
    <row r="52">
      <c r="A52" s="2">
        <v>51.0</v>
      </c>
      <c r="B52" s="2" t="s">
        <v>332</v>
      </c>
      <c r="C52" s="2" t="s">
        <v>23</v>
      </c>
      <c r="K52" s="2">
        <v>200.0</v>
      </c>
      <c r="N52" s="6">
        <v>43942.0</v>
      </c>
      <c r="Q52" s="2" t="s">
        <v>334</v>
      </c>
    </row>
    <row r="53">
      <c r="A53" s="2">
        <v>52.0</v>
      </c>
      <c r="B53" s="2" t="s">
        <v>337</v>
      </c>
      <c r="C53" s="2" t="s">
        <v>23</v>
      </c>
      <c r="N53" s="6">
        <v>42911.0</v>
      </c>
      <c r="Q53" s="2" t="s">
        <v>339</v>
      </c>
    </row>
    <row r="54">
      <c r="A54" s="2">
        <v>53.0</v>
      </c>
      <c r="B54" s="2" t="s">
        <v>340</v>
      </c>
      <c r="C54" s="2" t="s">
        <v>23</v>
      </c>
      <c r="N54" s="6"/>
    </row>
    <row r="55">
      <c r="A55" s="2">
        <v>54.0</v>
      </c>
      <c r="B55" s="2" t="s">
        <v>345</v>
      </c>
      <c r="C55" s="2" t="s">
        <v>23</v>
      </c>
      <c r="N55" s="6"/>
    </row>
    <row r="56">
      <c r="A56" s="2">
        <v>55.0</v>
      </c>
      <c r="B56" s="2" t="s">
        <v>347</v>
      </c>
      <c r="C56" s="2" t="s">
        <v>23</v>
      </c>
      <c r="N56" s="6"/>
    </row>
    <row r="57">
      <c r="A57" s="2">
        <v>56.0</v>
      </c>
      <c r="B57" s="2" t="s">
        <v>351</v>
      </c>
      <c r="C57" s="2" t="s">
        <v>23</v>
      </c>
      <c r="N57" s="6"/>
    </row>
    <row r="58">
      <c r="A58" s="2">
        <v>57.0</v>
      </c>
      <c r="B58" s="2" t="s">
        <v>353</v>
      </c>
      <c r="C58" s="2" t="s">
        <v>23</v>
      </c>
      <c r="N58" s="6"/>
    </row>
    <row r="59">
      <c r="A59" s="2">
        <v>58.0</v>
      </c>
      <c r="B59" s="2" t="s">
        <v>358</v>
      </c>
      <c r="C59" s="2" t="s">
        <v>23</v>
      </c>
      <c r="I59" s="4"/>
      <c r="N59" s="6"/>
    </row>
    <row r="60">
      <c r="A60" s="2">
        <v>59.0</v>
      </c>
      <c r="B60" s="2" t="s">
        <v>363</v>
      </c>
      <c r="C60" s="2" t="s">
        <v>23</v>
      </c>
      <c r="I60" s="4"/>
      <c r="N60" s="6"/>
    </row>
    <row r="61">
      <c r="A61" s="2">
        <v>60.0</v>
      </c>
      <c r="B61" s="2" t="s">
        <v>367</v>
      </c>
      <c r="C61" s="2" t="s">
        <v>23</v>
      </c>
      <c r="N61" s="6"/>
    </row>
    <row r="62">
      <c r="A62" s="2">
        <v>61.0</v>
      </c>
      <c r="B62" s="2" t="s">
        <v>370</v>
      </c>
      <c r="C62" s="2" t="s">
        <v>23</v>
      </c>
      <c r="N62" s="6"/>
    </row>
    <row r="63">
      <c r="A63" s="2">
        <v>62.0</v>
      </c>
      <c r="B63" s="2" t="s">
        <v>373</v>
      </c>
      <c r="C63" s="2" t="s">
        <v>23</v>
      </c>
      <c r="N63" s="6"/>
    </row>
    <row r="64">
      <c r="A64" s="2">
        <v>63.0</v>
      </c>
      <c r="B64" s="2" t="s">
        <v>377</v>
      </c>
      <c r="C64" s="2" t="s">
        <v>23</v>
      </c>
      <c r="I64" s="4"/>
      <c r="N64" s="6"/>
    </row>
    <row r="65">
      <c r="A65" s="2">
        <v>64.0</v>
      </c>
      <c r="B65" s="2" t="s">
        <v>379</v>
      </c>
      <c r="C65" s="2" t="s">
        <v>23</v>
      </c>
      <c r="N65" s="6"/>
    </row>
    <row r="66">
      <c r="A66" s="2">
        <v>65.0</v>
      </c>
      <c r="B66" s="2" t="s">
        <v>382</v>
      </c>
      <c r="C66" s="2" t="s">
        <v>23</v>
      </c>
      <c r="N66" s="6"/>
    </row>
    <row r="67">
      <c r="A67" s="2">
        <v>66.0</v>
      </c>
      <c r="B67" s="2" t="s">
        <v>385</v>
      </c>
      <c r="C67" s="2" t="s">
        <v>23</v>
      </c>
      <c r="N67" s="6"/>
    </row>
    <row r="68">
      <c r="A68" s="2">
        <v>67.0</v>
      </c>
      <c r="B68" s="2" t="s">
        <v>387</v>
      </c>
      <c r="C68" s="2" t="s">
        <v>23</v>
      </c>
      <c r="N68" s="6"/>
    </row>
    <row r="69">
      <c r="A69" s="2">
        <v>68.0</v>
      </c>
      <c r="B69" s="2" t="s">
        <v>391</v>
      </c>
      <c r="C69" s="2" t="s">
        <v>23</v>
      </c>
      <c r="N69" s="6"/>
    </row>
    <row r="70">
      <c r="A70" s="2">
        <v>69.0</v>
      </c>
      <c r="B70" s="2" t="s">
        <v>395</v>
      </c>
      <c r="C70" s="2" t="s">
        <v>23</v>
      </c>
      <c r="I70" s="4"/>
      <c r="N70" s="6"/>
    </row>
    <row r="71">
      <c r="A71" s="2">
        <v>70.0</v>
      </c>
      <c r="B71" s="2" t="s">
        <v>399</v>
      </c>
      <c r="C71" s="2" t="s">
        <v>23</v>
      </c>
      <c r="N71" s="6"/>
    </row>
    <row r="72">
      <c r="A72" s="2">
        <v>71.0</v>
      </c>
      <c r="B72" s="2" t="s">
        <v>402</v>
      </c>
      <c r="C72" s="2" t="s">
        <v>23</v>
      </c>
      <c r="N72" s="6"/>
    </row>
    <row r="73">
      <c r="A73" s="2">
        <v>72.0</v>
      </c>
      <c r="B73" s="2" t="s">
        <v>404</v>
      </c>
      <c r="C73" s="2" t="s">
        <v>23</v>
      </c>
      <c r="N73" s="6"/>
    </row>
    <row r="74">
      <c r="A74" s="2">
        <v>73.0</v>
      </c>
      <c r="B74" s="2" t="s">
        <v>409</v>
      </c>
      <c r="C74" s="2" t="s">
        <v>23</v>
      </c>
      <c r="N74" s="6"/>
    </row>
    <row r="75">
      <c r="A75" s="2">
        <v>74.0</v>
      </c>
      <c r="B75" s="2" t="s">
        <v>412</v>
      </c>
      <c r="C75" s="2" t="s">
        <v>23</v>
      </c>
      <c r="N75" s="6"/>
    </row>
    <row r="76">
      <c r="A76" s="2">
        <v>75.0</v>
      </c>
      <c r="B76" s="2" t="s">
        <v>415</v>
      </c>
      <c r="C76" s="2" t="s">
        <v>23</v>
      </c>
      <c r="N76" s="6"/>
    </row>
    <row r="77">
      <c r="A77" s="2">
        <v>76.0</v>
      </c>
      <c r="B77" s="2" t="s">
        <v>419</v>
      </c>
      <c r="C77" s="2" t="s">
        <v>23</v>
      </c>
      <c r="N77" s="6"/>
    </row>
    <row r="78">
      <c r="A78" s="2">
        <v>77.0</v>
      </c>
      <c r="B78" s="2" t="s">
        <v>422</v>
      </c>
      <c r="C78" s="2" t="s">
        <v>23</v>
      </c>
      <c r="I78" s="4"/>
      <c r="N78" s="6"/>
    </row>
    <row r="79">
      <c r="A79" s="2">
        <v>78.0</v>
      </c>
      <c r="B79" s="2" t="s">
        <v>427</v>
      </c>
      <c r="C79" s="2" t="s">
        <v>23</v>
      </c>
      <c r="N79" s="6"/>
    </row>
    <row r="80">
      <c r="A80" s="2">
        <v>79.0</v>
      </c>
      <c r="B80" s="2" t="s">
        <v>429</v>
      </c>
      <c r="C80" s="2" t="s">
        <v>23</v>
      </c>
      <c r="N80" s="6"/>
    </row>
    <row r="81">
      <c r="A81" s="2">
        <v>80.0</v>
      </c>
      <c r="B81" s="2" t="s">
        <v>431</v>
      </c>
      <c r="C81" s="2" t="s">
        <v>23</v>
      </c>
      <c r="N81" s="6"/>
    </row>
    <row r="82">
      <c r="A82" s="2">
        <v>81.0</v>
      </c>
      <c r="B82" s="2" t="s">
        <v>435</v>
      </c>
      <c r="C82" s="2" t="s">
        <v>23</v>
      </c>
      <c r="N82" s="6"/>
    </row>
    <row r="83">
      <c r="A83" s="2">
        <v>82.0</v>
      </c>
      <c r="B83" s="2" t="s">
        <v>439</v>
      </c>
      <c r="C83" s="2" t="s">
        <v>23</v>
      </c>
      <c r="N83" s="6"/>
    </row>
    <row r="84">
      <c r="A84" s="2">
        <v>83.0</v>
      </c>
      <c r="B84" s="2" t="s">
        <v>440</v>
      </c>
      <c r="C84" s="2" t="s">
        <v>23</v>
      </c>
      <c r="N84" s="6"/>
    </row>
    <row r="85">
      <c r="A85" s="2">
        <v>84.0</v>
      </c>
      <c r="B85" s="2" t="s">
        <v>445</v>
      </c>
      <c r="C85" s="2" t="s">
        <v>23</v>
      </c>
      <c r="N85" s="6"/>
    </row>
    <row r="86">
      <c r="A86" s="2">
        <v>85.0</v>
      </c>
      <c r="B86" s="2" t="s">
        <v>447</v>
      </c>
      <c r="C86" s="2" t="s">
        <v>23</v>
      </c>
      <c r="N86" s="6"/>
    </row>
    <row r="87">
      <c r="A87" s="2">
        <v>86.0</v>
      </c>
      <c r="B87" s="2" t="s">
        <v>451</v>
      </c>
      <c r="C87" s="2" t="s">
        <v>23</v>
      </c>
      <c r="N87" s="6"/>
    </row>
    <row r="88">
      <c r="A88" s="2">
        <v>87.0</v>
      </c>
      <c r="B88" s="2" t="s">
        <v>453</v>
      </c>
      <c r="C88" s="2" t="s">
        <v>23</v>
      </c>
      <c r="N88" s="6"/>
    </row>
    <row r="89">
      <c r="A89" s="2">
        <v>88.0</v>
      </c>
      <c r="B89" s="2" t="s">
        <v>455</v>
      </c>
      <c r="C89" s="2" t="s">
        <v>23</v>
      </c>
      <c r="N89" s="6"/>
    </row>
    <row r="90">
      <c r="A90" s="2">
        <v>89.0</v>
      </c>
      <c r="B90" s="2" t="s">
        <v>459</v>
      </c>
      <c r="C90" s="2" t="s">
        <v>23</v>
      </c>
      <c r="N90" s="6"/>
    </row>
    <row r="91">
      <c r="A91" s="2">
        <v>90.0</v>
      </c>
      <c r="B91" s="2" t="s">
        <v>461</v>
      </c>
      <c r="C91" s="2" t="s">
        <v>23</v>
      </c>
      <c r="N91" s="6"/>
    </row>
    <row r="92">
      <c r="A92" s="2">
        <v>91.0</v>
      </c>
      <c r="B92" s="2" t="s">
        <v>465</v>
      </c>
      <c r="C92" s="2" t="s">
        <v>23</v>
      </c>
      <c r="N92" s="6"/>
    </row>
    <row r="93">
      <c r="A93" s="2">
        <v>92.0</v>
      </c>
      <c r="B93" s="2" t="s">
        <v>466</v>
      </c>
      <c r="C93" s="2" t="s">
        <v>23</v>
      </c>
      <c r="N93" s="6"/>
    </row>
    <row r="94">
      <c r="A94" s="2">
        <v>93.0</v>
      </c>
      <c r="B94" s="2" t="s">
        <v>469</v>
      </c>
      <c r="C94" s="2" t="s">
        <v>23</v>
      </c>
      <c r="N94" s="6"/>
    </row>
    <row r="95">
      <c r="A95" s="2">
        <v>94.0</v>
      </c>
      <c r="B95" s="2" t="s">
        <v>472</v>
      </c>
      <c r="C95" s="2" t="s">
        <v>23</v>
      </c>
      <c r="N95" s="6"/>
    </row>
    <row r="96">
      <c r="A96" s="2">
        <v>95.0</v>
      </c>
      <c r="B96" s="2" t="s">
        <v>475</v>
      </c>
      <c r="C96" s="2" t="s">
        <v>23</v>
      </c>
      <c r="N96" s="6"/>
    </row>
    <row r="97">
      <c r="A97" s="2">
        <v>96.0</v>
      </c>
      <c r="B97" s="2" t="s">
        <v>478</v>
      </c>
      <c r="C97" s="2" t="s">
        <v>23</v>
      </c>
      <c r="N97" s="6"/>
    </row>
    <row r="98">
      <c r="A98" s="2">
        <v>97.0</v>
      </c>
      <c r="B98" s="2" t="s">
        <v>481</v>
      </c>
      <c r="C98" s="2" t="s">
        <v>23</v>
      </c>
      <c r="N98" s="6"/>
    </row>
    <row r="99">
      <c r="A99" s="2">
        <v>98.0</v>
      </c>
      <c r="B99" s="2" t="s">
        <v>485</v>
      </c>
      <c r="C99" s="2" t="s">
        <v>23</v>
      </c>
      <c r="N99" s="6"/>
    </row>
    <row r="100">
      <c r="A100" s="2">
        <v>99.0</v>
      </c>
      <c r="B100" s="2" t="s">
        <v>490</v>
      </c>
      <c r="C100" s="2" t="s">
        <v>23</v>
      </c>
      <c r="I100" s="4"/>
      <c r="N100" s="6"/>
    </row>
    <row r="101">
      <c r="A101" s="2">
        <v>100.0</v>
      </c>
      <c r="B101" s="2" t="s">
        <v>493</v>
      </c>
      <c r="C101" s="2" t="s">
        <v>23</v>
      </c>
      <c r="N101" s="6"/>
    </row>
    <row r="102">
      <c r="A102" s="2">
        <v>101.0</v>
      </c>
      <c r="B102" s="2" t="s">
        <v>497</v>
      </c>
      <c r="C102" s="2" t="s">
        <v>23</v>
      </c>
    </row>
    <row r="103">
      <c r="A103" s="2">
        <v>102.0</v>
      </c>
      <c r="B103" s="2" t="s">
        <v>499</v>
      </c>
      <c r="C103" s="2" t="s">
        <v>23</v>
      </c>
    </row>
    <row r="104">
      <c r="A104" s="2">
        <v>103.0</v>
      </c>
      <c r="B104" s="2" t="s">
        <v>502</v>
      </c>
      <c r="C104" s="2" t="s">
        <v>23</v>
      </c>
    </row>
    <row r="105">
      <c r="A105" s="2">
        <v>104.0</v>
      </c>
      <c r="B105" s="2" t="s">
        <v>505</v>
      </c>
      <c r="C105" s="2" t="s">
        <v>23</v>
      </c>
    </row>
    <row r="106">
      <c r="A106" s="2">
        <v>105.0</v>
      </c>
      <c r="B106" s="2" t="s">
        <v>508</v>
      </c>
      <c r="C106" s="2" t="s">
        <v>23</v>
      </c>
    </row>
    <row r="107">
      <c r="A107" s="2">
        <v>106.0</v>
      </c>
      <c r="B107" s="2" t="s">
        <v>511</v>
      </c>
      <c r="C107" s="2" t="s">
        <v>23</v>
      </c>
    </row>
    <row r="108">
      <c r="A108" s="2">
        <v>107.0</v>
      </c>
      <c r="B108" s="2" t="s">
        <v>515</v>
      </c>
      <c r="C108" s="2" t="s">
        <v>23</v>
      </c>
    </row>
    <row r="109">
      <c r="A109" s="2">
        <v>108.0</v>
      </c>
      <c r="B109" s="2" t="s">
        <v>518</v>
      </c>
      <c r="C109" s="2" t="s">
        <v>23</v>
      </c>
    </row>
    <row r="110">
      <c r="A110" s="2">
        <v>109.0</v>
      </c>
      <c r="B110" s="2" t="s">
        <v>522</v>
      </c>
      <c r="C110" s="2" t="s">
        <v>23</v>
      </c>
    </row>
    <row r="111">
      <c r="A111" s="2">
        <v>110.0</v>
      </c>
      <c r="B111" s="2" t="s">
        <v>525</v>
      </c>
      <c r="C111" s="2" t="s">
        <v>23</v>
      </c>
    </row>
    <row r="112">
      <c r="A112" s="2">
        <v>111.0</v>
      </c>
      <c r="B112" s="2" t="s">
        <v>528</v>
      </c>
      <c r="C112" s="2" t="s">
        <v>23</v>
      </c>
    </row>
    <row r="113">
      <c r="A113" s="2">
        <v>112.0</v>
      </c>
      <c r="B113" s="2" t="s">
        <v>531</v>
      </c>
      <c r="C113" s="2" t="s">
        <v>23</v>
      </c>
    </row>
    <row r="114">
      <c r="A114" s="2">
        <v>113.0</v>
      </c>
      <c r="B114" s="2" t="s">
        <v>533</v>
      </c>
      <c r="C114" s="2" t="s">
        <v>23</v>
      </c>
    </row>
    <row r="115">
      <c r="A115" s="2">
        <v>114.0</v>
      </c>
      <c r="B115" s="2" t="s">
        <v>538</v>
      </c>
      <c r="C115" s="2" t="s">
        <v>23</v>
      </c>
    </row>
    <row r="116">
      <c r="A116" s="2">
        <v>115.0</v>
      </c>
      <c r="B116" s="2" t="s">
        <v>541</v>
      </c>
      <c r="C116" s="2" t="s">
        <v>23</v>
      </c>
    </row>
    <row r="117">
      <c r="A117" s="2">
        <v>116.0</v>
      </c>
      <c r="B117" s="2" t="s">
        <v>544</v>
      </c>
      <c r="C117" s="2" t="s">
        <v>23</v>
      </c>
    </row>
    <row r="118">
      <c r="A118" s="2">
        <v>117.0</v>
      </c>
      <c r="B118" s="2" t="s">
        <v>548</v>
      </c>
      <c r="C118" s="2" t="s">
        <v>23</v>
      </c>
    </row>
    <row r="119">
      <c r="A119" s="2">
        <v>118.0</v>
      </c>
      <c r="B119" s="2" t="s">
        <v>550</v>
      </c>
      <c r="C119" s="2" t="s">
        <v>23</v>
      </c>
    </row>
    <row r="120">
      <c r="A120" s="2">
        <v>119.0</v>
      </c>
      <c r="B120" s="2" t="s">
        <v>553</v>
      </c>
      <c r="C120" s="2" t="s">
        <v>23</v>
      </c>
    </row>
    <row r="121">
      <c r="A121" s="2">
        <v>120.0</v>
      </c>
      <c r="B121" s="2" t="s">
        <v>555</v>
      </c>
      <c r="C121" s="2" t="s">
        <v>23</v>
      </c>
    </row>
    <row r="122">
      <c r="A122" s="2">
        <v>121.0</v>
      </c>
      <c r="B122" s="2" t="s">
        <v>558</v>
      </c>
      <c r="C122" s="2" t="s">
        <v>23</v>
      </c>
    </row>
    <row r="123">
      <c r="A123" s="2">
        <v>122.0</v>
      </c>
      <c r="B123" s="2" t="s">
        <v>561</v>
      </c>
      <c r="C123" s="2" t="s">
        <v>23</v>
      </c>
    </row>
    <row r="124">
      <c r="A124" s="2">
        <v>123.0</v>
      </c>
      <c r="B124" s="2" t="s">
        <v>566</v>
      </c>
      <c r="C124" s="2" t="s">
        <v>23</v>
      </c>
    </row>
    <row r="125">
      <c r="A125" s="2">
        <v>124.0</v>
      </c>
      <c r="B125" s="2" t="s">
        <v>569</v>
      </c>
      <c r="C125" s="2" t="s">
        <v>23</v>
      </c>
    </row>
    <row r="126">
      <c r="A126" s="2">
        <v>125.0</v>
      </c>
      <c r="B126" s="2" t="s">
        <v>573</v>
      </c>
      <c r="C126" s="2" t="s">
        <v>23</v>
      </c>
    </row>
    <row r="127">
      <c r="A127" s="2">
        <v>126.0</v>
      </c>
      <c r="B127" s="2" t="s">
        <v>576</v>
      </c>
      <c r="C127" s="2" t="s">
        <v>23</v>
      </c>
    </row>
    <row r="128">
      <c r="A128" s="2">
        <v>127.0</v>
      </c>
      <c r="B128" s="2" t="s">
        <v>581</v>
      </c>
      <c r="C128" s="2" t="s">
        <v>23</v>
      </c>
    </row>
    <row r="129">
      <c r="A129" s="2">
        <v>128.0</v>
      </c>
      <c r="B129" s="2" t="s">
        <v>582</v>
      </c>
      <c r="C129" s="2" t="s">
        <v>23</v>
      </c>
    </row>
    <row r="130">
      <c r="A130" s="2">
        <v>129.0</v>
      </c>
      <c r="B130" s="2" t="s">
        <v>584</v>
      </c>
      <c r="C130" s="2" t="s">
        <v>23</v>
      </c>
    </row>
    <row r="131">
      <c r="A131" s="2">
        <v>130.0</v>
      </c>
      <c r="B131" s="2" t="s">
        <v>585</v>
      </c>
      <c r="C131" s="2" t="s">
        <v>23</v>
      </c>
    </row>
    <row r="132">
      <c r="A132" s="2">
        <v>131.0</v>
      </c>
      <c r="B132" s="2" t="s">
        <v>587</v>
      </c>
      <c r="C132" s="2" t="s">
        <v>23</v>
      </c>
    </row>
    <row r="133">
      <c r="A133" s="2">
        <v>132.0</v>
      </c>
      <c r="B133" s="2" t="s">
        <v>589</v>
      </c>
      <c r="C133" s="2" t="s">
        <v>23</v>
      </c>
    </row>
    <row r="134">
      <c r="A134" s="2">
        <v>133.0</v>
      </c>
      <c r="B134" s="2" t="s">
        <v>592</v>
      </c>
      <c r="C134" s="2" t="s">
        <v>23</v>
      </c>
    </row>
    <row r="135">
      <c r="A135" s="2">
        <v>134.0</v>
      </c>
      <c r="B135" s="2" t="s">
        <v>593</v>
      </c>
      <c r="C135" s="2" t="s">
        <v>23</v>
      </c>
    </row>
    <row r="136">
      <c r="A136" s="2">
        <v>135.0</v>
      </c>
      <c r="B136" s="2" t="s">
        <v>595</v>
      </c>
      <c r="C136" s="2" t="s">
        <v>23</v>
      </c>
    </row>
    <row r="137">
      <c r="A137" s="2">
        <v>136.0</v>
      </c>
      <c r="B137" s="2" t="s">
        <v>597</v>
      </c>
      <c r="C137" s="2" t="s">
        <v>23</v>
      </c>
    </row>
    <row r="138">
      <c r="A138" s="2">
        <v>137.0</v>
      </c>
      <c r="B138" s="2" t="s">
        <v>599</v>
      </c>
      <c r="C138" s="2" t="s">
        <v>23</v>
      </c>
    </row>
    <row r="139">
      <c r="A139" s="2">
        <v>138.0</v>
      </c>
      <c r="B139" s="2" t="s">
        <v>601</v>
      </c>
      <c r="C139" s="2" t="s">
        <v>23</v>
      </c>
    </row>
    <row r="140">
      <c r="A140" s="2">
        <v>139.0</v>
      </c>
      <c r="B140" s="2" t="s">
        <v>602</v>
      </c>
      <c r="C140" s="2" t="s">
        <v>23</v>
      </c>
    </row>
    <row r="141">
      <c r="A141" s="2">
        <v>140.0</v>
      </c>
      <c r="B141" s="2" t="s">
        <v>605</v>
      </c>
      <c r="C141" s="2" t="s">
        <v>23</v>
      </c>
    </row>
    <row r="142">
      <c r="A142" s="2">
        <v>141.0</v>
      </c>
      <c r="B142" s="2" t="s">
        <v>606</v>
      </c>
      <c r="C142" s="2" t="s">
        <v>23</v>
      </c>
    </row>
    <row r="143">
      <c r="A143" s="2">
        <v>142.0</v>
      </c>
      <c r="B143" s="2" t="s">
        <v>608</v>
      </c>
      <c r="C143" s="2" t="s">
        <v>23</v>
      </c>
    </row>
    <row r="144">
      <c r="A144" s="2">
        <v>143.0</v>
      </c>
      <c r="B144" s="2" t="s">
        <v>610</v>
      </c>
      <c r="C144" s="2" t="s">
        <v>23</v>
      </c>
    </row>
    <row r="145">
      <c r="A145" s="2">
        <v>144.0</v>
      </c>
      <c r="B145" s="2" t="s">
        <v>612</v>
      </c>
      <c r="C145" s="2" t="s">
        <v>23</v>
      </c>
    </row>
    <row r="146">
      <c r="A146" s="2">
        <v>145.0</v>
      </c>
      <c r="B146" s="2" t="s">
        <v>614</v>
      </c>
      <c r="C146" s="2" t="s">
        <v>23</v>
      </c>
    </row>
    <row r="147">
      <c r="A147" s="2">
        <v>146.0</v>
      </c>
      <c r="B147" s="2" t="s">
        <v>616</v>
      </c>
      <c r="C147" s="2" t="s">
        <v>23</v>
      </c>
    </row>
    <row r="148">
      <c r="A148" s="2">
        <v>147.0</v>
      </c>
      <c r="B148" s="2" t="s">
        <v>618</v>
      </c>
      <c r="C148" s="2" t="s">
        <v>23</v>
      </c>
    </row>
    <row r="149">
      <c r="A149" s="2">
        <v>148.0</v>
      </c>
      <c r="B149" s="2" t="s">
        <v>622</v>
      </c>
      <c r="C149" s="2" t="s">
        <v>23</v>
      </c>
    </row>
    <row r="150">
      <c r="A150" s="2">
        <v>149.0</v>
      </c>
      <c r="B150" s="2" t="s">
        <v>623</v>
      </c>
      <c r="C150" s="2" t="s">
        <v>23</v>
      </c>
    </row>
    <row r="151">
      <c r="A151" s="2">
        <v>150.0</v>
      </c>
      <c r="B151" s="2" t="s">
        <v>625</v>
      </c>
      <c r="C151" s="2" t="s">
        <v>23</v>
      </c>
    </row>
    <row r="152">
      <c r="A152" s="2">
        <v>151.0</v>
      </c>
      <c r="B152" s="2" t="s">
        <v>627</v>
      </c>
      <c r="C152" s="2" t="s">
        <v>23</v>
      </c>
    </row>
    <row r="153">
      <c r="A153" s="2">
        <v>152.0</v>
      </c>
      <c r="B153" s="2" t="s">
        <v>630</v>
      </c>
      <c r="C153" s="2" t="s">
        <v>23</v>
      </c>
    </row>
    <row r="154">
      <c r="A154" s="2">
        <v>153.0</v>
      </c>
      <c r="B154" s="2" t="s">
        <v>631</v>
      </c>
      <c r="C154" s="2" t="s">
        <v>23</v>
      </c>
    </row>
    <row r="155">
      <c r="A155" s="2">
        <v>154.0</v>
      </c>
      <c r="B155" s="2" t="s">
        <v>634</v>
      </c>
      <c r="C155" s="2" t="s">
        <v>23</v>
      </c>
    </row>
    <row r="156">
      <c r="A156" s="2">
        <v>155.0</v>
      </c>
      <c r="B156" s="2" t="s">
        <v>635</v>
      </c>
      <c r="C156" s="2" t="s">
        <v>23</v>
      </c>
    </row>
    <row r="157">
      <c r="A157" s="2">
        <v>156.0</v>
      </c>
      <c r="B157" s="2" t="s">
        <v>637</v>
      </c>
      <c r="C157" s="2" t="s">
        <v>23</v>
      </c>
    </row>
    <row r="158">
      <c r="A158" s="2">
        <v>157.0</v>
      </c>
      <c r="B158" s="2" t="s">
        <v>639</v>
      </c>
      <c r="C158" s="2" t="s">
        <v>23</v>
      </c>
    </row>
    <row r="159">
      <c r="A159" s="2">
        <v>158.0</v>
      </c>
      <c r="B159" s="2" t="s">
        <v>640</v>
      </c>
      <c r="C159" s="2" t="s">
        <v>23</v>
      </c>
    </row>
    <row r="160">
      <c r="A160" s="2">
        <v>159.0</v>
      </c>
      <c r="B160" s="2" t="s">
        <v>643</v>
      </c>
      <c r="C160" s="2" t="s">
        <v>23</v>
      </c>
    </row>
    <row r="161">
      <c r="A161" s="2">
        <v>160.0</v>
      </c>
      <c r="B161" s="2" t="s">
        <v>645</v>
      </c>
      <c r="C161" s="2" t="s">
        <v>23</v>
      </c>
    </row>
    <row r="162">
      <c r="A162" s="2">
        <v>161.0</v>
      </c>
      <c r="B162" s="2" t="s">
        <v>647</v>
      </c>
      <c r="C162" s="2" t="s">
        <v>23</v>
      </c>
    </row>
    <row r="163">
      <c r="A163" s="2">
        <v>162.0</v>
      </c>
      <c r="B163" s="2" t="s">
        <v>649</v>
      </c>
      <c r="C163" s="2" t="s">
        <v>23</v>
      </c>
    </row>
    <row r="164">
      <c r="A164" s="2">
        <v>163.0</v>
      </c>
      <c r="B164" s="2" t="s">
        <v>650</v>
      </c>
      <c r="C164" s="2" t="s">
        <v>23</v>
      </c>
    </row>
    <row r="165">
      <c r="A165" s="2">
        <v>164.0</v>
      </c>
      <c r="B165" s="2" t="s">
        <v>651</v>
      </c>
      <c r="C165" s="2" t="s">
        <v>23</v>
      </c>
    </row>
    <row r="166">
      <c r="A166" s="2">
        <v>165.0</v>
      </c>
      <c r="B166" s="2" t="s">
        <v>652</v>
      </c>
      <c r="C166" s="2" t="s">
        <v>23</v>
      </c>
    </row>
    <row r="167">
      <c r="A167" s="2">
        <v>166.0</v>
      </c>
      <c r="B167" s="2" t="s">
        <v>654</v>
      </c>
      <c r="C167" s="2" t="s">
        <v>23</v>
      </c>
    </row>
    <row r="168">
      <c r="A168" s="2">
        <v>167.0</v>
      </c>
      <c r="B168" s="2" t="s">
        <v>656</v>
      </c>
      <c r="C168" s="2" t="s">
        <v>23</v>
      </c>
    </row>
    <row r="169">
      <c r="A169" s="2">
        <v>168.0</v>
      </c>
      <c r="B169" s="2" t="s">
        <v>659</v>
      </c>
      <c r="C169" s="2" t="s">
        <v>23</v>
      </c>
    </row>
    <row r="170">
      <c r="A170" s="2">
        <v>169.0</v>
      </c>
      <c r="B170" s="2" t="s">
        <v>661</v>
      </c>
      <c r="C170" s="2" t="s">
        <v>23</v>
      </c>
    </row>
    <row r="171">
      <c r="A171" s="2">
        <v>170.0</v>
      </c>
      <c r="B171" s="2" t="s">
        <v>663</v>
      </c>
      <c r="C171" s="2" t="s">
        <v>23</v>
      </c>
    </row>
    <row r="172">
      <c r="A172" s="2">
        <v>171.0</v>
      </c>
      <c r="B172" s="2" t="s">
        <v>665</v>
      </c>
      <c r="C172" s="2" t="s">
        <v>23</v>
      </c>
    </row>
    <row r="173">
      <c r="A173" s="2">
        <v>172.0</v>
      </c>
      <c r="B173" s="2" t="s">
        <v>667</v>
      </c>
      <c r="C173" s="2" t="s">
        <v>23</v>
      </c>
    </row>
    <row r="174">
      <c r="A174" s="2">
        <v>173.0</v>
      </c>
      <c r="B174" s="2" t="s">
        <v>668</v>
      </c>
      <c r="C174" s="2" t="s">
        <v>23</v>
      </c>
    </row>
    <row r="175">
      <c r="A175" s="2">
        <v>174.0</v>
      </c>
      <c r="B175" s="2" t="s">
        <v>670</v>
      </c>
      <c r="C175" s="2" t="s">
        <v>23</v>
      </c>
    </row>
    <row r="176">
      <c r="A176" s="2">
        <v>175.0</v>
      </c>
      <c r="B176" s="2" t="s">
        <v>673</v>
      </c>
      <c r="C176" s="2" t="s">
        <v>23</v>
      </c>
    </row>
    <row r="177">
      <c r="A177" s="2">
        <v>176.0</v>
      </c>
      <c r="B177" s="2" t="s">
        <v>674</v>
      </c>
      <c r="C177" s="2" t="s">
        <v>23</v>
      </c>
    </row>
    <row r="178">
      <c r="A178" s="2">
        <v>177.0</v>
      </c>
      <c r="B178" s="2" t="s">
        <v>677</v>
      </c>
      <c r="C178" s="2" t="s">
        <v>23</v>
      </c>
    </row>
    <row r="179">
      <c r="A179" s="2">
        <v>178.0</v>
      </c>
      <c r="B179" s="2" t="s">
        <v>678</v>
      </c>
      <c r="C179" s="2" t="s">
        <v>23</v>
      </c>
    </row>
    <row r="180">
      <c r="A180" s="2">
        <v>179.0</v>
      </c>
      <c r="B180" s="2" t="s">
        <v>681</v>
      </c>
      <c r="C180" s="2" t="s">
        <v>23</v>
      </c>
    </row>
    <row r="181">
      <c r="A181" s="2">
        <v>180.0</v>
      </c>
      <c r="B181" s="2" t="s">
        <v>683</v>
      </c>
      <c r="C181" s="2" t="s">
        <v>23</v>
      </c>
    </row>
    <row r="182">
      <c r="A182" s="2">
        <v>181.0</v>
      </c>
      <c r="B182" s="2" t="s">
        <v>685</v>
      </c>
      <c r="C182" s="2" t="s">
        <v>23</v>
      </c>
    </row>
    <row r="183">
      <c r="A183" s="2">
        <v>182.0</v>
      </c>
      <c r="B183" s="2" t="s">
        <v>687</v>
      </c>
      <c r="C183" s="2" t="s">
        <v>23</v>
      </c>
    </row>
    <row r="184">
      <c r="A184" s="2">
        <v>183.0</v>
      </c>
      <c r="B184" s="2" t="s">
        <v>688</v>
      </c>
      <c r="C184" s="2" t="s">
        <v>23</v>
      </c>
    </row>
    <row r="185">
      <c r="A185" s="2">
        <v>184.0</v>
      </c>
      <c r="B185" s="2" t="s">
        <v>689</v>
      </c>
      <c r="C185" s="2" t="s">
        <v>23</v>
      </c>
    </row>
    <row r="186">
      <c r="A186" s="2">
        <v>185.0</v>
      </c>
      <c r="B186" s="2" t="s">
        <v>690</v>
      </c>
      <c r="C186" s="2" t="s">
        <v>23</v>
      </c>
    </row>
    <row r="187">
      <c r="A187" s="2">
        <v>186.0</v>
      </c>
      <c r="B187" s="2" t="s">
        <v>691</v>
      </c>
      <c r="C187" s="2" t="s">
        <v>23</v>
      </c>
    </row>
    <row r="188">
      <c r="A188" s="2">
        <v>187.0</v>
      </c>
      <c r="B188" s="2" t="s">
        <v>693</v>
      </c>
      <c r="C188" s="2" t="s">
        <v>23</v>
      </c>
    </row>
    <row r="189">
      <c r="A189" s="2">
        <v>188.0</v>
      </c>
      <c r="B189" s="2" t="s">
        <v>694</v>
      </c>
      <c r="C189" s="2" t="s">
        <v>23</v>
      </c>
    </row>
    <row r="190">
      <c r="A190" s="2">
        <v>189.0</v>
      </c>
      <c r="B190" s="2" t="s">
        <v>696</v>
      </c>
      <c r="C190" s="2" t="s">
        <v>23</v>
      </c>
    </row>
    <row r="191">
      <c r="A191" s="2">
        <v>190.0</v>
      </c>
      <c r="B191" s="2" t="s">
        <v>697</v>
      </c>
      <c r="C191" s="2" t="s">
        <v>23</v>
      </c>
    </row>
    <row r="192">
      <c r="A192" s="2">
        <v>191.0</v>
      </c>
      <c r="B192" s="2" t="s">
        <v>699</v>
      </c>
      <c r="C192" s="2" t="s">
        <v>23</v>
      </c>
    </row>
    <row r="193">
      <c r="A193" s="2">
        <v>192.0</v>
      </c>
      <c r="B193" s="2" t="s">
        <v>701</v>
      </c>
      <c r="C193" s="2" t="s">
        <v>23</v>
      </c>
    </row>
    <row r="194">
      <c r="A194" s="2">
        <v>193.0</v>
      </c>
      <c r="B194" s="2" t="s">
        <v>704</v>
      </c>
      <c r="C194" s="2" t="s">
        <v>23</v>
      </c>
    </row>
    <row r="195">
      <c r="A195" s="2">
        <v>194.0</v>
      </c>
      <c r="B195" s="2" t="s">
        <v>705</v>
      </c>
      <c r="C195" s="2" t="s">
        <v>23</v>
      </c>
    </row>
    <row r="196">
      <c r="A196" s="2">
        <v>195.0</v>
      </c>
      <c r="B196" s="2" t="s">
        <v>707</v>
      </c>
      <c r="C196" s="2" t="s">
        <v>23</v>
      </c>
    </row>
    <row r="197">
      <c r="A197" s="2">
        <v>196.0</v>
      </c>
      <c r="B197" s="2" t="s">
        <v>709</v>
      </c>
      <c r="C197" s="2" t="s">
        <v>23</v>
      </c>
    </row>
    <row r="198">
      <c r="A198" s="2">
        <v>197.0</v>
      </c>
      <c r="B198" s="2" t="s">
        <v>710</v>
      </c>
      <c r="C198" s="2" t="s">
        <v>23</v>
      </c>
    </row>
    <row r="199">
      <c r="A199" s="2">
        <v>198.0</v>
      </c>
      <c r="B199" s="2" t="s">
        <v>712</v>
      </c>
      <c r="C199" s="2" t="s">
        <v>23</v>
      </c>
    </row>
    <row r="200">
      <c r="A200" s="2">
        <v>199.0</v>
      </c>
      <c r="B200" s="2" t="s">
        <v>715</v>
      </c>
      <c r="C200" s="2" t="s">
        <v>23</v>
      </c>
    </row>
    <row r="201">
      <c r="A201" s="2">
        <v>200.0</v>
      </c>
      <c r="B201" s="2" t="s">
        <v>718</v>
      </c>
      <c r="C201" s="2" t="s">
        <v>23</v>
      </c>
    </row>
  </sheetData>
  <autoFilter ref="$A$1:$Z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</row>
    <row r="2">
      <c r="A2" s="2">
        <v>1.0</v>
      </c>
      <c r="B2" s="2" t="s">
        <v>22</v>
      </c>
      <c r="C2" s="2" t="s">
        <v>23</v>
      </c>
      <c r="D2" s="2">
        <v>0.0</v>
      </c>
      <c r="E2" s="2">
        <v>350.0</v>
      </c>
      <c r="F2" s="2">
        <v>0.01</v>
      </c>
      <c r="G2" s="2">
        <v>1.06</v>
      </c>
      <c r="H2" s="2" t="s">
        <v>22</v>
      </c>
      <c r="I2" s="4">
        <v>46217.25701388889</v>
      </c>
      <c r="J2" s="2" t="s">
        <v>33</v>
      </c>
      <c r="K2" s="2">
        <v>400.0</v>
      </c>
      <c r="L2" s="2">
        <v>250.0</v>
      </c>
      <c r="M2" s="2">
        <v>250.0</v>
      </c>
      <c r="N2" s="6">
        <v>42300.0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</row>
    <row r="3">
      <c r="A3" s="2">
        <v>2.0</v>
      </c>
      <c r="B3" s="2" t="s">
        <v>1</v>
      </c>
      <c r="C3" s="2" t="s">
        <v>23</v>
      </c>
      <c r="D3" s="2">
        <v>0.0</v>
      </c>
      <c r="E3" s="2">
        <v>300.0</v>
      </c>
      <c r="F3" s="2">
        <v>0.7</v>
      </c>
      <c r="G3" s="2">
        <v>0.81</v>
      </c>
      <c r="H3" s="2" t="s">
        <v>1</v>
      </c>
      <c r="I3" s="4">
        <v>46235.62559027778</v>
      </c>
      <c r="J3" s="2" t="s">
        <v>34</v>
      </c>
      <c r="K3" s="2">
        <v>300.0</v>
      </c>
      <c r="L3" s="2">
        <v>250.0</v>
      </c>
      <c r="M3" s="2">
        <v>250.0</v>
      </c>
      <c r="N3" s="6">
        <v>42252.0</v>
      </c>
      <c r="O3" s="2" t="s">
        <v>40</v>
      </c>
      <c r="P3" s="2" t="s">
        <v>36</v>
      </c>
      <c r="Q3" s="2" t="s">
        <v>42</v>
      </c>
      <c r="R3" s="2" t="s">
        <v>43</v>
      </c>
      <c r="S3" s="2" t="s">
        <v>44</v>
      </c>
    </row>
    <row r="4">
      <c r="A4" s="2">
        <v>3.0</v>
      </c>
      <c r="B4" s="2" t="s">
        <v>29</v>
      </c>
      <c r="C4" s="2" t="s">
        <v>23</v>
      </c>
      <c r="D4" s="2">
        <v>1.0</v>
      </c>
      <c r="E4" s="2">
        <v>250.0</v>
      </c>
      <c r="F4" s="2">
        <v>0.1</v>
      </c>
      <c r="G4" s="2">
        <v>0.35</v>
      </c>
      <c r="H4" s="2" t="s">
        <v>29</v>
      </c>
      <c r="I4" s="4">
        <v>46219.86791666667</v>
      </c>
      <c r="J4" s="2" t="s">
        <v>47</v>
      </c>
      <c r="K4" s="2">
        <v>18000.0</v>
      </c>
      <c r="L4" s="2">
        <v>60.0</v>
      </c>
      <c r="M4" s="2">
        <v>60.0</v>
      </c>
      <c r="N4" s="6">
        <v>42255.0</v>
      </c>
      <c r="O4" s="2" t="s">
        <v>49</v>
      </c>
      <c r="P4" s="2" t="s">
        <v>36</v>
      </c>
      <c r="Q4" s="2" t="s">
        <v>50</v>
      </c>
      <c r="R4" s="2" t="s">
        <v>51</v>
      </c>
      <c r="S4" s="2" t="s">
        <v>52</v>
      </c>
    </row>
    <row r="5">
      <c r="A5" s="2">
        <v>4.0</v>
      </c>
      <c r="B5" s="2" t="s">
        <v>20</v>
      </c>
      <c r="C5" s="2" t="s">
        <v>23</v>
      </c>
      <c r="D5" s="2">
        <v>38.0</v>
      </c>
      <c r="E5" s="2">
        <v>200.0</v>
      </c>
      <c r="F5" s="2">
        <v>0.6</v>
      </c>
      <c r="G5" s="2">
        <v>0.71</v>
      </c>
      <c r="H5" s="2" t="s">
        <v>20</v>
      </c>
      <c r="I5" s="4">
        <v>46228.84972222222</v>
      </c>
      <c r="J5" s="2" t="s">
        <v>34</v>
      </c>
      <c r="K5" s="2">
        <v>30000.0</v>
      </c>
      <c r="L5" s="2">
        <v>70.0</v>
      </c>
      <c r="M5" s="2">
        <v>70.0</v>
      </c>
      <c r="N5" s="6">
        <v>42257.0</v>
      </c>
      <c r="O5" s="2" t="s">
        <v>40</v>
      </c>
      <c r="P5" s="2" t="s">
        <v>36</v>
      </c>
      <c r="Q5" s="2" t="s">
        <v>56</v>
      </c>
      <c r="R5" s="2" t="s">
        <v>58</v>
      </c>
      <c r="S5" s="2" t="s">
        <v>59</v>
      </c>
    </row>
    <row r="6">
      <c r="A6" s="2">
        <v>5.0</v>
      </c>
      <c r="B6" s="2" t="s">
        <v>24</v>
      </c>
      <c r="C6" s="2" t="s">
        <v>23</v>
      </c>
      <c r="D6" s="2">
        <v>0.0</v>
      </c>
      <c r="E6" s="2">
        <v>150.0</v>
      </c>
      <c r="F6" s="2">
        <v>1.2</v>
      </c>
      <c r="G6" s="2">
        <v>0.72</v>
      </c>
      <c r="H6" s="2" t="s">
        <v>61</v>
      </c>
      <c r="I6" s="4">
        <v>46221.64528935185</v>
      </c>
      <c r="J6" s="2" t="s">
        <v>63</v>
      </c>
      <c r="K6" s="2">
        <v>38000.0</v>
      </c>
      <c r="L6" s="2">
        <v>150.0</v>
      </c>
      <c r="M6" s="2">
        <v>150.0</v>
      </c>
      <c r="N6" s="6">
        <v>42272.0</v>
      </c>
      <c r="O6" s="2" t="s">
        <v>40</v>
      </c>
      <c r="P6" s="2" t="s">
        <v>36</v>
      </c>
      <c r="Q6" s="2" t="s">
        <v>67</v>
      </c>
      <c r="R6" s="2" t="s">
        <v>68</v>
      </c>
      <c r="S6" s="2" t="s">
        <v>69</v>
      </c>
    </row>
    <row r="7">
      <c r="A7" s="2">
        <v>6.0</v>
      </c>
      <c r="B7" s="2" t="s">
        <v>70</v>
      </c>
      <c r="C7" s="2" t="s">
        <v>23</v>
      </c>
      <c r="D7" s="2">
        <v>2.0</v>
      </c>
      <c r="E7" s="2">
        <v>150.0</v>
      </c>
      <c r="F7" s="2">
        <v>0.5</v>
      </c>
      <c r="H7" s="2" t="s">
        <v>72</v>
      </c>
      <c r="I7" s="4">
        <v>46214.633518518516</v>
      </c>
      <c r="J7" s="2" t="s">
        <v>34</v>
      </c>
      <c r="K7" s="2">
        <v>7300.0</v>
      </c>
      <c r="L7" s="2">
        <v>350.0</v>
      </c>
      <c r="M7" s="2">
        <v>350.0</v>
      </c>
      <c r="N7" s="6">
        <v>43046.0</v>
      </c>
      <c r="O7" s="2" t="s">
        <v>75</v>
      </c>
      <c r="P7" s="2" t="s">
        <v>36</v>
      </c>
      <c r="Q7" s="2" t="s">
        <v>77</v>
      </c>
      <c r="S7" s="2" t="s">
        <v>44</v>
      </c>
    </row>
    <row r="8">
      <c r="A8" s="2">
        <v>7.0</v>
      </c>
      <c r="B8" s="2" t="s">
        <v>79</v>
      </c>
      <c r="C8" s="2" t="s">
        <v>23</v>
      </c>
      <c r="D8" s="2">
        <v>1.0</v>
      </c>
      <c r="E8" s="2">
        <v>150.0</v>
      </c>
      <c r="F8" s="2">
        <v>1.7</v>
      </c>
      <c r="H8" s="2" t="s">
        <v>61</v>
      </c>
      <c r="I8" s="4">
        <v>46208.12724537037</v>
      </c>
      <c r="J8" s="2" t="s">
        <v>34</v>
      </c>
      <c r="K8" s="2">
        <v>23000.0</v>
      </c>
      <c r="L8" s="2">
        <v>10.0</v>
      </c>
      <c r="M8" s="2">
        <v>10.0</v>
      </c>
      <c r="N8" s="6">
        <v>42933.0</v>
      </c>
      <c r="O8" s="2" t="s">
        <v>75</v>
      </c>
      <c r="P8" s="2" t="s">
        <v>36</v>
      </c>
      <c r="Q8" s="2" t="s">
        <v>84</v>
      </c>
      <c r="S8" s="2" t="s">
        <v>44</v>
      </c>
    </row>
    <row r="9">
      <c r="A9" s="2">
        <v>8.0</v>
      </c>
      <c r="B9" s="2" t="s">
        <v>92</v>
      </c>
      <c r="C9" s="2" t="s">
        <v>23</v>
      </c>
      <c r="D9" s="2">
        <v>0.0</v>
      </c>
      <c r="E9" s="2">
        <v>150.0</v>
      </c>
      <c r="F9" s="2">
        <v>0.6</v>
      </c>
      <c r="H9" s="2" t="s">
        <v>1</v>
      </c>
      <c r="I9" s="4">
        <v>46219.77337962963</v>
      </c>
      <c r="J9" s="2" t="s">
        <v>34</v>
      </c>
      <c r="K9" s="2">
        <v>150.0</v>
      </c>
      <c r="L9" s="2">
        <v>250.0</v>
      </c>
      <c r="M9" s="2">
        <v>250.0</v>
      </c>
      <c r="N9" s="6">
        <v>42262.0</v>
      </c>
      <c r="O9" s="2" t="s">
        <v>75</v>
      </c>
      <c r="P9" s="2" t="s">
        <v>36</v>
      </c>
      <c r="Q9" s="2" t="s">
        <v>100</v>
      </c>
      <c r="S9" s="2" t="s">
        <v>44</v>
      </c>
    </row>
    <row r="10">
      <c r="A10" s="2">
        <v>9.0</v>
      </c>
      <c r="B10" s="2" t="s">
        <v>103</v>
      </c>
      <c r="C10" s="2" t="s">
        <v>23</v>
      </c>
      <c r="D10" s="2">
        <v>0.0</v>
      </c>
      <c r="E10" s="2">
        <v>100.0</v>
      </c>
      <c r="F10" s="2">
        <v>0.02</v>
      </c>
      <c r="G10" s="2">
        <v>1.01</v>
      </c>
      <c r="H10" s="2" t="s">
        <v>103</v>
      </c>
      <c r="I10" s="4">
        <v>46202.57375</v>
      </c>
      <c r="J10" s="2" t="s">
        <v>111</v>
      </c>
      <c r="K10" s="2">
        <v>100.0</v>
      </c>
      <c r="L10" s="2">
        <v>200.0</v>
      </c>
      <c r="M10" s="2">
        <v>200.0</v>
      </c>
      <c r="N10" s="6">
        <v>42275.0</v>
      </c>
      <c r="O10" s="2" t="s">
        <v>35</v>
      </c>
      <c r="P10" s="2" t="s">
        <v>36</v>
      </c>
      <c r="Q10" s="2" t="s">
        <v>116</v>
      </c>
      <c r="S10" s="2" t="s">
        <v>39</v>
      </c>
    </row>
    <row r="11">
      <c r="A11" s="2">
        <v>10.0</v>
      </c>
      <c r="B11" s="2" t="s">
        <v>119</v>
      </c>
      <c r="C11" s="2" t="s">
        <v>23</v>
      </c>
      <c r="D11" s="2">
        <v>0.0</v>
      </c>
      <c r="E11" s="2">
        <v>100.0</v>
      </c>
      <c r="F11" s="2">
        <v>0.25</v>
      </c>
      <c r="G11" s="2">
        <v>0.28</v>
      </c>
      <c r="H11" s="2" t="s">
        <v>122</v>
      </c>
      <c r="I11" s="4">
        <v>46209.55832175926</v>
      </c>
      <c r="J11" s="2" t="s">
        <v>34</v>
      </c>
      <c r="K11" s="2">
        <v>900.0</v>
      </c>
      <c r="L11" s="2">
        <v>20.0</v>
      </c>
      <c r="M11" s="2">
        <v>20.0</v>
      </c>
      <c r="N11" s="6">
        <v>42251.0</v>
      </c>
      <c r="O11" s="2" t="s">
        <v>40</v>
      </c>
      <c r="P11" s="2" t="s">
        <v>36</v>
      </c>
      <c r="Q11" s="2" t="s">
        <v>129</v>
      </c>
      <c r="S11" s="2" t="s">
        <v>131</v>
      </c>
    </row>
    <row r="12">
      <c r="A12" s="2">
        <v>11.0</v>
      </c>
      <c r="B12" s="2" t="s">
        <v>134</v>
      </c>
      <c r="C12" s="2" t="s">
        <v>23</v>
      </c>
      <c r="D12" s="2">
        <v>0.0</v>
      </c>
      <c r="E12" s="2">
        <v>100.0</v>
      </c>
      <c r="F12" s="2">
        <v>0.4</v>
      </c>
      <c r="H12" s="2" t="s">
        <v>137</v>
      </c>
      <c r="I12" s="4">
        <v>46213.015810185185</v>
      </c>
      <c r="J12" s="2" t="s">
        <v>142</v>
      </c>
      <c r="K12" s="2">
        <v>600.0</v>
      </c>
      <c r="L12" s="2">
        <v>250.0</v>
      </c>
      <c r="M12" s="2">
        <v>250.0</v>
      </c>
      <c r="N12" s="6">
        <v>43592.0</v>
      </c>
      <c r="O12" s="2" t="s">
        <v>40</v>
      </c>
      <c r="P12" s="2" t="s">
        <v>36</v>
      </c>
      <c r="Q12" s="2" t="s">
        <v>145</v>
      </c>
      <c r="S12" s="2" t="s">
        <v>146</v>
      </c>
    </row>
    <row r="13">
      <c r="A13" s="2">
        <v>12.0</v>
      </c>
      <c r="B13" s="2" t="s">
        <v>148</v>
      </c>
      <c r="C13" s="2" t="s">
        <v>23</v>
      </c>
      <c r="E13" s="2">
        <v>100.0</v>
      </c>
      <c r="I13" s="4"/>
      <c r="K13" s="2">
        <v>100.0</v>
      </c>
      <c r="N13" s="6">
        <v>45999.0</v>
      </c>
      <c r="Q13" s="2" t="s">
        <v>151</v>
      </c>
    </row>
    <row r="14">
      <c r="A14" s="2">
        <v>13.0</v>
      </c>
      <c r="B14" s="2" t="s">
        <v>21</v>
      </c>
      <c r="C14" s="2" t="s">
        <v>23</v>
      </c>
      <c r="D14" s="2">
        <v>1.0</v>
      </c>
      <c r="E14" s="2">
        <v>100.0</v>
      </c>
      <c r="F14" s="2">
        <v>0.5</v>
      </c>
      <c r="G14" s="2">
        <v>0.69</v>
      </c>
      <c r="H14" s="2" t="s">
        <v>88</v>
      </c>
      <c r="I14" s="4">
        <v>46227.11225694444</v>
      </c>
      <c r="J14" s="2" t="s">
        <v>34</v>
      </c>
      <c r="K14" s="2">
        <v>9000.0</v>
      </c>
      <c r="L14" s="2">
        <v>100.0</v>
      </c>
      <c r="M14" s="2">
        <v>100.0</v>
      </c>
      <c r="N14" s="6">
        <v>42258.0</v>
      </c>
      <c r="O14" s="2" t="s">
        <v>91</v>
      </c>
      <c r="P14" s="2" t="s">
        <v>36</v>
      </c>
      <c r="Q14" s="2" t="s">
        <v>93</v>
      </c>
      <c r="S14" s="2" t="s">
        <v>59</v>
      </c>
    </row>
    <row r="15">
      <c r="A15" s="2">
        <v>14.0</v>
      </c>
      <c r="B15" s="2" t="s">
        <v>160</v>
      </c>
      <c r="C15" s="2" t="s">
        <v>23</v>
      </c>
      <c r="D15" s="2">
        <v>0.0</v>
      </c>
      <c r="E15" s="2">
        <v>100.0</v>
      </c>
      <c r="F15" s="2">
        <v>0.3</v>
      </c>
      <c r="G15" s="2">
        <v>0.61</v>
      </c>
      <c r="H15" s="2" t="s">
        <v>163</v>
      </c>
      <c r="I15" s="4">
        <v>46223.483506944445</v>
      </c>
      <c r="J15" s="2" t="s">
        <v>34</v>
      </c>
      <c r="K15" s="2">
        <v>100.0</v>
      </c>
      <c r="L15" s="2">
        <v>50.0</v>
      </c>
      <c r="M15" s="2">
        <v>50.0</v>
      </c>
      <c r="N15" s="6">
        <v>42249.0</v>
      </c>
      <c r="O15" s="2" t="s">
        <v>40</v>
      </c>
      <c r="P15" s="2" t="s">
        <v>36</v>
      </c>
      <c r="Q15" s="2" t="s">
        <v>168</v>
      </c>
      <c r="R15" s="2" t="s">
        <v>169</v>
      </c>
      <c r="S15" s="2" t="s">
        <v>132</v>
      </c>
    </row>
    <row r="16">
      <c r="A16" s="2">
        <v>15.0</v>
      </c>
      <c r="B16" s="2" t="s">
        <v>172</v>
      </c>
      <c r="C16" s="2" t="s">
        <v>23</v>
      </c>
      <c r="D16" s="2">
        <v>0.0</v>
      </c>
      <c r="E16" s="2">
        <v>100.0</v>
      </c>
      <c r="H16" s="2" t="s">
        <v>172</v>
      </c>
      <c r="I16" s="4">
        <v>46209.89163194445</v>
      </c>
      <c r="J16" s="2" t="s">
        <v>63</v>
      </c>
      <c r="K16" s="2">
        <v>100.0</v>
      </c>
      <c r="L16" s="2">
        <v>10.0</v>
      </c>
      <c r="M16" s="2">
        <v>10.0</v>
      </c>
      <c r="N16" s="6">
        <v>43970.0</v>
      </c>
      <c r="O16" s="2" t="s">
        <v>40</v>
      </c>
      <c r="P16" s="2" t="s">
        <v>36</v>
      </c>
      <c r="Q16" s="2" t="s">
        <v>178</v>
      </c>
      <c r="S16" s="2" t="s">
        <v>146</v>
      </c>
    </row>
    <row r="17">
      <c r="A17" s="2">
        <v>16.0</v>
      </c>
      <c r="B17" s="2" t="s">
        <v>179</v>
      </c>
      <c r="C17" s="2" t="s">
        <v>23</v>
      </c>
      <c r="E17" s="2">
        <v>90.0</v>
      </c>
      <c r="I17" s="4"/>
      <c r="K17" s="2">
        <v>90.0</v>
      </c>
      <c r="N17" s="6">
        <v>45943.0</v>
      </c>
      <c r="Q17" s="2" t="s">
        <v>183</v>
      </c>
    </row>
    <row r="18">
      <c r="A18" s="2">
        <v>17.0</v>
      </c>
      <c r="B18" s="2" t="s">
        <v>186</v>
      </c>
      <c r="C18" s="2" t="s">
        <v>23</v>
      </c>
      <c r="E18" s="2">
        <v>90.0</v>
      </c>
      <c r="I18" s="4"/>
      <c r="K18" s="2">
        <v>90.0</v>
      </c>
      <c r="N18" s="6">
        <v>45839.0</v>
      </c>
      <c r="Q18" s="2" t="s">
        <v>190</v>
      </c>
    </row>
    <row r="19">
      <c r="A19" s="2">
        <v>18.0</v>
      </c>
      <c r="B19" s="2" t="s">
        <v>96</v>
      </c>
      <c r="C19" s="2" t="s">
        <v>23</v>
      </c>
      <c r="D19" s="2">
        <v>0.0</v>
      </c>
      <c r="E19" s="2">
        <v>90.0</v>
      </c>
      <c r="F19" s="2">
        <v>0.25</v>
      </c>
      <c r="G19" s="2">
        <v>1.45</v>
      </c>
      <c r="H19" s="2" t="s">
        <v>96</v>
      </c>
      <c r="I19" s="4">
        <v>46237.26980324074</v>
      </c>
      <c r="J19" s="2" t="s">
        <v>99</v>
      </c>
      <c r="K19" s="2">
        <v>100.0</v>
      </c>
      <c r="L19" s="2">
        <v>40.0</v>
      </c>
      <c r="M19" s="2">
        <v>40.0</v>
      </c>
      <c r="N19" s="6">
        <v>42325.0</v>
      </c>
      <c r="O19" s="2" t="s">
        <v>102</v>
      </c>
      <c r="P19" s="2" t="s">
        <v>36</v>
      </c>
      <c r="Q19" s="2" t="s">
        <v>106</v>
      </c>
      <c r="S19" s="2" t="s">
        <v>107</v>
      </c>
    </row>
    <row r="20">
      <c r="A20" s="2">
        <v>19.0</v>
      </c>
      <c r="B20" s="2" t="s">
        <v>204</v>
      </c>
      <c r="C20" s="2" t="s">
        <v>23</v>
      </c>
      <c r="E20" s="2">
        <v>90.0</v>
      </c>
      <c r="F20" s="2">
        <v>0.15</v>
      </c>
      <c r="G20" s="2">
        <v>1.16</v>
      </c>
      <c r="I20" s="4"/>
      <c r="K20" s="2">
        <v>200.0</v>
      </c>
      <c r="N20" s="6">
        <v>42268.0</v>
      </c>
      <c r="O20" s="2" t="s">
        <v>49</v>
      </c>
      <c r="P20" s="2" t="s">
        <v>36</v>
      </c>
      <c r="Q20" s="2" t="s">
        <v>209</v>
      </c>
      <c r="R20" s="2" t="s">
        <v>212</v>
      </c>
      <c r="S20" s="2" t="s">
        <v>213</v>
      </c>
    </row>
    <row r="21">
      <c r="A21" s="2">
        <v>20.0</v>
      </c>
      <c r="B21" s="2" t="s">
        <v>214</v>
      </c>
      <c r="C21" s="2" t="s">
        <v>23</v>
      </c>
      <c r="E21" s="2">
        <v>80.0</v>
      </c>
      <c r="I21" s="4"/>
      <c r="K21" s="2">
        <v>600.0</v>
      </c>
      <c r="N21" s="6">
        <v>43886.0</v>
      </c>
      <c r="Q21" s="2" t="s">
        <v>218</v>
      </c>
    </row>
    <row r="22">
      <c r="A22" s="2">
        <v>21.0</v>
      </c>
      <c r="B22" s="2" t="s">
        <v>221</v>
      </c>
      <c r="C22" s="2" t="s">
        <v>23</v>
      </c>
      <c r="E22" s="2">
        <v>80.0</v>
      </c>
      <c r="F22" s="2">
        <v>0.01</v>
      </c>
      <c r="I22" s="4"/>
      <c r="K22" s="2">
        <v>80.0</v>
      </c>
      <c r="N22" s="6">
        <v>42608.0</v>
      </c>
      <c r="O22" s="2" t="s">
        <v>226</v>
      </c>
      <c r="P22" s="2" t="s">
        <v>36</v>
      </c>
      <c r="Q22" s="2" t="s">
        <v>227</v>
      </c>
      <c r="S22" s="2" t="s">
        <v>39</v>
      </c>
    </row>
    <row r="23">
      <c r="A23" s="2">
        <v>22.0</v>
      </c>
      <c r="B23" s="2" t="s">
        <v>108</v>
      </c>
      <c r="C23" s="2" t="s">
        <v>23</v>
      </c>
      <c r="D23" s="2">
        <v>3.0</v>
      </c>
      <c r="E23" s="2">
        <v>70.0</v>
      </c>
      <c r="F23" s="2">
        <v>0.4</v>
      </c>
      <c r="H23" s="2" t="s">
        <v>112</v>
      </c>
      <c r="I23" s="4">
        <v>46226.39050925926</v>
      </c>
      <c r="J23" s="2" t="s">
        <v>113</v>
      </c>
      <c r="K23" s="2">
        <v>13000.0</v>
      </c>
      <c r="L23" s="2">
        <v>20.0</v>
      </c>
      <c r="M23" s="2">
        <v>20.0</v>
      </c>
      <c r="N23" s="6">
        <v>43447.0</v>
      </c>
      <c r="O23" s="2" t="s">
        <v>40</v>
      </c>
      <c r="P23" s="2" t="s">
        <v>36</v>
      </c>
      <c r="Q23" s="2" t="s">
        <v>117</v>
      </c>
      <c r="S23" s="2" t="s">
        <v>44</v>
      </c>
    </row>
    <row r="24">
      <c r="A24" s="2">
        <v>23.0</v>
      </c>
      <c r="B24" s="2" t="s">
        <v>27</v>
      </c>
      <c r="C24" s="2" t="s">
        <v>23</v>
      </c>
      <c r="D24" s="2">
        <v>39.0</v>
      </c>
      <c r="E24" s="2">
        <v>70.0</v>
      </c>
      <c r="F24" s="2">
        <v>0.15</v>
      </c>
      <c r="G24" s="2">
        <v>0.67</v>
      </c>
      <c r="H24" s="2" t="s">
        <v>123</v>
      </c>
      <c r="I24" s="4">
        <v>46229.03763888889</v>
      </c>
      <c r="J24" s="2" t="s">
        <v>34</v>
      </c>
      <c r="K24" s="2">
        <v>18000.0</v>
      </c>
      <c r="L24" s="2">
        <v>450.0</v>
      </c>
      <c r="M24" s="2">
        <v>450.0</v>
      </c>
      <c r="N24" s="6">
        <v>42332.0</v>
      </c>
      <c r="O24" s="2" t="s">
        <v>40</v>
      </c>
      <c r="P24" s="2" t="s">
        <v>36</v>
      </c>
      <c r="Q24" s="2" t="s">
        <v>128</v>
      </c>
      <c r="R24" s="2" t="s">
        <v>130</v>
      </c>
      <c r="S24" s="2" t="s">
        <v>132</v>
      </c>
    </row>
    <row r="25">
      <c r="A25" s="2">
        <v>24.0</v>
      </c>
      <c r="B25" s="2" t="s">
        <v>248</v>
      </c>
      <c r="C25" s="2" t="s">
        <v>23</v>
      </c>
      <c r="E25" s="2">
        <v>70.0</v>
      </c>
      <c r="F25" s="2">
        <v>0.8</v>
      </c>
      <c r="I25" s="4"/>
      <c r="K25" s="2">
        <v>70.0</v>
      </c>
      <c r="N25" s="6">
        <v>42252.0</v>
      </c>
      <c r="O25" s="2" t="s">
        <v>40</v>
      </c>
      <c r="P25" s="2" t="s">
        <v>36</v>
      </c>
      <c r="Q25" s="2" t="s">
        <v>252</v>
      </c>
      <c r="S25" s="2" t="s">
        <v>44</v>
      </c>
    </row>
    <row r="26">
      <c r="A26" s="2">
        <v>25.0</v>
      </c>
      <c r="B26" s="2" t="s">
        <v>255</v>
      </c>
      <c r="C26" s="2" t="s">
        <v>23</v>
      </c>
      <c r="E26" s="2">
        <v>70.0</v>
      </c>
      <c r="I26" s="4"/>
      <c r="K26" s="2">
        <v>18000.0</v>
      </c>
      <c r="N26" s="6">
        <v>42551.0</v>
      </c>
      <c r="Q26" s="2" t="s">
        <v>260</v>
      </c>
    </row>
    <row r="27">
      <c r="A27" s="2">
        <v>26.0</v>
      </c>
      <c r="B27" s="2" t="s">
        <v>262</v>
      </c>
      <c r="C27" s="2" t="s">
        <v>23</v>
      </c>
      <c r="E27" s="2">
        <v>70.0</v>
      </c>
      <c r="I27" s="4"/>
      <c r="K27" s="2">
        <v>70.0</v>
      </c>
      <c r="N27" s="6">
        <v>43822.0</v>
      </c>
      <c r="Q27" s="2" t="s">
        <v>266</v>
      </c>
    </row>
    <row r="28">
      <c r="A28" s="2">
        <v>27.0</v>
      </c>
      <c r="B28" s="2" t="s">
        <v>268</v>
      </c>
      <c r="C28" s="2" t="s">
        <v>23</v>
      </c>
      <c r="E28" s="2">
        <v>70.0</v>
      </c>
      <c r="I28" s="4"/>
      <c r="K28" s="2">
        <v>70.0</v>
      </c>
      <c r="N28" s="6">
        <v>45680.0</v>
      </c>
      <c r="Q28" s="2" t="s">
        <v>273</v>
      </c>
    </row>
    <row r="29">
      <c r="A29" s="2">
        <v>28.0</v>
      </c>
      <c r="B29" s="2" t="s">
        <v>275</v>
      </c>
      <c r="C29" s="2" t="s">
        <v>23</v>
      </c>
      <c r="E29" s="2">
        <v>60.0</v>
      </c>
      <c r="I29" s="4"/>
      <c r="K29" s="2">
        <v>150.0</v>
      </c>
      <c r="N29" s="6">
        <v>43887.0</v>
      </c>
      <c r="Q29" s="2" t="s">
        <v>278</v>
      </c>
    </row>
    <row r="30">
      <c r="A30" s="2">
        <v>29.0</v>
      </c>
      <c r="B30" s="2" t="s">
        <v>281</v>
      </c>
      <c r="C30" s="2" t="s">
        <v>23</v>
      </c>
      <c r="E30" s="2">
        <v>60.0</v>
      </c>
      <c r="I30" s="4"/>
      <c r="K30" s="2">
        <v>60.0</v>
      </c>
      <c r="N30" s="6">
        <v>42443.0</v>
      </c>
      <c r="Q30" s="2" t="s">
        <v>285</v>
      </c>
    </row>
    <row r="31">
      <c r="A31" s="2">
        <v>30.0</v>
      </c>
      <c r="B31" s="2" t="s">
        <v>287</v>
      </c>
      <c r="C31" s="2" t="s">
        <v>23</v>
      </c>
      <c r="E31" s="2">
        <v>60.0</v>
      </c>
      <c r="I31" s="4"/>
      <c r="K31" s="2">
        <v>60.0</v>
      </c>
      <c r="N31" s="6">
        <v>45680.0</v>
      </c>
      <c r="Q31" s="2" t="s">
        <v>291</v>
      </c>
    </row>
    <row r="32">
      <c r="A32" s="2">
        <v>31.0</v>
      </c>
      <c r="B32" s="2" t="s">
        <v>135</v>
      </c>
      <c r="C32" s="2" t="s">
        <v>23</v>
      </c>
      <c r="E32" s="2">
        <v>60.0</v>
      </c>
      <c r="I32" s="4"/>
      <c r="K32" s="2">
        <v>60.0</v>
      </c>
      <c r="N32" s="6">
        <v>42373.0</v>
      </c>
      <c r="Q32" s="2" t="s">
        <v>138</v>
      </c>
    </row>
    <row r="33">
      <c r="A33" s="2">
        <v>32.0</v>
      </c>
      <c r="B33" s="2" t="s">
        <v>299</v>
      </c>
      <c r="C33" s="2" t="s">
        <v>23</v>
      </c>
      <c r="E33" s="2">
        <v>60.0</v>
      </c>
      <c r="I33" s="4"/>
      <c r="K33" s="2">
        <v>60.0</v>
      </c>
      <c r="N33" s="6">
        <v>45680.0</v>
      </c>
      <c r="Q33" s="2" t="s">
        <v>303</v>
      </c>
    </row>
    <row r="34">
      <c r="A34" s="2">
        <v>33.0</v>
      </c>
      <c r="B34" s="2" t="s">
        <v>304</v>
      </c>
      <c r="C34" s="2" t="s">
        <v>23</v>
      </c>
      <c r="E34" s="2">
        <v>60.0</v>
      </c>
      <c r="I34" s="4"/>
      <c r="K34" s="2">
        <v>60.0</v>
      </c>
      <c r="N34" s="6">
        <v>42574.0</v>
      </c>
      <c r="Q34" s="2" t="s">
        <v>308</v>
      </c>
    </row>
    <row r="35">
      <c r="A35" s="2">
        <v>34.0</v>
      </c>
      <c r="B35" s="2" t="s">
        <v>311</v>
      </c>
      <c r="C35" s="2" t="s">
        <v>23</v>
      </c>
      <c r="E35" s="2">
        <v>60.0</v>
      </c>
      <c r="I35" s="4"/>
      <c r="K35" s="2">
        <v>60.0</v>
      </c>
      <c r="N35" s="6">
        <v>45680.0</v>
      </c>
      <c r="Q35" s="2" t="s">
        <v>316</v>
      </c>
    </row>
    <row r="36">
      <c r="A36" s="2">
        <v>35.0</v>
      </c>
      <c r="B36" s="2" t="s">
        <v>318</v>
      </c>
      <c r="C36" s="2" t="s">
        <v>23</v>
      </c>
      <c r="E36" s="2">
        <v>60.0</v>
      </c>
      <c r="I36" s="4"/>
      <c r="K36" s="2">
        <v>70.0</v>
      </c>
      <c r="N36" s="6">
        <v>43910.0</v>
      </c>
      <c r="Q36" s="2" t="s">
        <v>322</v>
      </c>
    </row>
    <row r="37">
      <c r="A37" s="2">
        <v>36.0</v>
      </c>
      <c r="B37" s="2" t="s">
        <v>325</v>
      </c>
      <c r="C37" s="2" t="s">
        <v>23</v>
      </c>
      <c r="E37" s="2">
        <v>60.0</v>
      </c>
      <c r="I37" s="4"/>
      <c r="K37" s="2">
        <v>70.0</v>
      </c>
      <c r="N37" s="6">
        <v>45428.0</v>
      </c>
      <c r="Q37" s="2" t="s">
        <v>328</v>
      </c>
    </row>
    <row r="38">
      <c r="A38" s="2">
        <v>37.0</v>
      </c>
      <c r="B38" s="2" t="s">
        <v>331</v>
      </c>
      <c r="C38" s="2" t="s">
        <v>23</v>
      </c>
      <c r="E38" s="2">
        <v>60.0</v>
      </c>
      <c r="F38" s="2">
        <v>0.1</v>
      </c>
      <c r="I38" s="4"/>
      <c r="K38" s="2">
        <v>80.0</v>
      </c>
      <c r="N38" s="6">
        <v>42255.0</v>
      </c>
      <c r="Q38" s="2" t="s">
        <v>336</v>
      </c>
    </row>
    <row r="39">
      <c r="A39" s="2">
        <v>38.0</v>
      </c>
      <c r="B39" s="2" t="s">
        <v>338</v>
      </c>
      <c r="C39" s="2" t="s">
        <v>23</v>
      </c>
      <c r="E39" s="2">
        <v>60.0</v>
      </c>
      <c r="F39" s="2">
        <v>0.25</v>
      </c>
      <c r="I39" s="4"/>
      <c r="K39" s="2">
        <v>400.0</v>
      </c>
      <c r="N39" s="6">
        <v>42312.0</v>
      </c>
      <c r="Q39" s="2" t="s">
        <v>342</v>
      </c>
    </row>
    <row r="40">
      <c r="A40" s="2">
        <v>39.0</v>
      </c>
      <c r="B40" s="2" t="s">
        <v>344</v>
      </c>
      <c r="C40" s="2" t="s">
        <v>23</v>
      </c>
      <c r="E40" s="2">
        <v>60.0</v>
      </c>
      <c r="I40" s="4"/>
      <c r="K40" s="2">
        <v>60.0</v>
      </c>
      <c r="N40" s="6">
        <v>42470.0</v>
      </c>
      <c r="Q40" s="2" t="s">
        <v>348</v>
      </c>
    </row>
    <row r="41">
      <c r="A41" s="2">
        <v>40.0</v>
      </c>
      <c r="B41" s="2" t="s">
        <v>350</v>
      </c>
      <c r="C41" s="2" t="s">
        <v>23</v>
      </c>
      <c r="E41" s="2">
        <v>50.0</v>
      </c>
      <c r="K41" s="2">
        <v>50.0</v>
      </c>
      <c r="N41" s="6">
        <v>42506.0</v>
      </c>
      <c r="Q41" s="2" t="s">
        <v>354</v>
      </c>
    </row>
    <row r="42">
      <c r="A42" s="2">
        <v>41.0</v>
      </c>
      <c r="B42" s="2" t="s">
        <v>357</v>
      </c>
      <c r="C42" s="2" t="s">
        <v>23</v>
      </c>
      <c r="E42" s="2">
        <v>50.0</v>
      </c>
      <c r="K42" s="2">
        <v>60.0</v>
      </c>
      <c r="N42" s="6">
        <v>42388.0</v>
      </c>
      <c r="Q42" s="2" t="s">
        <v>360</v>
      </c>
    </row>
    <row r="43">
      <c r="A43" s="2">
        <v>42.0</v>
      </c>
      <c r="B43" s="2" t="s">
        <v>362</v>
      </c>
      <c r="C43" s="2" t="s">
        <v>23</v>
      </c>
      <c r="E43" s="2">
        <v>50.0</v>
      </c>
      <c r="I43" s="4"/>
      <c r="K43" s="2">
        <v>50.0</v>
      </c>
      <c r="N43" s="6">
        <v>45680.0</v>
      </c>
      <c r="Q43" s="2" t="s">
        <v>366</v>
      </c>
    </row>
    <row r="44">
      <c r="A44" s="2">
        <v>43.0</v>
      </c>
      <c r="B44" s="2" t="s">
        <v>368</v>
      </c>
      <c r="C44" s="2" t="s">
        <v>23</v>
      </c>
      <c r="E44" s="2">
        <v>50.0</v>
      </c>
      <c r="K44" s="2">
        <v>50.0</v>
      </c>
      <c r="N44" s="6">
        <v>45680.0</v>
      </c>
      <c r="Q44" s="2" t="s">
        <v>372</v>
      </c>
    </row>
    <row r="45">
      <c r="A45" s="2">
        <v>44.0</v>
      </c>
      <c r="B45" s="2" t="s">
        <v>374</v>
      </c>
      <c r="C45" s="2" t="s">
        <v>23</v>
      </c>
      <c r="D45" s="2">
        <v>0.0</v>
      </c>
      <c r="E45" s="2">
        <v>50.0</v>
      </c>
      <c r="F45" s="2">
        <v>0.4</v>
      </c>
      <c r="H45" s="2" t="s">
        <v>137</v>
      </c>
      <c r="I45" s="4">
        <v>46208.81422453704</v>
      </c>
      <c r="J45" s="2" t="s">
        <v>142</v>
      </c>
      <c r="K45" s="2">
        <v>200.0</v>
      </c>
      <c r="L45" s="2">
        <v>400.0</v>
      </c>
      <c r="M45" s="2">
        <v>400.0</v>
      </c>
      <c r="N45" s="6">
        <v>43319.0</v>
      </c>
      <c r="O45" s="2" t="s">
        <v>40</v>
      </c>
      <c r="P45" s="2" t="s">
        <v>36</v>
      </c>
      <c r="Q45" s="2" t="s">
        <v>381</v>
      </c>
      <c r="S45" s="2" t="s">
        <v>146</v>
      </c>
    </row>
    <row r="46">
      <c r="A46" s="2">
        <v>45.0</v>
      </c>
      <c r="B46" s="2" t="s">
        <v>384</v>
      </c>
      <c r="C46" s="2" t="s">
        <v>23</v>
      </c>
      <c r="E46" s="2">
        <v>40.0</v>
      </c>
      <c r="I46" s="4"/>
      <c r="K46" s="2">
        <v>40.0</v>
      </c>
      <c r="N46" s="6">
        <v>43202.0</v>
      </c>
      <c r="Q46" s="2" t="s">
        <v>388</v>
      </c>
    </row>
    <row r="47">
      <c r="A47" s="2">
        <v>46.0</v>
      </c>
      <c r="B47" s="2" t="s">
        <v>390</v>
      </c>
      <c r="C47" s="2" t="s">
        <v>23</v>
      </c>
      <c r="E47" s="2">
        <v>40.0</v>
      </c>
      <c r="I47" s="4"/>
      <c r="K47" s="2">
        <v>40.0</v>
      </c>
      <c r="N47" s="6">
        <v>44127.0</v>
      </c>
      <c r="Q47" s="2" t="s">
        <v>394</v>
      </c>
    </row>
    <row r="48">
      <c r="A48" s="2">
        <v>47.0</v>
      </c>
      <c r="B48" s="2" t="s">
        <v>396</v>
      </c>
      <c r="C48" s="2" t="s">
        <v>23</v>
      </c>
      <c r="D48" s="2">
        <v>0.0</v>
      </c>
      <c r="E48" s="2">
        <v>40.0</v>
      </c>
      <c r="F48" s="2">
        <v>0.2</v>
      </c>
      <c r="H48" s="2" t="s">
        <v>396</v>
      </c>
      <c r="I48" s="4">
        <v>46219.35659722222</v>
      </c>
      <c r="J48" s="2" t="s">
        <v>400</v>
      </c>
      <c r="K48" s="2">
        <v>40.0</v>
      </c>
      <c r="L48" s="2">
        <v>40.0</v>
      </c>
      <c r="M48" s="2">
        <v>40.0</v>
      </c>
      <c r="N48" s="6">
        <v>42844.0</v>
      </c>
      <c r="O48" s="2" t="s">
        <v>49</v>
      </c>
      <c r="P48" s="2" t="s">
        <v>36</v>
      </c>
      <c r="Q48" s="2" t="s">
        <v>405</v>
      </c>
      <c r="S48" s="2" t="s">
        <v>59</v>
      </c>
    </row>
    <row r="49">
      <c r="A49" s="2">
        <v>48.0</v>
      </c>
      <c r="B49" s="2" t="s">
        <v>408</v>
      </c>
      <c r="C49" s="2" t="s">
        <v>23</v>
      </c>
      <c r="E49" s="2">
        <v>40.0</v>
      </c>
      <c r="I49" s="4"/>
      <c r="K49" s="2">
        <v>40.0</v>
      </c>
      <c r="N49" s="6">
        <v>43023.0</v>
      </c>
      <c r="Q49" s="2" t="s">
        <v>410</v>
      </c>
    </row>
    <row r="50">
      <c r="A50" s="2">
        <v>49.0</v>
      </c>
      <c r="B50" s="2" t="s">
        <v>414</v>
      </c>
      <c r="C50" s="2" t="s">
        <v>23</v>
      </c>
      <c r="E50" s="2">
        <v>40.0</v>
      </c>
      <c r="I50" s="4"/>
      <c r="K50" s="2">
        <v>40.0</v>
      </c>
      <c r="N50" s="6">
        <v>43047.0</v>
      </c>
      <c r="Q50" s="2" t="s">
        <v>417</v>
      </c>
    </row>
    <row r="51">
      <c r="A51" s="2">
        <v>50.0</v>
      </c>
      <c r="B51" s="2" t="s">
        <v>420</v>
      </c>
      <c r="C51" s="2" t="s">
        <v>23</v>
      </c>
      <c r="E51" s="2">
        <v>40.0</v>
      </c>
      <c r="I51" s="4"/>
      <c r="K51" s="2">
        <v>40.0</v>
      </c>
      <c r="N51" s="6">
        <v>44542.0</v>
      </c>
      <c r="Q51" s="2" t="s">
        <v>425</v>
      </c>
    </row>
    <row r="52">
      <c r="A52" s="2">
        <v>51.0</v>
      </c>
      <c r="B52" s="2" t="s">
        <v>150</v>
      </c>
      <c r="C52" s="2" t="s">
        <v>23</v>
      </c>
      <c r="E52" s="2">
        <v>40.0</v>
      </c>
      <c r="F52" s="2">
        <v>0.35</v>
      </c>
      <c r="K52" s="2">
        <v>50.0</v>
      </c>
      <c r="N52" s="6">
        <v>42583.0</v>
      </c>
      <c r="O52" s="2" t="s">
        <v>40</v>
      </c>
      <c r="P52" s="2" t="s">
        <v>36</v>
      </c>
      <c r="Q52" s="2" t="s">
        <v>152</v>
      </c>
      <c r="S52" s="2" t="s">
        <v>153</v>
      </c>
    </row>
    <row r="53">
      <c r="A53" s="2">
        <v>52.0</v>
      </c>
      <c r="B53" s="2" t="s">
        <v>433</v>
      </c>
      <c r="C53" s="2" t="s">
        <v>23</v>
      </c>
      <c r="E53" s="2">
        <v>40.0</v>
      </c>
      <c r="K53" s="2">
        <v>150.0</v>
      </c>
      <c r="N53" s="6">
        <v>44451.0</v>
      </c>
      <c r="Q53" s="2" t="s">
        <v>436</v>
      </c>
    </row>
    <row r="54">
      <c r="A54" s="2">
        <v>53.0</v>
      </c>
      <c r="B54" s="2" t="s">
        <v>438</v>
      </c>
      <c r="C54" s="2" t="s">
        <v>23</v>
      </c>
      <c r="E54" s="2">
        <v>40.0</v>
      </c>
      <c r="K54" s="2">
        <v>1000.0</v>
      </c>
      <c r="N54" s="6">
        <v>42460.0</v>
      </c>
      <c r="Q54" s="2" t="s">
        <v>442</v>
      </c>
    </row>
    <row r="55">
      <c r="A55" s="2">
        <v>54.0</v>
      </c>
      <c r="B55" s="2" t="s">
        <v>444</v>
      </c>
      <c r="C55" s="2" t="s">
        <v>23</v>
      </c>
      <c r="E55" s="2">
        <v>40.0</v>
      </c>
      <c r="F55" s="2">
        <v>0.2</v>
      </c>
      <c r="K55" s="2">
        <v>1900.0</v>
      </c>
      <c r="N55" s="6">
        <v>42457.0</v>
      </c>
      <c r="Q55" s="2" t="s">
        <v>449</v>
      </c>
    </row>
    <row r="56">
      <c r="A56" s="2">
        <v>55.0</v>
      </c>
      <c r="B56" s="2" t="s">
        <v>452</v>
      </c>
      <c r="C56" s="2" t="s">
        <v>23</v>
      </c>
      <c r="E56" s="2">
        <v>40.0</v>
      </c>
      <c r="F56" s="2">
        <v>0.5</v>
      </c>
      <c r="K56" s="2">
        <v>300.0</v>
      </c>
      <c r="N56" s="6">
        <v>43772.0</v>
      </c>
      <c r="Q56" s="2" t="s">
        <v>456</v>
      </c>
    </row>
    <row r="57">
      <c r="A57" s="2">
        <v>56.0</v>
      </c>
      <c r="B57" s="2" t="s">
        <v>457</v>
      </c>
      <c r="C57" s="2" t="s">
        <v>23</v>
      </c>
      <c r="E57" s="2">
        <v>40.0</v>
      </c>
      <c r="F57" s="2">
        <v>0.2</v>
      </c>
      <c r="I57" s="4"/>
      <c r="K57" s="2">
        <v>50.0</v>
      </c>
      <c r="N57" s="6">
        <v>42578.0</v>
      </c>
      <c r="Q57" s="2" t="s">
        <v>462</v>
      </c>
    </row>
    <row r="58">
      <c r="A58" s="2">
        <v>57.0</v>
      </c>
      <c r="B58" s="2" t="s">
        <v>464</v>
      </c>
      <c r="C58" s="2" t="s">
        <v>23</v>
      </c>
      <c r="E58" s="2">
        <v>30.0</v>
      </c>
      <c r="F58" s="2">
        <v>0.02</v>
      </c>
      <c r="K58" s="2">
        <v>30.0</v>
      </c>
      <c r="N58" s="6">
        <v>42366.0</v>
      </c>
      <c r="O58" s="2" t="s">
        <v>49</v>
      </c>
      <c r="P58" s="2" t="s">
        <v>36</v>
      </c>
      <c r="Q58" s="2" t="s">
        <v>468</v>
      </c>
      <c r="S58" s="2" t="s">
        <v>39</v>
      </c>
    </row>
    <row r="59">
      <c r="A59" s="2">
        <v>58.0</v>
      </c>
      <c r="B59" s="2" t="s">
        <v>470</v>
      </c>
      <c r="C59" s="2" t="s">
        <v>23</v>
      </c>
      <c r="E59" s="2">
        <v>30.0</v>
      </c>
      <c r="G59" s="2">
        <v>0.85</v>
      </c>
      <c r="I59" s="4"/>
      <c r="K59" s="2">
        <v>70.0</v>
      </c>
      <c r="N59" s="6">
        <v>42286.0</v>
      </c>
      <c r="O59" s="2" t="s">
        <v>102</v>
      </c>
      <c r="P59" s="2" t="s">
        <v>36</v>
      </c>
      <c r="Q59" s="2" t="s">
        <v>474</v>
      </c>
      <c r="S59" s="2" t="s">
        <v>107</v>
      </c>
    </row>
    <row r="60">
      <c r="A60" s="2">
        <v>59.0</v>
      </c>
      <c r="B60" s="2" t="s">
        <v>479</v>
      </c>
      <c r="C60" s="2" t="s">
        <v>23</v>
      </c>
      <c r="E60" s="2">
        <v>30.0</v>
      </c>
      <c r="I60" s="4"/>
      <c r="K60" s="2">
        <v>30.0</v>
      </c>
      <c r="N60" s="6">
        <v>44804.0</v>
      </c>
      <c r="Q60" s="2" t="s">
        <v>483</v>
      </c>
    </row>
    <row r="61">
      <c r="A61" s="2">
        <v>60.0</v>
      </c>
      <c r="B61" s="2" t="s">
        <v>484</v>
      </c>
      <c r="C61" s="2" t="s">
        <v>23</v>
      </c>
      <c r="D61" s="2">
        <v>0.0</v>
      </c>
      <c r="E61" s="2">
        <v>30.0</v>
      </c>
      <c r="F61" s="2">
        <v>0.01</v>
      </c>
      <c r="H61" s="2" t="s">
        <v>489</v>
      </c>
      <c r="I61" s="4">
        <v>46236.559583333335</v>
      </c>
      <c r="K61" s="2">
        <v>30.0</v>
      </c>
      <c r="L61" s="2">
        <v>200.0</v>
      </c>
      <c r="M61" s="2">
        <v>200.0</v>
      </c>
      <c r="N61" s="6">
        <v>42432.0</v>
      </c>
      <c r="O61" s="2" t="s">
        <v>35</v>
      </c>
      <c r="P61" s="2" t="s">
        <v>36</v>
      </c>
      <c r="Q61" s="2" t="s">
        <v>494</v>
      </c>
      <c r="S61" s="2" t="s">
        <v>39</v>
      </c>
    </row>
    <row r="62">
      <c r="A62" s="2">
        <v>61.0</v>
      </c>
      <c r="B62" s="2" t="s">
        <v>496</v>
      </c>
      <c r="C62" s="2" t="s">
        <v>23</v>
      </c>
      <c r="E62" s="2">
        <v>30.0</v>
      </c>
      <c r="I62" s="4"/>
      <c r="K62" s="2">
        <v>2100.0</v>
      </c>
      <c r="N62" s="6">
        <v>42817.0</v>
      </c>
      <c r="Q62" s="2" t="s">
        <v>501</v>
      </c>
    </row>
    <row r="63">
      <c r="A63" s="2">
        <v>62.0</v>
      </c>
      <c r="B63" s="2" t="s">
        <v>504</v>
      </c>
      <c r="C63" s="2" t="s">
        <v>23</v>
      </c>
      <c r="E63" s="2">
        <v>30.0</v>
      </c>
      <c r="K63" s="2">
        <v>80.0</v>
      </c>
      <c r="N63" s="6">
        <v>44317.0</v>
      </c>
      <c r="Q63" s="2" t="s">
        <v>507</v>
      </c>
    </row>
    <row r="64">
      <c r="A64" s="2">
        <v>63.0</v>
      </c>
      <c r="B64" s="2" t="s">
        <v>509</v>
      </c>
      <c r="C64" s="2" t="s">
        <v>23</v>
      </c>
      <c r="E64" s="2">
        <v>30.0</v>
      </c>
      <c r="I64" s="4"/>
      <c r="K64" s="2">
        <v>30.0</v>
      </c>
      <c r="N64" s="6">
        <v>43251.0</v>
      </c>
      <c r="O64" s="2" t="s">
        <v>514</v>
      </c>
      <c r="P64" s="2" t="s">
        <v>36</v>
      </c>
      <c r="Q64" s="2" t="s">
        <v>517</v>
      </c>
      <c r="S64" s="2" t="s">
        <v>131</v>
      </c>
    </row>
    <row r="65">
      <c r="A65" s="2">
        <v>64.0</v>
      </c>
      <c r="B65" s="2" t="s">
        <v>520</v>
      </c>
      <c r="C65" s="2" t="s">
        <v>23</v>
      </c>
      <c r="E65" s="2">
        <v>30.0</v>
      </c>
      <c r="F65" s="2">
        <v>0.02</v>
      </c>
      <c r="K65" s="2">
        <v>30.0</v>
      </c>
      <c r="N65" s="6">
        <v>42461.0</v>
      </c>
      <c r="Q65" s="2" t="s">
        <v>523</v>
      </c>
    </row>
    <row r="66">
      <c r="A66" s="2">
        <v>65.0</v>
      </c>
      <c r="B66" s="2" t="s">
        <v>526</v>
      </c>
      <c r="C66" s="2" t="s">
        <v>23</v>
      </c>
      <c r="D66" s="2">
        <v>40.0</v>
      </c>
      <c r="E66" s="2">
        <v>30.0</v>
      </c>
      <c r="F66" s="2">
        <v>0.15</v>
      </c>
      <c r="H66" s="2" t="s">
        <v>529</v>
      </c>
      <c r="I66" s="4">
        <v>46220.06664351852</v>
      </c>
      <c r="J66" s="2" t="s">
        <v>530</v>
      </c>
      <c r="K66" s="2">
        <v>30.0</v>
      </c>
      <c r="L66" s="2">
        <v>150.0</v>
      </c>
      <c r="M66" s="2">
        <v>150.0</v>
      </c>
      <c r="N66" s="6">
        <v>42458.0</v>
      </c>
      <c r="O66" s="2" t="s">
        <v>40</v>
      </c>
      <c r="P66" s="2" t="s">
        <v>36</v>
      </c>
      <c r="Q66" s="2" t="s">
        <v>535</v>
      </c>
      <c r="S66" s="2" t="s">
        <v>537</v>
      </c>
    </row>
    <row r="67">
      <c r="A67" s="2">
        <v>66.0</v>
      </c>
      <c r="B67" s="2" t="s">
        <v>539</v>
      </c>
      <c r="C67" s="2" t="s">
        <v>23</v>
      </c>
      <c r="D67" s="2">
        <v>0.0</v>
      </c>
      <c r="E67" s="2">
        <v>30.0</v>
      </c>
      <c r="F67" s="2">
        <v>0.25</v>
      </c>
      <c r="H67" s="2" t="s">
        <v>543</v>
      </c>
      <c r="I67" s="4">
        <v>46217.96613425926</v>
      </c>
      <c r="J67" s="2" t="s">
        <v>545</v>
      </c>
      <c r="K67" s="2">
        <v>2500.0</v>
      </c>
      <c r="L67" s="2">
        <v>10.0</v>
      </c>
      <c r="M67" s="2">
        <v>10.0</v>
      </c>
      <c r="N67" s="6">
        <v>42322.0</v>
      </c>
      <c r="O67" s="2" t="s">
        <v>49</v>
      </c>
      <c r="P67" s="2" t="s">
        <v>36</v>
      </c>
      <c r="Q67" s="2" t="s">
        <v>549</v>
      </c>
      <c r="S67" s="2" t="s">
        <v>59</v>
      </c>
    </row>
    <row r="68">
      <c r="A68" s="2">
        <v>67.0</v>
      </c>
      <c r="B68" s="2" t="s">
        <v>552</v>
      </c>
      <c r="C68" s="2" t="s">
        <v>23</v>
      </c>
      <c r="D68" s="2">
        <v>0.0</v>
      </c>
      <c r="E68" s="2">
        <v>30.0</v>
      </c>
      <c r="F68" s="2">
        <v>0.01</v>
      </c>
      <c r="H68" s="2" t="s">
        <v>552</v>
      </c>
      <c r="I68" s="4">
        <v>46216.7896412037</v>
      </c>
      <c r="J68" s="2" t="s">
        <v>556</v>
      </c>
      <c r="K68" s="2">
        <v>30.0</v>
      </c>
      <c r="L68" s="2">
        <v>20.0</v>
      </c>
      <c r="M68" s="2">
        <v>20.0</v>
      </c>
      <c r="N68" s="6">
        <v>42408.0</v>
      </c>
      <c r="O68" s="2" t="s">
        <v>560</v>
      </c>
      <c r="P68" s="2" t="s">
        <v>36</v>
      </c>
      <c r="Q68" s="2" t="s">
        <v>562</v>
      </c>
      <c r="S68" s="2" t="s">
        <v>564</v>
      </c>
    </row>
    <row r="69">
      <c r="A69" s="2">
        <v>68.0</v>
      </c>
      <c r="B69" s="2" t="s">
        <v>567</v>
      </c>
      <c r="C69" s="2" t="s">
        <v>23</v>
      </c>
      <c r="E69" s="2">
        <v>30.0</v>
      </c>
      <c r="K69" s="2">
        <v>30.0</v>
      </c>
      <c r="N69" s="6">
        <v>42303.0</v>
      </c>
      <c r="Q69" s="2" t="s">
        <v>571</v>
      </c>
    </row>
    <row r="70">
      <c r="A70" s="2">
        <v>69.0</v>
      </c>
      <c r="B70" s="2" t="s">
        <v>572</v>
      </c>
      <c r="C70" s="2" t="s">
        <v>23</v>
      </c>
      <c r="E70" s="2">
        <v>30.0</v>
      </c>
      <c r="I70" s="4"/>
      <c r="K70" s="2">
        <v>1500.0</v>
      </c>
      <c r="N70" s="6">
        <v>43861.0</v>
      </c>
      <c r="Q70" s="2" t="s">
        <v>577</v>
      </c>
    </row>
    <row r="71">
      <c r="A71" s="2">
        <v>70.0</v>
      </c>
      <c r="B71" s="2" t="s">
        <v>579</v>
      </c>
      <c r="C71" s="2" t="s">
        <v>23</v>
      </c>
      <c r="D71" s="2">
        <v>0.0</v>
      </c>
      <c r="E71" s="2">
        <v>30.0</v>
      </c>
      <c r="F71" s="2">
        <v>0.01</v>
      </c>
      <c r="H71" s="2" t="s">
        <v>579</v>
      </c>
      <c r="I71" s="4">
        <v>46212.05877314815</v>
      </c>
      <c r="K71" s="2">
        <v>30.0</v>
      </c>
      <c r="L71" s="2">
        <v>10.0</v>
      </c>
      <c r="M71" s="2">
        <v>10.0</v>
      </c>
      <c r="N71" s="6">
        <v>43376.0</v>
      </c>
      <c r="O71" s="2" t="s">
        <v>49</v>
      </c>
      <c r="P71" s="2" t="s">
        <v>36</v>
      </c>
      <c r="Q71" s="2" t="s">
        <v>586</v>
      </c>
      <c r="S71" s="2" t="s">
        <v>39</v>
      </c>
    </row>
    <row r="72">
      <c r="A72" s="2">
        <v>71.0</v>
      </c>
      <c r="B72" s="2" t="s">
        <v>588</v>
      </c>
      <c r="C72" s="2" t="s">
        <v>23</v>
      </c>
      <c r="E72" s="2">
        <v>20.0</v>
      </c>
      <c r="K72" s="2">
        <v>20.0</v>
      </c>
      <c r="N72" s="6">
        <v>43613.0</v>
      </c>
      <c r="Q72" s="2" t="s">
        <v>590</v>
      </c>
    </row>
    <row r="73">
      <c r="A73" s="2">
        <v>72.0</v>
      </c>
      <c r="B73" s="2" t="s">
        <v>591</v>
      </c>
      <c r="C73" s="2" t="s">
        <v>23</v>
      </c>
      <c r="E73" s="2">
        <v>20.0</v>
      </c>
      <c r="K73" s="2">
        <v>150.0</v>
      </c>
      <c r="N73" s="6">
        <v>43780.0</v>
      </c>
      <c r="Q73" s="2" t="s">
        <v>594</v>
      </c>
    </row>
    <row r="74">
      <c r="A74" s="2">
        <v>73.0</v>
      </c>
      <c r="B74" s="2" t="s">
        <v>596</v>
      </c>
      <c r="C74" s="2" t="s">
        <v>23</v>
      </c>
      <c r="E74" s="2">
        <v>20.0</v>
      </c>
      <c r="K74" s="2">
        <v>20.0</v>
      </c>
      <c r="N74" s="6">
        <v>42622.0</v>
      </c>
      <c r="Q74" s="2" t="s">
        <v>598</v>
      </c>
    </row>
    <row r="75">
      <c r="A75" s="2">
        <v>74.0</v>
      </c>
      <c r="B75" s="2" t="s">
        <v>600</v>
      </c>
      <c r="C75" s="2" t="s">
        <v>23</v>
      </c>
      <c r="E75" s="2">
        <v>20.0</v>
      </c>
      <c r="F75" s="2">
        <v>2.5</v>
      </c>
      <c r="K75" s="2">
        <v>1200.0</v>
      </c>
      <c r="N75" s="6">
        <v>43842.0</v>
      </c>
      <c r="Q75" s="2" t="s">
        <v>603</v>
      </c>
    </row>
    <row r="76">
      <c r="A76" s="2">
        <v>75.0</v>
      </c>
      <c r="B76" s="2" t="s">
        <v>604</v>
      </c>
      <c r="C76" s="2" t="s">
        <v>23</v>
      </c>
      <c r="E76" s="2">
        <v>20.0</v>
      </c>
      <c r="K76" s="2">
        <v>90.0</v>
      </c>
      <c r="N76" s="6">
        <v>43858.0</v>
      </c>
      <c r="Q76" s="2" t="s">
        <v>607</v>
      </c>
    </row>
    <row r="77">
      <c r="A77" s="2">
        <v>76.0</v>
      </c>
      <c r="B77" s="2" t="s">
        <v>609</v>
      </c>
      <c r="C77" s="2" t="s">
        <v>23</v>
      </c>
      <c r="E77" s="2">
        <v>20.0</v>
      </c>
      <c r="K77" s="2">
        <v>20.0</v>
      </c>
      <c r="N77" s="6">
        <v>42600.0</v>
      </c>
      <c r="Q77" s="2" t="s">
        <v>611</v>
      </c>
    </row>
    <row r="78">
      <c r="A78" s="2">
        <v>77.0</v>
      </c>
      <c r="B78" s="2" t="s">
        <v>613</v>
      </c>
      <c r="C78" s="2" t="s">
        <v>23</v>
      </c>
      <c r="E78" s="2">
        <v>20.0</v>
      </c>
      <c r="I78" s="4"/>
      <c r="K78" s="2">
        <v>20.0</v>
      </c>
      <c r="N78" s="6">
        <v>42548.0</v>
      </c>
      <c r="Q78" s="2" t="s">
        <v>615</v>
      </c>
    </row>
    <row r="79">
      <c r="A79" s="2">
        <v>78.0</v>
      </c>
      <c r="B79" s="2" t="s">
        <v>617</v>
      </c>
      <c r="C79" s="2" t="s">
        <v>23</v>
      </c>
      <c r="E79" s="2">
        <v>20.0</v>
      </c>
      <c r="K79" s="2">
        <v>20.0</v>
      </c>
      <c r="N79" s="6">
        <v>42933.0</v>
      </c>
      <c r="Q79" s="2" t="s">
        <v>619</v>
      </c>
    </row>
    <row r="80">
      <c r="A80" s="2">
        <v>79.0</v>
      </c>
      <c r="B80" s="2" t="s">
        <v>621</v>
      </c>
      <c r="C80" s="2" t="s">
        <v>23</v>
      </c>
      <c r="E80" s="2">
        <v>20.0</v>
      </c>
      <c r="K80" s="2">
        <v>20.0</v>
      </c>
      <c r="N80" s="6">
        <v>43787.0</v>
      </c>
      <c r="Q80" s="2" t="s">
        <v>624</v>
      </c>
    </row>
    <row r="81">
      <c r="A81" s="2">
        <v>80.0</v>
      </c>
      <c r="B81" s="2" t="s">
        <v>626</v>
      </c>
      <c r="C81" s="2" t="s">
        <v>23</v>
      </c>
      <c r="E81" s="2">
        <v>20.0</v>
      </c>
      <c r="K81" s="2">
        <v>40.0</v>
      </c>
      <c r="N81" s="6">
        <v>45576.0</v>
      </c>
      <c r="Q81" s="2" t="s">
        <v>628</v>
      </c>
    </row>
    <row r="82">
      <c r="A82" s="2">
        <v>81.0</v>
      </c>
      <c r="B82" s="2" t="s">
        <v>629</v>
      </c>
      <c r="C82" s="2" t="s">
        <v>23</v>
      </c>
      <c r="E82" s="2">
        <v>20.0</v>
      </c>
      <c r="K82" s="2">
        <v>30.0</v>
      </c>
      <c r="N82" s="6">
        <v>44187.0</v>
      </c>
      <c r="Q82" s="2" t="s">
        <v>632</v>
      </c>
    </row>
    <row r="83">
      <c r="A83" s="2">
        <v>82.0</v>
      </c>
      <c r="B83" s="2" t="s">
        <v>633</v>
      </c>
      <c r="C83" s="2" t="s">
        <v>23</v>
      </c>
      <c r="E83" s="2">
        <v>20.0</v>
      </c>
      <c r="F83" s="2">
        <v>0.1</v>
      </c>
      <c r="K83" s="2">
        <v>1800.0</v>
      </c>
      <c r="N83" s="6">
        <v>42462.0</v>
      </c>
      <c r="Q83" s="2" t="s">
        <v>636</v>
      </c>
    </row>
    <row r="84">
      <c r="A84" s="2">
        <v>83.0</v>
      </c>
      <c r="B84" s="2" t="s">
        <v>638</v>
      </c>
      <c r="C84" s="2" t="s">
        <v>23</v>
      </c>
      <c r="E84" s="2">
        <v>20.0</v>
      </c>
      <c r="K84" s="2">
        <v>20.0</v>
      </c>
      <c r="N84" s="6">
        <v>42844.0</v>
      </c>
      <c r="Q84" s="2" t="s">
        <v>641</v>
      </c>
    </row>
    <row r="85">
      <c r="A85" s="2">
        <v>84.0</v>
      </c>
      <c r="B85" s="2" t="s">
        <v>642</v>
      </c>
      <c r="C85" s="2" t="s">
        <v>23</v>
      </c>
      <c r="E85" s="2">
        <v>20.0</v>
      </c>
      <c r="K85" s="2">
        <v>20.0</v>
      </c>
      <c r="N85" s="6">
        <v>42823.0</v>
      </c>
      <c r="Q85" s="2" t="s">
        <v>644</v>
      </c>
    </row>
    <row r="86">
      <c r="A86" s="2">
        <v>85.0</v>
      </c>
      <c r="B86" s="2" t="s">
        <v>646</v>
      </c>
      <c r="C86" s="2" t="s">
        <v>23</v>
      </c>
      <c r="E86" s="2">
        <v>20.0</v>
      </c>
      <c r="F86" s="2">
        <v>0.01</v>
      </c>
      <c r="K86" s="2">
        <v>20.0</v>
      </c>
      <c r="N86" s="6">
        <v>42421.0</v>
      </c>
      <c r="Q86" s="2" t="s">
        <v>648</v>
      </c>
    </row>
    <row r="87">
      <c r="A87" s="2">
        <v>86.0</v>
      </c>
      <c r="B87" s="2" t="s">
        <v>161</v>
      </c>
      <c r="C87" s="2" t="s">
        <v>23</v>
      </c>
      <c r="E87" s="2">
        <v>20.0</v>
      </c>
      <c r="F87" s="2">
        <v>0.2</v>
      </c>
      <c r="K87" s="2">
        <v>4000.0</v>
      </c>
      <c r="N87" s="6">
        <v>42759.0</v>
      </c>
      <c r="O87" s="2" t="s">
        <v>102</v>
      </c>
      <c r="P87" s="2" t="s">
        <v>36</v>
      </c>
      <c r="Q87" s="2" t="s">
        <v>165</v>
      </c>
      <c r="S87" s="2" t="s">
        <v>59</v>
      </c>
    </row>
    <row r="88">
      <c r="A88" s="2">
        <v>87.0</v>
      </c>
      <c r="B88" s="2" t="s">
        <v>653</v>
      </c>
      <c r="C88" s="2" t="s">
        <v>23</v>
      </c>
      <c r="E88" s="2">
        <v>20.0</v>
      </c>
      <c r="F88" s="2">
        <v>0.35</v>
      </c>
      <c r="K88" s="2">
        <v>90.0</v>
      </c>
      <c r="N88" s="6">
        <v>42381.0</v>
      </c>
      <c r="O88" s="2" t="s">
        <v>655</v>
      </c>
      <c r="P88" s="2" t="s">
        <v>36</v>
      </c>
      <c r="Q88" s="2" t="s">
        <v>657</v>
      </c>
      <c r="S88" s="2" t="s">
        <v>658</v>
      </c>
    </row>
    <row r="89">
      <c r="A89" s="2">
        <v>88.0</v>
      </c>
      <c r="B89" s="2" t="s">
        <v>660</v>
      </c>
      <c r="C89" s="2" t="s">
        <v>23</v>
      </c>
      <c r="E89" s="2">
        <v>20.0</v>
      </c>
      <c r="K89" s="2">
        <v>20.0</v>
      </c>
      <c r="N89" s="6">
        <v>42504.0</v>
      </c>
      <c r="Q89" s="2" t="s">
        <v>662</v>
      </c>
    </row>
    <row r="90">
      <c r="A90" s="2">
        <v>89.0</v>
      </c>
      <c r="B90" s="2" t="s">
        <v>664</v>
      </c>
      <c r="C90" s="2" t="s">
        <v>23</v>
      </c>
      <c r="D90" s="2">
        <v>0.0</v>
      </c>
      <c r="E90" s="2">
        <v>20.0</v>
      </c>
      <c r="F90" s="2">
        <v>0.4</v>
      </c>
      <c r="H90" s="2" t="s">
        <v>666</v>
      </c>
      <c r="I90" s="4">
        <v>46233.76037037037</v>
      </c>
      <c r="J90" s="2" t="s">
        <v>113</v>
      </c>
      <c r="K90" s="2">
        <v>250.0</v>
      </c>
      <c r="L90" s="2">
        <v>150.0</v>
      </c>
      <c r="M90" s="2">
        <v>150.0</v>
      </c>
      <c r="N90" s="6">
        <v>42445.0</v>
      </c>
      <c r="O90" s="2" t="s">
        <v>40</v>
      </c>
      <c r="P90" s="2" t="s">
        <v>36</v>
      </c>
      <c r="Q90" s="2" t="s">
        <v>671</v>
      </c>
      <c r="S90" s="2" t="s">
        <v>146</v>
      </c>
    </row>
    <row r="91">
      <c r="A91" s="2">
        <v>90.0</v>
      </c>
      <c r="B91" s="2" t="s">
        <v>672</v>
      </c>
      <c r="C91" s="2" t="s">
        <v>23</v>
      </c>
      <c r="E91" s="2">
        <v>20.0</v>
      </c>
      <c r="F91" s="2">
        <v>0.2</v>
      </c>
      <c r="K91" s="2">
        <v>20.0</v>
      </c>
      <c r="N91" s="6">
        <v>44726.0</v>
      </c>
      <c r="Q91" s="2" t="s">
        <v>675</v>
      </c>
    </row>
    <row r="92">
      <c r="A92" s="2">
        <v>91.0</v>
      </c>
      <c r="B92" s="2" t="s">
        <v>676</v>
      </c>
      <c r="C92" s="2" t="s">
        <v>23</v>
      </c>
      <c r="E92" s="2">
        <v>20.0</v>
      </c>
      <c r="K92" s="2">
        <v>20.0</v>
      </c>
      <c r="N92" s="6">
        <v>43869.0</v>
      </c>
      <c r="Q92" s="2" t="s">
        <v>679</v>
      </c>
    </row>
    <row r="93">
      <c r="A93" s="2">
        <v>92.0</v>
      </c>
      <c r="B93" s="2" t="s">
        <v>680</v>
      </c>
      <c r="C93" s="2" t="s">
        <v>23</v>
      </c>
      <c r="E93" s="2">
        <v>20.0</v>
      </c>
      <c r="K93" s="2">
        <v>20.0</v>
      </c>
      <c r="N93" s="6">
        <v>43024.0</v>
      </c>
      <c r="Q93" s="2" t="s">
        <v>682</v>
      </c>
    </row>
    <row r="94">
      <c r="A94" s="2">
        <v>93.0</v>
      </c>
      <c r="B94" s="2" t="s">
        <v>684</v>
      </c>
      <c r="C94" s="2" t="s">
        <v>23</v>
      </c>
      <c r="E94" s="2">
        <v>20.0</v>
      </c>
      <c r="K94" s="2">
        <v>20.0</v>
      </c>
      <c r="N94" s="6">
        <v>42367.0</v>
      </c>
      <c r="Q94" s="2" t="s">
        <v>686</v>
      </c>
    </row>
    <row r="95">
      <c r="A95" s="2">
        <v>94.0</v>
      </c>
      <c r="B95" s="2" t="s">
        <v>167</v>
      </c>
      <c r="C95" s="2" t="s">
        <v>23</v>
      </c>
      <c r="D95" s="2">
        <v>1.0</v>
      </c>
      <c r="E95" s="2">
        <v>20.0</v>
      </c>
      <c r="F95" s="2">
        <v>0.45</v>
      </c>
      <c r="H95" s="2" t="s">
        <v>171</v>
      </c>
      <c r="I95" s="4">
        <v>46233.345300925925</v>
      </c>
      <c r="J95" s="2" t="s">
        <v>34</v>
      </c>
      <c r="K95" s="2">
        <v>3200.0</v>
      </c>
      <c r="L95" s="2">
        <v>30.0</v>
      </c>
      <c r="M95" s="2">
        <v>30.0</v>
      </c>
      <c r="N95" s="6">
        <v>43843.0</v>
      </c>
      <c r="O95" s="2" t="s">
        <v>40</v>
      </c>
      <c r="P95" s="2" t="s">
        <v>36</v>
      </c>
      <c r="Q95" s="2" t="s">
        <v>174</v>
      </c>
      <c r="S95" s="2" t="s">
        <v>132</v>
      </c>
    </row>
    <row r="96">
      <c r="A96" s="2">
        <v>95.0</v>
      </c>
      <c r="B96" s="2" t="s">
        <v>692</v>
      </c>
      <c r="C96" s="2" t="s">
        <v>23</v>
      </c>
      <c r="D96" s="2">
        <v>0.0</v>
      </c>
      <c r="E96" s="2">
        <v>20.0</v>
      </c>
      <c r="F96" s="2">
        <v>0.2</v>
      </c>
      <c r="H96" s="2" t="s">
        <v>692</v>
      </c>
      <c r="I96" s="4">
        <v>46217.410844907405</v>
      </c>
      <c r="J96" s="2" t="s">
        <v>695</v>
      </c>
      <c r="K96" s="2">
        <v>600.0</v>
      </c>
      <c r="L96" s="2">
        <v>0.0</v>
      </c>
      <c r="M96" s="2">
        <v>30.0</v>
      </c>
      <c r="N96" s="6">
        <v>43925.0</v>
      </c>
      <c r="O96" s="2" t="s">
        <v>49</v>
      </c>
      <c r="P96" s="2" t="s">
        <v>36</v>
      </c>
      <c r="Q96" s="2" t="s">
        <v>698</v>
      </c>
      <c r="S96" s="2" t="s">
        <v>59</v>
      </c>
    </row>
    <row r="97">
      <c r="A97" s="2">
        <v>96.0</v>
      </c>
      <c r="B97" s="2" t="s">
        <v>700</v>
      </c>
      <c r="C97" s="2" t="s">
        <v>23</v>
      </c>
      <c r="E97" s="2">
        <v>20.0</v>
      </c>
      <c r="K97" s="2">
        <v>20.0</v>
      </c>
      <c r="N97" s="6">
        <v>45977.0</v>
      </c>
      <c r="Q97" s="2" t="s">
        <v>702</v>
      </c>
    </row>
    <row r="98">
      <c r="A98" s="2">
        <v>97.0</v>
      </c>
      <c r="B98" s="2" t="s">
        <v>703</v>
      </c>
      <c r="C98" s="2" t="s">
        <v>23</v>
      </c>
      <c r="E98" s="2">
        <v>20.0</v>
      </c>
      <c r="K98" s="2">
        <v>1500.0</v>
      </c>
      <c r="N98" s="6">
        <v>43852.0</v>
      </c>
      <c r="Q98" s="2" t="s">
        <v>706</v>
      </c>
    </row>
    <row r="99">
      <c r="A99" s="2">
        <v>98.0</v>
      </c>
      <c r="B99" s="2" t="s">
        <v>708</v>
      </c>
      <c r="C99" s="2" t="s">
        <v>23</v>
      </c>
      <c r="E99" s="2">
        <v>20.0</v>
      </c>
      <c r="F99" s="2">
        <v>1.0</v>
      </c>
      <c r="K99" s="2">
        <v>30.0</v>
      </c>
      <c r="N99" s="6">
        <v>42345.0</v>
      </c>
      <c r="O99" s="2" t="s">
        <v>91</v>
      </c>
      <c r="P99" s="2" t="s">
        <v>36</v>
      </c>
      <c r="Q99" s="2" t="s">
        <v>711</v>
      </c>
      <c r="S99" s="2" t="s">
        <v>59</v>
      </c>
    </row>
    <row r="100">
      <c r="A100" s="2">
        <v>99.0</v>
      </c>
      <c r="B100" s="2" t="s">
        <v>714</v>
      </c>
      <c r="C100" s="2" t="s">
        <v>23</v>
      </c>
      <c r="E100" s="2">
        <v>20.0</v>
      </c>
      <c r="I100" s="4"/>
      <c r="K100" s="2">
        <v>200.0</v>
      </c>
      <c r="N100" s="6">
        <v>43995.0</v>
      </c>
      <c r="Q100" s="2" t="s">
        <v>716</v>
      </c>
    </row>
    <row r="101">
      <c r="A101" s="2">
        <v>100.0</v>
      </c>
      <c r="B101" s="2" t="s">
        <v>717</v>
      </c>
      <c r="C101" s="2" t="s">
        <v>23</v>
      </c>
      <c r="E101" s="2">
        <v>20.0</v>
      </c>
      <c r="F101" s="2">
        <v>0.25</v>
      </c>
      <c r="K101" s="2">
        <v>4200.0</v>
      </c>
      <c r="N101" s="6">
        <v>42583.0</v>
      </c>
      <c r="O101" s="2" t="s">
        <v>49</v>
      </c>
      <c r="P101" s="2" t="s">
        <v>36</v>
      </c>
      <c r="Q101" s="2" t="s">
        <v>719</v>
      </c>
      <c r="S101" s="2" t="s">
        <v>159</v>
      </c>
    </row>
    <row r="102">
      <c r="A102" s="2">
        <v>101.0</v>
      </c>
      <c r="B102" s="2" t="s">
        <v>31</v>
      </c>
      <c r="C102" s="2" t="s">
        <v>23</v>
      </c>
      <c r="E102" s="2">
        <v>20.0</v>
      </c>
      <c r="K102" s="2">
        <v>90.0</v>
      </c>
      <c r="N102" s="6">
        <v>42604.0</v>
      </c>
      <c r="Q102" s="2" t="s">
        <v>41</v>
      </c>
    </row>
    <row r="103">
      <c r="A103" s="2">
        <v>102.0</v>
      </c>
      <c r="B103" s="2" t="s">
        <v>720</v>
      </c>
      <c r="C103" s="2" t="s">
        <v>23</v>
      </c>
      <c r="E103" s="2">
        <v>20.0</v>
      </c>
      <c r="K103" s="2">
        <v>20.0</v>
      </c>
      <c r="N103" s="6">
        <v>42528.0</v>
      </c>
      <c r="Q103" s="2" t="s">
        <v>721</v>
      </c>
    </row>
    <row r="104">
      <c r="A104" s="2">
        <v>103.0</v>
      </c>
      <c r="B104" s="2" t="s">
        <v>722</v>
      </c>
      <c r="C104" s="2" t="s">
        <v>23</v>
      </c>
      <c r="E104" s="2">
        <v>20.0</v>
      </c>
      <c r="F104" s="2">
        <v>0.35</v>
      </c>
      <c r="K104" s="2">
        <v>700.0</v>
      </c>
      <c r="N104" s="6">
        <v>42522.0</v>
      </c>
      <c r="O104" s="2" t="s">
        <v>49</v>
      </c>
      <c r="P104" s="2" t="s">
        <v>36</v>
      </c>
      <c r="Q104" s="2" t="s">
        <v>723</v>
      </c>
      <c r="S104" s="2" t="s">
        <v>59</v>
      </c>
    </row>
    <row r="105">
      <c r="A105" s="2">
        <v>104.0</v>
      </c>
      <c r="B105" s="2" t="s">
        <v>724</v>
      </c>
      <c r="C105" s="2" t="s">
        <v>23</v>
      </c>
      <c r="E105" s="2">
        <v>20.0</v>
      </c>
      <c r="K105" s="2">
        <v>20.0</v>
      </c>
      <c r="N105" s="6">
        <v>42813.0</v>
      </c>
      <c r="Q105" s="2" t="s">
        <v>725</v>
      </c>
    </row>
    <row r="106">
      <c r="A106" s="2">
        <v>105.0</v>
      </c>
      <c r="B106" s="2" t="s">
        <v>726</v>
      </c>
      <c r="C106" s="2" t="s">
        <v>23</v>
      </c>
      <c r="E106" s="2">
        <v>10.0</v>
      </c>
      <c r="K106" s="2">
        <v>80.0</v>
      </c>
      <c r="N106" s="6">
        <v>42335.0</v>
      </c>
      <c r="Q106" s="2" t="s">
        <v>727</v>
      </c>
    </row>
    <row r="107">
      <c r="A107" s="2">
        <v>106.0</v>
      </c>
      <c r="B107" s="2" t="s">
        <v>728</v>
      </c>
      <c r="C107" s="2" t="s">
        <v>23</v>
      </c>
      <c r="E107" s="2">
        <v>10.0</v>
      </c>
      <c r="K107" s="2">
        <v>10.0</v>
      </c>
      <c r="N107" s="6">
        <v>42506.0</v>
      </c>
      <c r="O107" s="2" t="s">
        <v>49</v>
      </c>
      <c r="P107" s="2" t="s">
        <v>36</v>
      </c>
      <c r="Q107" s="2" t="s">
        <v>729</v>
      </c>
      <c r="S107" s="2" t="s">
        <v>730</v>
      </c>
    </row>
    <row r="108">
      <c r="A108" s="2">
        <v>107.0</v>
      </c>
      <c r="B108" s="2" t="s">
        <v>731</v>
      </c>
      <c r="C108" s="2" t="s">
        <v>23</v>
      </c>
      <c r="E108" s="2">
        <v>10.0</v>
      </c>
      <c r="K108" s="2">
        <v>40.0</v>
      </c>
      <c r="N108" s="6">
        <v>44299.0</v>
      </c>
      <c r="Q108" s="2" t="s">
        <v>732</v>
      </c>
    </row>
    <row r="109">
      <c r="A109" s="2">
        <v>108.0</v>
      </c>
      <c r="B109" s="2" t="s">
        <v>733</v>
      </c>
      <c r="C109" s="2" t="s">
        <v>23</v>
      </c>
      <c r="E109" s="2">
        <v>10.0</v>
      </c>
      <c r="K109" s="2">
        <v>400.0</v>
      </c>
      <c r="N109" s="6">
        <v>42279.0</v>
      </c>
      <c r="Q109" s="2" t="s">
        <v>734</v>
      </c>
    </row>
    <row r="110">
      <c r="A110" s="2">
        <v>109.0</v>
      </c>
      <c r="B110" s="2" t="s">
        <v>735</v>
      </c>
      <c r="C110" s="2" t="s">
        <v>23</v>
      </c>
      <c r="E110" s="2">
        <v>10.0</v>
      </c>
      <c r="F110" s="2">
        <v>0.25</v>
      </c>
      <c r="K110" s="2">
        <v>3200.0</v>
      </c>
      <c r="N110" s="6">
        <v>42761.0</v>
      </c>
      <c r="Q110" s="2" t="s">
        <v>736</v>
      </c>
    </row>
    <row r="111">
      <c r="A111" s="2">
        <v>110.0</v>
      </c>
      <c r="B111" s="2" t="s">
        <v>737</v>
      </c>
      <c r="C111" s="2" t="s">
        <v>23</v>
      </c>
      <c r="E111" s="2">
        <v>10.0</v>
      </c>
      <c r="K111" s="2">
        <v>10.0</v>
      </c>
      <c r="N111" s="6">
        <v>44861.0</v>
      </c>
      <c r="Q111" s="2" t="s">
        <v>738</v>
      </c>
    </row>
    <row r="112">
      <c r="A112" s="2">
        <v>111.0</v>
      </c>
      <c r="B112" s="2" t="s">
        <v>176</v>
      </c>
      <c r="C112" s="2" t="s">
        <v>23</v>
      </c>
      <c r="E112" s="2">
        <v>10.0</v>
      </c>
      <c r="K112" s="2">
        <v>200.0</v>
      </c>
      <c r="N112" s="6">
        <v>43906.0</v>
      </c>
      <c r="Q112" s="2" t="s">
        <v>180</v>
      </c>
    </row>
    <row r="113">
      <c r="A113" s="2">
        <v>112.0</v>
      </c>
      <c r="B113" s="2" t="s">
        <v>740</v>
      </c>
      <c r="C113" s="2" t="s">
        <v>23</v>
      </c>
      <c r="E113" s="2">
        <v>10.0</v>
      </c>
      <c r="K113" s="2">
        <v>40.0</v>
      </c>
      <c r="N113" s="6">
        <v>42418.0</v>
      </c>
      <c r="Q113" s="2" t="s">
        <v>741</v>
      </c>
    </row>
    <row r="114">
      <c r="A114" s="2">
        <v>113.0</v>
      </c>
      <c r="B114" s="2" t="s">
        <v>45</v>
      </c>
      <c r="C114" s="2" t="s">
        <v>23</v>
      </c>
      <c r="E114" s="2">
        <v>10.0</v>
      </c>
      <c r="K114" s="2">
        <v>450.0</v>
      </c>
      <c r="N114" s="6">
        <v>42445.0</v>
      </c>
      <c r="Q114" s="2" t="s">
        <v>46</v>
      </c>
    </row>
    <row r="115">
      <c r="A115" s="2">
        <v>114.0</v>
      </c>
      <c r="B115" s="2" t="s">
        <v>742</v>
      </c>
      <c r="C115" s="2" t="s">
        <v>23</v>
      </c>
      <c r="E115" s="2">
        <v>10.0</v>
      </c>
      <c r="K115" s="2">
        <v>200.0</v>
      </c>
      <c r="N115" s="6">
        <v>42747.0</v>
      </c>
      <c r="Q115" s="2" t="s">
        <v>743</v>
      </c>
    </row>
    <row r="116">
      <c r="A116" s="2">
        <v>115.0</v>
      </c>
      <c r="B116" s="2" t="s">
        <v>744</v>
      </c>
      <c r="C116" s="2" t="s">
        <v>23</v>
      </c>
      <c r="E116" s="2">
        <v>10.0</v>
      </c>
      <c r="K116" s="2">
        <v>450.0</v>
      </c>
      <c r="N116" s="6">
        <v>44572.0</v>
      </c>
      <c r="Q116" s="2" t="s">
        <v>745</v>
      </c>
    </row>
    <row r="117">
      <c r="A117" s="2">
        <v>116.0</v>
      </c>
      <c r="B117" s="2" t="s">
        <v>746</v>
      </c>
      <c r="C117" s="2" t="s">
        <v>23</v>
      </c>
      <c r="E117" s="2">
        <v>10.0</v>
      </c>
      <c r="K117" s="2">
        <v>10.0</v>
      </c>
      <c r="N117" s="6">
        <v>43014.0</v>
      </c>
      <c r="Q117" s="2" t="s">
        <v>747</v>
      </c>
    </row>
    <row r="118">
      <c r="A118" s="2">
        <v>117.0</v>
      </c>
      <c r="B118" s="2" t="s">
        <v>748</v>
      </c>
      <c r="C118" s="2" t="s">
        <v>23</v>
      </c>
      <c r="E118" s="2">
        <v>10.0</v>
      </c>
      <c r="K118" s="2">
        <v>100.0</v>
      </c>
      <c r="N118" s="6">
        <v>42318.0</v>
      </c>
      <c r="Q118" s="2" t="s">
        <v>749</v>
      </c>
    </row>
    <row r="119">
      <c r="A119" s="2">
        <v>118.0</v>
      </c>
      <c r="B119" s="2" t="s">
        <v>750</v>
      </c>
      <c r="C119" s="2" t="s">
        <v>23</v>
      </c>
      <c r="E119" s="2">
        <v>10.0</v>
      </c>
      <c r="F119" s="2">
        <v>0.15</v>
      </c>
      <c r="K119" s="2">
        <v>500.0</v>
      </c>
      <c r="N119" s="6">
        <v>43440.0</v>
      </c>
      <c r="Q119" s="2" t="s">
        <v>751</v>
      </c>
    </row>
    <row r="120">
      <c r="A120" s="2">
        <v>119.0</v>
      </c>
      <c r="B120" s="2" t="s">
        <v>752</v>
      </c>
      <c r="C120" s="2" t="s">
        <v>23</v>
      </c>
      <c r="E120" s="2">
        <v>10.0</v>
      </c>
      <c r="K120" s="2">
        <v>40.0</v>
      </c>
      <c r="N120" s="6">
        <v>43875.0</v>
      </c>
      <c r="Q120" s="2" t="s">
        <v>753</v>
      </c>
    </row>
    <row r="121">
      <c r="A121" s="2">
        <v>120.0</v>
      </c>
      <c r="B121" s="2" t="s">
        <v>754</v>
      </c>
      <c r="C121" s="2" t="s">
        <v>23</v>
      </c>
      <c r="E121" s="2">
        <v>10.0</v>
      </c>
      <c r="K121" s="2">
        <v>10.0</v>
      </c>
      <c r="N121" s="6">
        <v>42393.0</v>
      </c>
      <c r="Q121" s="2" t="s">
        <v>755</v>
      </c>
    </row>
    <row r="122">
      <c r="A122" s="2">
        <v>121.0</v>
      </c>
      <c r="B122" s="2" t="s">
        <v>756</v>
      </c>
      <c r="C122" s="2" t="s">
        <v>23</v>
      </c>
      <c r="E122" s="2">
        <v>10.0</v>
      </c>
      <c r="K122" s="2">
        <v>70.0</v>
      </c>
      <c r="N122" s="6">
        <v>43883.0</v>
      </c>
      <c r="Q122" s="2" t="s">
        <v>757</v>
      </c>
    </row>
    <row r="123">
      <c r="A123" s="2">
        <v>122.0</v>
      </c>
      <c r="B123" s="2" t="s">
        <v>758</v>
      </c>
      <c r="C123" s="2" t="s">
        <v>23</v>
      </c>
      <c r="E123" s="2">
        <v>10.0</v>
      </c>
      <c r="F123" s="2">
        <v>0.6</v>
      </c>
      <c r="K123" s="2">
        <v>80.0</v>
      </c>
      <c r="N123" s="6">
        <v>42599.0</v>
      </c>
      <c r="O123" s="2" t="s">
        <v>40</v>
      </c>
      <c r="P123" s="2" t="s">
        <v>36</v>
      </c>
      <c r="Q123" s="2" t="s">
        <v>759</v>
      </c>
      <c r="S123" s="2" t="s">
        <v>146</v>
      </c>
    </row>
    <row r="124">
      <c r="A124" s="2">
        <v>123.0</v>
      </c>
      <c r="B124" s="2" t="s">
        <v>760</v>
      </c>
      <c r="C124" s="2" t="s">
        <v>23</v>
      </c>
      <c r="E124" s="2">
        <v>10.0</v>
      </c>
      <c r="K124" s="2">
        <v>800.0</v>
      </c>
      <c r="N124" s="6">
        <v>42528.0</v>
      </c>
      <c r="Q124" s="2" t="s">
        <v>761</v>
      </c>
    </row>
    <row r="125">
      <c r="A125" s="2">
        <v>124.0</v>
      </c>
      <c r="B125" s="2" t="s">
        <v>762</v>
      </c>
      <c r="C125" s="2" t="s">
        <v>23</v>
      </c>
      <c r="E125" s="2">
        <v>10.0</v>
      </c>
      <c r="K125" s="2">
        <v>10.0</v>
      </c>
      <c r="N125" s="6">
        <v>45328.0</v>
      </c>
      <c r="Q125" s="2" t="s">
        <v>763</v>
      </c>
    </row>
    <row r="126">
      <c r="A126" s="2">
        <v>125.0</v>
      </c>
      <c r="B126" s="2" t="s">
        <v>764</v>
      </c>
      <c r="C126" s="2" t="s">
        <v>23</v>
      </c>
      <c r="D126" s="2">
        <v>0.0</v>
      </c>
      <c r="E126" s="2">
        <v>10.0</v>
      </c>
      <c r="H126" s="2" t="s">
        <v>22</v>
      </c>
      <c r="I126" s="4">
        <v>46212.04684027778</v>
      </c>
      <c r="J126" s="2" t="s">
        <v>766</v>
      </c>
      <c r="K126" s="2">
        <v>10.0</v>
      </c>
      <c r="L126" s="2">
        <v>40.0</v>
      </c>
      <c r="M126" s="2">
        <v>40.0</v>
      </c>
      <c r="N126" s="6">
        <v>42460.0</v>
      </c>
      <c r="O126" s="2" t="s">
        <v>560</v>
      </c>
      <c r="P126" s="2" t="s">
        <v>36</v>
      </c>
      <c r="Q126" s="2" t="s">
        <v>767</v>
      </c>
      <c r="S126" s="2" t="s">
        <v>39</v>
      </c>
    </row>
    <row r="127">
      <c r="A127" s="2">
        <v>126.0</v>
      </c>
      <c r="B127" s="2" t="s">
        <v>768</v>
      </c>
      <c r="C127" s="2" t="s">
        <v>23</v>
      </c>
      <c r="E127" s="2">
        <v>10.0</v>
      </c>
      <c r="K127" s="2">
        <v>150.0</v>
      </c>
      <c r="N127" s="6">
        <v>42348.0</v>
      </c>
      <c r="O127" s="2" t="s">
        <v>49</v>
      </c>
      <c r="P127" s="2" t="s">
        <v>36</v>
      </c>
      <c r="Q127" s="2" t="s">
        <v>769</v>
      </c>
      <c r="S127" s="2" t="s">
        <v>52</v>
      </c>
    </row>
    <row r="128">
      <c r="A128" s="2">
        <v>127.0</v>
      </c>
      <c r="B128" s="2" t="s">
        <v>770</v>
      </c>
      <c r="C128" s="2" t="s">
        <v>23</v>
      </c>
      <c r="E128" s="2">
        <v>10.0</v>
      </c>
      <c r="K128" s="2">
        <v>10.0</v>
      </c>
      <c r="N128" s="6">
        <v>45959.0</v>
      </c>
      <c r="Q128" s="2" t="s">
        <v>771</v>
      </c>
    </row>
    <row r="129">
      <c r="A129" s="2">
        <v>128.0</v>
      </c>
      <c r="B129" s="2" t="s">
        <v>772</v>
      </c>
      <c r="C129" s="2" t="s">
        <v>23</v>
      </c>
      <c r="E129" s="2">
        <v>10.0</v>
      </c>
      <c r="K129" s="2">
        <v>150.0</v>
      </c>
      <c r="N129" s="6">
        <v>42763.0</v>
      </c>
      <c r="Q129" s="2" t="s">
        <v>773</v>
      </c>
    </row>
    <row r="130">
      <c r="A130" s="2">
        <v>129.0</v>
      </c>
      <c r="B130" s="2" t="s">
        <v>774</v>
      </c>
      <c r="C130" s="2" t="s">
        <v>23</v>
      </c>
      <c r="E130" s="2">
        <v>10.0</v>
      </c>
      <c r="K130" s="2">
        <v>10.0</v>
      </c>
      <c r="N130" s="6">
        <v>42570.0</v>
      </c>
      <c r="Q130" s="2" t="s">
        <v>775</v>
      </c>
    </row>
    <row r="131">
      <c r="A131" s="2">
        <v>130.0</v>
      </c>
      <c r="B131" s="2" t="s">
        <v>776</v>
      </c>
      <c r="C131" s="2" t="s">
        <v>23</v>
      </c>
      <c r="E131" s="2">
        <v>10.0</v>
      </c>
      <c r="K131" s="2">
        <v>10.0</v>
      </c>
      <c r="N131" s="6">
        <v>45845.0</v>
      </c>
      <c r="Q131" s="2" t="s">
        <v>777</v>
      </c>
    </row>
    <row r="132">
      <c r="A132" s="2">
        <v>131.0</v>
      </c>
      <c r="B132" s="2" t="s">
        <v>778</v>
      </c>
      <c r="C132" s="2" t="s">
        <v>23</v>
      </c>
      <c r="E132" s="2">
        <v>10.0</v>
      </c>
      <c r="F132" s="2">
        <v>0.2</v>
      </c>
      <c r="K132" s="2">
        <v>10.0</v>
      </c>
      <c r="N132" s="6">
        <v>42384.0</v>
      </c>
      <c r="O132" s="2" t="s">
        <v>49</v>
      </c>
      <c r="P132" s="2" t="s">
        <v>36</v>
      </c>
      <c r="Q132" s="2" t="s">
        <v>779</v>
      </c>
      <c r="S132" s="2" t="s">
        <v>780</v>
      </c>
    </row>
    <row r="133">
      <c r="A133" s="2">
        <v>132.0</v>
      </c>
      <c r="B133" s="2" t="s">
        <v>781</v>
      </c>
      <c r="C133" s="2" t="s">
        <v>23</v>
      </c>
      <c r="E133" s="2">
        <v>10.0</v>
      </c>
      <c r="K133" s="2">
        <v>450.0</v>
      </c>
      <c r="N133" s="6">
        <v>43847.0</v>
      </c>
      <c r="Q133" s="2" t="s">
        <v>782</v>
      </c>
    </row>
    <row r="134">
      <c r="A134" s="2">
        <v>133.0</v>
      </c>
      <c r="B134" s="2" t="s">
        <v>783</v>
      </c>
      <c r="C134" s="2" t="s">
        <v>23</v>
      </c>
      <c r="D134" s="2">
        <v>0.0</v>
      </c>
      <c r="E134" s="2">
        <v>10.0</v>
      </c>
      <c r="F134" s="2">
        <v>0.07</v>
      </c>
      <c r="H134" s="2" t="s">
        <v>783</v>
      </c>
      <c r="I134" s="4">
        <v>46209.22369212963</v>
      </c>
      <c r="J134" s="2" t="s">
        <v>784</v>
      </c>
      <c r="K134" s="2">
        <v>10.0</v>
      </c>
      <c r="L134" s="2">
        <v>0.0</v>
      </c>
      <c r="M134" s="2">
        <v>50.0</v>
      </c>
      <c r="N134" s="6">
        <v>42495.0</v>
      </c>
      <c r="O134" s="2" t="s">
        <v>560</v>
      </c>
      <c r="P134" s="2" t="s">
        <v>36</v>
      </c>
      <c r="Q134" s="2" t="s">
        <v>785</v>
      </c>
      <c r="S134" s="2" t="s">
        <v>786</v>
      </c>
    </row>
    <row r="135">
      <c r="A135" s="2">
        <v>134.0</v>
      </c>
      <c r="B135" s="2" t="s">
        <v>787</v>
      </c>
      <c r="C135" s="2" t="s">
        <v>23</v>
      </c>
      <c r="E135" s="2">
        <v>10.0</v>
      </c>
      <c r="K135" s="2">
        <v>200.0</v>
      </c>
      <c r="N135" s="6">
        <v>43649.0</v>
      </c>
      <c r="Q135" s="2" t="s">
        <v>788</v>
      </c>
    </row>
    <row r="136">
      <c r="A136" s="2">
        <v>135.0</v>
      </c>
      <c r="B136" s="2" t="s">
        <v>789</v>
      </c>
      <c r="C136" s="2" t="s">
        <v>23</v>
      </c>
      <c r="E136" s="2">
        <v>10.0</v>
      </c>
      <c r="K136" s="2">
        <v>30.0</v>
      </c>
      <c r="N136" s="6">
        <v>42445.0</v>
      </c>
      <c r="Q136" s="2" t="s">
        <v>790</v>
      </c>
    </row>
    <row r="137">
      <c r="A137" s="2">
        <v>136.0</v>
      </c>
      <c r="B137" s="2" t="s">
        <v>791</v>
      </c>
      <c r="C137" s="2" t="s">
        <v>23</v>
      </c>
      <c r="E137" s="2">
        <v>10.0</v>
      </c>
      <c r="K137" s="2">
        <v>900.0</v>
      </c>
      <c r="N137" s="6">
        <v>42662.0</v>
      </c>
      <c r="Q137" s="2" t="s">
        <v>793</v>
      </c>
    </row>
    <row r="138">
      <c r="A138" s="2">
        <v>137.0</v>
      </c>
      <c r="B138" s="2" t="s">
        <v>794</v>
      </c>
      <c r="C138" s="2" t="s">
        <v>23</v>
      </c>
      <c r="E138" s="2">
        <v>10.0</v>
      </c>
      <c r="K138" s="2">
        <v>10.0</v>
      </c>
      <c r="N138" s="6">
        <v>45913.0</v>
      </c>
      <c r="Q138" s="2" t="s">
        <v>795</v>
      </c>
    </row>
    <row r="139">
      <c r="A139" s="2">
        <v>138.0</v>
      </c>
      <c r="B139" s="2" t="s">
        <v>796</v>
      </c>
      <c r="C139" s="2" t="s">
        <v>23</v>
      </c>
      <c r="E139" s="2">
        <v>10.0</v>
      </c>
      <c r="K139" s="2">
        <v>10.0</v>
      </c>
      <c r="N139" s="6">
        <v>44845.0</v>
      </c>
      <c r="Q139" s="2" t="s">
        <v>797</v>
      </c>
    </row>
    <row r="140">
      <c r="A140" s="2">
        <v>139.0</v>
      </c>
      <c r="B140" s="2" t="s">
        <v>798</v>
      </c>
      <c r="C140" s="2" t="s">
        <v>23</v>
      </c>
      <c r="E140" s="2">
        <v>10.0</v>
      </c>
      <c r="K140" s="2">
        <v>90.0</v>
      </c>
      <c r="N140" s="6">
        <v>43504.0</v>
      </c>
      <c r="Q140" s="2" t="s">
        <v>799</v>
      </c>
    </row>
    <row r="141">
      <c r="A141" s="2">
        <v>140.0</v>
      </c>
      <c r="B141" s="2" t="s">
        <v>800</v>
      </c>
      <c r="C141" s="2" t="s">
        <v>23</v>
      </c>
      <c r="E141" s="2">
        <v>10.0</v>
      </c>
      <c r="K141" s="2">
        <v>10.0</v>
      </c>
      <c r="N141" s="6">
        <v>45643.0</v>
      </c>
      <c r="Q141" s="2" t="s">
        <v>801</v>
      </c>
    </row>
    <row r="142">
      <c r="A142" s="2">
        <v>141.0</v>
      </c>
      <c r="B142" s="2" t="s">
        <v>802</v>
      </c>
      <c r="C142" s="2" t="s">
        <v>23</v>
      </c>
      <c r="E142" s="2">
        <v>10.0</v>
      </c>
      <c r="K142" s="2">
        <v>10.0</v>
      </c>
      <c r="N142" s="6">
        <v>42436.0</v>
      </c>
      <c r="Q142" s="2" t="s">
        <v>803</v>
      </c>
    </row>
    <row r="143">
      <c r="A143" s="2">
        <v>142.0</v>
      </c>
      <c r="B143" s="2" t="s">
        <v>804</v>
      </c>
      <c r="C143" s="2" t="s">
        <v>23</v>
      </c>
      <c r="E143" s="2">
        <v>10.0</v>
      </c>
      <c r="I143" s="4"/>
      <c r="K143" s="2">
        <v>10.0</v>
      </c>
      <c r="N143" s="6">
        <v>42362.0</v>
      </c>
      <c r="Q143" s="2" t="s">
        <v>805</v>
      </c>
    </row>
    <row r="144">
      <c r="A144" s="2">
        <v>143.0</v>
      </c>
      <c r="B144" s="2" t="s">
        <v>806</v>
      </c>
      <c r="C144" s="2" t="s">
        <v>23</v>
      </c>
      <c r="E144" s="2">
        <v>10.0</v>
      </c>
      <c r="K144" s="2">
        <v>3000.0</v>
      </c>
      <c r="N144" s="6">
        <v>42489.0</v>
      </c>
      <c r="Q144" s="2" t="s">
        <v>807</v>
      </c>
    </row>
    <row r="145">
      <c r="A145" s="2">
        <v>144.0</v>
      </c>
      <c r="B145" s="2" t="s">
        <v>808</v>
      </c>
      <c r="C145" s="2" t="s">
        <v>23</v>
      </c>
      <c r="E145" s="2">
        <v>10.0</v>
      </c>
      <c r="K145" s="2">
        <v>10.0</v>
      </c>
      <c r="N145" s="6">
        <v>43077.0</v>
      </c>
      <c r="Q145" s="2" t="s">
        <v>809</v>
      </c>
    </row>
    <row r="146">
      <c r="A146" s="2">
        <v>145.0</v>
      </c>
      <c r="B146" s="2" t="s">
        <v>810</v>
      </c>
      <c r="C146" s="2" t="s">
        <v>23</v>
      </c>
      <c r="E146" s="2">
        <v>10.0</v>
      </c>
      <c r="K146" s="2">
        <v>10.0</v>
      </c>
      <c r="N146" s="6">
        <v>44204.0</v>
      </c>
      <c r="Q146" s="2" t="s">
        <v>811</v>
      </c>
    </row>
    <row r="147">
      <c r="A147" s="2">
        <v>146.0</v>
      </c>
      <c r="B147" s="2" t="s">
        <v>812</v>
      </c>
      <c r="C147" s="2" t="s">
        <v>23</v>
      </c>
      <c r="E147" s="2">
        <v>10.0</v>
      </c>
      <c r="K147" s="2">
        <v>8000.0</v>
      </c>
      <c r="N147" s="6">
        <v>42521.0</v>
      </c>
      <c r="Q147" s="2" t="s">
        <v>813</v>
      </c>
    </row>
    <row r="148">
      <c r="A148" s="2">
        <v>147.0</v>
      </c>
      <c r="B148" s="2" t="s">
        <v>814</v>
      </c>
      <c r="C148" s="2" t="s">
        <v>23</v>
      </c>
      <c r="E148" s="2">
        <v>10.0</v>
      </c>
      <c r="K148" s="2">
        <v>2000.0</v>
      </c>
      <c r="N148" s="6">
        <v>43300.0</v>
      </c>
      <c r="Q148" s="2" t="s">
        <v>815</v>
      </c>
    </row>
    <row r="149">
      <c r="A149" s="2">
        <v>148.0</v>
      </c>
      <c r="B149" s="2" t="s">
        <v>816</v>
      </c>
      <c r="C149" s="2" t="s">
        <v>23</v>
      </c>
      <c r="E149" s="2">
        <v>10.0</v>
      </c>
      <c r="K149" s="2">
        <v>10.0</v>
      </c>
      <c r="N149" s="6">
        <v>45993.0</v>
      </c>
      <c r="Q149" s="2" t="s">
        <v>817</v>
      </c>
    </row>
    <row r="150">
      <c r="A150" s="2">
        <v>149.0</v>
      </c>
      <c r="B150" s="2" t="s">
        <v>818</v>
      </c>
      <c r="C150" s="2" t="s">
        <v>23</v>
      </c>
      <c r="E150" s="2">
        <v>10.0</v>
      </c>
      <c r="I150" s="4"/>
      <c r="K150" s="2">
        <v>10.0</v>
      </c>
      <c r="N150" s="6">
        <v>45844.0</v>
      </c>
      <c r="Q150" s="2" t="s">
        <v>819</v>
      </c>
    </row>
    <row r="151">
      <c r="A151" s="2">
        <v>150.0</v>
      </c>
      <c r="B151" s="2" t="s">
        <v>820</v>
      </c>
      <c r="C151" s="2" t="s">
        <v>23</v>
      </c>
      <c r="E151" s="2">
        <v>10.0</v>
      </c>
      <c r="K151" s="2">
        <v>150.0</v>
      </c>
      <c r="N151" s="6">
        <v>43536.0</v>
      </c>
      <c r="Q151" s="2" t="s">
        <v>821</v>
      </c>
    </row>
    <row r="152">
      <c r="A152" s="2">
        <v>151.0</v>
      </c>
      <c r="B152" s="2" t="s">
        <v>822</v>
      </c>
      <c r="C152" s="2" t="s">
        <v>23</v>
      </c>
      <c r="E152" s="2">
        <v>10.0</v>
      </c>
      <c r="K152" s="2">
        <v>10.0</v>
      </c>
      <c r="N152" s="6">
        <v>45993.0</v>
      </c>
      <c r="Q152" s="2" t="s">
        <v>823</v>
      </c>
    </row>
    <row r="153">
      <c r="A153" s="2">
        <v>152.0</v>
      </c>
      <c r="B153" s="2" t="s">
        <v>824</v>
      </c>
      <c r="C153" s="2" t="s">
        <v>23</v>
      </c>
      <c r="E153" s="2">
        <v>10.0</v>
      </c>
      <c r="K153" s="2">
        <v>50.0</v>
      </c>
      <c r="N153" s="6">
        <v>44893.0</v>
      </c>
      <c r="Q153" s="2" t="s">
        <v>825</v>
      </c>
    </row>
    <row r="154">
      <c r="A154" s="2">
        <v>153.0</v>
      </c>
      <c r="B154" s="2" t="s">
        <v>826</v>
      </c>
      <c r="C154" s="2" t="s">
        <v>23</v>
      </c>
      <c r="E154" s="2">
        <v>10.0</v>
      </c>
      <c r="K154" s="2">
        <v>4800.0</v>
      </c>
      <c r="N154" s="6">
        <v>43622.0</v>
      </c>
      <c r="Q154" s="2" t="s">
        <v>827</v>
      </c>
    </row>
    <row r="155">
      <c r="A155" s="2">
        <v>154.0</v>
      </c>
      <c r="B155" s="2" t="s">
        <v>828</v>
      </c>
      <c r="C155" s="2" t="s">
        <v>23</v>
      </c>
      <c r="E155" s="2">
        <v>10.0</v>
      </c>
      <c r="K155" s="2">
        <v>100.0</v>
      </c>
      <c r="N155" s="6">
        <v>44034.0</v>
      </c>
      <c r="Q155" s="2" t="s">
        <v>830</v>
      </c>
    </row>
    <row r="156">
      <c r="A156" s="2">
        <v>155.0</v>
      </c>
      <c r="B156" s="2" t="s">
        <v>831</v>
      </c>
      <c r="C156" s="2" t="s">
        <v>23</v>
      </c>
      <c r="E156" s="2">
        <v>10.0</v>
      </c>
      <c r="K156" s="2">
        <v>4700.0</v>
      </c>
      <c r="N156" s="6">
        <v>43843.0</v>
      </c>
      <c r="Q156" s="2" t="s">
        <v>832</v>
      </c>
    </row>
    <row r="157">
      <c r="A157" s="2">
        <v>156.0</v>
      </c>
      <c r="B157" s="2" t="s">
        <v>833</v>
      </c>
      <c r="C157" s="2" t="s">
        <v>23</v>
      </c>
      <c r="E157" s="2">
        <v>10.0</v>
      </c>
      <c r="K157" s="2">
        <v>10.0</v>
      </c>
      <c r="N157" s="6">
        <v>42467.0</v>
      </c>
      <c r="Q157" s="2" t="s">
        <v>834</v>
      </c>
    </row>
    <row r="158">
      <c r="A158" s="2">
        <v>157.0</v>
      </c>
      <c r="B158" s="2" t="s">
        <v>835</v>
      </c>
      <c r="C158" s="2" t="s">
        <v>23</v>
      </c>
      <c r="E158" s="2">
        <v>10.0</v>
      </c>
      <c r="K158" s="2">
        <v>3000.0</v>
      </c>
      <c r="N158" s="6">
        <v>43544.0</v>
      </c>
      <c r="Q158" s="2" t="s">
        <v>836</v>
      </c>
    </row>
    <row r="159">
      <c r="A159" s="2">
        <v>158.0</v>
      </c>
      <c r="B159" s="2" t="s">
        <v>837</v>
      </c>
      <c r="C159" s="2" t="s">
        <v>23</v>
      </c>
      <c r="E159" s="2">
        <v>10.0</v>
      </c>
      <c r="K159" s="2">
        <v>500.0</v>
      </c>
      <c r="N159" s="6">
        <v>42345.0</v>
      </c>
      <c r="Q159" s="2" t="s">
        <v>838</v>
      </c>
    </row>
    <row r="160">
      <c r="A160" s="2">
        <v>159.0</v>
      </c>
      <c r="B160" s="2" t="s">
        <v>839</v>
      </c>
      <c r="C160" s="2" t="s">
        <v>23</v>
      </c>
      <c r="E160" s="2">
        <v>10.0</v>
      </c>
      <c r="K160" s="2">
        <v>150.0</v>
      </c>
      <c r="N160" s="6">
        <v>43849.0</v>
      </c>
      <c r="Q160" s="2" t="s">
        <v>840</v>
      </c>
    </row>
    <row r="161">
      <c r="A161" s="2">
        <v>160.0</v>
      </c>
      <c r="B161" s="2" t="s">
        <v>188</v>
      </c>
      <c r="C161" s="2" t="s">
        <v>23</v>
      </c>
      <c r="E161" s="2">
        <v>10.0</v>
      </c>
      <c r="K161" s="2">
        <v>500.0</v>
      </c>
      <c r="N161" s="6">
        <v>43522.0</v>
      </c>
      <c r="Q161" s="2" t="s">
        <v>192</v>
      </c>
    </row>
    <row r="162">
      <c r="A162" s="2">
        <v>161.0</v>
      </c>
      <c r="B162" s="2" t="s">
        <v>841</v>
      </c>
      <c r="C162" s="2" t="s">
        <v>23</v>
      </c>
      <c r="E162" s="2">
        <v>10.0</v>
      </c>
      <c r="K162" s="2">
        <v>20.0</v>
      </c>
      <c r="N162" s="6">
        <v>42285.0</v>
      </c>
      <c r="Q162" s="2" t="s">
        <v>842</v>
      </c>
    </row>
    <row r="163">
      <c r="A163" s="2">
        <v>162.0</v>
      </c>
      <c r="B163" s="2" t="s">
        <v>843</v>
      </c>
      <c r="C163" s="2" t="s">
        <v>23</v>
      </c>
      <c r="E163" s="2">
        <v>10.0</v>
      </c>
      <c r="K163" s="2">
        <v>10.0</v>
      </c>
      <c r="N163" s="6">
        <v>45787.0</v>
      </c>
      <c r="Q163" s="2" t="s">
        <v>845</v>
      </c>
    </row>
    <row r="164">
      <c r="A164" s="2">
        <v>163.0</v>
      </c>
      <c r="B164" s="2" t="s">
        <v>846</v>
      </c>
      <c r="C164" s="2" t="s">
        <v>23</v>
      </c>
      <c r="E164" s="2">
        <v>10.0</v>
      </c>
      <c r="F164" s="2">
        <v>0.2</v>
      </c>
      <c r="K164" s="2">
        <v>250.0</v>
      </c>
      <c r="N164" s="6">
        <v>43426.0</v>
      </c>
      <c r="O164" s="2" t="s">
        <v>49</v>
      </c>
      <c r="P164" s="2" t="s">
        <v>36</v>
      </c>
      <c r="Q164" s="2" t="s">
        <v>847</v>
      </c>
      <c r="S164" s="2" t="s">
        <v>848</v>
      </c>
    </row>
    <row r="165">
      <c r="A165" s="2">
        <v>164.0</v>
      </c>
      <c r="B165" s="2" t="s">
        <v>851</v>
      </c>
      <c r="C165" s="2" t="s">
        <v>23</v>
      </c>
      <c r="E165" s="2">
        <v>10.0</v>
      </c>
      <c r="K165" s="2">
        <v>300.0</v>
      </c>
      <c r="N165" s="6">
        <v>42473.0</v>
      </c>
      <c r="Q165" s="2" t="s">
        <v>852</v>
      </c>
    </row>
    <row r="166">
      <c r="A166" s="2">
        <v>165.0</v>
      </c>
      <c r="B166" s="2" t="s">
        <v>48</v>
      </c>
      <c r="C166" s="2" t="s">
        <v>23</v>
      </c>
      <c r="E166" s="2">
        <v>10.0</v>
      </c>
      <c r="K166" s="2">
        <v>300.0</v>
      </c>
      <c r="N166" s="6">
        <v>43936.0</v>
      </c>
      <c r="Q166" s="2" t="s">
        <v>53</v>
      </c>
    </row>
    <row r="167">
      <c r="A167" s="2">
        <v>166.0</v>
      </c>
      <c r="B167" s="2" t="s">
        <v>854</v>
      </c>
      <c r="C167" s="2" t="s">
        <v>23</v>
      </c>
      <c r="E167" s="2">
        <v>10.0</v>
      </c>
      <c r="K167" s="2">
        <v>10.0</v>
      </c>
      <c r="N167" s="6">
        <v>42418.0</v>
      </c>
      <c r="Q167" s="2" t="s">
        <v>855</v>
      </c>
    </row>
    <row r="168">
      <c r="A168" s="2">
        <v>167.0</v>
      </c>
      <c r="B168" s="2" t="s">
        <v>858</v>
      </c>
      <c r="C168" s="2" t="s">
        <v>23</v>
      </c>
      <c r="E168" s="2">
        <v>10.0</v>
      </c>
      <c r="K168" s="2">
        <v>20.0</v>
      </c>
      <c r="N168" s="6">
        <v>43722.0</v>
      </c>
      <c r="Q168" s="2" t="s">
        <v>860</v>
      </c>
    </row>
    <row r="169">
      <c r="A169" s="2">
        <v>168.0</v>
      </c>
      <c r="B169" s="2" t="s">
        <v>861</v>
      </c>
      <c r="C169" s="2" t="s">
        <v>23</v>
      </c>
      <c r="E169" s="2">
        <v>10.0</v>
      </c>
      <c r="K169" s="2">
        <v>70.0</v>
      </c>
      <c r="N169" s="6">
        <v>45834.0</v>
      </c>
      <c r="Q169" s="2" t="s">
        <v>863</v>
      </c>
    </row>
    <row r="170">
      <c r="A170" s="2">
        <v>169.0</v>
      </c>
      <c r="B170" s="2" t="s">
        <v>864</v>
      </c>
      <c r="C170" s="2" t="s">
        <v>23</v>
      </c>
      <c r="E170" s="2">
        <v>10.0</v>
      </c>
      <c r="K170" s="2">
        <v>10.0</v>
      </c>
      <c r="N170" s="6">
        <v>45844.0</v>
      </c>
      <c r="Q170" s="2" t="s">
        <v>868</v>
      </c>
    </row>
    <row r="171">
      <c r="A171" s="2">
        <v>170.0</v>
      </c>
      <c r="B171" s="2" t="s">
        <v>869</v>
      </c>
      <c r="C171" s="2" t="s">
        <v>23</v>
      </c>
      <c r="E171" s="2">
        <v>10.0</v>
      </c>
      <c r="K171" s="2">
        <v>10.0</v>
      </c>
      <c r="N171" s="6">
        <v>42911.0</v>
      </c>
      <c r="Q171" s="2" t="s">
        <v>870</v>
      </c>
    </row>
    <row r="172">
      <c r="A172" s="2">
        <v>171.0</v>
      </c>
      <c r="B172" s="2" t="s">
        <v>872</v>
      </c>
      <c r="C172" s="2" t="s">
        <v>23</v>
      </c>
      <c r="E172" s="2">
        <v>10.0</v>
      </c>
      <c r="K172" s="2">
        <v>600.0</v>
      </c>
      <c r="N172" s="6">
        <v>43850.0</v>
      </c>
      <c r="Q172" s="2" t="s">
        <v>874</v>
      </c>
    </row>
    <row r="173">
      <c r="A173" s="2">
        <v>172.0</v>
      </c>
      <c r="B173" s="2" t="s">
        <v>876</v>
      </c>
      <c r="C173" s="2" t="s">
        <v>23</v>
      </c>
      <c r="E173" s="2">
        <v>10.0</v>
      </c>
      <c r="K173" s="2">
        <v>10.0</v>
      </c>
      <c r="N173" s="6">
        <v>42256.0</v>
      </c>
      <c r="Q173" s="2" t="s">
        <v>878</v>
      </c>
    </row>
    <row r="174">
      <c r="A174" s="2">
        <v>173.0</v>
      </c>
      <c r="B174" s="2" t="s">
        <v>880</v>
      </c>
      <c r="C174" s="2" t="s">
        <v>23</v>
      </c>
      <c r="E174" s="2">
        <v>10.0</v>
      </c>
      <c r="K174" s="2">
        <v>50.0</v>
      </c>
      <c r="N174" s="6">
        <v>42273.0</v>
      </c>
      <c r="Q174" s="2" t="s">
        <v>882</v>
      </c>
    </row>
    <row r="175">
      <c r="A175" s="2">
        <v>174.0</v>
      </c>
      <c r="B175" s="2" t="s">
        <v>883</v>
      </c>
      <c r="C175" s="2" t="s">
        <v>23</v>
      </c>
      <c r="E175" s="2">
        <v>10.0</v>
      </c>
      <c r="K175" s="2">
        <v>10.0</v>
      </c>
      <c r="N175" s="6">
        <v>42326.0</v>
      </c>
      <c r="Q175" s="2" t="s">
        <v>888</v>
      </c>
    </row>
    <row r="176">
      <c r="A176" s="2">
        <v>175.0</v>
      </c>
      <c r="B176" s="2" t="s">
        <v>889</v>
      </c>
      <c r="C176" s="2" t="s">
        <v>23</v>
      </c>
      <c r="E176" s="2">
        <v>10.0</v>
      </c>
      <c r="K176" s="2">
        <v>30.0</v>
      </c>
      <c r="N176" s="6">
        <v>44216.0</v>
      </c>
      <c r="Q176" s="2" t="s">
        <v>892</v>
      </c>
    </row>
    <row r="177">
      <c r="A177" s="2">
        <v>176.0</v>
      </c>
      <c r="B177" s="2" t="s">
        <v>893</v>
      </c>
      <c r="C177" s="2" t="s">
        <v>23</v>
      </c>
      <c r="E177" s="2">
        <v>10.0</v>
      </c>
      <c r="K177" s="2">
        <v>80.0</v>
      </c>
      <c r="N177" s="6">
        <v>43049.0</v>
      </c>
      <c r="Q177" s="2" t="s">
        <v>896</v>
      </c>
    </row>
    <row r="178">
      <c r="A178" s="2">
        <v>177.0</v>
      </c>
      <c r="B178" s="2" t="s">
        <v>897</v>
      </c>
      <c r="C178" s="2" t="s">
        <v>23</v>
      </c>
      <c r="E178" s="2">
        <v>10.0</v>
      </c>
      <c r="K178" s="2">
        <v>10.0</v>
      </c>
      <c r="N178" s="6">
        <v>42334.0</v>
      </c>
      <c r="Q178" s="2" t="s">
        <v>899</v>
      </c>
    </row>
    <row r="179">
      <c r="A179" s="2">
        <v>178.0</v>
      </c>
      <c r="B179" s="2" t="s">
        <v>900</v>
      </c>
      <c r="C179" s="2" t="s">
        <v>23</v>
      </c>
      <c r="E179" s="2">
        <v>10.0</v>
      </c>
      <c r="K179" s="2">
        <v>200.0</v>
      </c>
      <c r="N179" s="6">
        <v>42576.0</v>
      </c>
      <c r="Q179" s="2" t="s">
        <v>901</v>
      </c>
    </row>
    <row r="180">
      <c r="A180" s="2">
        <v>179.0</v>
      </c>
      <c r="B180" s="2" t="s">
        <v>902</v>
      </c>
      <c r="C180" s="2" t="s">
        <v>23</v>
      </c>
      <c r="E180" s="2">
        <v>10.0</v>
      </c>
      <c r="K180" s="2">
        <v>10.0</v>
      </c>
      <c r="N180" s="6">
        <v>42334.0</v>
      </c>
      <c r="Q180" s="2" t="s">
        <v>905</v>
      </c>
    </row>
    <row r="181">
      <c r="A181" s="2">
        <v>180.0</v>
      </c>
      <c r="B181" s="2" t="s">
        <v>907</v>
      </c>
      <c r="C181" s="2" t="s">
        <v>23</v>
      </c>
      <c r="E181" s="2">
        <v>10.0</v>
      </c>
      <c r="K181" s="2">
        <v>10.0</v>
      </c>
      <c r="N181" s="6">
        <v>45844.0</v>
      </c>
      <c r="Q181" s="2" t="s">
        <v>908</v>
      </c>
    </row>
    <row r="182">
      <c r="A182" s="2">
        <v>181.0</v>
      </c>
      <c r="B182" s="2" t="s">
        <v>910</v>
      </c>
      <c r="C182" s="2" t="s">
        <v>23</v>
      </c>
      <c r="E182" s="2">
        <v>10.0</v>
      </c>
      <c r="K182" s="2">
        <v>70.0</v>
      </c>
      <c r="N182" s="6">
        <v>44232.0</v>
      </c>
      <c r="Q182" s="2" t="s">
        <v>911</v>
      </c>
    </row>
    <row r="183">
      <c r="A183" s="2">
        <v>182.0</v>
      </c>
      <c r="B183" s="2" t="s">
        <v>914</v>
      </c>
      <c r="C183" s="2" t="s">
        <v>23</v>
      </c>
      <c r="E183" s="2">
        <v>10.0</v>
      </c>
      <c r="K183" s="2">
        <v>70.0</v>
      </c>
      <c r="N183" s="6">
        <v>45167.0</v>
      </c>
      <c r="Q183" s="2" t="s">
        <v>915</v>
      </c>
    </row>
    <row r="184">
      <c r="A184" s="2">
        <v>183.0</v>
      </c>
      <c r="B184" s="2" t="s">
        <v>916</v>
      </c>
      <c r="C184" s="2" t="s">
        <v>23</v>
      </c>
      <c r="E184" s="2">
        <v>10.0</v>
      </c>
      <c r="K184" s="2">
        <v>20.0</v>
      </c>
      <c r="N184" s="6">
        <v>42482.0</v>
      </c>
      <c r="Q184" s="2" t="s">
        <v>918</v>
      </c>
    </row>
    <row r="185">
      <c r="A185" s="2">
        <v>184.0</v>
      </c>
      <c r="B185" s="2" t="s">
        <v>54</v>
      </c>
      <c r="C185" s="2" t="s">
        <v>23</v>
      </c>
      <c r="E185" s="2">
        <v>10.0</v>
      </c>
      <c r="K185" s="2">
        <v>10.0</v>
      </c>
      <c r="N185" s="6">
        <v>42451.0</v>
      </c>
      <c r="Q185" s="2" t="s">
        <v>55</v>
      </c>
    </row>
    <row r="186">
      <c r="A186" s="2">
        <v>185.0</v>
      </c>
      <c r="B186" s="2" t="s">
        <v>923</v>
      </c>
      <c r="C186" s="2" t="s">
        <v>23</v>
      </c>
      <c r="E186" s="2">
        <v>10.0</v>
      </c>
      <c r="K186" s="2">
        <v>10.0</v>
      </c>
      <c r="N186" s="6">
        <v>42339.0</v>
      </c>
      <c r="O186" s="2" t="s">
        <v>49</v>
      </c>
      <c r="P186" s="2" t="s">
        <v>36</v>
      </c>
      <c r="Q186" s="2" t="s">
        <v>925</v>
      </c>
      <c r="S186" s="2" t="s">
        <v>926</v>
      </c>
    </row>
    <row r="187">
      <c r="A187" s="2">
        <v>186.0</v>
      </c>
      <c r="B187" s="2" t="s">
        <v>927</v>
      </c>
      <c r="C187" s="2" t="s">
        <v>23</v>
      </c>
      <c r="E187" s="2">
        <v>10.0</v>
      </c>
      <c r="K187" s="2">
        <v>10.0</v>
      </c>
      <c r="N187" s="6">
        <v>45984.0</v>
      </c>
      <c r="Q187" s="2" t="s">
        <v>930</v>
      </c>
    </row>
    <row r="188">
      <c r="A188" s="2">
        <v>187.0</v>
      </c>
      <c r="B188" s="2" t="s">
        <v>931</v>
      </c>
      <c r="C188" s="2" t="s">
        <v>23</v>
      </c>
      <c r="E188" s="2">
        <v>10.0</v>
      </c>
      <c r="F188" s="2">
        <v>0.25</v>
      </c>
      <c r="K188" s="2">
        <v>600.0</v>
      </c>
      <c r="N188" s="6">
        <v>42964.0</v>
      </c>
      <c r="Q188" s="2" t="s">
        <v>932</v>
      </c>
    </row>
    <row r="189">
      <c r="A189" s="2">
        <v>188.0</v>
      </c>
      <c r="B189" s="2" t="s">
        <v>933</v>
      </c>
      <c r="C189" s="2" t="s">
        <v>23</v>
      </c>
      <c r="E189" s="2">
        <v>10.0</v>
      </c>
      <c r="K189" s="2">
        <v>10.0</v>
      </c>
      <c r="N189" s="6">
        <v>42843.0</v>
      </c>
      <c r="Q189" s="2" t="s">
        <v>934</v>
      </c>
    </row>
    <row r="190">
      <c r="A190" s="2">
        <v>189.0</v>
      </c>
      <c r="B190" s="2" t="s">
        <v>935</v>
      </c>
      <c r="C190" s="2" t="s">
        <v>23</v>
      </c>
      <c r="E190" s="2">
        <v>10.0</v>
      </c>
      <c r="K190" s="2">
        <v>40.0</v>
      </c>
      <c r="N190" s="6">
        <v>44044.0</v>
      </c>
      <c r="Q190" s="2" t="s">
        <v>937</v>
      </c>
    </row>
    <row r="191">
      <c r="A191" s="2">
        <v>190.0</v>
      </c>
      <c r="B191" s="2" t="s">
        <v>938</v>
      </c>
      <c r="C191" s="2" t="s">
        <v>23</v>
      </c>
      <c r="E191" s="2">
        <v>10.0</v>
      </c>
      <c r="K191" s="2">
        <v>10.0</v>
      </c>
      <c r="N191" s="6">
        <v>45744.0</v>
      </c>
      <c r="Q191" s="2" t="s">
        <v>941</v>
      </c>
    </row>
    <row r="192">
      <c r="A192" s="2">
        <v>191.0</v>
      </c>
      <c r="B192" s="2" t="s">
        <v>942</v>
      </c>
      <c r="C192" s="2" t="s">
        <v>23</v>
      </c>
      <c r="E192" s="2">
        <v>10.0</v>
      </c>
      <c r="K192" s="2">
        <v>40.0</v>
      </c>
      <c r="N192" s="6">
        <v>44105.0</v>
      </c>
      <c r="Q192" s="2" t="s">
        <v>945</v>
      </c>
    </row>
    <row r="193">
      <c r="A193" s="2">
        <v>192.0</v>
      </c>
      <c r="B193" s="2" t="s">
        <v>947</v>
      </c>
      <c r="C193" s="2" t="s">
        <v>23</v>
      </c>
      <c r="E193" s="2">
        <v>10.0</v>
      </c>
      <c r="K193" s="2">
        <v>20.0</v>
      </c>
      <c r="N193" s="6">
        <v>45330.0</v>
      </c>
      <c r="Q193" s="2" t="s">
        <v>949</v>
      </c>
    </row>
    <row r="194">
      <c r="A194" s="2">
        <v>193.0</v>
      </c>
      <c r="B194" s="2" t="s">
        <v>951</v>
      </c>
      <c r="C194" s="2" t="s">
        <v>23</v>
      </c>
      <c r="E194" s="2">
        <v>10.0</v>
      </c>
      <c r="K194" s="2">
        <v>10.0</v>
      </c>
      <c r="N194" s="6">
        <v>45566.0</v>
      </c>
      <c r="Q194" s="2" t="s">
        <v>952</v>
      </c>
    </row>
    <row r="195">
      <c r="A195" s="2">
        <v>194.0</v>
      </c>
      <c r="B195" s="2" t="s">
        <v>955</v>
      </c>
      <c r="C195" s="2" t="s">
        <v>23</v>
      </c>
      <c r="E195" s="2">
        <v>10.0</v>
      </c>
      <c r="F195" s="2">
        <v>0.2</v>
      </c>
      <c r="K195" s="2">
        <v>500.0</v>
      </c>
      <c r="N195" s="6">
        <v>42409.0</v>
      </c>
      <c r="O195" s="2" t="s">
        <v>102</v>
      </c>
      <c r="P195" s="2" t="s">
        <v>36</v>
      </c>
      <c r="Q195" s="2" t="s">
        <v>957</v>
      </c>
      <c r="S195" s="2" t="s">
        <v>131</v>
      </c>
    </row>
    <row r="196">
      <c r="A196" s="2">
        <v>195.0</v>
      </c>
      <c r="B196" s="2" t="s">
        <v>958</v>
      </c>
      <c r="C196" s="2" t="s">
        <v>23</v>
      </c>
      <c r="E196" s="2">
        <v>10.0</v>
      </c>
      <c r="K196" s="2">
        <v>10.0</v>
      </c>
      <c r="N196" s="6">
        <v>44719.0</v>
      </c>
      <c r="Q196" s="2" t="s">
        <v>961</v>
      </c>
    </row>
    <row r="197">
      <c r="A197" s="2">
        <v>196.0</v>
      </c>
      <c r="B197" s="2" t="s">
        <v>962</v>
      </c>
      <c r="C197" s="2" t="s">
        <v>23</v>
      </c>
      <c r="E197" s="2">
        <v>10.0</v>
      </c>
      <c r="K197" s="2">
        <v>10.0</v>
      </c>
      <c r="N197" s="6">
        <v>42300.0</v>
      </c>
      <c r="Q197" s="2" t="s">
        <v>967</v>
      </c>
    </row>
    <row r="198">
      <c r="A198" s="2">
        <v>197.0</v>
      </c>
      <c r="B198" s="2" t="s">
        <v>969</v>
      </c>
      <c r="C198" s="2" t="s">
        <v>23</v>
      </c>
      <c r="E198" s="2">
        <v>10.0</v>
      </c>
      <c r="K198" s="2">
        <v>10.0</v>
      </c>
      <c r="N198" s="6">
        <v>43906.0</v>
      </c>
      <c r="Q198" s="2" t="s">
        <v>970</v>
      </c>
    </row>
    <row r="199">
      <c r="A199" s="2">
        <v>198.0</v>
      </c>
      <c r="B199" s="2" t="s">
        <v>971</v>
      </c>
      <c r="C199" s="2" t="s">
        <v>23</v>
      </c>
      <c r="E199" s="2">
        <v>10.0</v>
      </c>
      <c r="K199" s="2">
        <v>20.0</v>
      </c>
      <c r="N199" s="6">
        <v>44331.0</v>
      </c>
      <c r="Q199" s="2" t="s">
        <v>973</v>
      </c>
    </row>
    <row r="200">
      <c r="A200" s="2">
        <v>199.0</v>
      </c>
      <c r="B200" s="2" t="s">
        <v>974</v>
      </c>
      <c r="C200" s="2" t="s">
        <v>23</v>
      </c>
      <c r="E200" s="2">
        <v>10.0</v>
      </c>
      <c r="K200" s="2">
        <v>10.0</v>
      </c>
      <c r="N200" s="6">
        <v>45894.0</v>
      </c>
      <c r="Q200" s="2" t="s">
        <v>975</v>
      </c>
    </row>
    <row r="201">
      <c r="A201" s="2">
        <v>200.0</v>
      </c>
      <c r="B201" s="2" t="s">
        <v>976</v>
      </c>
      <c r="C201" s="2" t="s">
        <v>23</v>
      </c>
      <c r="E201" s="2">
        <v>10.0</v>
      </c>
      <c r="K201" s="2">
        <v>10.0</v>
      </c>
      <c r="N201" s="6">
        <v>45970.0</v>
      </c>
      <c r="Q201" s="2" t="s">
        <v>977</v>
      </c>
    </row>
    <row r="202">
      <c r="A202" s="2">
        <v>201.0</v>
      </c>
      <c r="B202" s="2" t="s">
        <v>978</v>
      </c>
      <c r="C202" s="2" t="s">
        <v>23</v>
      </c>
      <c r="E202" s="2">
        <v>10.0</v>
      </c>
      <c r="F202" s="2">
        <v>0.6</v>
      </c>
      <c r="K202" s="2">
        <v>150.0</v>
      </c>
      <c r="N202" s="6">
        <v>43932.0</v>
      </c>
      <c r="Q202" s="2" t="s">
        <v>979</v>
      </c>
    </row>
    <row r="203">
      <c r="A203" s="2">
        <v>202.0</v>
      </c>
      <c r="B203" s="2" t="s">
        <v>980</v>
      </c>
      <c r="C203" s="2" t="s">
        <v>23</v>
      </c>
      <c r="E203" s="2">
        <v>10.0</v>
      </c>
      <c r="F203" s="2">
        <v>0.8</v>
      </c>
      <c r="K203" s="2">
        <v>500.0</v>
      </c>
      <c r="N203" s="6">
        <v>42262.0</v>
      </c>
      <c r="Q203" s="2" t="s">
        <v>981</v>
      </c>
    </row>
    <row r="204">
      <c r="A204" s="2">
        <v>203.0</v>
      </c>
      <c r="B204" s="2" t="s">
        <v>982</v>
      </c>
      <c r="C204" s="2" t="s">
        <v>23</v>
      </c>
      <c r="E204" s="2">
        <v>10.0</v>
      </c>
      <c r="K204" s="2">
        <v>10.0</v>
      </c>
      <c r="N204" s="6">
        <v>45708.0</v>
      </c>
      <c r="Q204" s="2" t="s">
        <v>985</v>
      </c>
    </row>
    <row r="205">
      <c r="A205" s="2">
        <v>204.0</v>
      </c>
      <c r="B205" s="2" t="s">
        <v>987</v>
      </c>
      <c r="C205" s="2" t="s">
        <v>23</v>
      </c>
      <c r="E205" s="2">
        <v>10.0</v>
      </c>
      <c r="K205" s="2">
        <v>500.0</v>
      </c>
      <c r="N205" s="6">
        <v>42248.0</v>
      </c>
      <c r="Q205" s="2" t="s">
        <v>990</v>
      </c>
    </row>
    <row r="206">
      <c r="A206" s="2">
        <v>205.0</v>
      </c>
      <c r="B206" s="2" t="s">
        <v>991</v>
      </c>
      <c r="C206" s="2" t="s">
        <v>23</v>
      </c>
      <c r="E206" s="2">
        <v>10.0</v>
      </c>
      <c r="K206" s="2">
        <v>300.0</v>
      </c>
      <c r="N206" s="6">
        <v>42391.0</v>
      </c>
      <c r="Q206" s="2" t="s">
        <v>994</v>
      </c>
    </row>
    <row r="207">
      <c r="A207" s="2">
        <v>206.0</v>
      </c>
      <c r="B207" s="2" t="s">
        <v>995</v>
      </c>
      <c r="C207" s="2" t="s">
        <v>23</v>
      </c>
      <c r="E207" s="2">
        <v>10.0</v>
      </c>
      <c r="K207" s="2">
        <v>250.0</v>
      </c>
      <c r="N207" s="6">
        <v>42709.0</v>
      </c>
      <c r="Q207" s="2" t="s">
        <v>997</v>
      </c>
    </row>
    <row r="208">
      <c r="A208" s="2">
        <v>207.0</v>
      </c>
      <c r="B208" s="2" t="s">
        <v>998</v>
      </c>
      <c r="C208" s="2" t="s">
        <v>23</v>
      </c>
      <c r="E208" s="2">
        <v>10.0</v>
      </c>
      <c r="K208" s="2">
        <v>10.0</v>
      </c>
      <c r="N208" s="6">
        <v>44829.0</v>
      </c>
      <c r="Q208" s="2" t="s">
        <v>1001</v>
      </c>
    </row>
    <row r="209">
      <c r="A209" s="2">
        <v>208.0</v>
      </c>
      <c r="B209" s="2" t="s">
        <v>1003</v>
      </c>
      <c r="C209" s="2" t="s">
        <v>23</v>
      </c>
      <c r="E209" s="2">
        <v>10.0</v>
      </c>
      <c r="K209" s="2">
        <v>10.0</v>
      </c>
      <c r="N209" s="6">
        <v>42293.0</v>
      </c>
      <c r="Q209" s="2" t="s">
        <v>1005</v>
      </c>
    </row>
    <row r="210">
      <c r="A210" s="2">
        <v>209.0</v>
      </c>
      <c r="B210" s="2" t="s">
        <v>1006</v>
      </c>
      <c r="C210" s="2" t="s">
        <v>23</v>
      </c>
      <c r="E210" s="2">
        <v>10.0</v>
      </c>
      <c r="K210" s="2">
        <v>10.0</v>
      </c>
      <c r="N210" s="6">
        <v>45957.0</v>
      </c>
      <c r="Q210" s="2" t="s">
        <v>1007</v>
      </c>
    </row>
    <row r="211">
      <c r="A211" s="2">
        <v>210.0</v>
      </c>
      <c r="B211" s="2" t="s">
        <v>1008</v>
      </c>
      <c r="C211" s="2" t="s">
        <v>23</v>
      </c>
      <c r="E211" s="2">
        <v>10.0</v>
      </c>
      <c r="K211" s="2">
        <v>10.0</v>
      </c>
      <c r="N211" s="6">
        <v>45840.0</v>
      </c>
      <c r="Q211" s="2" t="s">
        <v>1011</v>
      </c>
    </row>
    <row r="212">
      <c r="A212" s="2">
        <v>211.0</v>
      </c>
      <c r="B212" s="2" t="s">
        <v>1012</v>
      </c>
      <c r="C212" s="2" t="s">
        <v>23</v>
      </c>
      <c r="E212" s="2">
        <v>10.0</v>
      </c>
      <c r="K212" s="2">
        <v>10.0</v>
      </c>
      <c r="N212" s="6">
        <v>45802.0</v>
      </c>
      <c r="Q212" s="2" t="s">
        <v>1014</v>
      </c>
    </row>
    <row r="213">
      <c r="A213" s="2">
        <v>212.0</v>
      </c>
      <c r="B213" s="2" t="s">
        <v>1016</v>
      </c>
      <c r="C213" s="2" t="s">
        <v>23</v>
      </c>
      <c r="E213" s="2">
        <v>10.0</v>
      </c>
      <c r="K213" s="2">
        <v>250.0</v>
      </c>
      <c r="N213" s="6">
        <v>44227.0</v>
      </c>
      <c r="Q213" s="2" t="s">
        <v>1018</v>
      </c>
    </row>
    <row r="214">
      <c r="A214" s="2">
        <v>213.0</v>
      </c>
      <c r="B214" s="2" t="s">
        <v>1020</v>
      </c>
      <c r="C214" s="2" t="s">
        <v>23</v>
      </c>
      <c r="E214" s="2">
        <v>10.0</v>
      </c>
      <c r="K214" s="2">
        <v>70.0</v>
      </c>
      <c r="N214" s="6">
        <v>42465.0</v>
      </c>
      <c r="Q214" s="2" t="s">
        <v>1022</v>
      </c>
    </row>
    <row r="215">
      <c r="A215" s="2">
        <v>214.0</v>
      </c>
      <c r="B215" s="2" t="s">
        <v>1025</v>
      </c>
      <c r="C215" s="2" t="s">
        <v>23</v>
      </c>
      <c r="E215" s="2">
        <v>10.0</v>
      </c>
      <c r="K215" s="2">
        <v>60.0</v>
      </c>
      <c r="N215" s="6">
        <v>42465.0</v>
      </c>
      <c r="Q215" s="2" t="s">
        <v>1026</v>
      </c>
    </row>
    <row r="216">
      <c r="A216" s="2">
        <v>215.0</v>
      </c>
      <c r="B216" s="2" t="s">
        <v>1027</v>
      </c>
      <c r="C216" s="2" t="s">
        <v>23</v>
      </c>
      <c r="E216" s="2">
        <v>10.0</v>
      </c>
      <c r="K216" s="2">
        <v>40.0</v>
      </c>
      <c r="N216" s="6">
        <v>43852.0</v>
      </c>
      <c r="Q216" s="2" t="s">
        <v>1028</v>
      </c>
    </row>
    <row r="217">
      <c r="A217" s="2">
        <v>216.0</v>
      </c>
      <c r="B217" s="2" t="s">
        <v>1030</v>
      </c>
      <c r="C217" s="2" t="s">
        <v>23</v>
      </c>
      <c r="E217" s="2">
        <v>10.0</v>
      </c>
      <c r="K217" s="2">
        <v>50.0</v>
      </c>
      <c r="N217" s="6">
        <v>43996.0</v>
      </c>
      <c r="Q217" s="2" t="s">
        <v>1033</v>
      </c>
    </row>
    <row r="218">
      <c r="A218" s="2">
        <v>217.0</v>
      </c>
      <c r="B218" s="2" t="s">
        <v>1034</v>
      </c>
      <c r="C218" s="2" t="s">
        <v>23</v>
      </c>
      <c r="E218" s="2">
        <v>10.0</v>
      </c>
      <c r="F218" s="2">
        <v>0.15</v>
      </c>
      <c r="K218" s="2">
        <v>150.0</v>
      </c>
      <c r="N218" s="6">
        <v>43191.0</v>
      </c>
      <c r="Q218" s="2" t="s">
        <v>1035</v>
      </c>
    </row>
    <row r="219">
      <c r="A219" s="2">
        <v>218.0</v>
      </c>
      <c r="B219" s="2" t="s">
        <v>1036</v>
      </c>
      <c r="C219" s="2" t="s">
        <v>23</v>
      </c>
      <c r="K219" s="2">
        <v>10.0</v>
      </c>
      <c r="N219" s="6">
        <v>45503.0</v>
      </c>
      <c r="Q219" s="2" t="s">
        <v>1037</v>
      </c>
    </row>
    <row r="220">
      <c r="A220" s="2">
        <v>219.0</v>
      </c>
      <c r="B220" s="2" t="s">
        <v>1039</v>
      </c>
      <c r="C220" s="2" t="s">
        <v>23</v>
      </c>
      <c r="N220" s="6">
        <v>44550.0</v>
      </c>
      <c r="Q220" s="2" t="s">
        <v>86</v>
      </c>
    </row>
    <row r="221">
      <c r="A221" s="2">
        <v>220.0</v>
      </c>
      <c r="B221" s="2" t="s">
        <v>1041</v>
      </c>
      <c r="C221" s="2" t="s">
        <v>23</v>
      </c>
      <c r="K221" s="2">
        <v>150.0</v>
      </c>
      <c r="N221" s="6">
        <v>43930.0</v>
      </c>
      <c r="Q221" s="2" t="s">
        <v>1042</v>
      </c>
    </row>
    <row r="222">
      <c r="A222" s="2">
        <v>221.0</v>
      </c>
      <c r="B222" s="2" t="s">
        <v>1043</v>
      </c>
      <c r="C222" s="2" t="s">
        <v>23</v>
      </c>
      <c r="N222" s="6">
        <v>44120.0</v>
      </c>
      <c r="Q222" s="2" t="s">
        <v>86</v>
      </c>
    </row>
    <row r="223">
      <c r="A223" s="2">
        <v>222.0</v>
      </c>
      <c r="B223" s="2" t="s">
        <v>1047</v>
      </c>
      <c r="C223" s="2" t="s">
        <v>23</v>
      </c>
      <c r="K223" s="2">
        <v>50.0</v>
      </c>
      <c r="N223" s="6">
        <v>45022.0</v>
      </c>
      <c r="Q223" s="2" t="s">
        <v>1048</v>
      </c>
    </row>
    <row r="224">
      <c r="A224" s="2">
        <v>223.0</v>
      </c>
      <c r="B224" s="2" t="s">
        <v>1050</v>
      </c>
      <c r="C224" s="2" t="s">
        <v>23</v>
      </c>
      <c r="K224" s="2">
        <v>20.0</v>
      </c>
      <c r="N224" s="6">
        <v>44480.0</v>
      </c>
      <c r="Q224" s="2" t="s">
        <v>1051</v>
      </c>
    </row>
    <row r="225">
      <c r="A225" s="2">
        <v>224.0</v>
      </c>
      <c r="B225" s="2" t="s">
        <v>1055</v>
      </c>
      <c r="C225" s="2" t="s">
        <v>23</v>
      </c>
      <c r="K225" s="2">
        <v>30.0</v>
      </c>
      <c r="N225" s="6">
        <v>43946.0</v>
      </c>
      <c r="Q225" s="2" t="s">
        <v>1056</v>
      </c>
    </row>
    <row r="226">
      <c r="A226" s="2">
        <v>225.0</v>
      </c>
      <c r="B226" s="2" t="s">
        <v>1059</v>
      </c>
      <c r="C226" s="2" t="s">
        <v>23</v>
      </c>
      <c r="K226" s="2">
        <v>30.0</v>
      </c>
      <c r="N226" s="6">
        <v>44833.0</v>
      </c>
      <c r="Q226" s="2" t="s">
        <v>86</v>
      </c>
    </row>
    <row r="227">
      <c r="A227" s="2">
        <v>226.0</v>
      </c>
      <c r="B227" s="2" t="s">
        <v>1061</v>
      </c>
      <c r="C227" s="2" t="s">
        <v>23</v>
      </c>
      <c r="N227" s="6">
        <v>44536.0</v>
      </c>
      <c r="Q227" s="2" t="s">
        <v>86</v>
      </c>
    </row>
    <row r="228">
      <c r="A228" s="2">
        <v>227.0</v>
      </c>
      <c r="B228" s="2" t="s">
        <v>1063</v>
      </c>
      <c r="C228" s="2" t="s">
        <v>23</v>
      </c>
      <c r="N228" s="6">
        <v>44648.0</v>
      </c>
      <c r="Q228" s="2" t="s">
        <v>86</v>
      </c>
    </row>
    <row r="229">
      <c r="A229" s="2">
        <v>228.0</v>
      </c>
      <c r="B229" s="2" t="s">
        <v>1064</v>
      </c>
      <c r="C229" s="2" t="s">
        <v>23</v>
      </c>
      <c r="K229" s="2">
        <v>20.0</v>
      </c>
      <c r="N229" s="6">
        <v>44879.0</v>
      </c>
      <c r="Q229" s="2" t="s">
        <v>1065</v>
      </c>
    </row>
    <row r="230">
      <c r="A230" s="2">
        <v>229.0</v>
      </c>
      <c r="B230" s="2" t="s">
        <v>1067</v>
      </c>
      <c r="C230" s="2" t="s">
        <v>23</v>
      </c>
      <c r="K230" s="2">
        <v>60.0</v>
      </c>
      <c r="N230" s="6">
        <v>44754.0</v>
      </c>
      <c r="Q230" s="2" t="s">
        <v>546</v>
      </c>
    </row>
    <row r="231">
      <c r="A231" s="2">
        <v>230.0</v>
      </c>
      <c r="B231" s="2" t="s">
        <v>1069</v>
      </c>
      <c r="C231" s="2" t="s">
        <v>23</v>
      </c>
      <c r="N231" s="6">
        <v>42396.0</v>
      </c>
      <c r="Q231" s="2" t="s">
        <v>1070</v>
      </c>
    </row>
    <row r="232">
      <c r="A232" s="2">
        <v>231.0</v>
      </c>
      <c r="B232" s="2" t="s">
        <v>1071</v>
      </c>
      <c r="C232" s="2" t="s">
        <v>23</v>
      </c>
      <c r="K232" s="2">
        <v>200.0</v>
      </c>
      <c r="N232" s="6">
        <v>45279.0</v>
      </c>
      <c r="Q232" s="2" t="s">
        <v>1073</v>
      </c>
    </row>
    <row r="233">
      <c r="A233" s="2">
        <v>232.0</v>
      </c>
      <c r="B233" s="2" t="s">
        <v>1075</v>
      </c>
      <c r="C233" s="2" t="s">
        <v>23</v>
      </c>
      <c r="N233" s="6">
        <v>44619.0</v>
      </c>
      <c r="Q233" s="2" t="s">
        <v>86</v>
      </c>
    </row>
    <row r="234">
      <c r="A234" s="2">
        <v>233.0</v>
      </c>
      <c r="B234" s="2" t="s">
        <v>1077</v>
      </c>
      <c r="C234" s="2" t="s">
        <v>23</v>
      </c>
      <c r="K234" s="2">
        <v>90.0</v>
      </c>
      <c r="N234" s="6">
        <v>44963.0</v>
      </c>
      <c r="Q234" s="2" t="s">
        <v>1078</v>
      </c>
    </row>
    <row r="235">
      <c r="A235" s="2">
        <v>234.0</v>
      </c>
      <c r="B235" s="2" t="s">
        <v>1080</v>
      </c>
      <c r="C235" s="2" t="s">
        <v>23</v>
      </c>
      <c r="N235" s="6">
        <v>42798.0</v>
      </c>
      <c r="Q235" s="2" t="s">
        <v>1082</v>
      </c>
    </row>
    <row r="236">
      <c r="A236" s="2">
        <v>235.0</v>
      </c>
      <c r="B236" s="2" t="s">
        <v>1084</v>
      </c>
      <c r="C236" s="2" t="s">
        <v>23</v>
      </c>
      <c r="K236" s="2">
        <v>20.0</v>
      </c>
      <c r="N236" s="6">
        <v>45107.0</v>
      </c>
      <c r="Q236" s="2" t="s">
        <v>1085</v>
      </c>
    </row>
    <row r="237">
      <c r="A237" s="2">
        <v>236.0</v>
      </c>
      <c r="B237" s="2" t="s">
        <v>1087</v>
      </c>
      <c r="C237" s="2" t="s">
        <v>23</v>
      </c>
      <c r="N237" s="6">
        <v>44788.0</v>
      </c>
      <c r="Q237" s="2" t="s">
        <v>86</v>
      </c>
    </row>
    <row r="238">
      <c r="A238" s="2">
        <v>237.0</v>
      </c>
      <c r="B238" s="2" t="s">
        <v>1088</v>
      </c>
      <c r="C238" s="2" t="s">
        <v>23</v>
      </c>
      <c r="N238" s="6">
        <v>43920.0</v>
      </c>
      <c r="Q238" s="2" t="s">
        <v>1090</v>
      </c>
    </row>
    <row r="239">
      <c r="A239" s="2">
        <v>238.0</v>
      </c>
      <c r="B239" s="2" t="s">
        <v>1091</v>
      </c>
      <c r="C239" s="2" t="s">
        <v>23</v>
      </c>
      <c r="N239" s="6">
        <v>44114.0</v>
      </c>
      <c r="Q239" s="2" t="s">
        <v>86</v>
      </c>
    </row>
    <row r="240">
      <c r="A240" s="2">
        <v>239.0</v>
      </c>
      <c r="B240" s="2" t="s">
        <v>1093</v>
      </c>
      <c r="C240" s="2" t="s">
        <v>23</v>
      </c>
      <c r="K240" s="2">
        <v>10.0</v>
      </c>
      <c r="N240" s="6">
        <v>44250.0</v>
      </c>
      <c r="Q240" s="2" t="s">
        <v>1094</v>
      </c>
    </row>
    <row r="241">
      <c r="A241" s="2">
        <v>240.0</v>
      </c>
      <c r="B241" s="2" t="s">
        <v>1098</v>
      </c>
      <c r="C241" s="2" t="s">
        <v>23</v>
      </c>
      <c r="N241" s="6">
        <v>45084.0</v>
      </c>
      <c r="Q241" s="2" t="s">
        <v>86</v>
      </c>
    </row>
    <row r="242">
      <c r="A242" s="2">
        <v>241.0</v>
      </c>
      <c r="B242" s="2" t="s">
        <v>1101</v>
      </c>
      <c r="C242" s="2" t="s">
        <v>23</v>
      </c>
      <c r="K242" s="2">
        <v>20.0</v>
      </c>
      <c r="N242" s="6">
        <v>45822.0</v>
      </c>
      <c r="Q242" s="2" t="s">
        <v>1103</v>
      </c>
    </row>
    <row r="243">
      <c r="A243" s="2">
        <v>242.0</v>
      </c>
      <c r="B243" s="2" t="s">
        <v>1104</v>
      </c>
      <c r="C243" s="2" t="s">
        <v>23</v>
      </c>
      <c r="N243" s="6">
        <v>45104.0</v>
      </c>
      <c r="Q243" s="2" t="s">
        <v>86</v>
      </c>
    </row>
    <row r="244">
      <c r="A244" s="2">
        <v>243.0</v>
      </c>
      <c r="B244" s="2" t="s">
        <v>1106</v>
      </c>
      <c r="C244" s="2" t="s">
        <v>23</v>
      </c>
      <c r="K244" s="2">
        <v>10.0</v>
      </c>
      <c r="N244" s="6">
        <v>44564.0</v>
      </c>
      <c r="Q244" s="2" t="s">
        <v>86</v>
      </c>
    </row>
    <row r="245">
      <c r="A245" s="2">
        <v>244.0</v>
      </c>
      <c r="B245" s="2" t="s">
        <v>1108</v>
      </c>
      <c r="C245" s="2" t="s">
        <v>23</v>
      </c>
      <c r="N245" s="6">
        <v>45999.0</v>
      </c>
      <c r="Q245" s="2" t="s">
        <v>1109</v>
      </c>
    </row>
    <row r="246">
      <c r="A246" s="2">
        <v>245.0</v>
      </c>
      <c r="B246" s="2" t="s">
        <v>1111</v>
      </c>
      <c r="C246" s="2" t="s">
        <v>23</v>
      </c>
      <c r="N246" s="6">
        <v>44748.0</v>
      </c>
      <c r="Q246" s="2" t="s">
        <v>86</v>
      </c>
    </row>
    <row r="247">
      <c r="A247" s="2">
        <v>246.0</v>
      </c>
      <c r="B247" s="2" t="s">
        <v>1114</v>
      </c>
      <c r="C247" s="2" t="s">
        <v>23</v>
      </c>
      <c r="K247" s="2">
        <v>10.0</v>
      </c>
      <c r="N247" s="6">
        <v>44942.0</v>
      </c>
      <c r="Q247" s="2" t="s">
        <v>1116</v>
      </c>
    </row>
    <row r="248">
      <c r="A248" s="2">
        <v>247.0</v>
      </c>
      <c r="B248" s="2" t="s">
        <v>1117</v>
      </c>
      <c r="C248" s="2" t="s">
        <v>23</v>
      </c>
      <c r="K248" s="2">
        <v>10.0</v>
      </c>
      <c r="N248" s="6">
        <v>43872.0</v>
      </c>
      <c r="Q248" s="2" t="s">
        <v>86</v>
      </c>
    </row>
    <row r="249">
      <c r="A249" s="2">
        <v>248.0</v>
      </c>
      <c r="B249" s="2" t="s">
        <v>1118</v>
      </c>
      <c r="C249" s="2" t="s">
        <v>23</v>
      </c>
      <c r="K249" s="2">
        <v>20.0</v>
      </c>
      <c r="N249" s="6">
        <v>42763.0</v>
      </c>
      <c r="Q249" s="2" t="s">
        <v>1120</v>
      </c>
    </row>
    <row r="250">
      <c r="A250" s="2">
        <v>249.0</v>
      </c>
      <c r="B250" s="2" t="s">
        <v>1122</v>
      </c>
      <c r="C250" s="2" t="s">
        <v>23</v>
      </c>
      <c r="K250" s="2">
        <v>10.0</v>
      </c>
      <c r="N250" s="6">
        <v>42861.0</v>
      </c>
      <c r="Q250" s="2" t="s">
        <v>1123</v>
      </c>
    </row>
    <row r="251">
      <c r="A251" s="2">
        <v>250.0</v>
      </c>
      <c r="B251" s="2" t="s">
        <v>1125</v>
      </c>
      <c r="C251" s="2" t="s">
        <v>23</v>
      </c>
      <c r="K251" s="2">
        <v>10.0</v>
      </c>
      <c r="N251" s="6">
        <v>45532.0</v>
      </c>
      <c r="Q251" s="2" t="s">
        <v>1126</v>
      </c>
    </row>
    <row r="252">
      <c r="A252" s="2">
        <v>251.0</v>
      </c>
      <c r="B252" s="2" t="s">
        <v>1127</v>
      </c>
      <c r="C252" s="2" t="s">
        <v>23</v>
      </c>
      <c r="N252" s="6">
        <v>44177.0</v>
      </c>
      <c r="Q252" s="2" t="s">
        <v>86</v>
      </c>
    </row>
    <row r="253">
      <c r="A253" s="2">
        <v>252.0</v>
      </c>
      <c r="B253" s="2" t="s">
        <v>1129</v>
      </c>
      <c r="C253" s="2" t="s">
        <v>23</v>
      </c>
      <c r="K253" s="2">
        <v>10.0</v>
      </c>
      <c r="N253" s="6">
        <v>43939.0</v>
      </c>
      <c r="Q253" s="2" t="s">
        <v>86</v>
      </c>
    </row>
    <row r="254">
      <c r="A254" s="2">
        <v>253.0</v>
      </c>
      <c r="B254" s="2" t="s">
        <v>1130</v>
      </c>
      <c r="C254" s="2" t="s">
        <v>23</v>
      </c>
      <c r="N254" s="6">
        <v>45066.0</v>
      </c>
      <c r="Q254" s="2" t="s">
        <v>1131</v>
      </c>
    </row>
    <row r="255">
      <c r="A255" s="2">
        <v>254.0</v>
      </c>
      <c r="B255" s="2" t="s">
        <v>1132</v>
      </c>
      <c r="C255" s="2" t="s">
        <v>23</v>
      </c>
      <c r="N255" s="6">
        <v>45094.0</v>
      </c>
      <c r="Q255" s="2" t="s">
        <v>86</v>
      </c>
    </row>
    <row r="256">
      <c r="A256" s="2">
        <v>255.0</v>
      </c>
      <c r="B256" s="2" t="s">
        <v>1133</v>
      </c>
      <c r="C256" s="2" t="s">
        <v>23</v>
      </c>
      <c r="N256" s="6">
        <v>45981.0</v>
      </c>
      <c r="Q256" s="2" t="s">
        <v>1135</v>
      </c>
    </row>
    <row r="257">
      <c r="A257" s="2">
        <v>256.0</v>
      </c>
      <c r="B257" s="2" t="s">
        <v>1136</v>
      </c>
      <c r="C257" s="2" t="s">
        <v>23</v>
      </c>
      <c r="K257" s="2">
        <v>200.0</v>
      </c>
      <c r="N257" s="6">
        <v>44359.0</v>
      </c>
      <c r="Q257" s="2" t="s">
        <v>1137</v>
      </c>
    </row>
    <row r="258">
      <c r="A258" s="2">
        <v>257.0</v>
      </c>
      <c r="B258" s="2" t="s">
        <v>1138</v>
      </c>
      <c r="C258" s="2" t="s">
        <v>23</v>
      </c>
      <c r="K258" s="2">
        <v>100.0</v>
      </c>
      <c r="N258" s="6">
        <v>45736.0</v>
      </c>
      <c r="Q258" s="2" t="s">
        <v>1139</v>
      </c>
    </row>
    <row r="259">
      <c r="A259" s="2">
        <v>258.0</v>
      </c>
      <c r="B259" s="2" t="s">
        <v>1143</v>
      </c>
      <c r="C259" s="2" t="s">
        <v>23</v>
      </c>
      <c r="K259" s="2">
        <v>10.0</v>
      </c>
      <c r="N259" s="6">
        <v>45555.0</v>
      </c>
      <c r="Q259" s="2" t="s">
        <v>1145</v>
      </c>
    </row>
    <row r="260">
      <c r="A260" s="2">
        <v>259.0</v>
      </c>
      <c r="B260" s="2" t="s">
        <v>1146</v>
      </c>
      <c r="C260" s="2" t="s">
        <v>23</v>
      </c>
      <c r="K260" s="2">
        <v>150.0</v>
      </c>
      <c r="N260" s="6">
        <v>45335.0</v>
      </c>
      <c r="Q260" s="2" t="s">
        <v>1147</v>
      </c>
    </row>
    <row r="261">
      <c r="A261" s="2">
        <v>260.0</v>
      </c>
      <c r="B261" s="2" t="s">
        <v>1148</v>
      </c>
      <c r="C261" s="2" t="s">
        <v>23</v>
      </c>
      <c r="I261" s="4"/>
      <c r="N261" s="6">
        <v>43993.0</v>
      </c>
      <c r="Q261" s="2" t="s">
        <v>86</v>
      </c>
    </row>
    <row r="262">
      <c r="A262" s="2">
        <v>261.0</v>
      </c>
      <c r="B262" s="2" t="s">
        <v>1152</v>
      </c>
      <c r="C262" s="2" t="s">
        <v>23</v>
      </c>
      <c r="K262" s="2">
        <v>10.0</v>
      </c>
      <c r="N262" s="6">
        <v>44027.0</v>
      </c>
      <c r="Q262" s="2" t="s">
        <v>1094</v>
      </c>
    </row>
    <row r="263">
      <c r="A263" s="2">
        <v>262.0</v>
      </c>
      <c r="B263" s="2" t="s">
        <v>1155</v>
      </c>
      <c r="C263" s="2" t="s">
        <v>23</v>
      </c>
      <c r="N263" s="6">
        <v>45411.0</v>
      </c>
      <c r="Q263" s="2" t="s">
        <v>1156</v>
      </c>
    </row>
    <row r="264">
      <c r="A264" s="2">
        <v>263.0</v>
      </c>
      <c r="B264" s="2" t="s">
        <v>1158</v>
      </c>
      <c r="C264" s="2" t="s">
        <v>23</v>
      </c>
      <c r="N264" s="6">
        <v>44877.0</v>
      </c>
      <c r="Q264" s="2" t="s">
        <v>86</v>
      </c>
    </row>
    <row r="265">
      <c r="A265" s="2">
        <v>264.0</v>
      </c>
      <c r="B265" s="2" t="s">
        <v>1163</v>
      </c>
      <c r="C265" s="2" t="s">
        <v>23</v>
      </c>
      <c r="K265" s="2">
        <v>150.0</v>
      </c>
      <c r="N265" s="6">
        <v>44062.0</v>
      </c>
      <c r="Q265" s="2" t="s">
        <v>1164</v>
      </c>
    </row>
    <row r="266">
      <c r="A266" s="2">
        <v>265.0</v>
      </c>
      <c r="B266" s="2" t="s">
        <v>1165</v>
      </c>
      <c r="C266" s="2" t="s">
        <v>23</v>
      </c>
      <c r="K266" s="2">
        <v>60.0</v>
      </c>
      <c r="N266" s="6">
        <v>45079.0</v>
      </c>
      <c r="Q266" s="2" t="s">
        <v>86</v>
      </c>
    </row>
    <row r="267">
      <c r="A267" s="2">
        <v>266.0</v>
      </c>
      <c r="B267" s="2" t="s">
        <v>1168</v>
      </c>
      <c r="C267" s="2" t="s">
        <v>23</v>
      </c>
      <c r="K267" s="2">
        <v>150.0</v>
      </c>
      <c r="N267" s="6">
        <v>45456.0</v>
      </c>
      <c r="Q267" s="2" t="s">
        <v>1169</v>
      </c>
    </row>
    <row r="268">
      <c r="A268" s="2">
        <v>267.0</v>
      </c>
      <c r="B268" s="2" t="s">
        <v>1170</v>
      </c>
      <c r="C268" s="2" t="s">
        <v>23</v>
      </c>
      <c r="N268" s="6">
        <v>44342.0</v>
      </c>
      <c r="Q268" s="2" t="s">
        <v>1070</v>
      </c>
    </row>
    <row r="269">
      <c r="A269" s="2">
        <v>268.0</v>
      </c>
      <c r="B269" s="2" t="s">
        <v>1172</v>
      </c>
      <c r="C269" s="2" t="s">
        <v>23</v>
      </c>
      <c r="N269" s="6">
        <v>45206.0</v>
      </c>
      <c r="Q269" s="2" t="s">
        <v>86</v>
      </c>
    </row>
    <row r="270">
      <c r="A270" s="2">
        <v>269.0</v>
      </c>
      <c r="B270" s="2" t="s">
        <v>1176</v>
      </c>
      <c r="C270" s="2" t="s">
        <v>23</v>
      </c>
      <c r="K270" s="2">
        <v>20.0</v>
      </c>
      <c r="N270" s="6">
        <v>44203.0</v>
      </c>
      <c r="Q270" s="2" t="s">
        <v>86</v>
      </c>
    </row>
    <row r="271">
      <c r="A271" s="2">
        <v>270.0</v>
      </c>
      <c r="B271" s="2" t="s">
        <v>1177</v>
      </c>
      <c r="C271" s="2" t="s">
        <v>23</v>
      </c>
      <c r="N271" s="6">
        <v>45596.0</v>
      </c>
      <c r="Q271" s="2" t="s">
        <v>540</v>
      </c>
    </row>
    <row r="272">
      <c r="A272" s="2">
        <v>271.0</v>
      </c>
      <c r="B272" s="2" t="s">
        <v>1178</v>
      </c>
      <c r="C272" s="2" t="s">
        <v>23</v>
      </c>
      <c r="N272" s="6">
        <v>44879.0</v>
      </c>
      <c r="Q272" s="2" t="s">
        <v>86</v>
      </c>
    </row>
    <row r="273">
      <c r="A273" s="2">
        <v>272.0</v>
      </c>
      <c r="B273" s="2" t="s">
        <v>1183</v>
      </c>
      <c r="C273" s="2" t="s">
        <v>23</v>
      </c>
      <c r="N273" s="6">
        <v>46002.0</v>
      </c>
      <c r="Q273" s="2" t="s">
        <v>1109</v>
      </c>
    </row>
    <row r="274">
      <c r="A274" s="2">
        <v>273.0</v>
      </c>
      <c r="B274" s="2" t="s">
        <v>1184</v>
      </c>
      <c r="C274" s="2" t="s">
        <v>23</v>
      </c>
      <c r="K274" s="2">
        <v>50.0</v>
      </c>
      <c r="N274" s="6">
        <v>43860.0</v>
      </c>
      <c r="Q274" s="2" t="s">
        <v>86</v>
      </c>
    </row>
    <row r="275">
      <c r="A275" s="2">
        <v>274.0</v>
      </c>
      <c r="B275" s="2" t="s">
        <v>1185</v>
      </c>
      <c r="C275" s="2" t="s">
        <v>23</v>
      </c>
      <c r="K275" s="2">
        <v>20.0</v>
      </c>
      <c r="N275" s="6">
        <v>44326.0</v>
      </c>
      <c r="Q275" s="2" t="s">
        <v>60</v>
      </c>
    </row>
    <row r="276">
      <c r="A276" s="2">
        <v>275.0</v>
      </c>
      <c r="B276" s="2" t="s">
        <v>1187</v>
      </c>
      <c r="C276" s="2" t="s">
        <v>23</v>
      </c>
      <c r="K276" s="2">
        <v>100.0</v>
      </c>
      <c r="N276" s="6">
        <v>44086.0</v>
      </c>
      <c r="Q276" s="2" t="s">
        <v>1188</v>
      </c>
    </row>
    <row r="277">
      <c r="A277" s="2">
        <v>276.0</v>
      </c>
      <c r="B277" s="2" t="s">
        <v>1190</v>
      </c>
      <c r="C277" s="2" t="s">
        <v>23</v>
      </c>
      <c r="K277" s="2">
        <v>100.0</v>
      </c>
      <c r="N277" s="6">
        <v>43049.0</v>
      </c>
      <c r="Q277" s="2" t="s">
        <v>1191</v>
      </c>
    </row>
    <row r="278">
      <c r="A278" s="2">
        <v>277.0</v>
      </c>
      <c r="B278" s="2" t="s">
        <v>1193</v>
      </c>
      <c r="C278" s="2" t="s">
        <v>23</v>
      </c>
      <c r="N278" s="6">
        <v>43255.0</v>
      </c>
      <c r="Q278" s="2" t="s">
        <v>86</v>
      </c>
    </row>
    <row r="279">
      <c r="A279" s="2">
        <v>278.0</v>
      </c>
      <c r="B279" s="2" t="s">
        <v>1197</v>
      </c>
      <c r="C279" s="2" t="s">
        <v>23</v>
      </c>
      <c r="K279" s="2">
        <v>10.0</v>
      </c>
      <c r="N279" s="6">
        <v>45090.0</v>
      </c>
      <c r="Q279" s="2" t="s">
        <v>1199</v>
      </c>
    </row>
    <row r="280">
      <c r="A280" s="2">
        <v>279.0</v>
      </c>
      <c r="B280" s="2" t="s">
        <v>1200</v>
      </c>
      <c r="C280" s="2" t="s">
        <v>23</v>
      </c>
      <c r="K280" s="2">
        <v>300.0</v>
      </c>
      <c r="N280" s="6">
        <v>43841.0</v>
      </c>
      <c r="Q280" s="2" t="s">
        <v>1201</v>
      </c>
    </row>
    <row r="281">
      <c r="A281" s="2">
        <v>280.0</v>
      </c>
      <c r="B281" s="2" t="s">
        <v>1203</v>
      </c>
      <c r="C281" s="2" t="s">
        <v>23</v>
      </c>
      <c r="N281" s="6">
        <v>45587.0</v>
      </c>
      <c r="Q281" s="2" t="s">
        <v>1205</v>
      </c>
    </row>
    <row r="282">
      <c r="A282" s="2">
        <v>281.0</v>
      </c>
      <c r="B282" s="2" t="s">
        <v>1206</v>
      </c>
      <c r="C282" s="2" t="s">
        <v>23</v>
      </c>
      <c r="K282" s="2">
        <v>60.0</v>
      </c>
      <c r="N282" s="6">
        <v>43965.0</v>
      </c>
      <c r="Q282" s="2" t="s">
        <v>1208</v>
      </c>
    </row>
    <row r="283">
      <c r="A283" s="2">
        <v>282.0</v>
      </c>
      <c r="B283" s="2" t="s">
        <v>1209</v>
      </c>
      <c r="C283" s="2" t="s">
        <v>23</v>
      </c>
      <c r="K283" s="2">
        <v>20.0</v>
      </c>
      <c r="N283" s="6">
        <v>44211.0</v>
      </c>
      <c r="Q283" s="2" t="s">
        <v>86</v>
      </c>
    </row>
    <row r="284">
      <c r="A284" s="2">
        <v>283.0</v>
      </c>
      <c r="B284" s="2" t="s">
        <v>1211</v>
      </c>
      <c r="C284" s="2" t="s">
        <v>23</v>
      </c>
      <c r="K284" s="2">
        <v>10.0</v>
      </c>
      <c r="N284" s="6">
        <v>44137.0</v>
      </c>
      <c r="Q284" s="2" t="s">
        <v>86</v>
      </c>
    </row>
    <row r="285">
      <c r="A285" s="2">
        <v>284.0</v>
      </c>
      <c r="B285" s="2" t="s">
        <v>1216</v>
      </c>
      <c r="C285" s="2" t="s">
        <v>23</v>
      </c>
      <c r="N285" s="6">
        <v>44121.0</v>
      </c>
      <c r="Q285" s="2" t="s">
        <v>86</v>
      </c>
    </row>
    <row r="286">
      <c r="A286" s="2">
        <v>285.0</v>
      </c>
      <c r="B286" s="2" t="s">
        <v>1217</v>
      </c>
      <c r="C286" s="2" t="s">
        <v>23</v>
      </c>
      <c r="K286" s="2">
        <v>20.0</v>
      </c>
      <c r="N286" s="6">
        <v>44348.0</v>
      </c>
      <c r="Q286" s="2" t="s">
        <v>1218</v>
      </c>
    </row>
    <row r="287">
      <c r="A287" s="2">
        <v>286.0</v>
      </c>
      <c r="B287" s="2" t="s">
        <v>1220</v>
      </c>
      <c r="C287" s="2" t="s">
        <v>23</v>
      </c>
      <c r="N287" s="6">
        <v>44587.0</v>
      </c>
      <c r="Q287" s="2" t="s">
        <v>1156</v>
      </c>
    </row>
    <row r="288">
      <c r="A288" s="2">
        <v>287.0</v>
      </c>
      <c r="B288" s="2" t="s">
        <v>1221</v>
      </c>
      <c r="C288" s="2" t="s">
        <v>23</v>
      </c>
      <c r="N288" s="6">
        <v>44026.0</v>
      </c>
      <c r="Q288" s="2" t="s">
        <v>86</v>
      </c>
    </row>
    <row r="289">
      <c r="A289" s="2">
        <v>288.0</v>
      </c>
      <c r="B289" s="2" t="s">
        <v>57</v>
      </c>
      <c r="C289" s="2" t="s">
        <v>23</v>
      </c>
      <c r="K289" s="2">
        <v>40.0</v>
      </c>
      <c r="N289" s="6">
        <v>43019.0</v>
      </c>
      <c r="Q289" s="2" t="s">
        <v>60</v>
      </c>
    </row>
    <row r="290">
      <c r="A290" s="2">
        <v>289.0</v>
      </c>
      <c r="B290" s="2" t="s">
        <v>1223</v>
      </c>
      <c r="C290" s="2" t="s">
        <v>23</v>
      </c>
      <c r="K290" s="2">
        <v>100.0</v>
      </c>
      <c r="N290" s="6">
        <v>43891.0</v>
      </c>
      <c r="Q290" s="2" t="s">
        <v>1224</v>
      </c>
    </row>
    <row r="291">
      <c r="A291" s="2">
        <v>290.0</v>
      </c>
      <c r="B291" s="2" t="s">
        <v>1225</v>
      </c>
      <c r="C291" s="2" t="s">
        <v>23</v>
      </c>
      <c r="K291" s="2">
        <v>100.0</v>
      </c>
      <c r="N291" s="6">
        <v>45494.0</v>
      </c>
      <c r="Q291" s="2" t="s">
        <v>1226</v>
      </c>
    </row>
    <row r="292">
      <c r="A292" s="2">
        <v>291.0</v>
      </c>
      <c r="B292" s="2" t="s">
        <v>1228</v>
      </c>
      <c r="C292" s="2" t="s">
        <v>23</v>
      </c>
      <c r="N292" s="6">
        <v>45585.0</v>
      </c>
      <c r="Q292" s="2" t="s">
        <v>1229</v>
      </c>
    </row>
    <row r="293">
      <c r="A293" s="2">
        <v>292.0</v>
      </c>
      <c r="B293" s="2" t="s">
        <v>1231</v>
      </c>
      <c r="C293" s="2" t="s">
        <v>23</v>
      </c>
      <c r="N293" s="6">
        <v>44837.0</v>
      </c>
      <c r="Q293" s="2" t="s">
        <v>86</v>
      </c>
    </row>
    <row r="294">
      <c r="A294" s="2">
        <v>293.0</v>
      </c>
      <c r="B294" s="2" t="s">
        <v>1233</v>
      </c>
      <c r="C294" s="2" t="s">
        <v>23</v>
      </c>
      <c r="K294" s="2">
        <v>200.0</v>
      </c>
      <c r="N294" s="6">
        <v>43894.0</v>
      </c>
      <c r="Q294" s="2" t="s">
        <v>1234</v>
      </c>
    </row>
    <row r="295">
      <c r="A295" s="2">
        <v>294.0</v>
      </c>
      <c r="B295" s="2" t="s">
        <v>1235</v>
      </c>
      <c r="C295" s="2" t="s">
        <v>23</v>
      </c>
      <c r="K295" s="2">
        <v>40.0</v>
      </c>
      <c r="N295" s="6">
        <v>43689.0</v>
      </c>
      <c r="Q295" s="2" t="s">
        <v>1236</v>
      </c>
    </row>
    <row r="296">
      <c r="A296" s="2">
        <v>295.0</v>
      </c>
      <c r="B296" s="2" t="s">
        <v>1237</v>
      </c>
      <c r="C296" s="2" t="s">
        <v>23</v>
      </c>
      <c r="N296" s="6">
        <v>43870.0</v>
      </c>
      <c r="Q296" s="2" t="s">
        <v>540</v>
      </c>
    </row>
    <row r="297">
      <c r="A297" s="2">
        <v>296.0</v>
      </c>
      <c r="B297" s="2" t="s">
        <v>1239</v>
      </c>
      <c r="C297" s="2" t="s">
        <v>23</v>
      </c>
      <c r="K297" s="2">
        <v>40.0</v>
      </c>
      <c r="N297" s="6">
        <v>42442.0</v>
      </c>
      <c r="Q297" s="2" t="s">
        <v>1240</v>
      </c>
    </row>
    <row r="298">
      <c r="A298" s="2">
        <v>297.0</v>
      </c>
      <c r="B298" s="2" t="s">
        <v>1241</v>
      </c>
      <c r="C298" s="2" t="s">
        <v>23</v>
      </c>
      <c r="K298" s="2">
        <v>50.0</v>
      </c>
      <c r="N298" s="6">
        <v>45551.0</v>
      </c>
      <c r="Q298" s="2" t="s">
        <v>1243</v>
      </c>
    </row>
    <row r="299">
      <c r="A299" s="2">
        <v>298.0</v>
      </c>
      <c r="B299" s="2" t="s">
        <v>1245</v>
      </c>
      <c r="C299" s="2" t="s">
        <v>23</v>
      </c>
      <c r="N299" s="6">
        <v>44575.0</v>
      </c>
      <c r="Q299" s="2" t="s">
        <v>86</v>
      </c>
    </row>
    <row r="300">
      <c r="A300" s="2">
        <v>299.0</v>
      </c>
      <c r="B300" s="2" t="s">
        <v>1248</v>
      </c>
      <c r="C300" s="2" t="s">
        <v>23</v>
      </c>
      <c r="K300" s="2">
        <v>20.0</v>
      </c>
      <c r="N300" s="6">
        <v>43864.0</v>
      </c>
      <c r="Q300" s="2" t="s">
        <v>1249</v>
      </c>
    </row>
    <row r="301">
      <c r="A301" s="2">
        <v>300.0</v>
      </c>
      <c r="B301" s="2" t="s">
        <v>1250</v>
      </c>
      <c r="C301" s="2" t="s">
        <v>23</v>
      </c>
      <c r="N301" s="6">
        <v>44113.0</v>
      </c>
      <c r="Q301" s="2" t="s">
        <v>86</v>
      </c>
    </row>
    <row r="302">
      <c r="A302" s="2">
        <v>301.0</v>
      </c>
      <c r="B302" s="2" t="s">
        <v>1253</v>
      </c>
      <c r="C302" s="2" t="s">
        <v>23</v>
      </c>
      <c r="K302" s="2">
        <v>20.0</v>
      </c>
      <c r="N302" s="6">
        <v>45206.0</v>
      </c>
      <c r="Q302" s="2" t="s">
        <v>426</v>
      </c>
    </row>
    <row r="303">
      <c r="A303" s="2">
        <v>302.0</v>
      </c>
      <c r="B303" s="2" t="s">
        <v>1254</v>
      </c>
      <c r="C303" s="2" t="s">
        <v>23</v>
      </c>
      <c r="K303" s="2">
        <v>40.0</v>
      </c>
      <c r="N303" s="6">
        <v>44236.0</v>
      </c>
      <c r="Q303" s="2" t="s">
        <v>1256</v>
      </c>
    </row>
    <row r="304">
      <c r="A304" s="2">
        <v>303.0</v>
      </c>
      <c r="B304" s="2" t="s">
        <v>1258</v>
      </c>
      <c r="C304" s="2" t="s">
        <v>23</v>
      </c>
      <c r="K304" s="2">
        <v>100.0</v>
      </c>
      <c r="N304" s="6">
        <v>42798.0</v>
      </c>
      <c r="Q304" s="2" t="s">
        <v>1259</v>
      </c>
    </row>
    <row r="305">
      <c r="A305" s="2">
        <v>304.0</v>
      </c>
      <c r="B305" s="2" t="s">
        <v>1260</v>
      </c>
      <c r="C305" s="2" t="s">
        <v>23</v>
      </c>
      <c r="K305" s="2">
        <v>20.0</v>
      </c>
      <c r="N305" s="6">
        <v>45326.0</v>
      </c>
      <c r="Q305" s="2" t="s">
        <v>1261</v>
      </c>
    </row>
    <row r="306">
      <c r="A306" s="2">
        <v>305.0</v>
      </c>
      <c r="B306" s="2" t="s">
        <v>1264</v>
      </c>
      <c r="C306" s="2" t="s">
        <v>23</v>
      </c>
      <c r="K306" s="2">
        <v>150.0</v>
      </c>
      <c r="N306" s="6">
        <v>43841.0</v>
      </c>
      <c r="Q306" s="2" t="s">
        <v>1267</v>
      </c>
    </row>
    <row r="307">
      <c r="A307" s="2">
        <v>306.0</v>
      </c>
      <c r="B307" s="2" t="s">
        <v>1268</v>
      </c>
      <c r="C307" s="2" t="s">
        <v>23</v>
      </c>
      <c r="K307" s="2">
        <v>60.0</v>
      </c>
      <c r="N307" s="6">
        <v>44976.0</v>
      </c>
      <c r="Q307" s="2" t="s">
        <v>1269</v>
      </c>
    </row>
    <row r="308">
      <c r="A308" s="2">
        <v>307.0</v>
      </c>
      <c r="B308" s="2" t="s">
        <v>1272</v>
      </c>
      <c r="C308" s="2" t="s">
        <v>23</v>
      </c>
      <c r="K308" s="2">
        <v>20.0</v>
      </c>
      <c r="N308" s="6">
        <v>44240.0</v>
      </c>
      <c r="Q308" s="2" t="s">
        <v>86</v>
      </c>
    </row>
    <row r="309">
      <c r="A309" s="2">
        <v>308.0</v>
      </c>
      <c r="B309" s="2" t="s">
        <v>1273</v>
      </c>
      <c r="C309" s="2" t="s">
        <v>23</v>
      </c>
      <c r="K309" s="2">
        <v>20.0</v>
      </c>
      <c r="N309" s="6">
        <v>44607.0</v>
      </c>
      <c r="Q309" s="2" t="s">
        <v>86</v>
      </c>
    </row>
    <row r="310">
      <c r="A310" s="2">
        <v>309.0</v>
      </c>
      <c r="B310" s="2" t="s">
        <v>1275</v>
      </c>
      <c r="C310" s="2" t="s">
        <v>23</v>
      </c>
      <c r="K310" s="2">
        <v>30.0</v>
      </c>
      <c r="N310" s="6">
        <v>44209.0</v>
      </c>
      <c r="Q310" s="2" t="s">
        <v>1277</v>
      </c>
    </row>
    <row r="311">
      <c r="A311" s="2">
        <v>310.0</v>
      </c>
      <c r="B311" s="2" t="s">
        <v>1278</v>
      </c>
      <c r="C311" s="2" t="s">
        <v>23</v>
      </c>
      <c r="K311" s="2">
        <v>40.0</v>
      </c>
      <c r="N311" s="6">
        <v>44154.0</v>
      </c>
      <c r="Q311" s="2" t="s">
        <v>1279</v>
      </c>
    </row>
    <row r="312">
      <c r="A312" s="2">
        <v>311.0</v>
      </c>
      <c r="B312" s="2" t="s">
        <v>1280</v>
      </c>
      <c r="C312" s="2" t="s">
        <v>23</v>
      </c>
      <c r="K312" s="2">
        <v>200.0</v>
      </c>
      <c r="N312" s="6">
        <v>43976.0</v>
      </c>
      <c r="Q312" s="2" t="s">
        <v>1281</v>
      </c>
    </row>
    <row r="313">
      <c r="A313" s="2">
        <v>312.0</v>
      </c>
      <c r="B313" s="2" t="s">
        <v>1283</v>
      </c>
      <c r="C313" s="2" t="s">
        <v>23</v>
      </c>
      <c r="N313" s="6">
        <v>43969.0</v>
      </c>
      <c r="Q313" s="2" t="s">
        <v>86</v>
      </c>
    </row>
    <row r="314">
      <c r="A314" s="2">
        <v>313.0</v>
      </c>
      <c r="B314" s="2" t="s">
        <v>1284</v>
      </c>
      <c r="C314" s="2" t="s">
        <v>23</v>
      </c>
      <c r="N314" s="6">
        <v>44719.0</v>
      </c>
      <c r="Q314" s="2" t="s">
        <v>86</v>
      </c>
    </row>
    <row r="315">
      <c r="A315" s="2">
        <v>314.0</v>
      </c>
      <c r="B315" s="2" t="s">
        <v>1286</v>
      </c>
      <c r="C315" s="2" t="s">
        <v>23</v>
      </c>
      <c r="K315" s="2">
        <v>10.0</v>
      </c>
      <c r="N315" s="6">
        <v>43992.0</v>
      </c>
      <c r="Q315" s="2" t="s">
        <v>86</v>
      </c>
    </row>
    <row r="316">
      <c r="A316" s="2">
        <v>315.0</v>
      </c>
      <c r="B316" s="2" t="s">
        <v>1290</v>
      </c>
      <c r="C316" s="2" t="s">
        <v>23</v>
      </c>
      <c r="N316" s="6">
        <v>42937.0</v>
      </c>
      <c r="Q316" s="2" t="s">
        <v>1291</v>
      </c>
    </row>
    <row r="317">
      <c r="A317" s="2">
        <v>316.0</v>
      </c>
      <c r="B317" s="2" t="s">
        <v>62</v>
      </c>
      <c r="C317" s="2" t="s">
        <v>23</v>
      </c>
      <c r="N317" s="6">
        <v>42788.0</v>
      </c>
      <c r="Q317" s="2" t="s">
        <v>65</v>
      </c>
    </row>
    <row r="318">
      <c r="A318" s="2">
        <v>317.0</v>
      </c>
      <c r="B318" s="2" t="s">
        <v>1293</v>
      </c>
      <c r="C318" s="2" t="s">
        <v>23</v>
      </c>
      <c r="N318" s="6">
        <v>45307.0</v>
      </c>
      <c r="Q318" s="2" t="s">
        <v>1295</v>
      </c>
    </row>
    <row r="319">
      <c r="A319" s="2">
        <v>318.0</v>
      </c>
      <c r="B319" s="2" t="s">
        <v>1296</v>
      </c>
      <c r="C319" s="2" t="s">
        <v>23</v>
      </c>
      <c r="K319" s="2">
        <v>150.0</v>
      </c>
      <c r="N319" s="6">
        <v>45647.0</v>
      </c>
      <c r="Q319" s="2" t="s">
        <v>1298</v>
      </c>
    </row>
    <row r="320">
      <c r="A320" s="2">
        <v>319.0</v>
      </c>
      <c r="B320" s="2" t="s">
        <v>1299</v>
      </c>
      <c r="C320" s="2" t="s">
        <v>23</v>
      </c>
      <c r="K320" s="2">
        <v>60.0</v>
      </c>
      <c r="N320" s="6">
        <v>42754.0</v>
      </c>
      <c r="Q320" s="2" t="s">
        <v>1301</v>
      </c>
    </row>
    <row r="321">
      <c r="A321" s="2">
        <v>320.0</v>
      </c>
      <c r="B321" s="2" t="s">
        <v>1302</v>
      </c>
      <c r="C321" s="2" t="s">
        <v>23</v>
      </c>
      <c r="N321" s="6">
        <v>44249.0</v>
      </c>
      <c r="Q321" s="2" t="s">
        <v>86</v>
      </c>
    </row>
    <row r="322">
      <c r="A322" s="2">
        <v>321.0</v>
      </c>
      <c r="B322" s="2" t="s">
        <v>1303</v>
      </c>
      <c r="C322" s="2" t="s">
        <v>23</v>
      </c>
      <c r="N322" s="6">
        <v>45175.0</v>
      </c>
      <c r="Q322" s="2" t="s">
        <v>86</v>
      </c>
    </row>
    <row r="323">
      <c r="A323" s="2">
        <v>322.0</v>
      </c>
      <c r="B323" s="2" t="s">
        <v>1304</v>
      </c>
      <c r="C323" s="2" t="s">
        <v>23</v>
      </c>
      <c r="K323" s="2">
        <v>500.0</v>
      </c>
      <c r="N323" s="6">
        <v>44464.0</v>
      </c>
      <c r="Q323" s="2" t="s">
        <v>1306</v>
      </c>
    </row>
    <row r="324">
      <c r="A324" s="2">
        <v>323.0</v>
      </c>
      <c r="B324" s="2" t="s">
        <v>1308</v>
      </c>
      <c r="C324" s="2" t="s">
        <v>23</v>
      </c>
      <c r="K324" s="2">
        <v>10.0</v>
      </c>
      <c r="N324" s="6">
        <v>42626.0</v>
      </c>
      <c r="Q324" s="2" t="s">
        <v>86</v>
      </c>
    </row>
    <row r="325">
      <c r="A325" s="2">
        <v>324.0</v>
      </c>
      <c r="B325" s="2" t="s">
        <v>1309</v>
      </c>
      <c r="C325" s="2" t="s">
        <v>23</v>
      </c>
      <c r="N325" s="6">
        <v>44986.0</v>
      </c>
      <c r="Q325" s="2" t="s">
        <v>86</v>
      </c>
    </row>
    <row r="326">
      <c r="A326" s="2">
        <v>325.0</v>
      </c>
      <c r="B326" s="2" t="s">
        <v>1312</v>
      </c>
      <c r="C326" s="2" t="s">
        <v>23</v>
      </c>
      <c r="K326" s="2">
        <v>10.0</v>
      </c>
      <c r="N326" s="6">
        <v>44491.0</v>
      </c>
      <c r="Q326" s="2" t="s">
        <v>86</v>
      </c>
    </row>
    <row r="327">
      <c r="A327" s="2">
        <v>326.0</v>
      </c>
      <c r="B327" s="2" t="s">
        <v>1313</v>
      </c>
      <c r="C327" s="2" t="s">
        <v>23</v>
      </c>
      <c r="K327" s="2">
        <v>100.0</v>
      </c>
      <c r="N327" s="6">
        <v>45373.0</v>
      </c>
      <c r="Q327" s="2" t="s">
        <v>1315</v>
      </c>
    </row>
    <row r="328">
      <c r="A328" s="2">
        <v>327.0</v>
      </c>
      <c r="B328" s="2" t="s">
        <v>1317</v>
      </c>
      <c r="C328" s="2" t="s">
        <v>23</v>
      </c>
      <c r="K328" s="2">
        <v>150.0</v>
      </c>
      <c r="N328" s="6">
        <v>45545.0</v>
      </c>
      <c r="Q328" s="2" t="s">
        <v>1319</v>
      </c>
    </row>
    <row r="329">
      <c r="A329" s="2">
        <v>328.0</v>
      </c>
      <c r="B329" s="2" t="s">
        <v>1322</v>
      </c>
      <c r="C329" s="2" t="s">
        <v>23</v>
      </c>
      <c r="K329" s="2">
        <v>30.0</v>
      </c>
      <c r="N329" s="6">
        <v>43912.0</v>
      </c>
      <c r="Q329" s="2" t="s">
        <v>1048</v>
      </c>
    </row>
    <row r="330">
      <c r="A330" s="2">
        <v>329.0</v>
      </c>
      <c r="B330" s="2" t="s">
        <v>1325</v>
      </c>
      <c r="C330" s="2" t="s">
        <v>23</v>
      </c>
      <c r="K330" s="2">
        <v>700.0</v>
      </c>
      <c r="N330" s="6">
        <v>43925.0</v>
      </c>
      <c r="Q330" s="2" t="s">
        <v>1326</v>
      </c>
    </row>
    <row r="331">
      <c r="A331" s="2">
        <v>330.0</v>
      </c>
      <c r="B331" s="2" t="s">
        <v>1327</v>
      </c>
      <c r="C331" s="2" t="s">
        <v>23</v>
      </c>
      <c r="N331" s="6">
        <v>44271.0</v>
      </c>
      <c r="Q331" s="2" t="s">
        <v>86</v>
      </c>
    </row>
    <row r="332">
      <c r="A332" s="2">
        <v>331.0</v>
      </c>
      <c r="B332" s="2" t="s">
        <v>1329</v>
      </c>
      <c r="C332" s="2" t="s">
        <v>23</v>
      </c>
      <c r="K332" s="2">
        <v>20.0</v>
      </c>
      <c r="N332" s="6">
        <v>44304.0</v>
      </c>
      <c r="Q332" s="2" t="s">
        <v>86</v>
      </c>
    </row>
    <row r="333">
      <c r="A333" s="2">
        <v>332.0</v>
      </c>
      <c r="B333" s="2" t="s">
        <v>1330</v>
      </c>
      <c r="C333" s="2" t="s">
        <v>23</v>
      </c>
      <c r="K333" s="2">
        <v>10.0</v>
      </c>
      <c r="N333" s="6">
        <v>45054.0</v>
      </c>
      <c r="Q333" s="2" t="s">
        <v>1331</v>
      </c>
    </row>
    <row r="334">
      <c r="A334" s="2">
        <v>333.0</v>
      </c>
      <c r="B334" s="2" t="s">
        <v>1333</v>
      </c>
      <c r="C334" s="2" t="s">
        <v>23</v>
      </c>
      <c r="K334" s="2">
        <v>70.0</v>
      </c>
      <c r="N334" s="6">
        <v>45798.0</v>
      </c>
      <c r="Q334" s="2" t="s">
        <v>1334</v>
      </c>
    </row>
    <row r="335">
      <c r="A335" s="2">
        <v>334.0</v>
      </c>
      <c r="B335" s="2" t="s">
        <v>1335</v>
      </c>
      <c r="C335" s="2" t="s">
        <v>23</v>
      </c>
      <c r="K335" s="2">
        <v>10.0</v>
      </c>
      <c r="N335" s="6">
        <v>46097.0</v>
      </c>
      <c r="Q335" s="2" t="s">
        <v>1338</v>
      </c>
    </row>
    <row r="336">
      <c r="A336" s="2">
        <v>335.0</v>
      </c>
      <c r="B336" s="2" t="s">
        <v>1339</v>
      </c>
      <c r="C336" s="2" t="s">
        <v>23</v>
      </c>
      <c r="N336" s="6">
        <v>44569.0</v>
      </c>
      <c r="Q336" s="2" t="s">
        <v>86</v>
      </c>
    </row>
    <row r="337">
      <c r="A337" s="2">
        <v>336.0</v>
      </c>
      <c r="B337" s="2" t="s">
        <v>1341</v>
      </c>
      <c r="C337" s="2" t="s">
        <v>23</v>
      </c>
      <c r="K337" s="2">
        <v>50.0</v>
      </c>
      <c r="N337" s="6">
        <v>43928.0</v>
      </c>
      <c r="Q337" s="2" t="s">
        <v>546</v>
      </c>
    </row>
    <row r="338">
      <c r="A338" s="2">
        <v>337.0</v>
      </c>
      <c r="B338" s="2" t="s">
        <v>1345</v>
      </c>
      <c r="C338" s="2" t="s">
        <v>23</v>
      </c>
      <c r="N338" s="6">
        <v>44428.0</v>
      </c>
      <c r="Q338" s="2" t="s">
        <v>86</v>
      </c>
    </row>
    <row r="339">
      <c r="A339" s="2">
        <v>338.0</v>
      </c>
      <c r="B339" s="2" t="s">
        <v>1346</v>
      </c>
      <c r="C339" s="2" t="s">
        <v>23</v>
      </c>
      <c r="N339" s="6">
        <v>44662.0</v>
      </c>
      <c r="Q339" s="2" t="s">
        <v>86</v>
      </c>
    </row>
    <row r="340">
      <c r="A340" s="2">
        <v>339.0</v>
      </c>
      <c r="B340" s="2" t="s">
        <v>1348</v>
      </c>
      <c r="C340" s="2" t="s">
        <v>23</v>
      </c>
      <c r="K340" s="2">
        <v>10.0</v>
      </c>
      <c r="N340" s="6">
        <v>44185.0</v>
      </c>
      <c r="Q340" s="2" t="s">
        <v>426</v>
      </c>
    </row>
    <row r="341">
      <c r="A341" s="2">
        <v>340.0</v>
      </c>
      <c r="B341" s="2" t="s">
        <v>1350</v>
      </c>
      <c r="C341" s="2" t="s">
        <v>23</v>
      </c>
      <c r="N341" s="6">
        <v>44641.0</v>
      </c>
      <c r="Q341" s="2" t="s">
        <v>86</v>
      </c>
    </row>
    <row r="342">
      <c r="A342" s="2">
        <v>341.0</v>
      </c>
      <c r="B342" s="2" t="s">
        <v>1354</v>
      </c>
      <c r="C342" s="2" t="s">
        <v>23</v>
      </c>
      <c r="N342" s="6">
        <v>45248.0</v>
      </c>
      <c r="Q342" s="2" t="s">
        <v>1116</v>
      </c>
    </row>
    <row r="343">
      <c r="A343" s="2">
        <v>342.0</v>
      </c>
      <c r="B343" s="2" t="s">
        <v>1355</v>
      </c>
      <c r="C343" s="2" t="s">
        <v>23</v>
      </c>
      <c r="N343" s="6">
        <v>45992.0</v>
      </c>
      <c r="Q343" s="2" t="s">
        <v>1357</v>
      </c>
    </row>
    <row r="344">
      <c r="A344" s="2">
        <v>343.0</v>
      </c>
      <c r="B344" s="2" t="s">
        <v>1358</v>
      </c>
      <c r="C344" s="2" t="s">
        <v>23</v>
      </c>
      <c r="N344" s="6">
        <v>42877.0</v>
      </c>
      <c r="Q344" s="2" t="s">
        <v>1359</v>
      </c>
    </row>
    <row r="345">
      <c r="A345" s="2">
        <v>344.0</v>
      </c>
      <c r="B345" s="2" t="s">
        <v>1360</v>
      </c>
      <c r="C345" s="2" t="s">
        <v>23</v>
      </c>
      <c r="K345" s="2">
        <v>40.0</v>
      </c>
      <c r="N345" s="6">
        <v>44732.0</v>
      </c>
      <c r="Q345" s="2" t="s">
        <v>1363</v>
      </c>
    </row>
    <row r="346">
      <c r="A346" s="2">
        <v>345.0</v>
      </c>
      <c r="B346" s="2" t="s">
        <v>1364</v>
      </c>
      <c r="C346" s="2" t="s">
        <v>23</v>
      </c>
      <c r="N346" s="6">
        <v>44584.0</v>
      </c>
      <c r="Q346" s="2" t="s">
        <v>86</v>
      </c>
    </row>
    <row r="347">
      <c r="A347" s="2">
        <v>346.0</v>
      </c>
      <c r="B347" s="2" t="s">
        <v>1365</v>
      </c>
      <c r="C347" s="2" t="s">
        <v>23</v>
      </c>
      <c r="K347" s="2">
        <v>90.0</v>
      </c>
      <c r="N347" s="6">
        <v>45251.0</v>
      </c>
      <c r="Q347" s="2" t="s">
        <v>1366</v>
      </c>
    </row>
    <row r="348">
      <c r="A348" s="2">
        <v>347.0</v>
      </c>
      <c r="B348" s="2" t="s">
        <v>1367</v>
      </c>
      <c r="C348" s="2" t="s">
        <v>23</v>
      </c>
      <c r="N348" s="6">
        <v>45152.0</v>
      </c>
      <c r="Q348" s="2" t="s">
        <v>86</v>
      </c>
    </row>
    <row r="349">
      <c r="A349" s="2">
        <v>348.0</v>
      </c>
      <c r="B349" s="2" t="s">
        <v>1369</v>
      </c>
      <c r="C349" s="2" t="s">
        <v>23</v>
      </c>
      <c r="K349" s="2">
        <v>20.0</v>
      </c>
      <c r="N349" s="6">
        <v>44390.0</v>
      </c>
      <c r="Q349" s="2" t="s">
        <v>89</v>
      </c>
    </row>
    <row r="350">
      <c r="A350" s="2">
        <v>349.0</v>
      </c>
      <c r="B350" s="2" t="s">
        <v>1370</v>
      </c>
      <c r="C350" s="2" t="s">
        <v>23</v>
      </c>
      <c r="N350" s="6">
        <v>46136.0</v>
      </c>
      <c r="Q350" s="2" t="s">
        <v>1373</v>
      </c>
    </row>
    <row r="351">
      <c r="A351" s="2">
        <v>350.0</v>
      </c>
      <c r="B351" s="2" t="s">
        <v>1375</v>
      </c>
      <c r="C351" s="2" t="s">
        <v>23</v>
      </c>
      <c r="K351" s="2">
        <v>30.0</v>
      </c>
      <c r="N351" s="6">
        <v>45053.0</v>
      </c>
      <c r="Q351" s="2" t="s">
        <v>426</v>
      </c>
    </row>
    <row r="352">
      <c r="A352" s="2">
        <v>351.0</v>
      </c>
      <c r="B352" s="2" t="s">
        <v>1376</v>
      </c>
      <c r="C352" s="2" t="s">
        <v>23</v>
      </c>
      <c r="N352" s="6">
        <v>44267.0</v>
      </c>
      <c r="Q352" s="2" t="s">
        <v>86</v>
      </c>
    </row>
    <row r="353">
      <c r="A353" s="2">
        <v>352.0</v>
      </c>
      <c r="B353" s="2" t="s">
        <v>1379</v>
      </c>
      <c r="C353" s="2" t="s">
        <v>23</v>
      </c>
      <c r="N353" s="6">
        <v>44282.0</v>
      </c>
      <c r="Q353" s="2" t="s">
        <v>86</v>
      </c>
    </row>
    <row r="354">
      <c r="A354" s="2">
        <v>353.0</v>
      </c>
      <c r="B354" s="2" t="s">
        <v>1380</v>
      </c>
      <c r="C354" s="2" t="s">
        <v>23</v>
      </c>
      <c r="K354" s="2">
        <v>10.0</v>
      </c>
      <c r="N354" s="6">
        <v>44876.0</v>
      </c>
      <c r="Q354" s="2" t="s">
        <v>1381</v>
      </c>
    </row>
    <row r="355">
      <c r="A355" s="2">
        <v>354.0</v>
      </c>
      <c r="B355" s="2" t="s">
        <v>1382</v>
      </c>
      <c r="C355" s="2" t="s">
        <v>23</v>
      </c>
      <c r="N355" s="6">
        <v>45596.0</v>
      </c>
      <c r="Q355" s="2" t="s">
        <v>1385</v>
      </c>
    </row>
    <row r="356">
      <c r="A356" s="2">
        <v>355.0</v>
      </c>
      <c r="B356" s="2" t="s">
        <v>1386</v>
      </c>
      <c r="C356" s="2" t="s">
        <v>23</v>
      </c>
      <c r="K356" s="2">
        <v>80.0</v>
      </c>
      <c r="N356" s="6">
        <v>45528.0</v>
      </c>
      <c r="Q356" s="2" t="s">
        <v>1387</v>
      </c>
    </row>
    <row r="357">
      <c r="A357" s="2">
        <v>356.0</v>
      </c>
      <c r="B357" s="2" t="s">
        <v>1388</v>
      </c>
      <c r="C357" s="2" t="s">
        <v>23</v>
      </c>
      <c r="N357" s="6">
        <v>44243.0</v>
      </c>
      <c r="Q357" s="2" t="s">
        <v>86</v>
      </c>
    </row>
    <row r="358">
      <c r="A358" s="2">
        <v>357.0</v>
      </c>
      <c r="B358" s="2" t="s">
        <v>1389</v>
      </c>
      <c r="C358" s="2" t="s">
        <v>23</v>
      </c>
      <c r="N358" s="6">
        <v>45487.0</v>
      </c>
      <c r="Q358" s="2" t="s">
        <v>1070</v>
      </c>
    </row>
    <row r="359">
      <c r="A359" s="2">
        <v>358.0</v>
      </c>
      <c r="B359" s="2" t="s">
        <v>1391</v>
      </c>
      <c r="C359" s="2" t="s">
        <v>23</v>
      </c>
      <c r="N359" s="6">
        <v>43910.0</v>
      </c>
      <c r="Q359" s="2" t="s">
        <v>86</v>
      </c>
    </row>
    <row r="360">
      <c r="A360" s="2">
        <v>359.0</v>
      </c>
      <c r="B360" s="2" t="s">
        <v>1393</v>
      </c>
      <c r="C360" s="2" t="s">
        <v>23</v>
      </c>
      <c r="K360" s="2">
        <v>70.0</v>
      </c>
      <c r="N360" s="6">
        <v>45698.0</v>
      </c>
      <c r="Q360" s="2" t="s">
        <v>1395</v>
      </c>
    </row>
    <row r="361">
      <c r="A361" s="2">
        <v>360.0</v>
      </c>
      <c r="B361" s="2" t="s">
        <v>1396</v>
      </c>
      <c r="C361" s="2" t="s">
        <v>23</v>
      </c>
      <c r="K361" s="2">
        <v>20.0</v>
      </c>
      <c r="N361" s="6">
        <v>44942.0</v>
      </c>
      <c r="Q361" s="2" t="s">
        <v>283</v>
      </c>
    </row>
    <row r="362">
      <c r="A362" s="2">
        <v>361.0</v>
      </c>
      <c r="B362" s="2" t="s">
        <v>1399</v>
      </c>
      <c r="C362" s="2" t="s">
        <v>23</v>
      </c>
      <c r="K362" s="2">
        <v>40.0</v>
      </c>
      <c r="N362" s="6">
        <v>45879.0</v>
      </c>
      <c r="Q362" s="2" t="s">
        <v>1401</v>
      </c>
    </row>
    <row r="363">
      <c r="A363" s="2">
        <v>362.0</v>
      </c>
      <c r="B363" s="2" t="s">
        <v>1402</v>
      </c>
      <c r="C363" s="2" t="s">
        <v>23</v>
      </c>
      <c r="K363" s="2">
        <v>20.0</v>
      </c>
      <c r="N363" s="6">
        <v>44818.0</v>
      </c>
      <c r="Q363" s="2" t="s">
        <v>1404</v>
      </c>
    </row>
    <row r="364">
      <c r="A364" s="2">
        <v>363.0</v>
      </c>
      <c r="B364" s="2" t="s">
        <v>1406</v>
      </c>
      <c r="C364" s="2" t="s">
        <v>23</v>
      </c>
      <c r="K364" s="2">
        <v>50.0</v>
      </c>
      <c r="N364" s="6">
        <v>44427.0</v>
      </c>
      <c r="Q364" s="2" t="s">
        <v>86</v>
      </c>
    </row>
    <row r="365">
      <c r="A365" s="2">
        <v>364.0</v>
      </c>
      <c r="B365" s="2" t="s">
        <v>1408</v>
      </c>
      <c r="C365" s="2" t="s">
        <v>23</v>
      </c>
      <c r="K365" s="2">
        <v>10.0</v>
      </c>
      <c r="N365" s="6">
        <v>45273.0</v>
      </c>
      <c r="Q365" s="2" t="s">
        <v>86</v>
      </c>
    </row>
    <row r="366">
      <c r="A366" s="2">
        <v>365.0</v>
      </c>
      <c r="B366" s="2" t="s">
        <v>1411</v>
      </c>
      <c r="C366" s="2" t="s">
        <v>23</v>
      </c>
      <c r="K366" s="2">
        <v>10.0</v>
      </c>
      <c r="N366" s="6">
        <v>44614.0</v>
      </c>
      <c r="Q366" s="2" t="s">
        <v>491</v>
      </c>
    </row>
    <row r="367">
      <c r="A367" s="2">
        <v>366.0</v>
      </c>
      <c r="B367" s="2" t="s">
        <v>1414</v>
      </c>
      <c r="C367" s="2" t="s">
        <v>23</v>
      </c>
      <c r="K367" s="2">
        <v>30.0</v>
      </c>
      <c r="N367" s="6">
        <v>45270.0</v>
      </c>
      <c r="Q367" s="2" t="s">
        <v>1415</v>
      </c>
    </row>
    <row r="368">
      <c r="A368" s="2">
        <v>367.0</v>
      </c>
      <c r="B368" s="2" t="s">
        <v>1416</v>
      </c>
      <c r="C368" s="2" t="s">
        <v>23</v>
      </c>
      <c r="K368" s="2">
        <v>30.0</v>
      </c>
      <c r="N368" s="6">
        <v>44311.0</v>
      </c>
      <c r="Q368" s="2" t="s">
        <v>1418</v>
      </c>
    </row>
    <row r="369">
      <c r="A369" s="2">
        <v>368.0</v>
      </c>
      <c r="B369" s="2" t="s">
        <v>1420</v>
      </c>
      <c r="C369" s="2" t="s">
        <v>23</v>
      </c>
      <c r="N369" s="6">
        <v>44620.0</v>
      </c>
      <c r="Q369" s="2" t="s">
        <v>86</v>
      </c>
    </row>
    <row r="370">
      <c r="A370" s="2">
        <v>369.0</v>
      </c>
      <c r="B370" s="2" t="s">
        <v>1421</v>
      </c>
      <c r="C370" s="2" t="s">
        <v>23</v>
      </c>
      <c r="N370" s="6">
        <v>45047.0</v>
      </c>
      <c r="Q370" s="2" t="s">
        <v>86</v>
      </c>
    </row>
    <row r="371">
      <c r="A371" s="2">
        <v>370.0</v>
      </c>
      <c r="B371" s="2" t="s">
        <v>1422</v>
      </c>
      <c r="C371" s="2" t="s">
        <v>23</v>
      </c>
      <c r="K371" s="2">
        <v>100.0</v>
      </c>
      <c r="N371" s="6">
        <v>43942.0</v>
      </c>
      <c r="Q371" s="2" t="s">
        <v>1425</v>
      </c>
    </row>
    <row r="372">
      <c r="A372" s="2">
        <v>371.0</v>
      </c>
      <c r="B372" s="2" t="s">
        <v>1427</v>
      </c>
      <c r="C372" s="2" t="s">
        <v>23</v>
      </c>
      <c r="N372" s="6">
        <v>45028.0</v>
      </c>
      <c r="Q372" s="2" t="s">
        <v>1428</v>
      </c>
    </row>
    <row r="373">
      <c r="A373" s="2">
        <v>372.0</v>
      </c>
      <c r="B373" s="2" t="s">
        <v>1429</v>
      </c>
      <c r="C373" s="2" t="s">
        <v>23</v>
      </c>
      <c r="N373" s="6">
        <v>43999.0</v>
      </c>
      <c r="Q373" s="2" t="s">
        <v>86</v>
      </c>
    </row>
    <row r="374">
      <c r="A374" s="2">
        <v>373.0</v>
      </c>
      <c r="B374" s="2" t="s">
        <v>1431</v>
      </c>
      <c r="C374" s="2" t="s">
        <v>23</v>
      </c>
      <c r="K374" s="2">
        <v>10.0</v>
      </c>
      <c r="N374" s="6">
        <v>44279.0</v>
      </c>
      <c r="Q374" s="2" t="s">
        <v>86</v>
      </c>
    </row>
    <row r="375">
      <c r="A375" s="2">
        <v>374.0</v>
      </c>
      <c r="B375" s="2" t="s">
        <v>1434</v>
      </c>
      <c r="C375" s="2" t="s">
        <v>23</v>
      </c>
      <c r="N375" s="6">
        <v>44248.0</v>
      </c>
      <c r="Q375" s="2" t="s">
        <v>86</v>
      </c>
    </row>
    <row r="376">
      <c r="A376" s="2">
        <v>375.0</v>
      </c>
      <c r="B376" s="2" t="s">
        <v>1435</v>
      </c>
      <c r="C376" s="2" t="s">
        <v>23</v>
      </c>
      <c r="K376" s="2">
        <v>20.0</v>
      </c>
      <c r="N376" s="6">
        <v>44598.0</v>
      </c>
      <c r="Q376" s="2" t="s">
        <v>1437</v>
      </c>
    </row>
    <row r="377">
      <c r="A377" s="2">
        <v>376.0</v>
      </c>
      <c r="B377" s="2" t="s">
        <v>1439</v>
      </c>
      <c r="C377" s="2" t="s">
        <v>23</v>
      </c>
      <c r="N377" s="6">
        <v>45676.0</v>
      </c>
      <c r="Q377" s="2" t="s">
        <v>1440</v>
      </c>
    </row>
    <row r="378">
      <c r="A378" s="2">
        <v>377.0</v>
      </c>
      <c r="B378" s="2" t="s">
        <v>1441</v>
      </c>
      <c r="C378" s="2" t="s">
        <v>23</v>
      </c>
      <c r="K378" s="2">
        <v>20.0</v>
      </c>
      <c r="N378" s="6">
        <v>43368.0</v>
      </c>
      <c r="Q378" s="2" t="s">
        <v>1443</v>
      </c>
    </row>
    <row r="379">
      <c r="A379" s="2">
        <v>378.0</v>
      </c>
      <c r="B379" s="2" t="s">
        <v>1444</v>
      </c>
      <c r="C379" s="2" t="s">
        <v>23</v>
      </c>
      <c r="K379" s="2">
        <v>40.0</v>
      </c>
      <c r="N379" s="6">
        <v>45678.0</v>
      </c>
      <c r="Q379" s="2" t="s">
        <v>1446</v>
      </c>
    </row>
    <row r="380">
      <c r="A380" s="2">
        <v>379.0</v>
      </c>
      <c r="B380" s="2" t="s">
        <v>1447</v>
      </c>
      <c r="C380" s="2" t="s">
        <v>23</v>
      </c>
      <c r="K380" s="2">
        <v>40.0</v>
      </c>
      <c r="N380" s="6">
        <v>44175.0</v>
      </c>
      <c r="Q380" s="2" t="s">
        <v>401</v>
      </c>
    </row>
    <row r="381">
      <c r="A381" s="2">
        <v>380.0</v>
      </c>
      <c r="B381" s="2" t="s">
        <v>1450</v>
      </c>
      <c r="C381" s="2" t="s">
        <v>23</v>
      </c>
      <c r="K381" s="2">
        <v>70.0</v>
      </c>
      <c r="N381" s="6">
        <v>45776.0</v>
      </c>
      <c r="Q381" s="2" t="s">
        <v>1452</v>
      </c>
    </row>
    <row r="382">
      <c r="A382" s="2">
        <v>381.0</v>
      </c>
      <c r="B382" s="2" t="s">
        <v>1453</v>
      </c>
      <c r="C382" s="2" t="s">
        <v>23</v>
      </c>
      <c r="K382" s="2">
        <v>200.0</v>
      </c>
      <c r="N382" s="6">
        <v>43848.0</v>
      </c>
      <c r="Q382" s="2" t="s">
        <v>1455</v>
      </c>
    </row>
    <row r="383">
      <c r="A383" s="2">
        <v>382.0</v>
      </c>
      <c r="B383" s="2" t="s">
        <v>1456</v>
      </c>
      <c r="C383" s="2" t="s">
        <v>23</v>
      </c>
      <c r="N383" s="6">
        <v>44594.0</v>
      </c>
      <c r="Q383" s="2" t="s">
        <v>86</v>
      </c>
    </row>
    <row r="384">
      <c r="A384" s="2">
        <v>383.0</v>
      </c>
      <c r="B384" s="2" t="s">
        <v>1458</v>
      </c>
      <c r="C384" s="2" t="s">
        <v>23</v>
      </c>
      <c r="K384" s="2">
        <v>40.0</v>
      </c>
      <c r="N384" s="6">
        <v>45875.0</v>
      </c>
      <c r="Q384" s="2" t="s">
        <v>1460</v>
      </c>
    </row>
    <row r="385">
      <c r="A385" s="2">
        <v>384.0</v>
      </c>
      <c r="B385" s="2" t="s">
        <v>1461</v>
      </c>
      <c r="C385" s="2" t="s">
        <v>23</v>
      </c>
      <c r="K385" s="2">
        <v>50.0</v>
      </c>
      <c r="N385" s="6">
        <v>44063.0</v>
      </c>
      <c r="Q385" s="2" t="s">
        <v>1462</v>
      </c>
    </row>
    <row r="386">
      <c r="A386" s="2">
        <v>385.0</v>
      </c>
      <c r="B386" s="2" t="s">
        <v>1463</v>
      </c>
      <c r="C386" s="2" t="s">
        <v>23</v>
      </c>
      <c r="K386" s="2">
        <v>30.0</v>
      </c>
      <c r="N386" s="6">
        <v>43969.0</v>
      </c>
      <c r="Q386" s="2" t="s">
        <v>1466</v>
      </c>
    </row>
    <row r="387">
      <c r="A387" s="2">
        <v>386.0</v>
      </c>
      <c r="B387" s="2" t="s">
        <v>198</v>
      </c>
      <c r="C387" s="2" t="s">
        <v>23</v>
      </c>
      <c r="K387" s="2">
        <v>40.0</v>
      </c>
      <c r="N387" s="6">
        <v>44027.0</v>
      </c>
      <c r="Q387" s="2" t="s">
        <v>200</v>
      </c>
    </row>
    <row r="388">
      <c r="A388" s="2">
        <v>387.0</v>
      </c>
      <c r="B388" s="2" t="s">
        <v>1467</v>
      </c>
      <c r="C388" s="2" t="s">
        <v>23</v>
      </c>
      <c r="K388" s="2">
        <v>150.0</v>
      </c>
      <c r="N388" s="6">
        <v>45435.0</v>
      </c>
      <c r="Q388" s="2" t="s">
        <v>1468</v>
      </c>
    </row>
    <row r="389">
      <c r="A389" s="2">
        <v>388.0</v>
      </c>
      <c r="B389" s="2" t="s">
        <v>1470</v>
      </c>
      <c r="C389" s="2" t="s">
        <v>23</v>
      </c>
      <c r="K389" s="2">
        <v>10.0</v>
      </c>
      <c r="N389" s="6">
        <v>44600.0</v>
      </c>
      <c r="Q389" s="2" t="s">
        <v>1472</v>
      </c>
    </row>
    <row r="390">
      <c r="A390" s="2">
        <v>389.0</v>
      </c>
      <c r="B390" s="2" t="s">
        <v>1473</v>
      </c>
      <c r="C390" s="2" t="s">
        <v>23</v>
      </c>
      <c r="N390" s="6">
        <v>45104.0</v>
      </c>
      <c r="Q390" s="2" t="s">
        <v>1474</v>
      </c>
    </row>
    <row r="391">
      <c r="A391" s="2">
        <v>390.0</v>
      </c>
      <c r="B391" s="2" t="s">
        <v>1475</v>
      </c>
      <c r="C391" s="2" t="s">
        <v>23</v>
      </c>
      <c r="K391" s="2">
        <v>10.0</v>
      </c>
      <c r="N391" s="6">
        <v>43913.0</v>
      </c>
      <c r="Q391" s="2" t="s">
        <v>1477</v>
      </c>
    </row>
    <row r="392">
      <c r="A392" s="2">
        <v>391.0</v>
      </c>
      <c r="B392" s="2" t="s">
        <v>1480</v>
      </c>
      <c r="C392" s="2" t="s">
        <v>23</v>
      </c>
      <c r="K392" s="2">
        <v>10.0</v>
      </c>
      <c r="N392" s="6">
        <v>45149.0</v>
      </c>
      <c r="Q392" s="2" t="s">
        <v>1481</v>
      </c>
    </row>
    <row r="393">
      <c r="A393" s="2">
        <v>392.0</v>
      </c>
      <c r="B393" s="2" t="s">
        <v>1483</v>
      </c>
      <c r="C393" s="2" t="s">
        <v>23</v>
      </c>
      <c r="K393" s="2">
        <v>300.0</v>
      </c>
      <c r="N393" s="6">
        <v>42278.0</v>
      </c>
      <c r="Q393" s="2" t="s">
        <v>1484</v>
      </c>
    </row>
    <row r="394">
      <c r="A394" s="2">
        <v>393.0</v>
      </c>
      <c r="B394" s="2" t="s">
        <v>1486</v>
      </c>
      <c r="C394" s="2" t="s">
        <v>23</v>
      </c>
      <c r="N394" s="6">
        <v>44690.0</v>
      </c>
      <c r="Q394" s="2" t="s">
        <v>86</v>
      </c>
    </row>
    <row r="395">
      <c r="A395" s="2">
        <v>394.0</v>
      </c>
      <c r="B395" s="2" t="s">
        <v>1488</v>
      </c>
      <c r="C395" s="2" t="s">
        <v>23</v>
      </c>
      <c r="N395" s="6">
        <v>44606.0</v>
      </c>
      <c r="Q395" s="2" t="s">
        <v>86</v>
      </c>
    </row>
    <row r="396">
      <c r="A396" s="2">
        <v>395.0</v>
      </c>
      <c r="B396" s="2" t="s">
        <v>1490</v>
      </c>
      <c r="C396" s="2" t="s">
        <v>23</v>
      </c>
      <c r="K396" s="2">
        <v>60.0</v>
      </c>
      <c r="N396" s="6">
        <v>45474.0</v>
      </c>
      <c r="Q396" s="2" t="s">
        <v>1491</v>
      </c>
    </row>
    <row r="397">
      <c r="A397" s="2">
        <v>396.0</v>
      </c>
      <c r="B397" s="2" t="s">
        <v>1494</v>
      </c>
      <c r="C397" s="2" t="s">
        <v>23</v>
      </c>
      <c r="N397" s="6">
        <v>44588.0</v>
      </c>
      <c r="Q397" s="2" t="s">
        <v>86</v>
      </c>
    </row>
    <row r="398">
      <c r="A398" s="2">
        <v>397.0</v>
      </c>
      <c r="B398" s="2" t="s">
        <v>1496</v>
      </c>
      <c r="C398" s="2" t="s">
        <v>23</v>
      </c>
      <c r="N398" s="6">
        <v>44010.0</v>
      </c>
      <c r="Q398" s="2" t="s">
        <v>86</v>
      </c>
    </row>
    <row r="399">
      <c r="A399" s="2">
        <v>398.0</v>
      </c>
      <c r="B399" s="2" t="s">
        <v>1497</v>
      </c>
      <c r="C399" s="2" t="s">
        <v>23</v>
      </c>
      <c r="K399" s="2">
        <v>20.0</v>
      </c>
      <c r="N399" s="6">
        <v>45000.0</v>
      </c>
      <c r="Q399" s="2" t="s">
        <v>86</v>
      </c>
    </row>
    <row r="400">
      <c r="A400" s="2">
        <v>399.0</v>
      </c>
      <c r="B400" s="2" t="s">
        <v>1499</v>
      </c>
      <c r="C400" s="2" t="s">
        <v>23</v>
      </c>
      <c r="N400" s="6">
        <v>43842.0</v>
      </c>
      <c r="Q400" s="2" t="s">
        <v>86</v>
      </c>
    </row>
    <row r="401">
      <c r="A401" s="2">
        <v>400.0</v>
      </c>
      <c r="B401" s="2" t="s">
        <v>1500</v>
      </c>
      <c r="C401" s="2" t="s">
        <v>23</v>
      </c>
      <c r="N401" s="6">
        <v>43887.0</v>
      </c>
      <c r="Q401" s="2" t="s">
        <v>86</v>
      </c>
    </row>
    <row r="402">
      <c r="A402" s="2">
        <v>401.0</v>
      </c>
      <c r="B402" s="2" t="s">
        <v>1501</v>
      </c>
      <c r="C402" s="2" t="s">
        <v>23</v>
      </c>
      <c r="N402" s="6">
        <v>43908.0</v>
      </c>
      <c r="Q402" s="2" t="s">
        <v>86</v>
      </c>
    </row>
    <row r="403">
      <c r="A403" s="2">
        <v>402.0</v>
      </c>
      <c r="B403" s="2" t="s">
        <v>1503</v>
      </c>
      <c r="C403" s="2" t="s">
        <v>23</v>
      </c>
      <c r="N403" s="6">
        <v>44543.0</v>
      </c>
      <c r="Q403" s="2" t="s">
        <v>86</v>
      </c>
    </row>
    <row r="404">
      <c r="A404" s="2">
        <v>403.0</v>
      </c>
      <c r="B404" s="2" t="s">
        <v>1504</v>
      </c>
      <c r="C404" s="2" t="s">
        <v>23</v>
      </c>
      <c r="K404" s="2">
        <v>50.0</v>
      </c>
      <c r="N404" s="6">
        <v>44001.0</v>
      </c>
      <c r="Q404" s="2" t="s">
        <v>1505</v>
      </c>
    </row>
    <row r="405">
      <c r="A405" s="2">
        <v>404.0</v>
      </c>
      <c r="B405" s="2" t="s">
        <v>1508</v>
      </c>
      <c r="C405" s="2" t="s">
        <v>23</v>
      </c>
      <c r="K405" s="2">
        <v>40.0</v>
      </c>
      <c r="N405" s="6">
        <v>45484.0</v>
      </c>
      <c r="Q405" s="2" t="s">
        <v>1510</v>
      </c>
    </row>
    <row r="406">
      <c r="A406" s="2">
        <v>405.0</v>
      </c>
      <c r="B406" s="2" t="s">
        <v>1511</v>
      </c>
      <c r="C406" s="2" t="s">
        <v>23</v>
      </c>
      <c r="K406" s="2">
        <v>150.0</v>
      </c>
      <c r="N406" s="6">
        <v>45257.0</v>
      </c>
      <c r="Q406" s="2" t="s">
        <v>1514</v>
      </c>
    </row>
    <row r="407">
      <c r="A407" s="2">
        <v>406.0</v>
      </c>
      <c r="B407" s="2" t="s">
        <v>1515</v>
      </c>
      <c r="C407" s="2" t="s">
        <v>23</v>
      </c>
      <c r="K407" s="2">
        <v>10.0</v>
      </c>
      <c r="N407" s="6">
        <v>42600.0</v>
      </c>
      <c r="Q407" s="2" t="s">
        <v>1518</v>
      </c>
    </row>
    <row r="408">
      <c r="A408" s="2">
        <v>407.0</v>
      </c>
      <c r="B408" s="2" t="s">
        <v>1520</v>
      </c>
      <c r="C408" s="2" t="s">
        <v>23</v>
      </c>
      <c r="K408" s="2">
        <v>40.0</v>
      </c>
      <c r="N408" s="6">
        <v>44186.0</v>
      </c>
      <c r="Q408" s="2" t="s">
        <v>1521</v>
      </c>
    </row>
    <row r="409">
      <c r="A409" s="2">
        <v>408.0</v>
      </c>
      <c r="B409" s="2" t="s">
        <v>1522</v>
      </c>
      <c r="C409" s="2" t="s">
        <v>23</v>
      </c>
      <c r="N409" s="6">
        <v>44696.0</v>
      </c>
      <c r="Q409" s="2" t="s">
        <v>86</v>
      </c>
    </row>
    <row r="410">
      <c r="A410" s="2">
        <v>409.0</v>
      </c>
      <c r="B410" s="2" t="s">
        <v>1524</v>
      </c>
      <c r="C410" s="2" t="s">
        <v>23</v>
      </c>
      <c r="K410" s="2">
        <v>70.0</v>
      </c>
      <c r="N410" s="6">
        <v>45385.0</v>
      </c>
      <c r="Q410" s="2" t="s">
        <v>1526</v>
      </c>
    </row>
    <row r="411">
      <c r="A411" s="2">
        <v>410.0</v>
      </c>
      <c r="B411" s="2" t="s">
        <v>1527</v>
      </c>
      <c r="C411" s="2" t="s">
        <v>23</v>
      </c>
      <c r="K411" s="2">
        <v>30.0</v>
      </c>
      <c r="N411" s="6">
        <v>45550.0</v>
      </c>
      <c r="Q411" s="2" t="s">
        <v>1528</v>
      </c>
    </row>
    <row r="412">
      <c r="A412" s="2">
        <v>411.0</v>
      </c>
      <c r="B412" s="2" t="s">
        <v>1529</v>
      </c>
      <c r="C412" s="2" t="s">
        <v>23</v>
      </c>
      <c r="K412" s="2">
        <v>10.0</v>
      </c>
      <c r="N412" s="6">
        <v>43243.0</v>
      </c>
      <c r="Q412" s="2" t="s">
        <v>1530</v>
      </c>
    </row>
    <row r="413">
      <c r="A413" s="2">
        <v>412.0</v>
      </c>
      <c r="B413" s="2" t="s">
        <v>1531</v>
      </c>
      <c r="C413" s="2" t="s">
        <v>23</v>
      </c>
      <c r="N413" s="6">
        <v>44897.0</v>
      </c>
      <c r="Q413" s="2" t="s">
        <v>86</v>
      </c>
    </row>
    <row r="414">
      <c r="A414" s="2">
        <v>413.0</v>
      </c>
      <c r="B414" s="2" t="s">
        <v>1533</v>
      </c>
      <c r="C414" s="2" t="s">
        <v>23</v>
      </c>
      <c r="N414" s="6">
        <v>43943.0</v>
      </c>
      <c r="Q414" s="2" t="s">
        <v>86</v>
      </c>
    </row>
    <row r="415">
      <c r="A415" s="2">
        <v>414.0</v>
      </c>
      <c r="B415" s="2" t="s">
        <v>1535</v>
      </c>
      <c r="C415" s="2" t="s">
        <v>23</v>
      </c>
      <c r="K415" s="2">
        <v>60.0</v>
      </c>
      <c r="N415" s="6">
        <v>45464.0</v>
      </c>
      <c r="Q415" s="2" t="s">
        <v>1537</v>
      </c>
    </row>
    <row r="416">
      <c r="A416" s="2">
        <v>415.0</v>
      </c>
      <c r="B416" s="2" t="s">
        <v>1543</v>
      </c>
      <c r="C416" s="2" t="s">
        <v>23</v>
      </c>
      <c r="K416" s="2">
        <v>50.0</v>
      </c>
      <c r="N416" s="6">
        <v>45754.0</v>
      </c>
      <c r="Q416" s="2" t="s">
        <v>1545</v>
      </c>
    </row>
    <row r="417">
      <c r="A417" s="2">
        <v>416.0</v>
      </c>
      <c r="B417" s="2" t="s">
        <v>1546</v>
      </c>
      <c r="C417" s="2" t="s">
        <v>23</v>
      </c>
      <c r="K417" s="2">
        <v>10.0</v>
      </c>
      <c r="N417" s="6">
        <v>44934.0</v>
      </c>
      <c r="Q417" s="2" t="s">
        <v>1549</v>
      </c>
    </row>
    <row r="418">
      <c r="A418" s="2">
        <v>417.0</v>
      </c>
      <c r="B418" s="2" t="s">
        <v>1551</v>
      </c>
      <c r="C418" s="2" t="s">
        <v>23</v>
      </c>
      <c r="K418" s="2">
        <v>40.0</v>
      </c>
      <c r="N418" s="6">
        <v>43977.0</v>
      </c>
      <c r="Q418" s="2" t="s">
        <v>1552</v>
      </c>
    </row>
    <row r="419">
      <c r="A419" s="2">
        <v>418.0</v>
      </c>
      <c r="B419" s="2" t="s">
        <v>1555</v>
      </c>
      <c r="C419" s="2" t="s">
        <v>23</v>
      </c>
      <c r="K419" s="2">
        <v>20.0</v>
      </c>
      <c r="N419" s="6">
        <v>45135.0</v>
      </c>
      <c r="Q419" s="2" t="s">
        <v>1557</v>
      </c>
    </row>
    <row r="420">
      <c r="A420" s="2">
        <v>419.0</v>
      </c>
      <c r="B420" s="2" t="s">
        <v>1558</v>
      </c>
      <c r="C420" s="2" t="s">
        <v>23</v>
      </c>
      <c r="N420" s="6">
        <v>44865.0</v>
      </c>
      <c r="Q420" s="2" t="s">
        <v>1562</v>
      </c>
    </row>
    <row r="421">
      <c r="A421" s="2">
        <v>420.0</v>
      </c>
      <c r="B421" s="2" t="s">
        <v>1563</v>
      </c>
      <c r="C421" s="2" t="s">
        <v>23</v>
      </c>
      <c r="N421" s="6">
        <v>45861.0</v>
      </c>
      <c r="Q421" s="2" t="s">
        <v>1565</v>
      </c>
    </row>
    <row r="422">
      <c r="A422" s="2">
        <v>421.0</v>
      </c>
      <c r="B422" s="2" t="s">
        <v>1566</v>
      </c>
      <c r="C422" s="2" t="s">
        <v>23</v>
      </c>
      <c r="N422" s="6">
        <v>43539.0</v>
      </c>
      <c r="Q422" s="2" t="s">
        <v>1568</v>
      </c>
    </row>
    <row r="423">
      <c r="A423" s="2">
        <v>422.0</v>
      </c>
      <c r="B423" s="2" t="s">
        <v>1569</v>
      </c>
      <c r="C423" s="2" t="s">
        <v>23</v>
      </c>
      <c r="K423" s="2">
        <v>30.0</v>
      </c>
      <c r="N423" s="6">
        <v>45489.0</v>
      </c>
      <c r="Q423" s="2" t="s">
        <v>1570</v>
      </c>
    </row>
    <row r="424">
      <c r="A424" s="2">
        <v>423.0</v>
      </c>
      <c r="B424" s="2" t="s">
        <v>1571</v>
      </c>
      <c r="C424" s="2" t="s">
        <v>23</v>
      </c>
      <c r="K424" s="2">
        <v>20.0</v>
      </c>
      <c r="N424" s="6">
        <v>45320.0</v>
      </c>
      <c r="Q424" s="2" t="s">
        <v>546</v>
      </c>
    </row>
    <row r="425">
      <c r="A425" s="2">
        <v>424.0</v>
      </c>
      <c r="B425" s="2" t="s">
        <v>1574</v>
      </c>
      <c r="C425" s="2" t="s">
        <v>23</v>
      </c>
      <c r="K425" s="2">
        <v>200.0</v>
      </c>
      <c r="N425" s="6">
        <v>44129.0</v>
      </c>
      <c r="Q425" s="2" t="s">
        <v>1576</v>
      </c>
    </row>
    <row r="426">
      <c r="A426" s="2">
        <v>425.0</v>
      </c>
      <c r="B426" s="2" t="s">
        <v>1577</v>
      </c>
      <c r="C426" s="2" t="s">
        <v>23</v>
      </c>
      <c r="K426" s="2">
        <v>70.0</v>
      </c>
      <c r="N426" s="6">
        <v>45737.0</v>
      </c>
      <c r="Q426" s="2" t="s">
        <v>1580</v>
      </c>
    </row>
    <row r="427">
      <c r="A427" s="2">
        <v>426.0</v>
      </c>
      <c r="B427" s="2" t="s">
        <v>1582</v>
      </c>
      <c r="C427" s="2" t="s">
        <v>23</v>
      </c>
      <c r="K427" s="2">
        <v>20.0</v>
      </c>
      <c r="N427" s="6">
        <v>43883.0</v>
      </c>
      <c r="Q427" s="2" t="s">
        <v>86</v>
      </c>
    </row>
    <row r="428">
      <c r="A428" s="2">
        <v>427.0</v>
      </c>
      <c r="B428" s="2" t="s">
        <v>1584</v>
      </c>
      <c r="C428" s="2" t="s">
        <v>23</v>
      </c>
      <c r="K428" s="2">
        <v>10.0</v>
      </c>
      <c r="N428" s="6">
        <v>45139.0</v>
      </c>
      <c r="Q428" s="2" t="s">
        <v>1587</v>
      </c>
    </row>
    <row r="429">
      <c r="A429" s="2">
        <v>428.0</v>
      </c>
      <c r="B429" s="2" t="s">
        <v>1588</v>
      </c>
      <c r="C429" s="2" t="s">
        <v>23</v>
      </c>
      <c r="K429" s="2">
        <v>20.0</v>
      </c>
      <c r="N429" s="6">
        <v>44951.0</v>
      </c>
      <c r="Q429" s="2" t="s">
        <v>86</v>
      </c>
    </row>
    <row r="430">
      <c r="A430" s="2">
        <v>429.0</v>
      </c>
      <c r="B430" s="2" t="s">
        <v>1590</v>
      </c>
      <c r="C430" s="2" t="s">
        <v>23</v>
      </c>
      <c r="K430" s="2">
        <v>20.0</v>
      </c>
      <c r="N430" s="6">
        <v>44725.0</v>
      </c>
      <c r="Q430" s="2" t="s">
        <v>86</v>
      </c>
    </row>
    <row r="431">
      <c r="A431" s="2">
        <v>430.0</v>
      </c>
      <c r="B431" s="2" t="s">
        <v>202</v>
      </c>
      <c r="C431" s="2" t="s">
        <v>23</v>
      </c>
      <c r="K431" s="2">
        <v>300.0</v>
      </c>
      <c r="N431" s="6">
        <v>43997.0</v>
      </c>
      <c r="Q431" s="2" t="s">
        <v>205</v>
      </c>
    </row>
    <row r="432">
      <c r="A432" s="2">
        <v>431.0</v>
      </c>
      <c r="B432" s="2" t="s">
        <v>1594</v>
      </c>
      <c r="C432" s="2" t="s">
        <v>23</v>
      </c>
      <c r="N432" s="6">
        <v>45526.0</v>
      </c>
      <c r="Q432" s="2" t="s">
        <v>1595</v>
      </c>
    </row>
    <row r="433">
      <c r="A433" s="2">
        <v>432.0</v>
      </c>
      <c r="B433" s="2" t="s">
        <v>1596</v>
      </c>
      <c r="C433" s="2" t="s">
        <v>23</v>
      </c>
      <c r="N433" s="6">
        <v>43355.0</v>
      </c>
      <c r="Q433" s="2" t="s">
        <v>86</v>
      </c>
    </row>
    <row r="434">
      <c r="A434" s="2">
        <v>433.0</v>
      </c>
      <c r="B434" s="2" t="s">
        <v>1600</v>
      </c>
      <c r="C434" s="2" t="s">
        <v>23</v>
      </c>
      <c r="K434" s="2">
        <v>20.0</v>
      </c>
      <c r="N434" s="6">
        <v>44581.0</v>
      </c>
      <c r="Q434" s="2" t="s">
        <v>86</v>
      </c>
    </row>
    <row r="435">
      <c r="A435" s="2">
        <v>434.0</v>
      </c>
      <c r="B435" s="2" t="s">
        <v>1603</v>
      </c>
      <c r="C435" s="2" t="s">
        <v>23</v>
      </c>
      <c r="K435" s="2">
        <v>10.0</v>
      </c>
      <c r="N435" s="6">
        <v>45072.0</v>
      </c>
      <c r="Q435" s="2" t="s">
        <v>1605</v>
      </c>
    </row>
    <row r="436">
      <c r="A436" s="2">
        <v>435.0</v>
      </c>
      <c r="B436" s="2" t="s">
        <v>1607</v>
      </c>
      <c r="C436" s="2" t="s">
        <v>23</v>
      </c>
      <c r="K436" s="2">
        <v>200.0</v>
      </c>
      <c r="N436" s="6">
        <v>43861.0</v>
      </c>
      <c r="Q436" s="2" t="s">
        <v>1608</v>
      </c>
    </row>
    <row r="437">
      <c r="A437" s="2">
        <v>436.0</v>
      </c>
      <c r="B437" s="2" t="s">
        <v>1610</v>
      </c>
      <c r="C437" s="2" t="s">
        <v>23</v>
      </c>
      <c r="N437" s="6">
        <v>45503.0</v>
      </c>
      <c r="Q437" s="2" t="s">
        <v>1611</v>
      </c>
    </row>
    <row r="438">
      <c r="A438" s="2">
        <v>437.0</v>
      </c>
      <c r="B438" s="2" t="s">
        <v>1612</v>
      </c>
      <c r="C438" s="2" t="s">
        <v>23</v>
      </c>
      <c r="N438" s="6">
        <v>45259.0</v>
      </c>
      <c r="Q438" s="2" t="s">
        <v>1613</v>
      </c>
    </row>
    <row r="439">
      <c r="A439" s="2">
        <v>438.0</v>
      </c>
      <c r="B439" s="2" t="s">
        <v>1615</v>
      </c>
      <c r="C439" s="2" t="s">
        <v>23</v>
      </c>
      <c r="K439" s="2">
        <v>40.0</v>
      </c>
      <c r="N439" s="6">
        <v>44218.0</v>
      </c>
      <c r="Q439" s="2" t="s">
        <v>1617</v>
      </c>
    </row>
    <row r="440">
      <c r="A440" s="2">
        <v>439.0</v>
      </c>
      <c r="B440" s="2" t="s">
        <v>1618</v>
      </c>
      <c r="C440" s="2" t="s">
        <v>23</v>
      </c>
      <c r="K440" s="2">
        <v>10.0</v>
      </c>
      <c r="N440" s="6">
        <v>44700.0</v>
      </c>
      <c r="Q440" s="2" t="s">
        <v>1621</v>
      </c>
    </row>
    <row r="441">
      <c r="A441" s="2">
        <v>440.0</v>
      </c>
      <c r="B441" s="2" t="s">
        <v>1623</v>
      </c>
      <c r="C441" s="2" t="s">
        <v>23</v>
      </c>
      <c r="K441" s="2">
        <v>150.0</v>
      </c>
      <c r="N441" s="6">
        <v>44568.0</v>
      </c>
      <c r="Q441" s="2" t="s">
        <v>1625</v>
      </c>
    </row>
    <row r="442">
      <c r="A442" s="2">
        <v>441.0</v>
      </c>
      <c r="B442" s="2" t="s">
        <v>1626</v>
      </c>
      <c r="C442" s="2" t="s">
        <v>23</v>
      </c>
      <c r="K442" s="2">
        <v>250.0</v>
      </c>
      <c r="N442" s="6">
        <v>45597.0</v>
      </c>
      <c r="Q442" s="2" t="s">
        <v>1630</v>
      </c>
    </row>
    <row r="443">
      <c r="A443" s="2">
        <v>442.0</v>
      </c>
      <c r="B443" s="2" t="s">
        <v>1631</v>
      </c>
      <c r="C443" s="2" t="s">
        <v>23</v>
      </c>
      <c r="K443" s="2">
        <v>150.0</v>
      </c>
      <c r="N443" s="6">
        <v>43989.0</v>
      </c>
      <c r="Q443" s="2" t="s">
        <v>1632</v>
      </c>
    </row>
    <row r="444">
      <c r="A444" s="2">
        <v>443.0</v>
      </c>
      <c r="B444" s="2" t="s">
        <v>1633</v>
      </c>
      <c r="C444" s="2" t="s">
        <v>23</v>
      </c>
      <c r="K444" s="2">
        <v>100.0</v>
      </c>
      <c r="N444" s="6">
        <v>44088.0</v>
      </c>
      <c r="Q444" s="2" t="s">
        <v>1635</v>
      </c>
    </row>
    <row r="445">
      <c r="A445" s="2">
        <v>444.0</v>
      </c>
      <c r="B445" s="2" t="s">
        <v>1637</v>
      </c>
      <c r="C445" s="2" t="s">
        <v>23</v>
      </c>
      <c r="K445" s="2">
        <v>40.0</v>
      </c>
      <c r="N445" s="6">
        <v>45568.0</v>
      </c>
      <c r="Q445" s="2" t="s">
        <v>1638</v>
      </c>
    </row>
    <row r="446">
      <c r="A446" s="2">
        <v>445.0</v>
      </c>
      <c r="B446" s="2" t="s">
        <v>1639</v>
      </c>
      <c r="C446" s="2" t="s">
        <v>23</v>
      </c>
      <c r="K446" s="2">
        <v>20.0</v>
      </c>
      <c r="N446" s="6">
        <v>44034.0</v>
      </c>
      <c r="Q446" s="2" t="s">
        <v>1641</v>
      </c>
    </row>
    <row r="447">
      <c r="A447" s="2">
        <v>446.0</v>
      </c>
      <c r="B447" s="2" t="s">
        <v>1644</v>
      </c>
      <c r="C447" s="2" t="s">
        <v>23</v>
      </c>
      <c r="N447" s="6">
        <v>44254.0</v>
      </c>
      <c r="Q447" s="2" t="s">
        <v>1646</v>
      </c>
    </row>
    <row r="448">
      <c r="A448" s="2">
        <v>447.0</v>
      </c>
      <c r="B448" s="2" t="s">
        <v>1647</v>
      </c>
      <c r="C448" s="2" t="s">
        <v>23</v>
      </c>
      <c r="K448" s="2">
        <v>20.0</v>
      </c>
      <c r="N448" s="6">
        <v>44076.0</v>
      </c>
      <c r="Q448" s="2" t="s">
        <v>1649</v>
      </c>
    </row>
    <row r="449">
      <c r="A449" s="2">
        <v>448.0</v>
      </c>
      <c r="B449" s="2" t="s">
        <v>1650</v>
      </c>
      <c r="C449" s="2" t="s">
        <v>23</v>
      </c>
      <c r="K449" s="2">
        <v>60.0</v>
      </c>
      <c r="N449" s="6">
        <v>45557.0</v>
      </c>
      <c r="Q449" s="2" t="s">
        <v>1652</v>
      </c>
    </row>
    <row r="450">
      <c r="A450" s="2">
        <v>449.0</v>
      </c>
      <c r="B450" s="2" t="s">
        <v>1654</v>
      </c>
      <c r="C450" s="2" t="s">
        <v>23</v>
      </c>
      <c r="K450" s="2">
        <v>60.0</v>
      </c>
      <c r="N450" s="6">
        <v>44767.0</v>
      </c>
      <c r="Q450" s="2" t="s">
        <v>1656</v>
      </c>
    </row>
    <row r="451">
      <c r="A451" s="2">
        <v>450.0</v>
      </c>
      <c r="B451" s="2" t="s">
        <v>1657</v>
      </c>
      <c r="C451" s="2" t="s">
        <v>23</v>
      </c>
      <c r="K451" s="2">
        <v>200.0</v>
      </c>
      <c r="N451" s="6">
        <v>42861.0</v>
      </c>
      <c r="O451" s="2" t="s">
        <v>102</v>
      </c>
      <c r="P451" s="2" t="s">
        <v>36</v>
      </c>
      <c r="Q451" s="2" t="s">
        <v>1659</v>
      </c>
      <c r="S451" s="2" t="s">
        <v>1660</v>
      </c>
    </row>
    <row r="452">
      <c r="A452" s="2">
        <v>451.0</v>
      </c>
      <c r="B452" s="2" t="s">
        <v>1662</v>
      </c>
      <c r="C452" s="2" t="s">
        <v>23</v>
      </c>
      <c r="K452" s="2">
        <v>40.0</v>
      </c>
      <c r="N452" s="6">
        <v>42943.0</v>
      </c>
      <c r="Q452" s="2" t="s">
        <v>1663</v>
      </c>
    </row>
    <row r="453">
      <c r="A453" s="2">
        <v>452.0</v>
      </c>
      <c r="B453" s="2" t="s">
        <v>1664</v>
      </c>
      <c r="C453" s="2" t="s">
        <v>23</v>
      </c>
      <c r="N453" s="6">
        <v>43894.0</v>
      </c>
      <c r="Q453" s="2" t="s">
        <v>86</v>
      </c>
    </row>
    <row r="454">
      <c r="A454" s="2">
        <v>453.0</v>
      </c>
      <c r="B454" s="2" t="s">
        <v>1666</v>
      </c>
      <c r="C454" s="2" t="s">
        <v>23</v>
      </c>
      <c r="K454" s="2">
        <v>30.0</v>
      </c>
      <c r="N454" s="6">
        <v>43074.0</v>
      </c>
      <c r="Q454" s="2" t="s">
        <v>1668</v>
      </c>
    </row>
    <row r="455">
      <c r="A455" s="2">
        <v>454.0</v>
      </c>
      <c r="B455" s="2" t="s">
        <v>1669</v>
      </c>
      <c r="C455" s="2" t="s">
        <v>23</v>
      </c>
      <c r="N455" s="6">
        <v>42548.0</v>
      </c>
      <c r="Q455" s="2" t="s">
        <v>1670</v>
      </c>
    </row>
    <row r="456">
      <c r="A456" s="2">
        <v>455.0</v>
      </c>
      <c r="B456" s="2" t="s">
        <v>1671</v>
      </c>
      <c r="C456" s="2" t="s">
        <v>23</v>
      </c>
      <c r="K456" s="2">
        <v>30.0</v>
      </c>
      <c r="N456" s="6">
        <v>43847.0</v>
      </c>
      <c r="Q456" s="2" t="s">
        <v>1675</v>
      </c>
    </row>
    <row r="457">
      <c r="A457" s="2">
        <v>456.0</v>
      </c>
      <c r="B457" s="2" t="s">
        <v>1676</v>
      </c>
      <c r="C457" s="2" t="s">
        <v>23</v>
      </c>
      <c r="K457" s="2">
        <v>20.0</v>
      </c>
      <c r="N457" s="6">
        <v>44122.0</v>
      </c>
      <c r="Q457" s="2" t="s">
        <v>1678</v>
      </c>
    </row>
    <row r="458">
      <c r="A458" s="2">
        <v>457.0</v>
      </c>
      <c r="B458" s="2" t="s">
        <v>1679</v>
      </c>
      <c r="C458" s="2" t="s">
        <v>23</v>
      </c>
      <c r="K458" s="2">
        <v>40.0</v>
      </c>
      <c r="N458" s="6">
        <v>44223.0</v>
      </c>
      <c r="Q458" s="2" t="s">
        <v>1681</v>
      </c>
    </row>
    <row r="459">
      <c r="A459" s="2">
        <v>458.0</v>
      </c>
      <c r="B459" s="2" t="s">
        <v>1682</v>
      </c>
      <c r="C459" s="2" t="s">
        <v>23</v>
      </c>
      <c r="N459" s="6">
        <v>44322.0</v>
      </c>
      <c r="Q459" s="2" t="s">
        <v>1070</v>
      </c>
    </row>
    <row r="460">
      <c r="A460" s="2">
        <v>459.0</v>
      </c>
      <c r="B460" s="2" t="s">
        <v>1683</v>
      </c>
      <c r="C460" s="2" t="s">
        <v>23</v>
      </c>
      <c r="K460" s="2">
        <v>10.0</v>
      </c>
      <c r="N460" s="6">
        <v>44163.0</v>
      </c>
      <c r="Q460" s="2" t="s">
        <v>86</v>
      </c>
    </row>
    <row r="461">
      <c r="A461" s="2">
        <v>460.0</v>
      </c>
      <c r="B461" s="2" t="s">
        <v>1685</v>
      </c>
      <c r="C461" s="2" t="s">
        <v>23</v>
      </c>
      <c r="N461" s="6">
        <v>43762.0</v>
      </c>
      <c r="Q461" s="2" t="s">
        <v>1116</v>
      </c>
    </row>
    <row r="462">
      <c r="A462" s="2">
        <v>461.0</v>
      </c>
      <c r="B462" s="2" t="s">
        <v>1686</v>
      </c>
      <c r="C462" s="2" t="s">
        <v>23</v>
      </c>
      <c r="K462" s="2">
        <v>10.0</v>
      </c>
      <c r="N462" s="6">
        <v>44225.0</v>
      </c>
      <c r="Q462" s="2" t="s">
        <v>1687</v>
      </c>
    </row>
    <row r="463">
      <c r="A463" s="2">
        <v>462.0</v>
      </c>
      <c r="B463" s="2" t="s">
        <v>1689</v>
      </c>
      <c r="C463" s="2" t="s">
        <v>23</v>
      </c>
      <c r="K463" s="2">
        <v>20.0</v>
      </c>
      <c r="N463" s="6">
        <v>44553.0</v>
      </c>
      <c r="Q463" s="2" t="s">
        <v>491</v>
      </c>
    </row>
    <row r="464">
      <c r="A464" s="2">
        <v>463.0</v>
      </c>
      <c r="B464" s="2" t="s">
        <v>1691</v>
      </c>
      <c r="C464" s="2" t="s">
        <v>23</v>
      </c>
      <c r="N464" s="6">
        <v>44964.0</v>
      </c>
      <c r="Q464" s="2" t="s">
        <v>86</v>
      </c>
    </row>
    <row r="465">
      <c r="A465" s="2">
        <v>464.0</v>
      </c>
      <c r="B465" s="2" t="s">
        <v>1692</v>
      </c>
      <c r="C465" s="2" t="s">
        <v>23</v>
      </c>
      <c r="N465" s="6">
        <v>44186.0</v>
      </c>
      <c r="Q465" s="2" t="s">
        <v>86</v>
      </c>
    </row>
    <row r="466">
      <c r="A466" s="2">
        <v>465.0</v>
      </c>
      <c r="B466" s="2" t="s">
        <v>1694</v>
      </c>
      <c r="C466" s="2" t="s">
        <v>23</v>
      </c>
      <c r="N466" s="6">
        <v>42416.0</v>
      </c>
      <c r="Q466" s="2" t="s">
        <v>86</v>
      </c>
    </row>
    <row r="467">
      <c r="A467" s="2">
        <v>466.0</v>
      </c>
      <c r="B467" s="2" t="s">
        <v>1696</v>
      </c>
      <c r="C467" s="2" t="s">
        <v>23</v>
      </c>
      <c r="N467" s="6">
        <v>44046.0</v>
      </c>
      <c r="Q467" s="2" t="s">
        <v>1697</v>
      </c>
    </row>
    <row r="468">
      <c r="A468" s="2">
        <v>467.0</v>
      </c>
      <c r="B468" s="2" t="s">
        <v>1699</v>
      </c>
      <c r="C468" s="2" t="s">
        <v>23</v>
      </c>
      <c r="N468" s="6">
        <v>44831.0</v>
      </c>
      <c r="Q468" s="2" t="s">
        <v>86</v>
      </c>
    </row>
    <row r="469">
      <c r="A469" s="2">
        <v>468.0</v>
      </c>
      <c r="B469" s="2" t="s">
        <v>1701</v>
      </c>
      <c r="C469" s="2" t="s">
        <v>23</v>
      </c>
      <c r="K469" s="2">
        <v>30.0</v>
      </c>
      <c r="N469" s="6">
        <v>44838.0</v>
      </c>
      <c r="Q469" s="2" t="s">
        <v>1703</v>
      </c>
    </row>
    <row r="470">
      <c r="A470" s="2">
        <v>469.0</v>
      </c>
      <c r="B470" s="2" t="s">
        <v>1704</v>
      </c>
      <c r="C470" s="2" t="s">
        <v>23</v>
      </c>
      <c r="K470" s="2">
        <v>10.0</v>
      </c>
      <c r="N470" s="6">
        <v>44571.0</v>
      </c>
      <c r="Q470" s="2" t="s">
        <v>86</v>
      </c>
    </row>
    <row r="471">
      <c r="A471" s="2">
        <v>470.0</v>
      </c>
      <c r="B471" s="2" t="s">
        <v>1706</v>
      </c>
      <c r="C471" s="2" t="s">
        <v>23</v>
      </c>
      <c r="K471" s="2">
        <v>20.0</v>
      </c>
      <c r="N471" s="6">
        <v>45689.0</v>
      </c>
      <c r="Q471" s="2" t="s">
        <v>1708</v>
      </c>
    </row>
    <row r="472">
      <c r="A472" s="2">
        <v>471.0</v>
      </c>
      <c r="B472" s="2" t="s">
        <v>1710</v>
      </c>
      <c r="C472" s="2" t="s">
        <v>23</v>
      </c>
      <c r="K472" s="2">
        <v>60.0</v>
      </c>
      <c r="N472" s="6">
        <v>44248.0</v>
      </c>
      <c r="Q472" s="2" t="s">
        <v>1711</v>
      </c>
    </row>
    <row r="473">
      <c r="A473" s="2">
        <v>472.0</v>
      </c>
      <c r="B473" s="2" t="s">
        <v>1712</v>
      </c>
      <c r="C473" s="2" t="s">
        <v>23</v>
      </c>
      <c r="K473" s="2">
        <v>50.0</v>
      </c>
      <c r="N473" s="6">
        <v>44558.0</v>
      </c>
      <c r="Q473" s="2" t="s">
        <v>1713</v>
      </c>
    </row>
    <row r="474">
      <c r="A474" s="2">
        <v>473.0</v>
      </c>
      <c r="B474" s="2" t="s">
        <v>1715</v>
      </c>
      <c r="C474" s="2" t="s">
        <v>23</v>
      </c>
      <c r="N474" s="6">
        <v>44143.0</v>
      </c>
      <c r="Q474" s="2" t="s">
        <v>86</v>
      </c>
    </row>
    <row r="475">
      <c r="A475" s="2">
        <v>474.0</v>
      </c>
      <c r="B475" s="2" t="s">
        <v>1718</v>
      </c>
      <c r="C475" s="2" t="s">
        <v>23</v>
      </c>
      <c r="N475" s="6">
        <v>44557.0</v>
      </c>
      <c r="Q475" s="2" t="s">
        <v>86</v>
      </c>
    </row>
    <row r="476">
      <c r="A476" s="2">
        <v>475.0</v>
      </c>
      <c r="B476" s="2" t="s">
        <v>1720</v>
      </c>
      <c r="C476" s="2" t="s">
        <v>23</v>
      </c>
      <c r="K476" s="2">
        <v>450.0</v>
      </c>
      <c r="N476" s="6">
        <v>44090.0</v>
      </c>
      <c r="Q476" s="2" t="s">
        <v>1721</v>
      </c>
    </row>
    <row r="477">
      <c r="A477" s="2">
        <v>476.0</v>
      </c>
      <c r="B477" s="2" t="s">
        <v>1723</v>
      </c>
      <c r="C477" s="2" t="s">
        <v>23</v>
      </c>
      <c r="K477" s="2">
        <v>10.0</v>
      </c>
      <c r="N477" s="6">
        <v>44420.0</v>
      </c>
      <c r="Q477" s="2" t="s">
        <v>1725</v>
      </c>
    </row>
    <row r="478">
      <c r="A478" s="2">
        <v>477.0</v>
      </c>
      <c r="B478" s="2" t="s">
        <v>1726</v>
      </c>
      <c r="C478" s="2" t="s">
        <v>23</v>
      </c>
      <c r="K478" s="2">
        <v>20.0</v>
      </c>
      <c r="N478" s="6">
        <v>44160.0</v>
      </c>
      <c r="Q478" s="2" t="s">
        <v>1727</v>
      </c>
    </row>
    <row r="479">
      <c r="A479" s="2">
        <v>478.0</v>
      </c>
      <c r="B479" s="2" t="s">
        <v>1728</v>
      </c>
      <c r="C479" s="2" t="s">
        <v>23</v>
      </c>
      <c r="K479" s="2">
        <v>10.0</v>
      </c>
      <c r="N479" s="6">
        <v>45704.0</v>
      </c>
      <c r="Q479" s="2" t="s">
        <v>1730</v>
      </c>
    </row>
    <row r="480">
      <c r="A480" s="2">
        <v>479.0</v>
      </c>
      <c r="B480" s="2" t="s">
        <v>1732</v>
      </c>
      <c r="C480" s="2" t="s">
        <v>23</v>
      </c>
      <c r="K480" s="2">
        <v>10.0</v>
      </c>
      <c r="N480" s="6">
        <v>44368.0</v>
      </c>
      <c r="Q480" s="2" t="s">
        <v>86</v>
      </c>
    </row>
    <row r="481">
      <c r="A481" s="2">
        <v>480.0</v>
      </c>
      <c r="B481" s="2" t="s">
        <v>1733</v>
      </c>
      <c r="C481" s="2" t="s">
        <v>23</v>
      </c>
      <c r="K481" s="2">
        <v>20.0</v>
      </c>
      <c r="N481" s="6">
        <v>45649.0</v>
      </c>
      <c r="Q481" s="2" t="s">
        <v>1734</v>
      </c>
    </row>
    <row r="482">
      <c r="A482" s="2">
        <v>481.0</v>
      </c>
      <c r="B482" s="2" t="s">
        <v>1735</v>
      </c>
      <c r="C482" s="2" t="s">
        <v>23</v>
      </c>
      <c r="N482" s="6">
        <v>43903.0</v>
      </c>
      <c r="Q482" s="2" t="s">
        <v>86</v>
      </c>
    </row>
    <row r="483">
      <c r="A483" s="2">
        <v>482.0</v>
      </c>
      <c r="B483" s="2" t="s">
        <v>1736</v>
      </c>
      <c r="C483" s="2" t="s">
        <v>23</v>
      </c>
      <c r="K483" s="2">
        <v>60.0</v>
      </c>
      <c r="N483" s="6">
        <v>45686.0</v>
      </c>
      <c r="Q483" s="2" t="s">
        <v>1739</v>
      </c>
    </row>
    <row r="484">
      <c r="A484" s="2">
        <v>483.0</v>
      </c>
      <c r="B484" s="2" t="s">
        <v>1740</v>
      </c>
      <c r="C484" s="2" t="s">
        <v>23</v>
      </c>
      <c r="K484" s="2">
        <v>30.0</v>
      </c>
      <c r="N484" s="6">
        <v>45436.0</v>
      </c>
      <c r="Q484" s="2" t="s">
        <v>1741</v>
      </c>
    </row>
    <row r="485">
      <c r="A485" s="2">
        <v>484.0</v>
      </c>
      <c r="B485" s="2" t="s">
        <v>1742</v>
      </c>
      <c r="C485" s="2" t="s">
        <v>23</v>
      </c>
      <c r="K485" s="2">
        <v>20.0</v>
      </c>
      <c r="N485" s="6">
        <v>44442.0</v>
      </c>
      <c r="Q485" s="2" t="s">
        <v>1744</v>
      </c>
    </row>
    <row r="486">
      <c r="A486" s="2">
        <v>485.0</v>
      </c>
      <c r="B486" s="2" t="s">
        <v>1745</v>
      </c>
      <c r="C486" s="2" t="s">
        <v>23</v>
      </c>
      <c r="K486" s="2">
        <v>70.0</v>
      </c>
      <c r="N486" s="6">
        <v>43908.0</v>
      </c>
      <c r="Q486" s="2" t="s">
        <v>1748</v>
      </c>
    </row>
    <row r="487">
      <c r="A487" s="2">
        <v>486.0</v>
      </c>
      <c r="B487" s="2" t="s">
        <v>1750</v>
      </c>
      <c r="C487" s="2" t="s">
        <v>23</v>
      </c>
      <c r="K487" s="2">
        <v>100.0</v>
      </c>
      <c r="N487" s="6">
        <v>45747.0</v>
      </c>
      <c r="Q487" s="2" t="s">
        <v>1751</v>
      </c>
    </row>
    <row r="488">
      <c r="A488" s="2">
        <v>487.0</v>
      </c>
      <c r="B488" s="2" t="s">
        <v>1752</v>
      </c>
      <c r="C488" s="2" t="s">
        <v>23</v>
      </c>
      <c r="N488" s="6">
        <v>44881.0</v>
      </c>
      <c r="Q488" s="2" t="s">
        <v>86</v>
      </c>
    </row>
    <row r="489">
      <c r="A489" s="2">
        <v>488.0</v>
      </c>
      <c r="B489" s="2" t="s">
        <v>1754</v>
      </c>
      <c r="C489" s="2" t="s">
        <v>23</v>
      </c>
      <c r="K489" s="2">
        <v>20.0</v>
      </c>
      <c r="N489" s="6">
        <v>43984.0</v>
      </c>
      <c r="Q489" s="2" t="s">
        <v>1756</v>
      </c>
    </row>
    <row r="490">
      <c r="A490" s="2">
        <v>489.0</v>
      </c>
      <c r="B490" s="2" t="s">
        <v>1757</v>
      </c>
      <c r="C490" s="2" t="s">
        <v>23</v>
      </c>
      <c r="K490" s="2">
        <v>50.0</v>
      </c>
      <c r="N490" s="6">
        <v>44490.0</v>
      </c>
      <c r="Q490" s="2" t="s">
        <v>86</v>
      </c>
    </row>
    <row r="491">
      <c r="A491" s="2">
        <v>490.0</v>
      </c>
      <c r="B491" s="2" t="s">
        <v>1759</v>
      </c>
      <c r="C491" s="2" t="s">
        <v>23</v>
      </c>
      <c r="K491" s="2">
        <v>10.0</v>
      </c>
      <c r="N491" s="6">
        <v>44146.0</v>
      </c>
      <c r="Q491" s="2" t="s">
        <v>1761</v>
      </c>
    </row>
    <row r="492">
      <c r="A492" s="2">
        <v>491.0</v>
      </c>
      <c r="B492" s="2" t="s">
        <v>66</v>
      </c>
      <c r="C492" s="2" t="s">
        <v>23</v>
      </c>
      <c r="K492" s="2">
        <v>40.0</v>
      </c>
      <c r="N492" s="6">
        <v>43932.0</v>
      </c>
      <c r="Q492" s="2" t="s">
        <v>71</v>
      </c>
    </row>
    <row r="493">
      <c r="A493" s="2">
        <v>492.0</v>
      </c>
      <c r="B493" s="2" t="s">
        <v>1762</v>
      </c>
      <c r="C493" s="2" t="s">
        <v>23</v>
      </c>
      <c r="N493" s="6">
        <v>45972.0</v>
      </c>
      <c r="Q493" s="2" t="s">
        <v>1763</v>
      </c>
    </row>
    <row r="494">
      <c r="A494" s="2">
        <v>493.0</v>
      </c>
      <c r="B494" s="2" t="s">
        <v>1765</v>
      </c>
      <c r="C494" s="2" t="s">
        <v>23</v>
      </c>
      <c r="N494" s="6">
        <v>44718.0</v>
      </c>
      <c r="Q494" s="2" t="s">
        <v>86</v>
      </c>
    </row>
    <row r="495">
      <c r="A495" s="2">
        <v>494.0</v>
      </c>
      <c r="B495" s="2" t="s">
        <v>1766</v>
      </c>
      <c r="C495" s="2" t="s">
        <v>23</v>
      </c>
      <c r="K495" s="2">
        <v>30.0</v>
      </c>
      <c r="N495" s="6">
        <v>44408.0</v>
      </c>
      <c r="Q495" s="2" t="s">
        <v>1116</v>
      </c>
    </row>
    <row r="496">
      <c r="A496" s="2">
        <v>495.0</v>
      </c>
      <c r="B496" s="2" t="s">
        <v>1767</v>
      </c>
      <c r="C496" s="2" t="s">
        <v>23</v>
      </c>
      <c r="N496" s="6">
        <v>44186.0</v>
      </c>
      <c r="Q496" s="2" t="s">
        <v>86</v>
      </c>
    </row>
    <row r="497">
      <c r="A497" s="2">
        <v>496.0</v>
      </c>
      <c r="B497" s="2" t="s">
        <v>1770</v>
      </c>
      <c r="C497" s="2" t="s">
        <v>23</v>
      </c>
      <c r="K497" s="2">
        <v>90.0</v>
      </c>
      <c r="N497" s="6">
        <v>44595.0</v>
      </c>
      <c r="Q497" s="2" t="s">
        <v>1772</v>
      </c>
    </row>
    <row r="498">
      <c r="A498" s="2">
        <v>497.0</v>
      </c>
      <c r="B498" s="2" t="s">
        <v>1773</v>
      </c>
      <c r="C498" s="2" t="s">
        <v>23</v>
      </c>
      <c r="N498" s="6">
        <v>44683.0</v>
      </c>
      <c r="Q498" s="2" t="s">
        <v>86</v>
      </c>
    </row>
    <row r="499">
      <c r="A499" s="2">
        <v>498.0</v>
      </c>
      <c r="B499" s="2" t="s">
        <v>1774</v>
      </c>
      <c r="C499" s="2" t="s">
        <v>23</v>
      </c>
      <c r="N499" s="6">
        <v>44543.0</v>
      </c>
      <c r="Q499" s="2" t="s">
        <v>86</v>
      </c>
    </row>
    <row r="500">
      <c r="A500" s="2">
        <v>499.0</v>
      </c>
      <c r="B500" s="2" t="s">
        <v>1776</v>
      </c>
      <c r="C500" s="2" t="s">
        <v>23</v>
      </c>
      <c r="K500" s="2">
        <v>250.0</v>
      </c>
      <c r="N500" s="6">
        <v>42268.0</v>
      </c>
      <c r="Q500" s="2" t="s">
        <v>1778</v>
      </c>
    </row>
    <row r="501">
      <c r="A501" s="2">
        <v>500.0</v>
      </c>
      <c r="B501" s="2" t="s">
        <v>1779</v>
      </c>
      <c r="C501" s="2" t="s">
        <v>23</v>
      </c>
      <c r="K501" s="2">
        <v>150.0</v>
      </c>
      <c r="N501" s="6">
        <v>44164.0</v>
      </c>
      <c r="Q501" s="2" t="s">
        <v>1780</v>
      </c>
    </row>
    <row r="502">
      <c r="A502" s="2">
        <v>501.0</v>
      </c>
      <c r="B502" s="2" t="s">
        <v>1781</v>
      </c>
      <c r="C502" s="2" t="s">
        <v>23</v>
      </c>
      <c r="N502" s="6">
        <v>43966.0</v>
      </c>
      <c r="Q502" s="2" t="s">
        <v>1785</v>
      </c>
    </row>
    <row r="503">
      <c r="A503" s="2">
        <v>502.0</v>
      </c>
      <c r="B503" s="2" t="s">
        <v>1786</v>
      </c>
      <c r="C503" s="2" t="s">
        <v>23</v>
      </c>
      <c r="K503" s="2">
        <v>20.0</v>
      </c>
      <c r="N503" s="6">
        <v>44942.0</v>
      </c>
      <c r="Q503" s="2" t="s">
        <v>1787</v>
      </c>
    </row>
    <row r="504">
      <c r="A504" s="2">
        <v>503.0</v>
      </c>
      <c r="B504" s="2" t="s">
        <v>1788</v>
      </c>
      <c r="C504" s="2" t="s">
        <v>23</v>
      </c>
      <c r="K504" s="2">
        <v>40.0</v>
      </c>
      <c r="N504" s="6">
        <v>45197.0</v>
      </c>
      <c r="Q504" s="2" t="s">
        <v>1790</v>
      </c>
    </row>
    <row r="505">
      <c r="A505" s="2">
        <v>504.0</v>
      </c>
      <c r="B505" s="2" t="s">
        <v>1791</v>
      </c>
      <c r="C505" s="2" t="s">
        <v>23</v>
      </c>
      <c r="K505" s="2">
        <v>10.0</v>
      </c>
      <c r="N505" s="6">
        <v>44104.0</v>
      </c>
      <c r="Q505" s="2" t="s">
        <v>139</v>
      </c>
    </row>
    <row r="506">
      <c r="A506" s="2">
        <v>505.0</v>
      </c>
      <c r="B506" s="2" t="s">
        <v>1793</v>
      </c>
      <c r="C506" s="2" t="s">
        <v>23</v>
      </c>
      <c r="K506" s="2">
        <v>150.0</v>
      </c>
      <c r="N506" s="6">
        <v>44022.0</v>
      </c>
      <c r="Q506" s="2" t="s">
        <v>1437</v>
      </c>
    </row>
    <row r="507">
      <c r="A507" s="2">
        <v>506.0</v>
      </c>
      <c r="B507" s="2" t="s">
        <v>1795</v>
      </c>
      <c r="C507" s="2" t="s">
        <v>23</v>
      </c>
      <c r="K507" s="2">
        <v>60.0</v>
      </c>
      <c r="N507" s="6">
        <v>43502.0</v>
      </c>
      <c r="Q507" s="2" t="s">
        <v>1799</v>
      </c>
    </row>
    <row r="508">
      <c r="A508" s="2">
        <v>507.0</v>
      </c>
      <c r="B508" s="2" t="s">
        <v>1800</v>
      </c>
      <c r="C508" s="2" t="s">
        <v>23</v>
      </c>
      <c r="K508" s="2">
        <v>20.0</v>
      </c>
      <c r="N508" s="6">
        <v>43522.0</v>
      </c>
      <c r="Q508" s="2" t="s">
        <v>1801</v>
      </c>
    </row>
    <row r="509">
      <c r="A509" s="2">
        <v>508.0</v>
      </c>
      <c r="B509" s="2" t="s">
        <v>1802</v>
      </c>
      <c r="C509" s="2" t="s">
        <v>23</v>
      </c>
      <c r="N509" s="6">
        <v>44137.0</v>
      </c>
      <c r="Q509" s="2" t="s">
        <v>86</v>
      </c>
    </row>
    <row r="510">
      <c r="A510" s="2">
        <v>509.0</v>
      </c>
      <c r="B510" s="2" t="s">
        <v>1804</v>
      </c>
      <c r="C510" s="2" t="s">
        <v>23</v>
      </c>
      <c r="N510" s="6">
        <v>44199.0</v>
      </c>
      <c r="Q510" s="2" t="s">
        <v>1070</v>
      </c>
    </row>
    <row r="511">
      <c r="A511" s="2">
        <v>510.0</v>
      </c>
      <c r="B511" s="2" t="s">
        <v>1807</v>
      </c>
      <c r="C511" s="2" t="s">
        <v>23</v>
      </c>
      <c r="K511" s="2">
        <v>50.0</v>
      </c>
      <c r="N511" s="6">
        <v>44069.0</v>
      </c>
      <c r="Q511" s="2" t="s">
        <v>1808</v>
      </c>
    </row>
    <row r="512">
      <c r="A512" s="2">
        <v>511.0</v>
      </c>
      <c r="B512" s="2" t="s">
        <v>1810</v>
      </c>
      <c r="C512" s="2" t="s">
        <v>23</v>
      </c>
      <c r="K512" s="2">
        <v>20.0</v>
      </c>
      <c r="N512" s="6">
        <v>44416.0</v>
      </c>
      <c r="Q512" s="2" t="s">
        <v>86</v>
      </c>
    </row>
    <row r="513">
      <c r="A513" s="2">
        <v>512.0</v>
      </c>
      <c r="B513" s="2" t="s">
        <v>1813</v>
      </c>
      <c r="C513" s="2" t="s">
        <v>23</v>
      </c>
      <c r="K513" s="2">
        <v>30.0</v>
      </c>
      <c r="N513" s="6">
        <v>45229.0</v>
      </c>
      <c r="Q513" s="2" t="s">
        <v>1814</v>
      </c>
    </row>
    <row r="514">
      <c r="A514" s="2">
        <v>513.0</v>
      </c>
      <c r="B514" s="2" t="s">
        <v>1815</v>
      </c>
      <c r="C514" s="2" t="s">
        <v>23</v>
      </c>
      <c r="K514" s="2">
        <v>200.0</v>
      </c>
      <c r="N514" s="6">
        <v>44006.0</v>
      </c>
      <c r="Q514" s="2" t="s">
        <v>1817</v>
      </c>
    </row>
    <row r="515">
      <c r="A515" s="2">
        <v>514.0</v>
      </c>
      <c r="B515" s="2" t="s">
        <v>1818</v>
      </c>
      <c r="C515" s="2" t="s">
        <v>23</v>
      </c>
      <c r="K515" s="2">
        <v>50.0</v>
      </c>
      <c r="N515" s="6">
        <v>45279.0</v>
      </c>
      <c r="Q515" s="2" t="s">
        <v>86</v>
      </c>
    </row>
    <row r="516">
      <c r="A516" s="2">
        <v>515.0</v>
      </c>
      <c r="B516" s="2" t="s">
        <v>1820</v>
      </c>
      <c r="C516" s="2" t="s">
        <v>23</v>
      </c>
      <c r="K516" s="2">
        <v>10.0</v>
      </c>
      <c r="N516" s="6">
        <v>44962.0</v>
      </c>
      <c r="Q516" s="2" t="s">
        <v>1823</v>
      </c>
    </row>
    <row r="517">
      <c r="A517" s="2">
        <v>516.0</v>
      </c>
      <c r="B517" s="2" t="s">
        <v>1824</v>
      </c>
      <c r="C517" s="2" t="s">
        <v>23</v>
      </c>
      <c r="K517" s="2">
        <v>50.0</v>
      </c>
      <c r="N517" s="6">
        <v>45390.0</v>
      </c>
      <c r="Q517" s="2" t="s">
        <v>1826</v>
      </c>
    </row>
    <row r="518">
      <c r="A518" s="2">
        <v>517.0</v>
      </c>
      <c r="B518" s="2" t="s">
        <v>1828</v>
      </c>
      <c r="C518" s="2" t="s">
        <v>23</v>
      </c>
      <c r="K518" s="2">
        <v>10.0</v>
      </c>
      <c r="N518" s="6">
        <v>43856.0</v>
      </c>
      <c r="Q518" s="2" t="s">
        <v>86</v>
      </c>
    </row>
    <row r="519">
      <c r="A519" s="2">
        <v>518.0</v>
      </c>
      <c r="B519" s="2" t="s">
        <v>1829</v>
      </c>
      <c r="C519" s="2" t="s">
        <v>23</v>
      </c>
      <c r="K519" s="2">
        <v>30.0</v>
      </c>
      <c r="N519" s="6">
        <v>44584.0</v>
      </c>
      <c r="Q519" s="2" t="s">
        <v>60</v>
      </c>
    </row>
    <row r="520">
      <c r="A520" s="2">
        <v>519.0</v>
      </c>
      <c r="B520" s="2" t="s">
        <v>1831</v>
      </c>
      <c r="C520" s="2" t="s">
        <v>23</v>
      </c>
      <c r="K520" s="2">
        <v>10.0</v>
      </c>
      <c r="N520" s="6">
        <v>44924.0</v>
      </c>
      <c r="Q520" s="2" t="s">
        <v>86</v>
      </c>
    </row>
    <row r="521">
      <c r="A521" s="2">
        <v>520.0</v>
      </c>
      <c r="B521" s="2" t="s">
        <v>1834</v>
      </c>
      <c r="C521" s="2" t="s">
        <v>23</v>
      </c>
      <c r="K521" s="2">
        <v>20.0</v>
      </c>
      <c r="N521" s="6">
        <v>42933.0</v>
      </c>
      <c r="Q521" s="2" t="s">
        <v>175</v>
      </c>
    </row>
    <row r="522">
      <c r="A522" s="2">
        <v>521.0</v>
      </c>
      <c r="B522" s="2" t="s">
        <v>1836</v>
      </c>
      <c r="C522" s="2" t="s">
        <v>23</v>
      </c>
      <c r="K522" s="2">
        <v>80.0</v>
      </c>
      <c r="N522" s="6">
        <v>45801.0</v>
      </c>
      <c r="Q522" s="2" t="s">
        <v>1838</v>
      </c>
    </row>
    <row r="523">
      <c r="A523" s="2">
        <v>522.0</v>
      </c>
      <c r="B523" s="2" t="s">
        <v>1840</v>
      </c>
      <c r="C523" s="2" t="s">
        <v>23</v>
      </c>
      <c r="K523" s="2">
        <v>70.0</v>
      </c>
      <c r="N523" s="6">
        <v>44555.0</v>
      </c>
      <c r="Q523" s="2" t="s">
        <v>86</v>
      </c>
    </row>
    <row r="524">
      <c r="A524" s="2">
        <v>523.0</v>
      </c>
      <c r="B524" s="2" t="s">
        <v>1843</v>
      </c>
      <c r="C524" s="2" t="s">
        <v>23</v>
      </c>
      <c r="N524" s="6">
        <v>44444.0</v>
      </c>
      <c r="Q524" s="2" t="s">
        <v>86</v>
      </c>
    </row>
    <row r="525">
      <c r="A525" s="2">
        <v>524.0</v>
      </c>
      <c r="B525" s="2" t="s">
        <v>1846</v>
      </c>
      <c r="C525" s="2" t="s">
        <v>23</v>
      </c>
      <c r="K525" s="2">
        <v>200.0</v>
      </c>
      <c r="N525" s="6">
        <v>44218.0</v>
      </c>
      <c r="Q525" s="2" t="s">
        <v>1848</v>
      </c>
    </row>
    <row r="526">
      <c r="A526" s="2">
        <v>525.0</v>
      </c>
      <c r="B526" s="2" t="s">
        <v>1849</v>
      </c>
      <c r="C526" s="2" t="s">
        <v>23</v>
      </c>
      <c r="K526" s="2">
        <v>60.0</v>
      </c>
      <c r="N526" s="6">
        <v>44167.0</v>
      </c>
      <c r="Q526" s="2" t="s">
        <v>1850</v>
      </c>
    </row>
    <row r="527">
      <c r="A527" s="2">
        <v>526.0</v>
      </c>
      <c r="B527" s="2" t="s">
        <v>1851</v>
      </c>
      <c r="C527" s="2" t="s">
        <v>23</v>
      </c>
      <c r="K527" s="2">
        <v>10.0</v>
      </c>
      <c r="N527" s="6">
        <v>45707.0</v>
      </c>
      <c r="Q527" s="2" t="s">
        <v>1853</v>
      </c>
    </row>
    <row r="528">
      <c r="A528" s="2">
        <v>527.0</v>
      </c>
      <c r="B528" s="2" t="s">
        <v>1855</v>
      </c>
      <c r="C528" s="2" t="s">
        <v>23</v>
      </c>
      <c r="K528" s="2">
        <v>90.0</v>
      </c>
      <c r="N528" s="6">
        <v>44368.0</v>
      </c>
      <c r="Q528" s="2" t="s">
        <v>1857</v>
      </c>
    </row>
    <row r="529">
      <c r="A529" s="2">
        <v>528.0</v>
      </c>
      <c r="B529" s="2" t="s">
        <v>1858</v>
      </c>
      <c r="C529" s="2" t="s">
        <v>23</v>
      </c>
      <c r="N529" s="6">
        <v>44417.0</v>
      </c>
      <c r="Q529" s="2" t="s">
        <v>86</v>
      </c>
    </row>
    <row r="530">
      <c r="A530" s="2">
        <v>529.0</v>
      </c>
      <c r="B530" s="2" t="s">
        <v>1860</v>
      </c>
      <c r="C530" s="2" t="s">
        <v>23</v>
      </c>
      <c r="N530" s="6">
        <v>44066.0</v>
      </c>
      <c r="Q530" s="2" t="s">
        <v>86</v>
      </c>
    </row>
    <row r="531">
      <c r="A531" s="2">
        <v>530.0</v>
      </c>
      <c r="B531" s="2" t="s">
        <v>1862</v>
      </c>
      <c r="C531" s="2" t="s">
        <v>23</v>
      </c>
      <c r="N531" s="6">
        <v>44583.0</v>
      </c>
      <c r="Q531" s="2" t="s">
        <v>491</v>
      </c>
    </row>
    <row r="532">
      <c r="A532" s="2">
        <v>531.0</v>
      </c>
      <c r="B532" s="2" t="s">
        <v>1864</v>
      </c>
      <c r="C532" s="2" t="s">
        <v>23</v>
      </c>
      <c r="N532" s="6">
        <v>45780.0</v>
      </c>
      <c r="Q532" s="2" t="s">
        <v>1865</v>
      </c>
    </row>
    <row r="533">
      <c r="A533" s="2">
        <v>532.0</v>
      </c>
      <c r="B533" s="2" t="s">
        <v>1866</v>
      </c>
      <c r="C533" s="2" t="s">
        <v>23</v>
      </c>
      <c r="N533" s="6">
        <v>43935.0</v>
      </c>
      <c r="Q533" s="2" t="s">
        <v>1867</v>
      </c>
    </row>
    <row r="534">
      <c r="A534" s="2">
        <v>533.0</v>
      </c>
      <c r="B534" s="2" t="s">
        <v>1868</v>
      </c>
      <c r="C534" s="2" t="s">
        <v>23</v>
      </c>
      <c r="N534" s="6">
        <v>44661.0</v>
      </c>
      <c r="Q534" s="2" t="s">
        <v>86</v>
      </c>
    </row>
    <row r="535">
      <c r="A535" s="2">
        <v>534.0</v>
      </c>
      <c r="B535" s="2" t="s">
        <v>1870</v>
      </c>
      <c r="C535" s="2" t="s">
        <v>23</v>
      </c>
      <c r="K535" s="2">
        <v>30.0</v>
      </c>
      <c r="N535" s="6">
        <v>43849.0</v>
      </c>
      <c r="Q535" s="2" t="s">
        <v>1557</v>
      </c>
    </row>
    <row r="536">
      <c r="A536" s="2">
        <v>535.0</v>
      </c>
      <c r="B536" s="2" t="s">
        <v>1872</v>
      </c>
      <c r="C536" s="2" t="s">
        <v>23</v>
      </c>
      <c r="K536" s="2">
        <v>150.0</v>
      </c>
      <c r="N536" s="6">
        <v>44708.0</v>
      </c>
      <c r="Q536" s="2" t="s">
        <v>1873</v>
      </c>
    </row>
    <row r="537">
      <c r="A537" s="2">
        <v>536.0</v>
      </c>
      <c r="B537" s="2" t="s">
        <v>1874</v>
      </c>
      <c r="C537" s="2" t="s">
        <v>23</v>
      </c>
      <c r="K537" s="2">
        <v>10.0</v>
      </c>
      <c r="N537" s="6">
        <v>44644.0</v>
      </c>
      <c r="Q537" s="2" t="s">
        <v>1876</v>
      </c>
    </row>
    <row r="538">
      <c r="A538" s="2">
        <v>537.0</v>
      </c>
      <c r="B538" s="2" t="s">
        <v>1878</v>
      </c>
      <c r="C538" s="2" t="s">
        <v>23</v>
      </c>
      <c r="K538" s="2">
        <v>60.0</v>
      </c>
      <c r="N538" s="6">
        <v>44219.0</v>
      </c>
      <c r="Q538" s="2" t="s">
        <v>1879</v>
      </c>
    </row>
    <row r="539">
      <c r="A539" s="2">
        <v>538.0</v>
      </c>
      <c r="B539" s="2" t="s">
        <v>1880</v>
      </c>
      <c r="C539" s="2" t="s">
        <v>23</v>
      </c>
      <c r="K539" s="2">
        <v>10.0</v>
      </c>
      <c r="N539" s="6">
        <v>43879.0</v>
      </c>
      <c r="Q539" s="2" t="s">
        <v>86</v>
      </c>
    </row>
    <row r="540">
      <c r="A540" s="2">
        <v>539.0</v>
      </c>
      <c r="B540" s="2" t="s">
        <v>1883</v>
      </c>
      <c r="C540" s="2" t="s">
        <v>23</v>
      </c>
      <c r="K540" s="2">
        <v>150.0</v>
      </c>
      <c r="N540" s="6">
        <v>45023.0</v>
      </c>
      <c r="Q540" s="2" t="s">
        <v>1885</v>
      </c>
    </row>
    <row r="541">
      <c r="A541" s="2">
        <v>540.0</v>
      </c>
      <c r="B541" s="2" t="s">
        <v>1887</v>
      </c>
      <c r="C541" s="2" t="s">
        <v>23</v>
      </c>
      <c r="N541" s="6">
        <v>44829.0</v>
      </c>
      <c r="Q541" s="2" t="s">
        <v>86</v>
      </c>
    </row>
    <row r="542">
      <c r="A542" s="2">
        <v>541.0</v>
      </c>
      <c r="B542" s="2" t="s">
        <v>1888</v>
      </c>
      <c r="C542" s="2" t="s">
        <v>23</v>
      </c>
      <c r="K542" s="2">
        <v>10.0</v>
      </c>
      <c r="N542" s="6">
        <v>44144.0</v>
      </c>
      <c r="Q542" s="2" t="s">
        <v>1891</v>
      </c>
    </row>
    <row r="543">
      <c r="A543" s="2">
        <v>542.0</v>
      </c>
      <c r="B543" s="2" t="s">
        <v>1893</v>
      </c>
      <c r="C543" s="2" t="s">
        <v>23</v>
      </c>
      <c r="K543" s="2">
        <v>90.0</v>
      </c>
      <c r="N543" s="6">
        <v>45375.0</v>
      </c>
      <c r="Q543" s="2" t="s">
        <v>1895</v>
      </c>
    </row>
    <row r="544">
      <c r="A544" s="2">
        <v>543.0</v>
      </c>
      <c r="B544" s="2" t="s">
        <v>1896</v>
      </c>
      <c r="C544" s="2" t="s">
        <v>23</v>
      </c>
      <c r="K544" s="2">
        <v>20.0</v>
      </c>
      <c r="N544" s="6">
        <v>44224.0</v>
      </c>
      <c r="Q544" s="2" t="s">
        <v>86</v>
      </c>
    </row>
    <row r="545">
      <c r="A545" s="2">
        <v>544.0</v>
      </c>
      <c r="B545" s="2" t="s">
        <v>1898</v>
      </c>
      <c r="C545" s="2" t="s">
        <v>23</v>
      </c>
      <c r="N545" s="6">
        <v>43865.0</v>
      </c>
      <c r="Q545" s="2" t="s">
        <v>86</v>
      </c>
    </row>
    <row r="546">
      <c r="A546" s="2">
        <v>545.0</v>
      </c>
      <c r="B546" s="2" t="s">
        <v>1900</v>
      </c>
      <c r="C546" s="2" t="s">
        <v>23</v>
      </c>
      <c r="K546" s="2">
        <v>150.0</v>
      </c>
      <c r="N546" s="6">
        <v>43843.0</v>
      </c>
      <c r="Q546" s="2" t="s">
        <v>1901</v>
      </c>
    </row>
    <row r="547">
      <c r="A547" s="2">
        <v>546.0</v>
      </c>
      <c r="B547" s="2" t="s">
        <v>1902</v>
      </c>
      <c r="C547" s="2" t="s">
        <v>23</v>
      </c>
      <c r="K547" s="2">
        <v>30.0</v>
      </c>
      <c r="N547" s="6">
        <v>44724.0</v>
      </c>
      <c r="Q547" s="2" t="s">
        <v>1904</v>
      </c>
    </row>
    <row r="548">
      <c r="A548" s="2">
        <v>547.0</v>
      </c>
      <c r="B548" s="2" t="s">
        <v>1906</v>
      </c>
      <c r="C548" s="2" t="s">
        <v>23</v>
      </c>
      <c r="K548" s="2">
        <v>50.0</v>
      </c>
      <c r="N548" s="6">
        <v>44431.0</v>
      </c>
      <c r="Q548" s="2" t="s">
        <v>1907</v>
      </c>
    </row>
    <row r="549">
      <c r="A549" s="2">
        <v>548.0</v>
      </c>
      <c r="B549" s="2" t="s">
        <v>1909</v>
      </c>
      <c r="C549" s="2" t="s">
        <v>23</v>
      </c>
      <c r="N549" s="6">
        <v>43837.0</v>
      </c>
      <c r="Q549" s="2" t="s">
        <v>86</v>
      </c>
    </row>
    <row r="550">
      <c r="A550" s="2">
        <v>549.0</v>
      </c>
      <c r="B550" s="2" t="s">
        <v>1910</v>
      </c>
      <c r="C550" s="2" t="s">
        <v>23</v>
      </c>
      <c r="K550" s="2">
        <v>10.0</v>
      </c>
      <c r="N550" s="6">
        <v>45428.0</v>
      </c>
      <c r="Q550" s="2" t="s">
        <v>1911</v>
      </c>
    </row>
    <row r="551">
      <c r="A551" s="2">
        <v>550.0</v>
      </c>
      <c r="B551" s="2" t="s">
        <v>1913</v>
      </c>
      <c r="C551" s="2" t="s">
        <v>23</v>
      </c>
      <c r="N551" s="6">
        <v>44273.0</v>
      </c>
      <c r="Q551" s="2" t="s">
        <v>1915</v>
      </c>
    </row>
    <row r="552">
      <c r="A552" s="2">
        <v>551.0</v>
      </c>
      <c r="B552" s="2" t="s">
        <v>1916</v>
      </c>
      <c r="C552" s="2" t="s">
        <v>23</v>
      </c>
      <c r="K552" s="2">
        <v>30.0</v>
      </c>
      <c r="N552" s="6">
        <v>44620.0</v>
      </c>
      <c r="Q552" s="2" t="s">
        <v>1917</v>
      </c>
    </row>
    <row r="553">
      <c r="A553" s="2">
        <v>552.0</v>
      </c>
      <c r="B553" s="2" t="s">
        <v>1918</v>
      </c>
      <c r="C553" s="2" t="s">
        <v>23</v>
      </c>
      <c r="N553" s="6">
        <v>44473.0</v>
      </c>
      <c r="Q553" s="2" t="s">
        <v>86</v>
      </c>
    </row>
    <row r="554">
      <c r="A554" s="2">
        <v>553.0</v>
      </c>
      <c r="B554" s="2" t="s">
        <v>1921</v>
      </c>
      <c r="C554" s="2" t="s">
        <v>23</v>
      </c>
      <c r="K554" s="2">
        <v>60.0</v>
      </c>
      <c r="N554" s="6">
        <v>44380.0</v>
      </c>
      <c r="Q554" s="2" t="s">
        <v>1922</v>
      </c>
    </row>
    <row r="555">
      <c r="A555" s="2">
        <v>554.0</v>
      </c>
      <c r="B555" s="2" t="s">
        <v>1923</v>
      </c>
      <c r="C555" s="2" t="s">
        <v>23</v>
      </c>
      <c r="N555" s="6">
        <v>43928.0</v>
      </c>
      <c r="Q555" s="2" t="s">
        <v>86</v>
      </c>
    </row>
    <row r="556">
      <c r="A556" s="2">
        <v>555.0</v>
      </c>
      <c r="B556" s="2" t="s">
        <v>1924</v>
      </c>
      <c r="C556" s="2" t="s">
        <v>23</v>
      </c>
      <c r="N556" s="6">
        <v>46001.0</v>
      </c>
      <c r="Q556" s="2" t="s">
        <v>1926</v>
      </c>
    </row>
    <row r="557">
      <c r="A557" s="2">
        <v>556.0</v>
      </c>
      <c r="B557" s="2" t="s">
        <v>1928</v>
      </c>
      <c r="C557" s="2" t="s">
        <v>23</v>
      </c>
      <c r="N557" s="6">
        <v>43944.0</v>
      </c>
      <c r="Q557" s="2" t="s">
        <v>86</v>
      </c>
    </row>
    <row r="558">
      <c r="A558" s="2">
        <v>557.0</v>
      </c>
      <c r="B558" s="2" t="s">
        <v>1929</v>
      </c>
      <c r="C558" s="2" t="s">
        <v>23</v>
      </c>
      <c r="N558" s="6">
        <v>45402.0</v>
      </c>
      <c r="Q558" s="2" t="s">
        <v>401</v>
      </c>
    </row>
    <row r="559">
      <c r="A559" s="2">
        <v>558.0</v>
      </c>
      <c r="B559" s="2" t="s">
        <v>1931</v>
      </c>
      <c r="C559" s="2" t="s">
        <v>23</v>
      </c>
      <c r="K559" s="2">
        <v>40.0</v>
      </c>
      <c r="N559" s="6">
        <v>44658.0</v>
      </c>
      <c r="Q559" s="2" t="s">
        <v>86</v>
      </c>
    </row>
    <row r="560">
      <c r="A560" s="2">
        <v>559.0</v>
      </c>
      <c r="B560" s="2" t="s">
        <v>1933</v>
      </c>
      <c r="C560" s="2" t="s">
        <v>23</v>
      </c>
      <c r="K560" s="2">
        <v>30.0</v>
      </c>
      <c r="N560" s="6">
        <v>45494.0</v>
      </c>
      <c r="Q560" s="2" t="s">
        <v>1935</v>
      </c>
    </row>
    <row r="561">
      <c r="A561" s="2">
        <v>560.0</v>
      </c>
      <c r="B561" s="2" t="s">
        <v>1936</v>
      </c>
      <c r="C561" s="2" t="s">
        <v>23</v>
      </c>
      <c r="N561" s="6">
        <v>45064.0</v>
      </c>
      <c r="Q561" s="2" t="s">
        <v>1938</v>
      </c>
    </row>
    <row r="562">
      <c r="A562" s="2">
        <v>561.0</v>
      </c>
      <c r="B562" s="2" t="s">
        <v>1940</v>
      </c>
      <c r="C562" s="2" t="s">
        <v>23</v>
      </c>
      <c r="K562" s="2">
        <v>50.0</v>
      </c>
      <c r="N562" s="6">
        <v>43910.0</v>
      </c>
      <c r="Q562" s="2" t="s">
        <v>86</v>
      </c>
    </row>
    <row r="563">
      <c r="A563" s="2">
        <v>562.0</v>
      </c>
      <c r="B563" s="2" t="s">
        <v>1941</v>
      </c>
      <c r="C563" s="2" t="s">
        <v>23</v>
      </c>
      <c r="K563" s="2">
        <v>10.0</v>
      </c>
      <c r="N563" s="6">
        <v>42905.0</v>
      </c>
      <c r="Q563" s="2" t="s">
        <v>86</v>
      </c>
    </row>
    <row r="564">
      <c r="A564" s="2">
        <v>563.0</v>
      </c>
      <c r="B564" s="2" t="s">
        <v>1943</v>
      </c>
      <c r="C564" s="2" t="s">
        <v>23</v>
      </c>
      <c r="K564" s="2">
        <v>30.0</v>
      </c>
      <c r="N564" s="6">
        <v>44467.0</v>
      </c>
      <c r="Q564" s="2" t="s">
        <v>86</v>
      </c>
    </row>
    <row r="565">
      <c r="A565" s="2">
        <v>564.0</v>
      </c>
      <c r="B565" s="2" t="s">
        <v>1944</v>
      </c>
      <c r="C565" s="2" t="s">
        <v>23</v>
      </c>
      <c r="K565" s="2">
        <v>30.0</v>
      </c>
      <c r="N565" s="6">
        <v>44514.0</v>
      </c>
      <c r="Q565" s="2" t="s">
        <v>86</v>
      </c>
    </row>
    <row r="566">
      <c r="A566" s="2">
        <v>565.0</v>
      </c>
      <c r="B566" s="2" t="s">
        <v>1945</v>
      </c>
      <c r="C566" s="2" t="s">
        <v>23</v>
      </c>
      <c r="K566" s="2">
        <v>20.0</v>
      </c>
      <c r="N566" s="6">
        <v>45546.0</v>
      </c>
      <c r="Q566" s="2" t="s">
        <v>1947</v>
      </c>
    </row>
    <row r="567">
      <c r="A567" s="2">
        <v>566.0</v>
      </c>
      <c r="B567" s="2" t="s">
        <v>1949</v>
      </c>
      <c r="C567" s="2" t="s">
        <v>23</v>
      </c>
      <c r="K567" s="2">
        <v>20.0</v>
      </c>
      <c r="N567" s="6">
        <v>44508.0</v>
      </c>
      <c r="Q567" s="2" t="s">
        <v>1950</v>
      </c>
    </row>
    <row r="568">
      <c r="A568" s="2">
        <v>567.0</v>
      </c>
      <c r="B568" s="2" t="s">
        <v>1951</v>
      </c>
      <c r="C568" s="2" t="s">
        <v>23</v>
      </c>
      <c r="K568" s="2">
        <v>30.0</v>
      </c>
      <c r="N568" s="6">
        <v>44984.0</v>
      </c>
      <c r="Q568" s="2" t="s">
        <v>1954</v>
      </c>
    </row>
    <row r="569">
      <c r="A569" s="2">
        <v>568.0</v>
      </c>
      <c r="B569" s="2" t="s">
        <v>1956</v>
      </c>
      <c r="C569" s="2" t="s">
        <v>23</v>
      </c>
      <c r="N569" s="6">
        <v>44822.0</v>
      </c>
      <c r="Q569" s="2" t="s">
        <v>86</v>
      </c>
    </row>
    <row r="570">
      <c r="A570" s="2">
        <v>569.0</v>
      </c>
      <c r="B570" s="2" t="s">
        <v>1957</v>
      </c>
      <c r="C570" s="2" t="s">
        <v>23</v>
      </c>
      <c r="K570" s="2">
        <v>40.0</v>
      </c>
      <c r="N570" s="6">
        <v>45554.0</v>
      </c>
      <c r="Q570" s="2" t="s">
        <v>1958</v>
      </c>
    </row>
    <row r="571">
      <c r="A571" s="2">
        <v>570.0</v>
      </c>
      <c r="B571" s="2" t="s">
        <v>1959</v>
      </c>
      <c r="C571" s="2" t="s">
        <v>23</v>
      </c>
      <c r="N571" s="6">
        <v>42404.0</v>
      </c>
      <c r="Q571" s="2" t="s">
        <v>1962</v>
      </c>
    </row>
    <row r="572">
      <c r="A572" s="2">
        <v>571.0</v>
      </c>
      <c r="B572" s="2" t="s">
        <v>1964</v>
      </c>
      <c r="C572" s="2" t="s">
        <v>23</v>
      </c>
      <c r="N572" s="6">
        <v>45316.0</v>
      </c>
      <c r="Q572" s="2" t="s">
        <v>426</v>
      </c>
    </row>
    <row r="573">
      <c r="A573" s="2">
        <v>572.0</v>
      </c>
      <c r="B573" s="2" t="s">
        <v>1965</v>
      </c>
      <c r="C573" s="2" t="s">
        <v>23</v>
      </c>
      <c r="N573" s="6">
        <v>44244.0</v>
      </c>
      <c r="Q573" s="2" t="s">
        <v>86</v>
      </c>
    </row>
    <row r="574">
      <c r="A574" s="2">
        <v>573.0</v>
      </c>
      <c r="B574" s="2" t="s">
        <v>1966</v>
      </c>
      <c r="C574" s="2" t="s">
        <v>23</v>
      </c>
      <c r="K574" s="2">
        <v>30.0</v>
      </c>
      <c r="N574" s="6">
        <v>45374.0</v>
      </c>
      <c r="Q574" s="2" t="s">
        <v>1969</v>
      </c>
    </row>
    <row r="575">
      <c r="A575" s="2">
        <v>574.0</v>
      </c>
      <c r="B575" s="2" t="s">
        <v>1970</v>
      </c>
      <c r="C575" s="2" t="s">
        <v>23</v>
      </c>
      <c r="N575" s="6">
        <v>44398.0</v>
      </c>
      <c r="Q575" s="2" t="s">
        <v>546</v>
      </c>
    </row>
    <row r="576">
      <c r="A576" s="2">
        <v>575.0</v>
      </c>
      <c r="B576" s="2" t="s">
        <v>1971</v>
      </c>
      <c r="C576" s="2" t="s">
        <v>23</v>
      </c>
      <c r="K576" s="2">
        <v>90.0</v>
      </c>
      <c r="N576" s="6">
        <v>44756.0</v>
      </c>
      <c r="Q576" s="2" t="s">
        <v>1972</v>
      </c>
    </row>
    <row r="577">
      <c r="A577" s="2">
        <v>576.0</v>
      </c>
      <c r="B577" s="2" t="s">
        <v>1975</v>
      </c>
      <c r="C577" s="2" t="s">
        <v>23</v>
      </c>
      <c r="N577" s="6">
        <v>45970.0</v>
      </c>
      <c r="Q577" s="2" t="s">
        <v>1977</v>
      </c>
    </row>
    <row r="578">
      <c r="A578" s="2">
        <v>577.0</v>
      </c>
      <c r="B578" s="2" t="s">
        <v>1978</v>
      </c>
      <c r="C578" s="2" t="s">
        <v>23</v>
      </c>
      <c r="N578" s="6">
        <v>44693.0</v>
      </c>
      <c r="Q578" s="2" t="s">
        <v>86</v>
      </c>
    </row>
    <row r="579">
      <c r="A579" s="2">
        <v>578.0</v>
      </c>
      <c r="B579" s="2" t="s">
        <v>1979</v>
      </c>
      <c r="C579" s="2" t="s">
        <v>23</v>
      </c>
      <c r="K579" s="2">
        <v>40.0</v>
      </c>
      <c r="N579" s="6">
        <v>44414.0</v>
      </c>
      <c r="Q579" s="2" t="s">
        <v>86</v>
      </c>
    </row>
    <row r="580">
      <c r="A580" s="2">
        <v>579.0</v>
      </c>
      <c r="B580" s="2" t="s">
        <v>1982</v>
      </c>
      <c r="C580" s="2" t="s">
        <v>23</v>
      </c>
      <c r="K580" s="2">
        <v>50.0</v>
      </c>
      <c r="N580" s="6">
        <v>43789.0</v>
      </c>
      <c r="Q580" s="2" t="s">
        <v>1983</v>
      </c>
    </row>
    <row r="581">
      <c r="A581" s="2">
        <v>580.0</v>
      </c>
      <c r="B581" s="2" t="s">
        <v>1984</v>
      </c>
      <c r="C581" s="2" t="s">
        <v>23</v>
      </c>
      <c r="K581" s="2">
        <v>20.0</v>
      </c>
      <c r="N581" s="6">
        <v>44418.0</v>
      </c>
      <c r="Q581" s="2" t="s">
        <v>1985</v>
      </c>
    </row>
    <row r="582">
      <c r="A582" s="2">
        <v>581.0</v>
      </c>
      <c r="B582" s="2" t="s">
        <v>1987</v>
      </c>
      <c r="C582" s="2" t="s">
        <v>23</v>
      </c>
      <c r="K582" s="2">
        <v>30.0</v>
      </c>
      <c r="N582" s="6">
        <v>43928.0</v>
      </c>
      <c r="Q582" s="2" t="s">
        <v>1065</v>
      </c>
    </row>
    <row r="583">
      <c r="A583" s="2">
        <v>582.0</v>
      </c>
      <c r="B583" s="2" t="s">
        <v>1988</v>
      </c>
      <c r="C583" s="2" t="s">
        <v>23</v>
      </c>
      <c r="N583" s="6">
        <v>44009.0</v>
      </c>
      <c r="Q583" s="2" t="s">
        <v>86</v>
      </c>
    </row>
    <row r="584">
      <c r="A584" s="2">
        <v>583.0</v>
      </c>
      <c r="B584" s="2" t="s">
        <v>1989</v>
      </c>
      <c r="C584" s="2" t="s">
        <v>23</v>
      </c>
      <c r="K584" s="2">
        <v>150.0</v>
      </c>
      <c r="N584" s="6">
        <v>43882.0</v>
      </c>
      <c r="Q584" s="2" t="s">
        <v>1990</v>
      </c>
    </row>
    <row r="585">
      <c r="A585" s="2">
        <v>584.0</v>
      </c>
      <c r="B585" s="2" t="s">
        <v>1992</v>
      </c>
      <c r="C585" s="2" t="s">
        <v>23</v>
      </c>
      <c r="K585" s="2">
        <v>50.0</v>
      </c>
      <c r="N585" s="6">
        <v>44208.0</v>
      </c>
      <c r="Q585" s="2" t="s">
        <v>546</v>
      </c>
    </row>
    <row r="586">
      <c r="A586" s="2">
        <v>585.0</v>
      </c>
      <c r="B586" s="2" t="s">
        <v>1994</v>
      </c>
      <c r="C586" s="2" t="s">
        <v>23</v>
      </c>
      <c r="K586" s="2">
        <v>100.0</v>
      </c>
      <c r="N586" s="6">
        <v>44173.0</v>
      </c>
      <c r="Q586" s="2" t="s">
        <v>1995</v>
      </c>
    </row>
    <row r="587">
      <c r="A587" s="2">
        <v>586.0</v>
      </c>
      <c r="B587" s="2" t="s">
        <v>1997</v>
      </c>
      <c r="C587" s="2" t="s">
        <v>23</v>
      </c>
      <c r="K587" s="2">
        <v>60.0</v>
      </c>
      <c r="N587" s="6">
        <v>44125.0</v>
      </c>
      <c r="Q587" s="2" t="s">
        <v>1999</v>
      </c>
    </row>
    <row r="588">
      <c r="A588" s="2">
        <v>587.0</v>
      </c>
      <c r="B588" s="2" t="s">
        <v>2000</v>
      </c>
      <c r="C588" s="2" t="s">
        <v>23</v>
      </c>
      <c r="K588" s="2">
        <v>80.0</v>
      </c>
      <c r="N588" s="6">
        <v>44430.0</v>
      </c>
      <c r="Q588" s="2" t="s">
        <v>2001</v>
      </c>
    </row>
    <row r="589">
      <c r="A589" s="2">
        <v>588.0</v>
      </c>
      <c r="B589" s="2" t="s">
        <v>2002</v>
      </c>
      <c r="C589" s="2" t="s">
        <v>23</v>
      </c>
      <c r="K589" s="2">
        <v>40.0</v>
      </c>
      <c r="N589" s="6">
        <v>45278.0</v>
      </c>
      <c r="Q589" s="2" t="s">
        <v>1070</v>
      </c>
    </row>
    <row r="590">
      <c r="A590" s="2">
        <v>589.0</v>
      </c>
      <c r="B590" s="2" t="s">
        <v>206</v>
      </c>
      <c r="C590" s="2" t="s">
        <v>23</v>
      </c>
      <c r="K590" s="2">
        <v>150.0</v>
      </c>
      <c r="N590" s="6">
        <v>44627.0</v>
      </c>
      <c r="Q590" s="2" t="s">
        <v>208</v>
      </c>
    </row>
    <row r="591">
      <c r="A591" s="2">
        <v>590.0</v>
      </c>
      <c r="B591" s="2" t="s">
        <v>2005</v>
      </c>
      <c r="C591" s="2" t="s">
        <v>23</v>
      </c>
      <c r="N591" s="6">
        <v>43859.0</v>
      </c>
      <c r="Q591" s="2" t="s">
        <v>2006</v>
      </c>
    </row>
    <row r="592">
      <c r="A592" s="2">
        <v>591.0</v>
      </c>
      <c r="B592" s="2" t="s">
        <v>2008</v>
      </c>
      <c r="C592" s="2" t="s">
        <v>23</v>
      </c>
      <c r="N592" s="6">
        <v>45592.0</v>
      </c>
      <c r="Q592" s="2" t="s">
        <v>2009</v>
      </c>
    </row>
    <row r="593">
      <c r="A593" s="2">
        <v>592.0</v>
      </c>
      <c r="B593" s="2" t="s">
        <v>2010</v>
      </c>
      <c r="C593" s="2" t="s">
        <v>23</v>
      </c>
      <c r="N593" s="6">
        <v>42415.0</v>
      </c>
      <c r="Q593" s="2" t="s">
        <v>86</v>
      </c>
    </row>
    <row r="594">
      <c r="A594" s="2">
        <v>593.0</v>
      </c>
      <c r="B594" s="2" t="s">
        <v>2011</v>
      </c>
      <c r="C594" s="2" t="s">
        <v>23</v>
      </c>
      <c r="K594" s="2">
        <v>20.0</v>
      </c>
      <c r="N594" s="6">
        <v>44437.0</v>
      </c>
      <c r="Q594" s="2" t="s">
        <v>60</v>
      </c>
    </row>
    <row r="595">
      <c r="A595" s="2">
        <v>594.0</v>
      </c>
      <c r="B595" s="2" t="s">
        <v>2012</v>
      </c>
      <c r="C595" s="2" t="s">
        <v>23</v>
      </c>
      <c r="K595" s="2">
        <v>10.0</v>
      </c>
      <c r="N595" s="6">
        <v>44049.0</v>
      </c>
      <c r="Q595" s="2" t="s">
        <v>2014</v>
      </c>
    </row>
    <row r="596">
      <c r="A596" s="2">
        <v>595.0</v>
      </c>
      <c r="B596" s="2" t="s">
        <v>2015</v>
      </c>
      <c r="C596" s="2" t="s">
        <v>23</v>
      </c>
      <c r="K596" s="2">
        <v>150.0</v>
      </c>
      <c r="N596" s="6">
        <v>44345.0</v>
      </c>
      <c r="Q596" s="2" t="s">
        <v>2017</v>
      </c>
    </row>
    <row r="597">
      <c r="A597" s="2">
        <v>596.0</v>
      </c>
      <c r="B597" s="2" t="s">
        <v>2019</v>
      </c>
      <c r="C597" s="2" t="s">
        <v>23</v>
      </c>
      <c r="K597" s="2">
        <v>80.0</v>
      </c>
      <c r="N597" s="6">
        <v>44816.0</v>
      </c>
      <c r="Q597" s="2" t="s">
        <v>2022</v>
      </c>
    </row>
    <row r="598">
      <c r="A598" s="2">
        <v>597.0</v>
      </c>
      <c r="B598" s="2" t="s">
        <v>2024</v>
      </c>
      <c r="C598" s="2" t="s">
        <v>23</v>
      </c>
      <c r="K598" s="2">
        <v>70.0</v>
      </c>
      <c r="N598" s="6">
        <v>45270.0</v>
      </c>
      <c r="Q598" s="2" t="s">
        <v>2026</v>
      </c>
    </row>
    <row r="599">
      <c r="A599" s="2">
        <v>598.0</v>
      </c>
      <c r="B599" s="2" t="s">
        <v>2027</v>
      </c>
      <c r="C599" s="2" t="s">
        <v>23</v>
      </c>
      <c r="N599" s="6">
        <v>45563.0</v>
      </c>
      <c r="Q599" s="2" t="s">
        <v>2028</v>
      </c>
    </row>
    <row r="600">
      <c r="A600" s="2">
        <v>599.0</v>
      </c>
      <c r="B600" s="2" t="s">
        <v>2030</v>
      </c>
      <c r="C600" s="2" t="s">
        <v>23</v>
      </c>
      <c r="K600" s="2">
        <v>50.0</v>
      </c>
      <c r="N600" s="6">
        <v>45769.0</v>
      </c>
      <c r="Q600" s="2" t="s">
        <v>2032</v>
      </c>
    </row>
    <row r="601">
      <c r="A601" s="2">
        <v>600.0</v>
      </c>
      <c r="B601" s="2" t="s">
        <v>2033</v>
      </c>
      <c r="C601" s="2" t="s">
        <v>23</v>
      </c>
      <c r="K601" s="2">
        <v>10.0</v>
      </c>
      <c r="N601" s="6">
        <v>44954.0</v>
      </c>
      <c r="Q601" s="2" t="s">
        <v>401</v>
      </c>
    </row>
    <row r="602">
      <c r="A602" s="2">
        <v>601.0</v>
      </c>
      <c r="B602" s="2" t="s">
        <v>2035</v>
      </c>
      <c r="C602" s="2" t="s">
        <v>23</v>
      </c>
      <c r="N602" s="6">
        <v>44448.0</v>
      </c>
      <c r="Q602" s="2" t="s">
        <v>86</v>
      </c>
    </row>
    <row r="603">
      <c r="A603" s="2">
        <v>602.0</v>
      </c>
      <c r="B603" s="2" t="s">
        <v>2039</v>
      </c>
      <c r="C603" s="2" t="s">
        <v>23</v>
      </c>
      <c r="K603" s="2">
        <v>40.0</v>
      </c>
      <c r="N603" s="6">
        <v>43855.0</v>
      </c>
      <c r="Q603" s="2" t="s">
        <v>2041</v>
      </c>
    </row>
    <row r="604">
      <c r="A604" s="2">
        <v>603.0</v>
      </c>
      <c r="B604" s="2" t="s">
        <v>2043</v>
      </c>
      <c r="C604" s="2" t="s">
        <v>23</v>
      </c>
      <c r="K604" s="2">
        <v>40.0</v>
      </c>
      <c r="N604" s="6">
        <v>44500.0</v>
      </c>
      <c r="Q604" s="2" t="s">
        <v>2044</v>
      </c>
    </row>
    <row r="605">
      <c r="A605" s="2">
        <v>604.0</v>
      </c>
      <c r="B605" s="2" t="s">
        <v>2045</v>
      </c>
      <c r="C605" s="2" t="s">
        <v>23</v>
      </c>
      <c r="K605" s="2">
        <v>10.0</v>
      </c>
      <c r="N605" s="6">
        <v>44119.0</v>
      </c>
      <c r="Q605" s="2" t="s">
        <v>2049</v>
      </c>
    </row>
    <row r="606">
      <c r="A606" s="2">
        <v>605.0</v>
      </c>
      <c r="B606" s="2" t="s">
        <v>2050</v>
      </c>
      <c r="C606" s="2" t="s">
        <v>23</v>
      </c>
      <c r="N606" s="6">
        <v>43905.0</v>
      </c>
      <c r="Q606" s="2" t="s">
        <v>86</v>
      </c>
    </row>
    <row r="607">
      <c r="A607" s="2">
        <v>606.0</v>
      </c>
      <c r="B607" s="2" t="s">
        <v>2051</v>
      </c>
      <c r="C607" s="2" t="s">
        <v>23</v>
      </c>
      <c r="K607" s="2">
        <v>80.0</v>
      </c>
      <c r="N607" s="6">
        <v>45446.0</v>
      </c>
      <c r="Q607" s="2" t="s">
        <v>2053</v>
      </c>
    </row>
    <row r="608">
      <c r="A608" s="2">
        <v>607.0</v>
      </c>
      <c r="B608" s="2" t="s">
        <v>2055</v>
      </c>
      <c r="C608" s="2" t="s">
        <v>23</v>
      </c>
      <c r="N608" s="6">
        <v>45086.0</v>
      </c>
      <c r="Q608" s="2" t="s">
        <v>491</v>
      </c>
    </row>
    <row r="609">
      <c r="A609" s="2">
        <v>608.0</v>
      </c>
      <c r="B609" s="2" t="s">
        <v>2056</v>
      </c>
      <c r="C609" s="2" t="s">
        <v>23</v>
      </c>
      <c r="K609" s="2">
        <v>10.0</v>
      </c>
      <c r="N609" s="6">
        <v>45037.0</v>
      </c>
      <c r="Q609" s="2" t="s">
        <v>86</v>
      </c>
    </row>
    <row r="610">
      <c r="A610" s="2">
        <v>609.0</v>
      </c>
      <c r="B610" s="2" t="s">
        <v>2057</v>
      </c>
      <c r="C610" s="2" t="s">
        <v>23</v>
      </c>
      <c r="N610" s="6">
        <v>42310.0</v>
      </c>
      <c r="Q610" s="2" t="s">
        <v>86</v>
      </c>
    </row>
    <row r="611">
      <c r="A611" s="2">
        <v>610.0</v>
      </c>
      <c r="B611" s="2" t="s">
        <v>2060</v>
      </c>
      <c r="C611" s="2" t="s">
        <v>23</v>
      </c>
      <c r="N611" s="6">
        <v>44362.0</v>
      </c>
      <c r="Q611" s="2" t="s">
        <v>86</v>
      </c>
    </row>
    <row r="612">
      <c r="A612" s="2">
        <v>611.0</v>
      </c>
      <c r="B612" s="2" t="s">
        <v>2061</v>
      </c>
      <c r="C612" s="2" t="s">
        <v>23</v>
      </c>
      <c r="K612" s="2">
        <v>20.0</v>
      </c>
      <c r="N612" s="6">
        <v>44771.0</v>
      </c>
      <c r="Q612" s="2" t="s">
        <v>2062</v>
      </c>
    </row>
    <row r="613">
      <c r="A613" s="2">
        <v>612.0</v>
      </c>
      <c r="B613" s="2" t="s">
        <v>2064</v>
      </c>
      <c r="C613" s="2" t="s">
        <v>23</v>
      </c>
      <c r="K613" s="2">
        <v>20.0</v>
      </c>
      <c r="N613" s="6">
        <v>44117.0</v>
      </c>
      <c r="Q613" s="2" t="s">
        <v>126</v>
      </c>
    </row>
    <row r="614">
      <c r="A614" s="2">
        <v>613.0</v>
      </c>
      <c r="B614" s="2" t="s">
        <v>2065</v>
      </c>
      <c r="C614" s="2" t="s">
        <v>23</v>
      </c>
      <c r="K614" s="2">
        <v>20.0</v>
      </c>
      <c r="N614" s="6">
        <v>42507.0</v>
      </c>
      <c r="Q614" s="2" t="s">
        <v>2066</v>
      </c>
    </row>
    <row r="615">
      <c r="A615" s="2">
        <v>614.0</v>
      </c>
      <c r="B615" s="2" t="s">
        <v>2067</v>
      </c>
      <c r="C615" s="2" t="s">
        <v>23</v>
      </c>
      <c r="N615" s="6">
        <v>45446.0</v>
      </c>
      <c r="Q615" s="2" t="s">
        <v>401</v>
      </c>
    </row>
    <row r="616">
      <c r="A616" s="2">
        <v>615.0</v>
      </c>
      <c r="B616" s="2" t="s">
        <v>2069</v>
      </c>
      <c r="C616" s="2" t="s">
        <v>23</v>
      </c>
      <c r="I616" s="4"/>
      <c r="N616" s="6">
        <v>44571.0</v>
      </c>
      <c r="Q616" s="2" t="s">
        <v>86</v>
      </c>
    </row>
    <row r="617">
      <c r="A617" s="2">
        <v>616.0</v>
      </c>
      <c r="B617" s="2" t="s">
        <v>2071</v>
      </c>
      <c r="C617" s="2" t="s">
        <v>23</v>
      </c>
      <c r="N617" s="6">
        <v>44620.0</v>
      </c>
      <c r="Q617" s="2" t="s">
        <v>86</v>
      </c>
    </row>
    <row r="618">
      <c r="A618" s="2">
        <v>617.0</v>
      </c>
      <c r="B618" s="2" t="s">
        <v>2072</v>
      </c>
      <c r="C618" s="2" t="s">
        <v>23</v>
      </c>
      <c r="K618" s="2">
        <v>20.0</v>
      </c>
      <c r="N618" s="6">
        <v>44039.0</v>
      </c>
      <c r="Q618" s="2" t="s">
        <v>2075</v>
      </c>
    </row>
    <row r="619">
      <c r="A619" s="2">
        <v>618.0</v>
      </c>
      <c r="B619" s="2" t="s">
        <v>2077</v>
      </c>
      <c r="C619" s="2" t="s">
        <v>23</v>
      </c>
      <c r="K619" s="2">
        <v>30.0</v>
      </c>
      <c r="N619" s="6">
        <v>45240.0</v>
      </c>
      <c r="Q619" s="2" t="s">
        <v>295</v>
      </c>
    </row>
    <row r="620">
      <c r="A620" s="2">
        <v>619.0</v>
      </c>
      <c r="B620" s="2" t="s">
        <v>2080</v>
      </c>
      <c r="C620" s="2" t="s">
        <v>23</v>
      </c>
      <c r="K620" s="2">
        <v>50.0</v>
      </c>
      <c r="N620" s="6">
        <v>44626.0</v>
      </c>
      <c r="Q620" s="2" t="s">
        <v>2081</v>
      </c>
    </row>
    <row r="621">
      <c r="A621" s="2">
        <v>620.0</v>
      </c>
      <c r="B621" s="2" t="s">
        <v>2082</v>
      </c>
      <c r="C621" s="2" t="s">
        <v>23</v>
      </c>
      <c r="K621" s="2">
        <v>50.0</v>
      </c>
      <c r="N621" s="6">
        <v>44069.0</v>
      </c>
      <c r="Q621" s="2" t="s">
        <v>2085</v>
      </c>
    </row>
    <row r="622">
      <c r="A622" s="2">
        <v>621.0</v>
      </c>
      <c r="B622" s="2" t="s">
        <v>2086</v>
      </c>
      <c r="C622" s="2" t="s">
        <v>23</v>
      </c>
      <c r="K622" s="2">
        <v>10.0</v>
      </c>
      <c r="N622" s="6">
        <v>43879.0</v>
      </c>
      <c r="Q622" s="2" t="s">
        <v>2087</v>
      </c>
    </row>
    <row r="623">
      <c r="A623" s="2">
        <v>622.0</v>
      </c>
      <c r="B623" s="2" t="s">
        <v>2088</v>
      </c>
      <c r="C623" s="2" t="s">
        <v>23</v>
      </c>
      <c r="K623" s="2">
        <v>20.0</v>
      </c>
      <c r="N623" s="6">
        <v>44360.0</v>
      </c>
      <c r="Q623" s="2" t="s">
        <v>1466</v>
      </c>
    </row>
    <row r="624">
      <c r="A624" s="2">
        <v>623.0</v>
      </c>
      <c r="B624" s="2" t="s">
        <v>2090</v>
      </c>
      <c r="C624" s="2" t="s">
        <v>23</v>
      </c>
      <c r="N624" s="6">
        <v>45551.0</v>
      </c>
      <c r="Q624" s="2" t="s">
        <v>2092</v>
      </c>
    </row>
    <row r="625">
      <c r="A625" s="2">
        <v>624.0</v>
      </c>
      <c r="B625" s="2" t="s">
        <v>2093</v>
      </c>
      <c r="C625" s="2" t="s">
        <v>23</v>
      </c>
      <c r="N625" s="6">
        <v>44854.0</v>
      </c>
      <c r="Q625" s="2" t="s">
        <v>86</v>
      </c>
    </row>
    <row r="626">
      <c r="A626" s="2">
        <v>625.0</v>
      </c>
      <c r="B626" s="2" t="s">
        <v>2094</v>
      </c>
      <c r="C626" s="2" t="s">
        <v>23</v>
      </c>
      <c r="K626" s="2">
        <v>90.0</v>
      </c>
      <c r="N626" s="6">
        <v>45614.0</v>
      </c>
      <c r="Q626" s="2" t="s">
        <v>2095</v>
      </c>
    </row>
    <row r="627">
      <c r="A627" s="2">
        <v>626.0</v>
      </c>
      <c r="B627" s="2" t="s">
        <v>2096</v>
      </c>
      <c r="C627" s="2" t="s">
        <v>23</v>
      </c>
      <c r="K627" s="2">
        <v>300.0</v>
      </c>
      <c r="N627" s="6">
        <v>43875.0</v>
      </c>
      <c r="Q627" s="2" t="s">
        <v>2099</v>
      </c>
    </row>
    <row r="628">
      <c r="A628" s="2">
        <v>627.0</v>
      </c>
      <c r="B628" s="2" t="s">
        <v>2100</v>
      </c>
      <c r="C628" s="2" t="s">
        <v>23</v>
      </c>
      <c r="K628" s="2">
        <v>100.0</v>
      </c>
      <c r="N628" s="6">
        <v>45682.0</v>
      </c>
      <c r="Q628" s="2" t="s">
        <v>1521</v>
      </c>
    </row>
    <row r="629">
      <c r="A629" s="2">
        <v>628.0</v>
      </c>
      <c r="B629" s="2" t="s">
        <v>2101</v>
      </c>
      <c r="C629" s="2" t="s">
        <v>23</v>
      </c>
      <c r="N629" s="6">
        <v>44637.0</v>
      </c>
      <c r="Q629" s="2" t="s">
        <v>86</v>
      </c>
    </row>
    <row r="630">
      <c r="A630" s="2">
        <v>629.0</v>
      </c>
      <c r="B630" s="2" t="s">
        <v>2103</v>
      </c>
      <c r="C630" s="2" t="s">
        <v>23</v>
      </c>
      <c r="K630" s="2">
        <v>200.0</v>
      </c>
      <c r="N630" s="6">
        <v>44002.0</v>
      </c>
      <c r="Q630" s="2" t="s">
        <v>2105</v>
      </c>
    </row>
    <row r="631">
      <c r="A631" s="2">
        <v>630.0</v>
      </c>
      <c r="B631" s="2" t="s">
        <v>2106</v>
      </c>
      <c r="C631" s="2" t="s">
        <v>23</v>
      </c>
      <c r="K631" s="2">
        <v>10.0</v>
      </c>
      <c r="N631" s="6">
        <v>44337.0</v>
      </c>
      <c r="Q631" s="2" t="s">
        <v>200</v>
      </c>
    </row>
    <row r="632">
      <c r="A632" s="2">
        <v>631.0</v>
      </c>
      <c r="B632" s="2" t="s">
        <v>2107</v>
      </c>
      <c r="C632" s="2" t="s">
        <v>23</v>
      </c>
      <c r="K632" s="2">
        <v>150.0</v>
      </c>
      <c r="N632" s="6">
        <v>44221.0</v>
      </c>
      <c r="Q632" s="2" t="s">
        <v>2109</v>
      </c>
    </row>
    <row r="633">
      <c r="A633" s="2">
        <v>632.0</v>
      </c>
      <c r="B633" s="2" t="s">
        <v>2111</v>
      </c>
      <c r="C633" s="2" t="s">
        <v>23</v>
      </c>
      <c r="K633" s="2">
        <v>10.0</v>
      </c>
      <c r="N633" s="6">
        <v>44699.0</v>
      </c>
      <c r="Q633" s="2" t="s">
        <v>2112</v>
      </c>
    </row>
    <row r="634">
      <c r="A634" s="2">
        <v>633.0</v>
      </c>
      <c r="B634" s="2" t="s">
        <v>2113</v>
      </c>
      <c r="C634" s="2" t="s">
        <v>23</v>
      </c>
      <c r="K634" s="2">
        <v>90.0</v>
      </c>
      <c r="N634" s="6">
        <v>44085.0</v>
      </c>
      <c r="Q634" s="2" t="s">
        <v>2115</v>
      </c>
    </row>
    <row r="635">
      <c r="A635" s="2">
        <v>634.0</v>
      </c>
      <c r="B635" s="2" t="s">
        <v>2117</v>
      </c>
      <c r="C635" s="2" t="s">
        <v>23</v>
      </c>
      <c r="N635" s="6">
        <v>44543.0</v>
      </c>
      <c r="Q635" s="2" t="s">
        <v>86</v>
      </c>
    </row>
    <row r="636">
      <c r="A636" s="2">
        <v>635.0</v>
      </c>
      <c r="B636" s="2" t="s">
        <v>2118</v>
      </c>
      <c r="C636" s="2" t="s">
        <v>23</v>
      </c>
      <c r="N636" s="6">
        <v>45460.0</v>
      </c>
      <c r="Q636" s="2" t="s">
        <v>2120</v>
      </c>
    </row>
    <row r="637">
      <c r="A637" s="2">
        <v>636.0</v>
      </c>
      <c r="B637" s="2" t="s">
        <v>2121</v>
      </c>
      <c r="C637" s="2" t="s">
        <v>23</v>
      </c>
      <c r="K637" s="2">
        <v>10.0</v>
      </c>
      <c r="N637" s="6">
        <v>44074.0</v>
      </c>
      <c r="Q637" s="2" t="s">
        <v>86</v>
      </c>
    </row>
    <row r="638">
      <c r="A638" s="2">
        <v>637.0</v>
      </c>
      <c r="B638" s="2" t="s">
        <v>2124</v>
      </c>
      <c r="C638" s="2" t="s">
        <v>23</v>
      </c>
      <c r="K638" s="2">
        <v>90.0</v>
      </c>
      <c r="N638" s="6">
        <v>44403.0</v>
      </c>
      <c r="Q638" s="2" t="s">
        <v>2125</v>
      </c>
    </row>
    <row r="639">
      <c r="A639" s="2">
        <v>638.0</v>
      </c>
      <c r="B639" s="2" t="s">
        <v>2126</v>
      </c>
      <c r="C639" s="2" t="s">
        <v>23</v>
      </c>
      <c r="K639" s="2">
        <v>10.0</v>
      </c>
      <c r="N639" s="6">
        <v>45140.0</v>
      </c>
      <c r="Q639" s="2" t="s">
        <v>2127</v>
      </c>
    </row>
    <row r="640">
      <c r="A640" s="2">
        <v>639.0</v>
      </c>
      <c r="B640" s="2" t="s">
        <v>2128</v>
      </c>
      <c r="C640" s="2" t="s">
        <v>23</v>
      </c>
      <c r="K640" s="2">
        <v>30.0</v>
      </c>
      <c r="N640" s="6">
        <v>45143.0</v>
      </c>
      <c r="Q640" s="2" t="s">
        <v>86</v>
      </c>
    </row>
    <row r="641">
      <c r="A641" s="2">
        <v>640.0</v>
      </c>
      <c r="B641" s="2" t="s">
        <v>2131</v>
      </c>
      <c r="C641" s="2" t="s">
        <v>23</v>
      </c>
      <c r="K641" s="2">
        <v>30.0</v>
      </c>
      <c r="N641" s="6">
        <v>45316.0</v>
      </c>
      <c r="Q641" s="2" t="s">
        <v>1156</v>
      </c>
    </row>
    <row r="642">
      <c r="A642" s="2">
        <v>641.0</v>
      </c>
      <c r="B642" s="2" t="s">
        <v>2133</v>
      </c>
      <c r="C642" s="2" t="s">
        <v>23</v>
      </c>
      <c r="K642" s="2">
        <v>30.0</v>
      </c>
      <c r="N642" s="6">
        <v>42823.0</v>
      </c>
      <c r="Q642" s="2" t="s">
        <v>2135</v>
      </c>
    </row>
    <row r="643">
      <c r="A643" s="2">
        <v>642.0</v>
      </c>
      <c r="B643" s="2" t="s">
        <v>2136</v>
      </c>
      <c r="C643" s="2" t="s">
        <v>23</v>
      </c>
      <c r="K643" s="2">
        <v>10.0</v>
      </c>
      <c r="N643" s="6">
        <v>45749.0</v>
      </c>
      <c r="Q643" s="2" t="s">
        <v>2137</v>
      </c>
    </row>
    <row r="644">
      <c r="A644" s="2">
        <v>643.0</v>
      </c>
      <c r="B644" s="2" t="s">
        <v>2138</v>
      </c>
      <c r="C644" s="2" t="s">
        <v>23</v>
      </c>
      <c r="K644" s="2">
        <v>10.0</v>
      </c>
      <c r="N644" s="6">
        <v>44021.0</v>
      </c>
      <c r="Q644" s="2" t="s">
        <v>86</v>
      </c>
    </row>
    <row r="645">
      <c r="A645" s="2">
        <v>644.0</v>
      </c>
      <c r="B645" s="2" t="s">
        <v>2139</v>
      </c>
      <c r="C645" s="2" t="s">
        <v>23</v>
      </c>
      <c r="K645" s="2">
        <v>700.0</v>
      </c>
      <c r="N645" s="6">
        <v>44473.0</v>
      </c>
      <c r="Q645" s="2" t="s">
        <v>2142</v>
      </c>
    </row>
    <row r="646">
      <c r="A646" s="2">
        <v>645.0</v>
      </c>
      <c r="B646" s="2" t="s">
        <v>2144</v>
      </c>
      <c r="C646" s="2" t="s">
        <v>23</v>
      </c>
      <c r="K646" s="2">
        <v>20.0</v>
      </c>
      <c r="N646" s="6">
        <v>44566.0</v>
      </c>
      <c r="Q646" s="2" t="s">
        <v>2146</v>
      </c>
    </row>
    <row r="647">
      <c r="A647" s="2">
        <v>646.0</v>
      </c>
      <c r="B647" s="2" t="s">
        <v>2147</v>
      </c>
      <c r="C647" s="2" t="s">
        <v>23</v>
      </c>
      <c r="K647" s="2">
        <v>100.0</v>
      </c>
      <c r="N647" s="6">
        <v>44106.0</v>
      </c>
      <c r="Q647" s="2" t="s">
        <v>2148</v>
      </c>
    </row>
    <row r="648">
      <c r="A648" s="2">
        <v>647.0</v>
      </c>
      <c r="B648" s="2" t="s">
        <v>2150</v>
      </c>
      <c r="C648" s="2" t="s">
        <v>23</v>
      </c>
      <c r="N648" s="6">
        <v>42412.0</v>
      </c>
      <c r="Q648" s="2" t="s">
        <v>86</v>
      </c>
    </row>
    <row r="649">
      <c r="A649" s="2">
        <v>648.0</v>
      </c>
      <c r="B649" s="2" t="s">
        <v>2152</v>
      </c>
      <c r="C649" s="2" t="s">
        <v>23</v>
      </c>
      <c r="K649" s="2">
        <v>10.0</v>
      </c>
      <c r="N649" s="6">
        <v>42937.0</v>
      </c>
      <c r="Q649" s="2" t="s">
        <v>2153</v>
      </c>
    </row>
    <row r="650">
      <c r="A650" s="2">
        <v>649.0</v>
      </c>
      <c r="B650" s="2" t="s">
        <v>2154</v>
      </c>
      <c r="C650" s="2" t="s">
        <v>23</v>
      </c>
      <c r="N650" s="6">
        <v>42912.0</v>
      </c>
      <c r="Q650" s="2" t="s">
        <v>86</v>
      </c>
    </row>
    <row r="651">
      <c r="A651" s="2">
        <v>650.0</v>
      </c>
      <c r="B651" s="2" t="s">
        <v>2156</v>
      </c>
      <c r="C651" s="2" t="s">
        <v>23</v>
      </c>
      <c r="K651" s="2">
        <v>10.0</v>
      </c>
      <c r="N651" s="6">
        <v>42858.0</v>
      </c>
      <c r="Q651" s="2" t="s">
        <v>86</v>
      </c>
    </row>
    <row r="652">
      <c r="A652" s="2">
        <v>651.0</v>
      </c>
      <c r="B652" s="2" t="s">
        <v>2157</v>
      </c>
      <c r="C652" s="2" t="s">
        <v>23</v>
      </c>
      <c r="N652" s="6">
        <v>44644.0</v>
      </c>
      <c r="Q652" s="2" t="s">
        <v>86</v>
      </c>
    </row>
    <row r="653">
      <c r="A653" s="2">
        <v>652.0</v>
      </c>
      <c r="B653" s="2" t="s">
        <v>2158</v>
      </c>
      <c r="C653" s="2" t="s">
        <v>23</v>
      </c>
      <c r="K653" s="2">
        <v>50.0</v>
      </c>
      <c r="N653" s="6">
        <v>44363.0</v>
      </c>
      <c r="Q653" s="2" t="s">
        <v>2159</v>
      </c>
    </row>
    <row r="654">
      <c r="A654" s="2">
        <v>653.0</v>
      </c>
      <c r="B654" s="2" t="s">
        <v>2160</v>
      </c>
      <c r="C654" s="2" t="s">
        <v>23</v>
      </c>
      <c r="N654" s="6">
        <v>45005.0</v>
      </c>
      <c r="Q654" s="2" t="s">
        <v>2161</v>
      </c>
    </row>
    <row r="655">
      <c r="A655" s="2">
        <v>654.0</v>
      </c>
      <c r="B655" s="2" t="s">
        <v>2162</v>
      </c>
      <c r="C655" s="2" t="s">
        <v>23</v>
      </c>
      <c r="N655" s="6">
        <v>43935.0</v>
      </c>
      <c r="Q655" s="2" t="s">
        <v>86</v>
      </c>
    </row>
    <row r="656">
      <c r="A656" s="2">
        <v>655.0</v>
      </c>
      <c r="B656" s="2" t="s">
        <v>2164</v>
      </c>
      <c r="C656" s="2" t="s">
        <v>23</v>
      </c>
      <c r="K656" s="2">
        <v>60.0</v>
      </c>
      <c r="N656" s="6">
        <v>44286.0</v>
      </c>
      <c r="Q656" s="2" t="s">
        <v>1249</v>
      </c>
    </row>
    <row r="657">
      <c r="A657" s="2">
        <v>656.0</v>
      </c>
      <c r="B657" s="2" t="s">
        <v>2167</v>
      </c>
      <c r="C657" s="2" t="s">
        <v>23</v>
      </c>
      <c r="N657" s="6">
        <v>45254.0</v>
      </c>
      <c r="Q657" s="2" t="s">
        <v>86</v>
      </c>
    </row>
    <row r="658">
      <c r="A658" s="2">
        <v>657.0</v>
      </c>
      <c r="B658" s="2" t="s">
        <v>2170</v>
      </c>
      <c r="C658" s="2" t="s">
        <v>23</v>
      </c>
      <c r="K658" s="2">
        <v>700.0</v>
      </c>
      <c r="N658" s="6">
        <v>43946.0</v>
      </c>
      <c r="Q658" s="2" t="s">
        <v>2171</v>
      </c>
    </row>
    <row r="659">
      <c r="A659" s="2">
        <v>658.0</v>
      </c>
      <c r="B659" s="2" t="s">
        <v>2173</v>
      </c>
      <c r="C659" s="2" t="s">
        <v>23</v>
      </c>
      <c r="N659" s="6">
        <v>44885.0</v>
      </c>
      <c r="Q659" s="2" t="s">
        <v>86</v>
      </c>
    </row>
    <row r="660">
      <c r="A660" s="2">
        <v>659.0</v>
      </c>
      <c r="B660" s="2" t="s">
        <v>2176</v>
      </c>
      <c r="C660" s="2" t="s">
        <v>23</v>
      </c>
      <c r="N660" s="6">
        <v>45299.0</v>
      </c>
      <c r="Q660" s="2" t="s">
        <v>86</v>
      </c>
    </row>
    <row r="661">
      <c r="A661" s="2">
        <v>660.0</v>
      </c>
      <c r="B661" s="2" t="s">
        <v>2178</v>
      </c>
      <c r="C661" s="2" t="s">
        <v>23</v>
      </c>
      <c r="K661" s="2">
        <v>90.0</v>
      </c>
      <c r="N661" s="6">
        <v>44043.0</v>
      </c>
      <c r="Q661" s="2" t="s">
        <v>2181</v>
      </c>
    </row>
    <row r="662">
      <c r="A662" s="2">
        <v>661.0</v>
      </c>
      <c r="B662" s="2" t="s">
        <v>2182</v>
      </c>
      <c r="C662" s="2" t="s">
        <v>23</v>
      </c>
      <c r="N662" s="6">
        <v>44172.0</v>
      </c>
      <c r="Q662" s="2" t="s">
        <v>2183</v>
      </c>
    </row>
    <row r="663">
      <c r="A663" s="2">
        <v>662.0</v>
      </c>
      <c r="B663" s="2" t="s">
        <v>2185</v>
      </c>
      <c r="C663" s="2" t="s">
        <v>23</v>
      </c>
      <c r="N663" s="6">
        <v>44363.0</v>
      </c>
      <c r="Q663" s="2" t="s">
        <v>86</v>
      </c>
    </row>
    <row r="664">
      <c r="A664" s="2">
        <v>663.0</v>
      </c>
      <c r="B664" s="2" t="s">
        <v>73</v>
      </c>
      <c r="C664" s="2" t="s">
        <v>23</v>
      </c>
      <c r="K664" s="2">
        <v>20.0</v>
      </c>
      <c r="N664" s="6">
        <v>44843.0</v>
      </c>
      <c r="Q664" s="2" t="s">
        <v>74</v>
      </c>
    </row>
    <row r="665">
      <c r="A665" s="2">
        <v>664.0</v>
      </c>
      <c r="B665" s="2" t="s">
        <v>2190</v>
      </c>
      <c r="C665" s="2" t="s">
        <v>23</v>
      </c>
      <c r="K665" s="2">
        <v>20.0</v>
      </c>
      <c r="N665" s="6">
        <v>45665.0</v>
      </c>
      <c r="Q665" s="2" t="s">
        <v>2192</v>
      </c>
    </row>
    <row r="666">
      <c r="A666" s="2">
        <v>665.0</v>
      </c>
      <c r="B666" s="2" t="s">
        <v>2193</v>
      </c>
      <c r="C666" s="2" t="s">
        <v>23</v>
      </c>
      <c r="N666" s="6">
        <v>44620.0</v>
      </c>
      <c r="Q666" s="2" t="s">
        <v>86</v>
      </c>
    </row>
    <row r="667">
      <c r="A667" s="2">
        <v>666.0</v>
      </c>
      <c r="B667" s="2" t="s">
        <v>2196</v>
      </c>
      <c r="C667" s="2" t="s">
        <v>23</v>
      </c>
      <c r="K667" s="2">
        <v>20.0</v>
      </c>
      <c r="N667" s="6">
        <v>45687.0</v>
      </c>
      <c r="Q667" s="2" t="s">
        <v>2197</v>
      </c>
    </row>
    <row r="668">
      <c r="A668" s="2">
        <v>667.0</v>
      </c>
      <c r="B668" s="2" t="s">
        <v>2198</v>
      </c>
      <c r="C668" s="2" t="s">
        <v>23</v>
      </c>
      <c r="N668" s="6">
        <v>45972.0</v>
      </c>
      <c r="Q668" s="2" t="s">
        <v>2200</v>
      </c>
    </row>
    <row r="669">
      <c r="A669" s="2">
        <v>668.0</v>
      </c>
      <c r="B669" s="2" t="s">
        <v>2202</v>
      </c>
      <c r="C669" s="2" t="s">
        <v>23</v>
      </c>
      <c r="K669" s="2">
        <v>30.0</v>
      </c>
      <c r="N669" s="6">
        <v>45408.0</v>
      </c>
      <c r="Q669" s="2" t="s">
        <v>2203</v>
      </c>
    </row>
    <row r="670">
      <c r="A670" s="2">
        <v>669.0</v>
      </c>
      <c r="B670" s="2" t="s">
        <v>78</v>
      </c>
      <c r="C670" s="2" t="s">
        <v>23</v>
      </c>
      <c r="K670" s="2">
        <v>100.0</v>
      </c>
      <c r="N670" s="6">
        <v>44207.0</v>
      </c>
      <c r="Q670" s="2" t="s">
        <v>80</v>
      </c>
    </row>
    <row r="671">
      <c r="A671" s="2">
        <v>670.0</v>
      </c>
      <c r="B671" s="2" t="s">
        <v>2206</v>
      </c>
      <c r="C671" s="2" t="s">
        <v>23</v>
      </c>
      <c r="K671" s="2">
        <v>10.0</v>
      </c>
      <c r="N671" s="6">
        <v>44212.0</v>
      </c>
      <c r="Q671" s="2" t="s">
        <v>94</v>
      </c>
    </row>
    <row r="672">
      <c r="A672" s="2">
        <v>671.0</v>
      </c>
      <c r="B672" s="2" t="s">
        <v>2209</v>
      </c>
      <c r="C672" s="2" t="s">
        <v>23</v>
      </c>
      <c r="N672" s="6">
        <v>43893.0</v>
      </c>
      <c r="Q672" s="2" t="s">
        <v>86</v>
      </c>
    </row>
    <row r="673">
      <c r="A673" s="2">
        <v>672.0</v>
      </c>
      <c r="B673" s="2" t="s">
        <v>2211</v>
      </c>
      <c r="C673" s="2" t="s">
        <v>23</v>
      </c>
      <c r="N673" s="6">
        <v>44204.0</v>
      </c>
      <c r="Q673" s="2" t="s">
        <v>1790</v>
      </c>
    </row>
    <row r="674">
      <c r="A674" s="2">
        <v>673.0</v>
      </c>
      <c r="B674" s="2" t="s">
        <v>2214</v>
      </c>
      <c r="C674" s="2" t="s">
        <v>23</v>
      </c>
      <c r="K674" s="2">
        <v>20.0</v>
      </c>
      <c r="N674" s="6">
        <v>44222.0</v>
      </c>
      <c r="Q674" s="2" t="s">
        <v>2217</v>
      </c>
    </row>
    <row r="675">
      <c r="A675" s="2">
        <v>674.0</v>
      </c>
      <c r="B675" s="2" t="s">
        <v>2219</v>
      </c>
      <c r="C675" s="2" t="s">
        <v>23</v>
      </c>
      <c r="N675" s="6">
        <v>43382.0</v>
      </c>
      <c r="Q675" s="2" t="s">
        <v>86</v>
      </c>
    </row>
    <row r="676">
      <c r="A676" s="2">
        <v>675.0</v>
      </c>
      <c r="B676" s="2" t="s">
        <v>2223</v>
      </c>
      <c r="C676" s="2" t="s">
        <v>23</v>
      </c>
      <c r="N676" s="6">
        <v>44988.0</v>
      </c>
      <c r="Q676" s="2" t="s">
        <v>86</v>
      </c>
    </row>
    <row r="677">
      <c r="A677" s="2">
        <v>676.0</v>
      </c>
      <c r="B677" s="2" t="s">
        <v>2225</v>
      </c>
      <c r="C677" s="2" t="s">
        <v>23</v>
      </c>
      <c r="K677" s="2">
        <v>30.0</v>
      </c>
      <c r="N677" s="6">
        <v>44131.0</v>
      </c>
      <c r="Q677" s="2" t="s">
        <v>2226</v>
      </c>
    </row>
    <row r="678">
      <c r="A678" s="2">
        <v>677.0</v>
      </c>
      <c r="B678" s="2" t="s">
        <v>2227</v>
      </c>
      <c r="C678" s="2" t="s">
        <v>23</v>
      </c>
      <c r="K678" s="2">
        <v>80.0</v>
      </c>
      <c r="N678" s="6">
        <v>45469.0</v>
      </c>
      <c r="Q678" s="2" t="s">
        <v>2229</v>
      </c>
    </row>
    <row r="679">
      <c r="A679" s="2">
        <v>678.0</v>
      </c>
      <c r="B679" s="2" t="s">
        <v>2231</v>
      </c>
      <c r="C679" s="2" t="s">
        <v>23</v>
      </c>
      <c r="K679" s="2">
        <v>200.0</v>
      </c>
      <c r="N679" s="6">
        <v>44033.0</v>
      </c>
      <c r="Q679" s="2" t="s">
        <v>2235</v>
      </c>
    </row>
    <row r="680">
      <c r="A680" s="2">
        <v>679.0</v>
      </c>
      <c r="B680" s="2" t="s">
        <v>2236</v>
      </c>
      <c r="C680" s="2" t="s">
        <v>23</v>
      </c>
      <c r="N680" s="6">
        <v>44011.0</v>
      </c>
      <c r="Q680" s="2" t="s">
        <v>86</v>
      </c>
    </row>
    <row r="681">
      <c r="A681" s="2">
        <v>680.0</v>
      </c>
      <c r="B681" s="2" t="s">
        <v>2238</v>
      </c>
      <c r="C681" s="2" t="s">
        <v>23</v>
      </c>
      <c r="K681" s="2">
        <v>10.0</v>
      </c>
      <c r="N681" s="6">
        <v>44369.0</v>
      </c>
      <c r="Q681" s="2" t="s">
        <v>1727</v>
      </c>
    </row>
    <row r="682">
      <c r="A682" s="2">
        <v>681.0</v>
      </c>
      <c r="B682" s="2" t="s">
        <v>2241</v>
      </c>
      <c r="C682" s="2" t="s">
        <v>23</v>
      </c>
      <c r="K682" s="2">
        <v>70.0</v>
      </c>
      <c r="N682" s="6">
        <v>44956.0</v>
      </c>
      <c r="Q682" s="2" t="s">
        <v>1156</v>
      </c>
    </row>
    <row r="683">
      <c r="A683" s="2">
        <v>682.0</v>
      </c>
      <c r="B683" s="2" t="s">
        <v>2244</v>
      </c>
      <c r="C683" s="2" t="s">
        <v>23</v>
      </c>
      <c r="N683" s="6">
        <v>45097.0</v>
      </c>
      <c r="Q683" s="2" t="s">
        <v>86</v>
      </c>
    </row>
    <row r="684">
      <c r="A684" s="2">
        <v>683.0</v>
      </c>
      <c r="B684" s="2" t="s">
        <v>2246</v>
      </c>
      <c r="C684" s="2" t="s">
        <v>23</v>
      </c>
      <c r="N684" s="6">
        <v>44599.0</v>
      </c>
      <c r="Q684" s="2" t="s">
        <v>86</v>
      </c>
    </row>
    <row r="685">
      <c r="A685" s="2">
        <v>684.0</v>
      </c>
      <c r="B685" s="2" t="s">
        <v>2247</v>
      </c>
      <c r="C685" s="2" t="s">
        <v>23</v>
      </c>
      <c r="K685" s="2">
        <v>60.0</v>
      </c>
      <c r="N685" s="6">
        <v>43866.0</v>
      </c>
      <c r="Q685" s="2" t="s">
        <v>2248</v>
      </c>
    </row>
    <row r="686">
      <c r="A686" s="2">
        <v>685.0</v>
      </c>
      <c r="B686" s="2" t="s">
        <v>2251</v>
      </c>
      <c r="C686" s="2" t="s">
        <v>23</v>
      </c>
      <c r="K686" s="2">
        <v>50.0</v>
      </c>
      <c r="N686" s="6">
        <v>43926.0</v>
      </c>
      <c r="Q686" s="2" t="s">
        <v>86</v>
      </c>
    </row>
    <row r="687">
      <c r="A687" s="2">
        <v>686.0</v>
      </c>
      <c r="B687" s="2" t="s">
        <v>2253</v>
      </c>
      <c r="C687" s="2" t="s">
        <v>23</v>
      </c>
      <c r="K687" s="2">
        <v>20.0</v>
      </c>
      <c r="N687" s="6">
        <v>45917.0</v>
      </c>
      <c r="Q687" s="2" t="s">
        <v>2254</v>
      </c>
    </row>
    <row r="688">
      <c r="A688" s="2">
        <v>687.0</v>
      </c>
      <c r="B688" s="2" t="s">
        <v>2256</v>
      </c>
      <c r="C688" s="2" t="s">
        <v>23</v>
      </c>
      <c r="K688" s="2">
        <v>20.0</v>
      </c>
      <c r="N688" s="6">
        <v>45721.0</v>
      </c>
      <c r="Q688" s="2" t="s">
        <v>2258</v>
      </c>
    </row>
    <row r="689">
      <c r="A689" s="2">
        <v>688.0</v>
      </c>
      <c r="B689" s="2" t="s">
        <v>2259</v>
      </c>
      <c r="C689" s="2" t="s">
        <v>23</v>
      </c>
      <c r="K689" s="2">
        <v>200.0</v>
      </c>
      <c r="N689" s="6">
        <v>45107.0</v>
      </c>
      <c r="Q689" s="2" t="s">
        <v>2260</v>
      </c>
    </row>
    <row r="690">
      <c r="A690" s="2">
        <v>689.0</v>
      </c>
      <c r="B690" s="2" t="s">
        <v>2261</v>
      </c>
      <c r="C690" s="2" t="s">
        <v>23</v>
      </c>
      <c r="K690" s="2">
        <v>400.0</v>
      </c>
      <c r="N690" s="6">
        <v>43908.0</v>
      </c>
      <c r="Q690" s="2" t="s">
        <v>2262</v>
      </c>
    </row>
    <row r="691">
      <c r="A691" s="2">
        <v>690.0</v>
      </c>
      <c r="B691" s="2" t="s">
        <v>2264</v>
      </c>
      <c r="C691" s="2" t="s">
        <v>23</v>
      </c>
      <c r="N691" s="6">
        <v>44501.0</v>
      </c>
      <c r="Q691" s="2" t="s">
        <v>86</v>
      </c>
    </row>
    <row r="692">
      <c r="A692" s="2">
        <v>691.0</v>
      </c>
      <c r="B692" s="2" t="s">
        <v>2266</v>
      </c>
      <c r="C692" s="2" t="s">
        <v>23</v>
      </c>
      <c r="N692" s="6">
        <v>42300.0</v>
      </c>
      <c r="Q692" s="2" t="s">
        <v>295</v>
      </c>
    </row>
    <row r="693">
      <c r="A693" s="2">
        <v>692.0</v>
      </c>
      <c r="B693" s="2" t="s">
        <v>2268</v>
      </c>
      <c r="C693" s="2" t="s">
        <v>23</v>
      </c>
      <c r="N693" s="6">
        <v>44529.0</v>
      </c>
      <c r="Q693" s="2" t="s">
        <v>1070</v>
      </c>
    </row>
    <row r="694">
      <c r="A694" s="2">
        <v>693.0</v>
      </c>
      <c r="B694" s="2" t="s">
        <v>2271</v>
      </c>
      <c r="C694" s="2" t="s">
        <v>23</v>
      </c>
      <c r="K694" s="2">
        <v>80.0</v>
      </c>
      <c r="N694" s="6">
        <v>45329.0</v>
      </c>
      <c r="Q694" s="2" t="s">
        <v>2272</v>
      </c>
    </row>
    <row r="695">
      <c r="A695" s="2">
        <v>694.0</v>
      </c>
      <c r="B695" s="2" t="s">
        <v>2273</v>
      </c>
      <c r="C695" s="2" t="s">
        <v>23</v>
      </c>
      <c r="K695" s="2">
        <v>20.0</v>
      </c>
      <c r="N695" s="6">
        <v>44790.0</v>
      </c>
      <c r="Q695" s="2" t="s">
        <v>401</v>
      </c>
    </row>
    <row r="696">
      <c r="A696" s="2">
        <v>695.0</v>
      </c>
      <c r="B696" s="2" t="s">
        <v>2274</v>
      </c>
      <c r="C696" s="2" t="s">
        <v>23</v>
      </c>
      <c r="K696" s="2">
        <v>200.0</v>
      </c>
      <c r="N696" s="6">
        <v>44316.0</v>
      </c>
      <c r="Q696" s="2" t="s">
        <v>1466</v>
      </c>
    </row>
    <row r="697">
      <c r="A697" s="2">
        <v>696.0</v>
      </c>
      <c r="B697" s="2" t="s">
        <v>2276</v>
      </c>
      <c r="C697" s="2" t="s">
        <v>23</v>
      </c>
      <c r="K697" s="2">
        <v>10.0</v>
      </c>
      <c r="N697" s="6">
        <v>44801.0</v>
      </c>
      <c r="Q697" s="2" t="s">
        <v>235</v>
      </c>
    </row>
    <row r="698">
      <c r="A698" s="2">
        <v>697.0</v>
      </c>
      <c r="B698" s="2" t="s">
        <v>2278</v>
      </c>
      <c r="C698" s="2" t="s">
        <v>23</v>
      </c>
      <c r="K698" s="2">
        <v>90.0</v>
      </c>
      <c r="N698" s="6">
        <v>44672.0</v>
      </c>
      <c r="Q698" s="2" t="s">
        <v>2279</v>
      </c>
    </row>
    <row r="699">
      <c r="A699" s="2">
        <v>698.0</v>
      </c>
      <c r="B699" s="2" t="s">
        <v>2281</v>
      </c>
      <c r="C699" s="2" t="s">
        <v>23</v>
      </c>
      <c r="K699" s="2">
        <v>250.0</v>
      </c>
      <c r="N699" s="6">
        <v>43916.0</v>
      </c>
      <c r="Q699" s="2" t="s">
        <v>2283</v>
      </c>
    </row>
    <row r="700">
      <c r="A700" s="2">
        <v>699.0</v>
      </c>
      <c r="B700" s="2" t="s">
        <v>2284</v>
      </c>
      <c r="C700" s="2" t="s">
        <v>23</v>
      </c>
      <c r="K700" s="2">
        <v>20.0</v>
      </c>
      <c r="N700" s="6">
        <v>45057.0</v>
      </c>
      <c r="Q700" s="2" t="s">
        <v>2285</v>
      </c>
    </row>
    <row r="701">
      <c r="A701" s="2">
        <v>700.0</v>
      </c>
      <c r="B701" s="2" t="s">
        <v>2286</v>
      </c>
      <c r="C701" s="2" t="s">
        <v>23</v>
      </c>
      <c r="K701" s="2">
        <v>10.0</v>
      </c>
      <c r="N701" s="6">
        <v>43933.0</v>
      </c>
      <c r="Q701" s="2" t="s">
        <v>86</v>
      </c>
    </row>
    <row r="702">
      <c r="A702" s="2">
        <v>701.0</v>
      </c>
      <c r="B702" s="2" t="s">
        <v>2289</v>
      </c>
      <c r="C702" s="2" t="s">
        <v>23</v>
      </c>
      <c r="N702" s="6">
        <v>44082.0</v>
      </c>
      <c r="Q702" s="2" t="s">
        <v>86</v>
      </c>
    </row>
    <row r="703">
      <c r="A703" s="2">
        <v>702.0</v>
      </c>
      <c r="B703" s="2" t="s">
        <v>2290</v>
      </c>
      <c r="C703" s="2" t="s">
        <v>23</v>
      </c>
      <c r="K703" s="2">
        <v>30.0</v>
      </c>
      <c r="N703" s="6">
        <v>44172.0</v>
      </c>
      <c r="Q703" s="2" t="s">
        <v>86</v>
      </c>
    </row>
    <row r="704">
      <c r="A704" s="2">
        <v>703.0</v>
      </c>
      <c r="B704" s="2" t="s">
        <v>2293</v>
      </c>
      <c r="C704" s="2" t="s">
        <v>23</v>
      </c>
      <c r="N704" s="6">
        <v>43856.0</v>
      </c>
      <c r="Q704" s="2" t="s">
        <v>86</v>
      </c>
    </row>
    <row r="705">
      <c r="A705" s="2">
        <v>704.0</v>
      </c>
      <c r="B705" s="2" t="s">
        <v>2295</v>
      </c>
      <c r="C705" s="2" t="s">
        <v>23</v>
      </c>
      <c r="K705" s="2">
        <v>100.0</v>
      </c>
      <c r="N705" s="6">
        <v>45388.0</v>
      </c>
      <c r="Q705" s="2" t="s">
        <v>2296</v>
      </c>
    </row>
    <row r="706">
      <c r="A706" s="2">
        <v>705.0</v>
      </c>
      <c r="B706" s="2" t="s">
        <v>2298</v>
      </c>
      <c r="C706" s="2" t="s">
        <v>23</v>
      </c>
      <c r="K706" s="2">
        <v>80.0</v>
      </c>
      <c r="N706" s="6">
        <v>43977.0</v>
      </c>
      <c r="Q706" s="2" t="s">
        <v>2300</v>
      </c>
    </row>
    <row r="707">
      <c r="A707" s="2">
        <v>706.0</v>
      </c>
      <c r="B707" s="2" t="s">
        <v>2301</v>
      </c>
      <c r="C707" s="2" t="s">
        <v>23</v>
      </c>
      <c r="K707" s="2">
        <v>30.0</v>
      </c>
      <c r="N707" s="6">
        <v>44044.0</v>
      </c>
      <c r="Q707" s="2" t="s">
        <v>2302</v>
      </c>
    </row>
    <row r="708">
      <c r="A708" s="2">
        <v>707.0</v>
      </c>
      <c r="B708" s="2" t="s">
        <v>2303</v>
      </c>
      <c r="C708" s="2" t="s">
        <v>23</v>
      </c>
      <c r="K708" s="2">
        <v>30.0</v>
      </c>
      <c r="N708" s="6">
        <v>43026.0</v>
      </c>
      <c r="Q708" s="2" t="s">
        <v>86</v>
      </c>
    </row>
    <row r="709">
      <c r="A709" s="2">
        <v>708.0</v>
      </c>
      <c r="B709" s="2" t="s">
        <v>2306</v>
      </c>
      <c r="C709" s="2" t="s">
        <v>23</v>
      </c>
      <c r="K709" s="2">
        <v>90.0</v>
      </c>
      <c r="N709" s="6">
        <v>45723.0</v>
      </c>
      <c r="Q709" s="2" t="s">
        <v>2308</v>
      </c>
    </row>
    <row r="710">
      <c r="A710" s="2">
        <v>709.0</v>
      </c>
      <c r="B710" s="2" t="s">
        <v>2309</v>
      </c>
      <c r="C710" s="2" t="s">
        <v>23</v>
      </c>
      <c r="K710" s="2">
        <v>30.0</v>
      </c>
      <c r="N710" s="6">
        <v>45504.0</v>
      </c>
      <c r="Q710" s="2" t="s">
        <v>2310</v>
      </c>
    </row>
    <row r="711">
      <c r="A711" s="2">
        <v>710.0</v>
      </c>
      <c r="B711" s="2" t="s">
        <v>2312</v>
      </c>
      <c r="C711" s="2" t="s">
        <v>23</v>
      </c>
      <c r="K711" s="2">
        <v>200.0</v>
      </c>
      <c r="N711" s="6">
        <v>44715.0</v>
      </c>
      <c r="Q711" s="2" t="s">
        <v>2313</v>
      </c>
    </row>
    <row r="712">
      <c r="A712" s="2">
        <v>711.0</v>
      </c>
      <c r="B712" s="2" t="s">
        <v>2314</v>
      </c>
      <c r="C712" s="2" t="s">
        <v>23</v>
      </c>
      <c r="N712" s="6">
        <v>42536.0</v>
      </c>
      <c r="Q712" s="2" t="s">
        <v>86</v>
      </c>
    </row>
    <row r="713">
      <c r="A713" s="2">
        <v>712.0</v>
      </c>
      <c r="B713" s="2" t="s">
        <v>2316</v>
      </c>
      <c r="C713" s="2" t="s">
        <v>23</v>
      </c>
      <c r="K713" s="2">
        <v>100.0</v>
      </c>
      <c r="N713" s="6">
        <v>44554.0</v>
      </c>
      <c r="Q713" s="2" t="s">
        <v>2318</v>
      </c>
    </row>
    <row r="714">
      <c r="A714" s="2">
        <v>713.0</v>
      </c>
      <c r="B714" s="2" t="s">
        <v>2319</v>
      </c>
      <c r="C714" s="2" t="s">
        <v>23</v>
      </c>
      <c r="K714" s="2">
        <v>10.0</v>
      </c>
      <c r="N714" s="6">
        <v>44741.0</v>
      </c>
      <c r="Q714" s="2" t="s">
        <v>86</v>
      </c>
    </row>
    <row r="715">
      <c r="A715" s="2">
        <v>714.0</v>
      </c>
      <c r="B715" s="2" t="s">
        <v>2320</v>
      </c>
      <c r="C715" s="2" t="s">
        <v>23</v>
      </c>
      <c r="N715" s="6">
        <v>42665.0</v>
      </c>
      <c r="Q715" s="2" t="s">
        <v>86</v>
      </c>
    </row>
    <row r="716">
      <c r="A716" s="2">
        <v>715.0</v>
      </c>
      <c r="B716" s="2" t="s">
        <v>2322</v>
      </c>
      <c r="C716" s="2" t="s">
        <v>23</v>
      </c>
      <c r="K716" s="2">
        <v>60.0</v>
      </c>
      <c r="N716" s="6">
        <v>44006.0</v>
      </c>
      <c r="Q716" s="2" t="s">
        <v>2324</v>
      </c>
    </row>
    <row r="717">
      <c r="A717" s="2">
        <v>716.0</v>
      </c>
      <c r="B717" s="2" t="s">
        <v>2326</v>
      </c>
      <c r="C717" s="2" t="s">
        <v>23</v>
      </c>
      <c r="N717" s="6">
        <v>45626.0</v>
      </c>
      <c r="Q717" s="2" t="s">
        <v>2327</v>
      </c>
    </row>
    <row r="718">
      <c r="A718" s="2">
        <v>717.0</v>
      </c>
      <c r="B718" s="2" t="s">
        <v>2329</v>
      </c>
      <c r="C718" s="2" t="s">
        <v>23</v>
      </c>
      <c r="N718" s="6">
        <v>44791.0</v>
      </c>
      <c r="Q718" s="2" t="s">
        <v>546</v>
      </c>
    </row>
    <row r="719">
      <c r="A719" s="2">
        <v>718.0</v>
      </c>
      <c r="B719" s="2" t="s">
        <v>2331</v>
      </c>
      <c r="C719" s="2" t="s">
        <v>23</v>
      </c>
      <c r="K719" s="2">
        <v>100.0</v>
      </c>
      <c r="N719" s="6">
        <v>44076.0</v>
      </c>
      <c r="Q719" s="2" t="s">
        <v>2332</v>
      </c>
    </row>
    <row r="720">
      <c r="A720" s="2">
        <v>719.0</v>
      </c>
      <c r="B720" s="2" t="s">
        <v>2333</v>
      </c>
      <c r="C720" s="2" t="s">
        <v>23</v>
      </c>
      <c r="K720" s="2">
        <v>50.0</v>
      </c>
      <c r="N720" s="6">
        <v>43551.0</v>
      </c>
      <c r="Q720" s="2" t="s">
        <v>2335</v>
      </c>
    </row>
    <row r="721">
      <c r="A721" s="2">
        <v>720.0</v>
      </c>
      <c r="B721" s="2" t="s">
        <v>2337</v>
      </c>
      <c r="C721" s="2" t="s">
        <v>23</v>
      </c>
      <c r="K721" s="2">
        <v>60.0</v>
      </c>
      <c r="N721" s="6">
        <v>45852.0</v>
      </c>
      <c r="Q721" s="2" t="s">
        <v>2338</v>
      </c>
    </row>
    <row r="722">
      <c r="A722" s="2">
        <v>721.0</v>
      </c>
      <c r="B722" s="2" t="s">
        <v>2339</v>
      </c>
      <c r="C722" s="2" t="s">
        <v>23</v>
      </c>
      <c r="N722" s="6">
        <v>44471.0</v>
      </c>
      <c r="Q722" s="2" t="s">
        <v>86</v>
      </c>
    </row>
    <row r="723">
      <c r="A723" s="2">
        <v>722.0</v>
      </c>
      <c r="B723" s="2" t="s">
        <v>2340</v>
      </c>
      <c r="C723" s="2" t="s">
        <v>23</v>
      </c>
      <c r="N723" s="6">
        <v>44877.0</v>
      </c>
      <c r="Q723" s="2" t="s">
        <v>1070</v>
      </c>
    </row>
    <row r="724">
      <c r="A724" s="2">
        <v>723.0</v>
      </c>
      <c r="B724" s="2" t="s">
        <v>2341</v>
      </c>
      <c r="C724" s="2" t="s">
        <v>23</v>
      </c>
      <c r="K724" s="2">
        <v>10.0</v>
      </c>
      <c r="N724" s="6">
        <v>44016.0</v>
      </c>
      <c r="Q724" s="2" t="s">
        <v>86</v>
      </c>
    </row>
    <row r="725">
      <c r="A725" s="2">
        <v>724.0</v>
      </c>
      <c r="B725" s="2" t="s">
        <v>2342</v>
      </c>
      <c r="C725" s="2" t="s">
        <v>23</v>
      </c>
      <c r="N725" s="6">
        <v>44585.0</v>
      </c>
      <c r="Q725" s="2" t="s">
        <v>2343</v>
      </c>
    </row>
    <row r="726">
      <c r="A726" s="2">
        <v>725.0</v>
      </c>
      <c r="B726" s="2" t="s">
        <v>2344</v>
      </c>
      <c r="C726" s="2" t="s">
        <v>23</v>
      </c>
      <c r="K726" s="2">
        <v>10.0</v>
      </c>
      <c r="N726" s="6">
        <v>44287.0</v>
      </c>
      <c r="Q726" s="2" t="s">
        <v>1466</v>
      </c>
    </row>
    <row r="727">
      <c r="A727" s="2">
        <v>726.0</v>
      </c>
      <c r="B727" s="2" t="s">
        <v>2345</v>
      </c>
      <c r="C727" s="2" t="s">
        <v>23</v>
      </c>
      <c r="N727" s="6">
        <v>42305.0</v>
      </c>
      <c r="Q727" s="2" t="s">
        <v>86</v>
      </c>
    </row>
    <row r="728">
      <c r="A728" s="2">
        <v>727.0</v>
      </c>
      <c r="B728" s="2" t="s">
        <v>2346</v>
      </c>
      <c r="C728" s="2" t="s">
        <v>23</v>
      </c>
      <c r="N728" s="6">
        <v>44050.0</v>
      </c>
      <c r="Q728" s="2" t="s">
        <v>86</v>
      </c>
    </row>
    <row r="729">
      <c r="A729" s="2">
        <v>728.0</v>
      </c>
      <c r="B729" s="2" t="s">
        <v>2347</v>
      </c>
      <c r="C729" s="2" t="s">
        <v>23</v>
      </c>
      <c r="K729" s="2">
        <v>90.0</v>
      </c>
      <c r="N729" s="6">
        <v>43172.0</v>
      </c>
      <c r="Q729" s="2" t="s">
        <v>2348</v>
      </c>
    </row>
    <row r="730">
      <c r="A730" s="2">
        <v>729.0</v>
      </c>
      <c r="B730" s="2" t="s">
        <v>2349</v>
      </c>
      <c r="C730" s="2" t="s">
        <v>23</v>
      </c>
      <c r="K730" s="2">
        <v>250.0</v>
      </c>
      <c r="N730" s="6">
        <v>44255.0</v>
      </c>
      <c r="Q730" s="2" t="s">
        <v>2350</v>
      </c>
    </row>
    <row r="731">
      <c r="A731" s="2">
        <v>730.0</v>
      </c>
      <c r="B731" s="2" t="s">
        <v>2351</v>
      </c>
      <c r="C731" s="2" t="s">
        <v>23</v>
      </c>
      <c r="N731" s="6">
        <v>44249.0</v>
      </c>
      <c r="Q731" s="2" t="s">
        <v>86</v>
      </c>
    </row>
    <row r="732">
      <c r="A732" s="2">
        <v>731.0</v>
      </c>
      <c r="B732" s="2" t="s">
        <v>2352</v>
      </c>
      <c r="C732" s="2" t="s">
        <v>23</v>
      </c>
      <c r="N732" s="6">
        <v>44536.0</v>
      </c>
      <c r="Q732" s="2" t="s">
        <v>86</v>
      </c>
    </row>
    <row r="733">
      <c r="A733" s="2">
        <v>732.0</v>
      </c>
      <c r="B733" s="2" t="s">
        <v>2353</v>
      </c>
      <c r="C733" s="2" t="s">
        <v>23</v>
      </c>
      <c r="N733" s="6">
        <v>42671.0</v>
      </c>
      <c r="Q733" s="2" t="s">
        <v>86</v>
      </c>
    </row>
    <row r="734">
      <c r="A734" s="2">
        <v>733.0</v>
      </c>
      <c r="B734" s="2" t="s">
        <v>2354</v>
      </c>
      <c r="C734" s="2" t="s">
        <v>23</v>
      </c>
      <c r="K734" s="2">
        <v>10.0</v>
      </c>
      <c r="N734" s="6">
        <v>42564.0</v>
      </c>
      <c r="Q734" s="2" t="s">
        <v>1116</v>
      </c>
    </row>
    <row r="735">
      <c r="A735" s="2">
        <v>734.0</v>
      </c>
      <c r="B735" s="2" t="s">
        <v>2355</v>
      </c>
      <c r="C735" s="2" t="s">
        <v>23</v>
      </c>
      <c r="N735" s="6">
        <v>42354.0</v>
      </c>
      <c r="Q735" s="2" t="s">
        <v>86</v>
      </c>
    </row>
    <row r="736">
      <c r="A736" s="2">
        <v>735.0</v>
      </c>
      <c r="B736" s="2" t="s">
        <v>2356</v>
      </c>
      <c r="C736" s="2" t="s">
        <v>23</v>
      </c>
      <c r="K736" s="2">
        <v>10.0</v>
      </c>
      <c r="N736" s="6">
        <v>45101.0</v>
      </c>
      <c r="Q736" s="2" t="s">
        <v>1070</v>
      </c>
    </row>
    <row r="737">
      <c r="A737" s="2">
        <v>736.0</v>
      </c>
      <c r="B737" s="2" t="s">
        <v>2357</v>
      </c>
      <c r="C737" s="2" t="s">
        <v>23</v>
      </c>
      <c r="N737" s="6">
        <v>44472.0</v>
      </c>
      <c r="Q737" s="2" t="s">
        <v>86</v>
      </c>
    </row>
    <row r="738">
      <c r="A738" s="2">
        <v>737.0</v>
      </c>
      <c r="B738" s="2" t="s">
        <v>2358</v>
      </c>
      <c r="C738" s="2" t="s">
        <v>23</v>
      </c>
      <c r="N738" s="6">
        <v>44795.0</v>
      </c>
      <c r="Q738" s="2" t="s">
        <v>401</v>
      </c>
    </row>
    <row r="739">
      <c r="A739" s="2">
        <v>738.0</v>
      </c>
      <c r="B739" s="2" t="s">
        <v>2359</v>
      </c>
      <c r="C739" s="2" t="s">
        <v>23</v>
      </c>
      <c r="K739" s="2">
        <v>10.0</v>
      </c>
      <c r="N739" s="6">
        <v>45703.0</v>
      </c>
      <c r="Q739" s="2" t="s">
        <v>2360</v>
      </c>
    </row>
    <row r="740">
      <c r="A740" s="2">
        <v>739.0</v>
      </c>
      <c r="B740" s="2" t="s">
        <v>2361</v>
      </c>
      <c r="C740" s="2" t="s">
        <v>23</v>
      </c>
      <c r="K740" s="2">
        <v>20.0</v>
      </c>
      <c r="N740" s="6">
        <v>42387.0</v>
      </c>
      <c r="Q740" s="2" t="s">
        <v>2362</v>
      </c>
    </row>
    <row r="741">
      <c r="A741" s="2">
        <v>740.0</v>
      </c>
      <c r="B741" s="2" t="s">
        <v>2363</v>
      </c>
      <c r="C741" s="2" t="s">
        <v>23</v>
      </c>
      <c r="N741" s="6">
        <v>42894.0</v>
      </c>
      <c r="Q741" s="2" t="s">
        <v>86</v>
      </c>
    </row>
    <row r="742">
      <c r="A742" s="2">
        <v>741.0</v>
      </c>
      <c r="B742" s="2" t="s">
        <v>2364</v>
      </c>
      <c r="C742" s="2" t="s">
        <v>23</v>
      </c>
      <c r="N742" s="6">
        <v>44491.0</v>
      </c>
      <c r="Q742" s="2" t="s">
        <v>86</v>
      </c>
    </row>
    <row r="743">
      <c r="A743" s="2">
        <v>742.0</v>
      </c>
      <c r="B743" s="2" t="s">
        <v>2365</v>
      </c>
      <c r="C743" s="2" t="s">
        <v>23</v>
      </c>
      <c r="K743" s="2">
        <v>200.0</v>
      </c>
      <c r="N743" s="6">
        <v>43906.0</v>
      </c>
      <c r="Q743" s="2" t="s">
        <v>60</v>
      </c>
    </row>
    <row r="744">
      <c r="A744" s="2">
        <v>743.0</v>
      </c>
      <c r="B744" s="2" t="s">
        <v>2366</v>
      </c>
      <c r="C744" s="2" t="s">
        <v>23</v>
      </c>
      <c r="K744" s="2">
        <v>30.0</v>
      </c>
      <c r="N744" s="6">
        <v>43920.0</v>
      </c>
      <c r="Q744" s="2" t="s">
        <v>2367</v>
      </c>
    </row>
    <row r="745">
      <c r="A745" s="2">
        <v>744.0</v>
      </c>
      <c r="B745" s="2" t="s">
        <v>2368</v>
      </c>
      <c r="C745" s="2" t="s">
        <v>23</v>
      </c>
      <c r="N745" s="6">
        <v>44692.0</v>
      </c>
      <c r="Q745" s="2" t="s">
        <v>86</v>
      </c>
    </row>
    <row r="746">
      <c r="A746" s="2">
        <v>745.0</v>
      </c>
      <c r="B746" s="2" t="s">
        <v>2369</v>
      </c>
      <c r="C746" s="2" t="s">
        <v>23</v>
      </c>
      <c r="K746" s="2">
        <v>10.0</v>
      </c>
      <c r="N746" s="6">
        <v>44124.0</v>
      </c>
      <c r="Q746" s="2" t="s">
        <v>2370</v>
      </c>
    </row>
    <row r="747">
      <c r="A747" s="2">
        <v>746.0</v>
      </c>
      <c r="B747" s="2" t="s">
        <v>2371</v>
      </c>
      <c r="C747" s="2" t="s">
        <v>23</v>
      </c>
      <c r="K747" s="2">
        <v>30.0</v>
      </c>
      <c r="N747" s="6">
        <v>45576.0</v>
      </c>
      <c r="Q747" s="2" t="s">
        <v>2372</v>
      </c>
    </row>
    <row r="748">
      <c r="A748" s="2">
        <v>747.0</v>
      </c>
      <c r="B748" s="2" t="s">
        <v>2373</v>
      </c>
      <c r="C748" s="2" t="s">
        <v>23</v>
      </c>
      <c r="K748" s="2">
        <v>100.0</v>
      </c>
      <c r="N748" s="6">
        <v>43452.0</v>
      </c>
      <c r="Q748" s="2" t="s">
        <v>2374</v>
      </c>
    </row>
    <row r="749">
      <c r="A749" s="2">
        <v>748.0</v>
      </c>
      <c r="B749" s="2" t="s">
        <v>2375</v>
      </c>
      <c r="C749" s="2" t="s">
        <v>23</v>
      </c>
      <c r="K749" s="2">
        <v>50.0</v>
      </c>
      <c r="N749" s="6">
        <v>43850.0</v>
      </c>
      <c r="Q749" s="2" t="s">
        <v>2376</v>
      </c>
    </row>
    <row r="750">
      <c r="A750" s="2">
        <v>749.0</v>
      </c>
      <c r="B750" s="2" t="s">
        <v>2377</v>
      </c>
      <c r="C750" s="2" t="s">
        <v>23</v>
      </c>
      <c r="N750" s="6">
        <v>44582.0</v>
      </c>
      <c r="Q750" s="2" t="s">
        <v>86</v>
      </c>
    </row>
    <row r="751">
      <c r="A751" s="2">
        <v>750.0</v>
      </c>
      <c r="B751" s="2" t="s">
        <v>2378</v>
      </c>
      <c r="C751" s="2" t="s">
        <v>23</v>
      </c>
      <c r="K751" s="2">
        <v>70.0</v>
      </c>
      <c r="N751" s="6">
        <v>44576.0</v>
      </c>
      <c r="Q751" s="2" t="s">
        <v>2379</v>
      </c>
    </row>
    <row r="752">
      <c r="A752" s="2">
        <v>751.0</v>
      </c>
      <c r="B752" s="2" t="s">
        <v>2380</v>
      </c>
      <c r="C752" s="2" t="s">
        <v>23</v>
      </c>
      <c r="K752" s="2">
        <v>20.0</v>
      </c>
      <c r="N752" s="6">
        <v>44568.0</v>
      </c>
      <c r="Q752" s="2" t="s">
        <v>86</v>
      </c>
    </row>
    <row r="753">
      <c r="A753" s="2">
        <v>752.0</v>
      </c>
      <c r="B753" s="2" t="s">
        <v>2381</v>
      </c>
      <c r="C753" s="2" t="s">
        <v>23</v>
      </c>
      <c r="N753" s="6">
        <v>45221.0</v>
      </c>
      <c r="Q753" s="2" t="s">
        <v>86</v>
      </c>
    </row>
    <row r="754">
      <c r="A754" s="2">
        <v>753.0</v>
      </c>
      <c r="B754" s="2" t="s">
        <v>2382</v>
      </c>
      <c r="C754" s="2" t="s">
        <v>23</v>
      </c>
      <c r="K754" s="2">
        <v>20.0</v>
      </c>
      <c r="N754" s="6">
        <v>44915.0</v>
      </c>
      <c r="Q754" s="2" t="s">
        <v>2383</v>
      </c>
    </row>
    <row r="755">
      <c r="A755" s="2">
        <v>754.0</v>
      </c>
      <c r="B755" s="2" t="s">
        <v>2384</v>
      </c>
      <c r="C755" s="2" t="s">
        <v>23</v>
      </c>
      <c r="K755" s="2">
        <v>50.0</v>
      </c>
      <c r="N755" s="6">
        <v>44889.0</v>
      </c>
      <c r="Q755" s="2" t="s">
        <v>2385</v>
      </c>
    </row>
    <row r="756">
      <c r="A756" s="2">
        <v>755.0</v>
      </c>
      <c r="B756" s="2" t="s">
        <v>2386</v>
      </c>
      <c r="C756" s="2" t="s">
        <v>23</v>
      </c>
      <c r="K756" s="2">
        <v>30.0</v>
      </c>
      <c r="N756" s="6">
        <v>44603.0</v>
      </c>
      <c r="Q756" s="2" t="s">
        <v>2387</v>
      </c>
    </row>
    <row r="757">
      <c r="A757" s="2">
        <v>756.0</v>
      </c>
      <c r="B757" s="2" t="s">
        <v>2388</v>
      </c>
      <c r="C757" s="2" t="s">
        <v>23</v>
      </c>
      <c r="N757" s="6">
        <v>45957.0</v>
      </c>
      <c r="Q757" s="2" t="s">
        <v>2389</v>
      </c>
    </row>
    <row r="758">
      <c r="A758" s="2">
        <v>757.0</v>
      </c>
      <c r="B758" s="2" t="s">
        <v>2390</v>
      </c>
      <c r="C758" s="2" t="s">
        <v>23</v>
      </c>
      <c r="K758" s="2">
        <v>30.0</v>
      </c>
      <c r="N758" s="6">
        <v>44685.0</v>
      </c>
      <c r="Q758" s="2" t="s">
        <v>2391</v>
      </c>
    </row>
    <row r="759">
      <c r="A759" s="2">
        <v>758.0</v>
      </c>
      <c r="B759" s="2" t="s">
        <v>2392</v>
      </c>
      <c r="C759" s="2" t="s">
        <v>23</v>
      </c>
      <c r="K759" s="2">
        <v>40.0</v>
      </c>
      <c r="N759" s="6">
        <v>44240.0</v>
      </c>
      <c r="Q759" s="2" t="s">
        <v>2393</v>
      </c>
    </row>
    <row r="760">
      <c r="A760" s="2">
        <v>759.0</v>
      </c>
      <c r="B760" s="2" t="s">
        <v>2394</v>
      </c>
      <c r="C760" s="2" t="s">
        <v>23</v>
      </c>
      <c r="K760" s="2">
        <v>150.0</v>
      </c>
      <c r="N760" s="6">
        <v>43845.0</v>
      </c>
      <c r="Q760" s="2" t="s">
        <v>2395</v>
      </c>
    </row>
    <row r="761">
      <c r="A761" s="2">
        <v>760.0</v>
      </c>
      <c r="B761" s="2" t="s">
        <v>2396</v>
      </c>
      <c r="C761" s="2" t="s">
        <v>23</v>
      </c>
      <c r="K761" s="2">
        <v>150.0</v>
      </c>
      <c r="N761" s="6">
        <v>42542.0</v>
      </c>
      <c r="Q761" s="2" t="s">
        <v>2397</v>
      </c>
    </row>
    <row r="762">
      <c r="A762" s="2">
        <v>761.0</v>
      </c>
      <c r="B762" s="2" t="s">
        <v>2398</v>
      </c>
      <c r="C762" s="2" t="s">
        <v>23</v>
      </c>
      <c r="K762" s="2">
        <v>40.0</v>
      </c>
      <c r="N762" s="6">
        <v>45687.0</v>
      </c>
      <c r="Q762" s="2" t="s">
        <v>2399</v>
      </c>
    </row>
    <row r="763">
      <c r="A763" s="2">
        <v>762.0</v>
      </c>
      <c r="B763" s="2" t="s">
        <v>2400</v>
      </c>
      <c r="C763" s="2" t="s">
        <v>23</v>
      </c>
      <c r="K763" s="2">
        <v>10.0</v>
      </c>
      <c r="N763" s="6">
        <v>45208.0</v>
      </c>
      <c r="Q763" s="2" t="s">
        <v>2401</v>
      </c>
    </row>
    <row r="764">
      <c r="A764" s="2">
        <v>763.0</v>
      </c>
      <c r="B764" s="2" t="s">
        <v>2402</v>
      </c>
      <c r="C764" s="2" t="s">
        <v>23</v>
      </c>
      <c r="N764" s="6">
        <v>44653.0</v>
      </c>
      <c r="Q764" s="2" t="s">
        <v>86</v>
      </c>
    </row>
    <row r="765">
      <c r="A765" s="2">
        <v>764.0</v>
      </c>
      <c r="B765" s="2" t="s">
        <v>2403</v>
      </c>
      <c r="C765" s="2" t="s">
        <v>23</v>
      </c>
      <c r="K765" s="2">
        <v>100.0</v>
      </c>
      <c r="N765" s="6">
        <v>44407.0</v>
      </c>
      <c r="Q765" s="2" t="s">
        <v>2404</v>
      </c>
    </row>
    <row r="766">
      <c r="A766" s="2">
        <v>765.0</v>
      </c>
      <c r="B766" s="2" t="s">
        <v>2405</v>
      </c>
      <c r="C766" s="2" t="s">
        <v>23</v>
      </c>
      <c r="N766" s="6">
        <v>45279.0</v>
      </c>
      <c r="Q766" s="2" t="s">
        <v>2406</v>
      </c>
    </row>
    <row r="767">
      <c r="A767" s="2">
        <v>766.0</v>
      </c>
      <c r="B767" s="2" t="s">
        <v>2407</v>
      </c>
      <c r="C767" s="2" t="s">
        <v>23</v>
      </c>
      <c r="K767" s="2">
        <v>10.0</v>
      </c>
      <c r="N767" s="6">
        <v>44525.0</v>
      </c>
      <c r="Q767" s="2" t="s">
        <v>1632</v>
      </c>
    </row>
    <row r="768">
      <c r="A768" s="2">
        <v>767.0</v>
      </c>
      <c r="B768" s="2" t="s">
        <v>2408</v>
      </c>
      <c r="C768" s="2" t="s">
        <v>23</v>
      </c>
      <c r="K768" s="2">
        <v>10.0</v>
      </c>
      <c r="N768" s="6">
        <v>44204.0</v>
      </c>
      <c r="Q768" s="2" t="s">
        <v>2409</v>
      </c>
    </row>
    <row r="769">
      <c r="A769" s="2">
        <v>768.0</v>
      </c>
      <c r="B769" s="2" t="s">
        <v>2410</v>
      </c>
      <c r="C769" s="2" t="s">
        <v>23</v>
      </c>
      <c r="N769" s="6">
        <v>43893.0</v>
      </c>
      <c r="Q769" s="2" t="s">
        <v>2411</v>
      </c>
    </row>
    <row r="770">
      <c r="A770" s="2">
        <v>769.0</v>
      </c>
      <c r="B770" s="2" t="s">
        <v>2412</v>
      </c>
      <c r="C770" s="2" t="s">
        <v>23</v>
      </c>
      <c r="N770" s="6">
        <v>44146.0</v>
      </c>
      <c r="Q770" s="2" t="s">
        <v>86</v>
      </c>
    </row>
    <row r="771">
      <c r="A771" s="2">
        <v>770.0</v>
      </c>
      <c r="B771" s="2" t="s">
        <v>2413</v>
      </c>
      <c r="C771" s="2" t="s">
        <v>23</v>
      </c>
      <c r="N771" s="6">
        <v>45604.0</v>
      </c>
      <c r="Q771" s="2" t="s">
        <v>2414</v>
      </c>
    </row>
    <row r="772">
      <c r="A772" s="2">
        <v>771.0</v>
      </c>
      <c r="B772" s="2" t="s">
        <v>2415</v>
      </c>
      <c r="C772" s="2" t="s">
        <v>23</v>
      </c>
      <c r="K772" s="2">
        <v>600.0</v>
      </c>
      <c r="N772" s="6">
        <v>44078.0</v>
      </c>
      <c r="Q772" s="2" t="s">
        <v>2416</v>
      </c>
    </row>
    <row r="773">
      <c r="A773" s="2">
        <v>772.0</v>
      </c>
      <c r="B773" s="2" t="s">
        <v>2417</v>
      </c>
      <c r="C773" s="2" t="s">
        <v>23</v>
      </c>
      <c r="N773" s="6">
        <v>45725.0</v>
      </c>
      <c r="Q773" s="2" t="s">
        <v>2418</v>
      </c>
    </row>
    <row r="774">
      <c r="A774" s="2">
        <v>773.0</v>
      </c>
      <c r="B774" s="2" t="s">
        <v>2419</v>
      </c>
      <c r="C774" s="2" t="s">
        <v>23</v>
      </c>
      <c r="K774" s="2">
        <v>20.0</v>
      </c>
      <c r="N774" s="6">
        <v>44316.0</v>
      </c>
      <c r="Q774" s="2" t="s">
        <v>1279</v>
      </c>
    </row>
    <row r="775">
      <c r="A775" s="2">
        <v>774.0</v>
      </c>
      <c r="B775" s="2" t="s">
        <v>2420</v>
      </c>
      <c r="C775" s="2" t="s">
        <v>23</v>
      </c>
      <c r="K775" s="2">
        <v>60.0</v>
      </c>
      <c r="N775" s="6">
        <v>44251.0</v>
      </c>
      <c r="Q775" s="2" t="s">
        <v>2421</v>
      </c>
    </row>
    <row r="776">
      <c r="A776" s="2">
        <v>775.0</v>
      </c>
      <c r="B776" s="2" t="s">
        <v>2422</v>
      </c>
      <c r="C776" s="2" t="s">
        <v>23</v>
      </c>
      <c r="N776" s="6">
        <v>42890.0</v>
      </c>
      <c r="Q776" s="2" t="s">
        <v>86</v>
      </c>
    </row>
    <row r="777">
      <c r="A777" s="2">
        <v>776.0</v>
      </c>
      <c r="B777" s="2" t="s">
        <v>2423</v>
      </c>
      <c r="C777" s="2" t="s">
        <v>23</v>
      </c>
      <c r="K777" s="2">
        <v>50.0</v>
      </c>
      <c r="N777" s="6">
        <v>45766.0</v>
      </c>
      <c r="Q777" s="2" t="s">
        <v>2424</v>
      </c>
    </row>
    <row r="778">
      <c r="A778" s="2">
        <v>777.0</v>
      </c>
      <c r="B778" s="2" t="s">
        <v>2425</v>
      </c>
      <c r="C778" s="2" t="s">
        <v>23</v>
      </c>
      <c r="K778" s="2">
        <v>150.0</v>
      </c>
      <c r="N778" s="6">
        <v>42870.0</v>
      </c>
      <c r="Q778" s="2" t="s">
        <v>2426</v>
      </c>
    </row>
    <row r="779">
      <c r="A779" s="2">
        <v>778.0</v>
      </c>
      <c r="B779" s="2" t="s">
        <v>2427</v>
      </c>
      <c r="C779" s="2" t="s">
        <v>23</v>
      </c>
      <c r="K779" s="2">
        <v>60.0</v>
      </c>
      <c r="N779" s="6">
        <v>45075.0</v>
      </c>
      <c r="Q779" s="2" t="s">
        <v>2428</v>
      </c>
    </row>
    <row r="780">
      <c r="A780" s="2">
        <v>779.0</v>
      </c>
      <c r="B780" s="2" t="s">
        <v>2429</v>
      </c>
      <c r="C780" s="2" t="s">
        <v>23</v>
      </c>
      <c r="N780" s="6">
        <v>44456.0</v>
      </c>
      <c r="Q780" s="2" t="s">
        <v>86</v>
      </c>
    </row>
    <row r="781">
      <c r="A781" s="2">
        <v>780.0</v>
      </c>
      <c r="B781" s="2" t="s">
        <v>2430</v>
      </c>
      <c r="C781" s="2" t="s">
        <v>23</v>
      </c>
      <c r="K781" s="2">
        <v>60.0</v>
      </c>
      <c r="N781" s="6">
        <v>44508.0</v>
      </c>
      <c r="Q781" s="2" t="s">
        <v>2431</v>
      </c>
    </row>
    <row r="782">
      <c r="A782" s="2">
        <v>781.0</v>
      </c>
      <c r="B782" s="2" t="s">
        <v>2432</v>
      </c>
      <c r="C782" s="2" t="s">
        <v>23</v>
      </c>
      <c r="N782" s="6">
        <v>42771.0</v>
      </c>
      <c r="Q782" s="2" t="s">
        <v>86</v>
      </c>
    </row>
    <row r="783">
      <c r="A783" s="2">
        <v>782.0</v>
      </c>
      <c r="B783" s="2" t="s">
        <v>2433</v>
      </c>
      <c r="C783" s="2" t="s">
        <v>23</v>
      </c>
      <c r="N783" s="6">
        <v>44812.0</v>
      </c>
      <c r="Q783" s="2" t="s">
        <v>86</v>
      </c>
    </row>
    <row r="784">
      <c r="A784" s="2">
        <v>783.0</v>
      </c>
      <c r="B784" s="2" t="s">
        <v>2434</v>
      </c>
      <c r="C784" s="2" t="s">
        <v>23</v>
      </c>
      <c r="K784" s="2">
        <v>10.0</v>
      </c>
      <c r="N784" s="6">
        <v>44317.0</v>
      </c>
      <c r="Q784" s="2" t="s">
        <v>2435</v>
      </c>
    </row>
    <row r="785">
      <c r="A785" s="2">
        <v>784.0</v>
      </c>
      <c r="B785" s="2" t="s">
        <v>2436</v>
      </c>
      <c r="C785" s="2" t="s">
        <v>23</v>
      </c>
      <c r="K785" s="2">
        <v>10.0</v>
      </c>
      <c r="N785" s="6">
        <v>43851.0</v>
      </c>
      <c r="Q785" s="2" t="s">
        <v>2437</v>
      </c>
    </row>
    <row r="786">
      <c r="A786" s="2">
        <v>785.0</v>
      </c>
      <c r="B786" s="2" t="s">
        <v>2438</v>
      </c>
      <c r="C786" s="2" t="s">
        <v>23</v>
      </c>
      <c r="K786" s="2">
        <v>50.0</v>
      </c>
      <c r="N786" s="6">
        <v>44026.0</v>
      </c>
      <c r="Q786" s="2" t="s">
        <v>1070</v>
      </c>
    </row>
    <row r="787">
      <c r="A787" s="2">
        <v>786.0</v>
      </c>
      <c r="B787" s="2" t="s">
        <v>2439</v>
      </c>
      <c r="C787" s="2" t="s">
        <v>23</v>
      </c>
      <c r="N787" s="6">
        <v>44817.0</v>
      </c>
      <c r="Q787" s="2" t="s">
        <v>86</v>
      </c>
    </row>
    <row r="788">
      <c r="A788" s="2">
        <v>787.0</v>
      </c>
      <c r="B788" s="2" t="s">
        <v>2440</v>
      </c>
      <c r="C788" s="2" t="s">
        <v>23</v>
      </c>
      <c r="K788" s="2">
        <v>10.0</v>
      </c>
      <c r="N788" s="6">
        <v>44102.0</v>
      </c>
      <c r="Q788" s="2" t="s">
        <v>86</v>
      </c>
    </row>
    <row r="789">
      <c r="A789" s="2">
        <v>788.0</v>
      </c>
      <c r="B789" s="2" t="s">
        <v>2441</v>
      </c>
      <c r="C789" s="2" t="s">
        <v>23</v>
      </c>
      <c r="N789" s="6">
        <v>44127.0</v>
      </c>
      <c r="Q789" s="2" t="s">
        <v>86</v>
      </c>
    </row>
    <row r="790">
      <c r="A790" s="2">
        <v>789.0</v>
      </c>
      <c r="B790" s="2" t="s">
        <v>2442</v>
      </c>
      <c r="C790" s="2" t="s">
        <v>23</v>
      </c>
      <c r="K790" s="2">
        <v>10.0</v>
      </c>
      <c r="N790" s="6">
        <v>44662.0</v>
      </c>
      <c r="Q790" s="2" t="s">
        <v>86</v>
      </c>
    </row>
    <row r="791">
      <c r="A791" s="2">
        <v>790.0</v>
      </c>
      <c r="B791" s="2" t="s">
        <v>2443</v>
      </c>
      <c r="C791" s="2" t="s">
        <v>23</v>
      </c>
      <c r="K791" s="2">
        <v>10.0</v>
      </c>
      <c r="N791" s="6">
        <v>43897.0</v>
      </c>
      <c r="Q791" s="2" t="s">
        <v>86</v>
      </c>
    </row>
    <row r="792">
      <c r="A792" s="2">
        <v>791.0</v>
      </c>
      <c r="B792" s="2" t="s">
        <v>2444</v>
      </c>
      <c r="C792" s="2" t="s">
        <v>23</v>
      </c>
      <c r="K792" s="2">
        <v>50.0</v>
      </c>
      <c r="N792" s="6">
        <v>45698.0</v>
      </c>
      <c r="Q792" s="2" t="s">
        <v>2445</v>
      </c>
    </row>
    <row r="793">
      <c r="A793" s="2">
        <v>792.0</v>
      </c>
      <c r="B793" s="2" t="s">
        <v>2446</v>
      </c>
      <c r="C793" s="2" t="s">
        <v>23</v>
      </c>
      <c r="K793" s="2">
        <v>30.0</v>
      </c>
      <c r="N793" s="6">
        <v>44612.0</v>
      </c>
      <c r="Q793" s="2" t="s">
        <v>1123</v>
      </c>
    </row>
    <row r="794">
      <c r="A794" s="2">
        <v>793.0</v>
      </c>
      <c r="B794" s="2" t="s">
        <v>2447</v>
      </c>
      <c r="C794" s="2" t="s">
        <v>23</v>
      </c>
      <c r="N794" s="6">
        <v>45110.0</v>
      </c>
      <c r="Q794" s="2" t="s">
        <v>2448</v>
      </c>
    </row>
    <row r="795">
      <c r="A795" s="2">
        <v>794.0</v>
      </c>
      <c r="B795" s="2" t="s">
        <v>2449</v>
      </c>
      <c r="C795" s="2" t="s">
        <v>23</v>
      </c>
      <c r="N795" s="6">
        <v>45192.0</v>
      </c>
      <c r="Q795" s="2" t="s">
        <v>1156</v>
      </c>
    </row>
    <row r="796">
      <c r="A796" s="2">
        <v>795.0</v>
      </c>
      <c r="B796" s="2" t="s">
        <v>2450</v>
      </c>
      <c r="C796" s="2" t="s">
        <v>23</v>
      </c>
      <c r="K796" s="2">
        <v>40.0</v>
      </c>
      <c r="N796" s="6">
        <v>45696.0</v>
      </c>
      <c r="Q796" s="2" t="s">
        <v>2451</v>
      </c>
    </row>
    <row r="797">
      <c r="A797" s="2">
        <v>796.0</v>
      </c>
      <c r="B797" s="2" t="s">
        <v>2452</v>
      </c>
      <c r="C797" s="2" t="s">
        <v>23</v>
      </c>
      <c r="K797" s="2">
        <v>10.0</v>
      </c>
      <c r="N797" s="6">
        <v>44768.0</v>
      </c>
      <c r="Q797" s="2" t="s">
        <v>86</v>
      </c>
    </row>
    <row r="798">
      <c r="A798" s="2">
        <v>797.0</v>
      </c>
      <c r="B798" s="2" t="s">
        <v>2453</v>
      </c>
      <c r="C798" s="2" t="s">
        <v>23</v>
      </c>
      <c r="N798" s="6">
        <v>43275.0</v>
      </c>
      <c r="Q798" s="2" t="s">
        <v>2454</v>
      </c>
    </row>
    <row r="799">
      <c r="A799" s="2">
        <v>798.0</v>
      </c>
      <c r="B799" s="2" t="s">
        <v>2455</v>
      </c>
      <c r="C799" s="2" t="s">
        <v>23</v>
      </c>
      <c r="F799" s="2">
        <v>0.9</v>
      </c>
      <c r="N799" s="6">
        <v>44522.0</v>
      </c>
      <c r="Q799" s="2" t="s">
        <v>2456</v>
      </c>
    </row>
    <row r="800">
      <c r="A800" s="2">
        <v>799.0</v>
      </c>
      <c r="B800" s="2" t="s">
        <v>2457</v>
      </c>
      <c r="C800" s="2" t="s">
        <v>23</v>
      </c>
      <c r="N800" s="6">
        <v>44571.0</v>
      </c>
      <c r="Q800" s="2" t="s">
        <v>86</v>
      </c>
    </row>
    <row r="801">
      <c r="A801" s="2">
        <v>800.0</v>
      </c>
      <c r="B801" s="2" t="s">
        <v>2458</v>
      </c>
      <c r="C801" s="2" t="s">
        <v>23</v>
      </c>
      <c r="K801" s="2">
        <v>10.0</v>
      </c>
      <c r="N801" s="6">
        <v>43950.0</v>
      </c>
      <c r="Q801" s="2" t="s">
        <v>200</v>
      </c>
    </row>
    <row r="802">
      <c r="A802" s="2">
        <v>801.0</v>
      </c>
      <c r="B802" s="2" t="s">
        <v>2459</v>
      </c>
      <c r="C802" s="2" t="s">
        <v>23</v>
      </c>
      <c r="N802" s="6">
        <v>45064.0</v>
      </c>
      <c r="Q802" s="2" t="s">
        <v>546</v>
      </c>
    </row>
    <row r="803">
      <c r="A803" s="2">
        <v>802.0</v>
      </c>
      <c r="B803" s="2" t="s">
        <v>2460</v>
      </c>
      <c r="C803" s="2" t="s">
        <v>23</v>
      </c>
      <c r="N803" s="6">
        <v>44293.0</v>
      </c>
      <c r="Q803" s="2" t="s">
        <v>86</v>
      </c>
    </row>
    <row r="804">
      <c r="A804" s="2">
        <v>803.0</v>
      </c>
      <c r="B804" s="2" t="s">
        <v>2461</v>
      </c>
      <c r="C804" s="2" t="s">
        <v>23</v>
      </c>
      <c r="K804" s="2">
        <v>100.0</v>
      </c>
      <c r="N804" s="6">
        <v>43851.0</v>
      </c>
      <c r="Q804" s="2" t="s">
        <v>540</v>
      </c>
    </row>
    <row r="805">
      <c r="A805" s="2">
        <v>804.0</v>
      </c>
      <c r="B805" s="2" t="s">
        <v>2462</v>
      </c>
      <c r="C805" s="2" t="s">
        <v>23</v>
      </c>
      <c r="K805" s="2">
        <v>10.0</v>
      </c>
      <c r="N805" s="6">
        <v>45284.0</v>
      </c>
      <c r="Q805" s="2" t="s">
        <v>2463</v>
      </c>
    </row>
    <row r="806">
      <c r="A806" s="2">
        <v>805.0</v>
      </c>
      <c r="B806" s="2" t="s">
        <v>2464</v>
      </c>
      <c r="C806" s="2" t="s">
        <v>23</v>
      </c>
      <c r="N806" s="6">
        <v>42717.0</v>
      </c>
      <c r="Q806" s="2" t="s">
        <v>86</v>
      </c>
    </row>
    <row r="807">
      <c r="A807" s="2">
        <v>806.0</v>
      </c>
      <c r="B807" s="2" t="s">
        <v>2465</v>
      </c>
      <c r="C807" s="2" t="s">
        <v>23</v>
      </c>
      <c r="N807" s="6">
        <v>43027.0</v>
      </c>
      <c r="Q807" s="2" t="s">
        <v>86</v>
      </c>
    </row>
    <row r="808">
      <c r="A808" s="2">
        <v>807.0</v>
      </c>
      <c r="B808" s="2" t="s">
        <v>2466</v>
      </c>
      <c r="C808" s="2" t="s">
        <v>23</v>
      </c>
      <c r="N808" s="6">
        <v>45745.0</v>
      </c>
      <c r="Q808" s="2" t="s">
        <v>2467</v>
      </c>
    </row>
    <row r="809">
      <c r="A809" s="2">
        <v>808.0</v>
      </c>
      <c r="B809" s="2" t="s">
        <v>2468</v>
      </c>
      <c r="C809" s="2" t="s">
        <v>23</v>
      </c>
      <c r="K809" s="2">
        <v>30.0</v>
      </c>
      <c r="N809" s="6">
        <v>44327.0</v>
      </c>
      <c r="Q809" s="2" t="s">
        <v>401</v>
      </c>
    </row>
    <row r="810">
      <c r="A810" s="2">
        <v>809.0</v>
      </c>
      <c r="B810" s="2" t="s">
        <v>2469</v>
      </c>
      <c r="C810" s="2" t="s">
        <v>23</v>
      </c>
      <c r="K810" s="2">
        <v>100.0</v>
      </c>
      <c r="N810" s="6">
        <v>44365.0</v>
      </c>
      <c r="Q810" s="2" t="s">
        <v>2470</v>
      </c>
    </row>
    <row r="811">
      <c r="A811" s="2">
        <v>810.0</v>
      </c>
      <c r="B811" s="2" t="s">
        <v>2471</v>
      </c>
      <c r="C811" s="2" t="s">
        <v>23</v>
      </c>
      <c r="N811" s="6">
        <v>45707.0</v>
      </c>
      <c r="Q811" s="2" t="s">
        <v>1521</v>
      </c>
    </row>
    <row r="812">
      <c r="A812" s="2">
        <v>811.0</v>
      </c>
      <c r="B812" s="2" t="s">
        <v>2472</v>
      </c>
      <c r="C812" s="2" t="s">
        <v>23</v>
      </c>
      <c r="K812" s="2">
        <v>200.0</v>
      </c>
      <c r="N812" s="6">
        <v>45580.0</v>
      </c>
      <c r="Q812" s="2" t="s">
        <v>2473</v>
      </c>
    </row>
    <row r="813">
      <c r="A813" s="2">
        <v>812.0</v>
      </c>
      <c r="B813" s="2" t="s">
        <v>2474</v>
      </c>
      <c r="C813" s="2" t="s">
        <v>23</v>
      </c>
      <c r="K813" s="2">
        <v>20.0</v>
      </c>
      <c r="N813" s="6">
        <v>44856.0</v>
      </c>
      <c r="Q813" s="2" t="s">
        <v>2475</v>
      </c>
    </row>
    <row r="814">
      <c r="A814" s="2">
        <v>813.0</v>
      </c>
      <c r="B814" s="2" t="s">
        <v>2476</v>
      </c>
      <c r="C814" s="2" t="s">
        <v>23</v>
      </c>
      <c r="N814" s="6">
        <v>43895.0</v>
      </c>
      <c r="Q814" s="2" t="s">
        <v>86</v>
      </c>
    </row>
    <row r="815">
      <c r="A815" s="2">
        <v>814.0</v>
      </c>
      <c r="B815" s="2" t="s">
        <v>2477</v>
      </c>
      <c r="C815" s="2" t="s">
        <v>23</v>
      </c>
      <c r="K815" s="2">
        <v>10.0</v>
      </c>
      <c r="N815" s="6">
        <v>44366.0</v>
      </c>
      <c r="Q815" s="2" t="s">
        <v>2478</v>
      </c>
    </row>
    <row r="816">
      <c r="A816" s="2">
        <v>815.0</v>
      </c>
      <c r="B816" s="2" t="s">
        <v>2479</v>
      </c>
      <c r="C816" s="2" t="s">
        <v>23</v>
      </c>
      <c r="K816" s="2">
        <v>10.0</v>
      </c>
      <c r="N816" s="6">
        <v>45127.0</v>
      </c>
      <c r="Q816" s="2" t="s">
        <v>86</v>
      </c>
    </row>
    <row r="817">
      <c r="A817" s="2">
        <v>816.0</v>
      </c>
      <c r="B817" s="2" t="s">
        <v>2480</v>
      </c>
      <c r="C817" s="2" t="s">
        <v>23</v>
      </c>
      <c r="N817" s="6">
        <v>43903.0</v>
      </c>
      <c r="Q817" s="2" t="s">
        <v>86</v>
      </c>
    </row>
    <row r="818">
      <c r="A818" s="2">
        <v>817.0</v>
      </c>
      <c r="B818" s="2" t="s">
        <v>2481</v>
      </c>
      <c r="C818" s="2" t="s">
        <v>23</v>
      </c>
      <c r="N818" s="6">
        <v>44802.0</v>
      </c>
      <c r="Q818" s="2" t="s">
        <v>86</v>
      </c>
    </row>
    <row r="819">
      <c r="A819" s="2">
        <v>818.0</v>
      </c>
      <c r="B819" s="2" t="s">
        <v>2482</v>
      </c>
      <c r="C819" s="2" t="s">
        <v>23</v>
      </c>
      <c r="K819" s="2">
        <v>50.0</v>
      </c>
      <c r="N819" s="6">
        <v>44861.0</v>
      </c>
      <c r="Q819" s="2" t="s">
        <v>2483</v>
      </c>
    </row>
    <row r="820">
      <c r="A820" s="2">
        <v>819.0</v>
      </c>
      <c r="B820" s="2" t="s">
        <v>2484</v>
      </c>
      <c r="C820" s="2" t="s">
        <v>23</v>
      </c>
      <c r="K820" s="2">
        <v>20.0</v>
      </c>
      <c r="N820" s="6">
        <v>44300.0</v>
      </c>
      <c r="Q820" s="2" t="s">
        <v>1249</v>
      </c>
    </row>
    <row r="821">
      <c r="A821" s="2">
        <v>820.0</v>
      </c>
      <c r="B821" s="2" t="s">
        <v>2485</v>
      </c>
      <c r="C821" s="2" t="s">
        <v>23</v>
      </c>
      <c r="K821" s="2">
        <v>100.0</v>
      </c>
      <c r="N821" s="6">
        <v>44644.0</v>
      </c>
      <c r="Q821" s="2" t="s">
        <v>2486</v>
      </c>
    </row>
    <row r="822">
      <c r="A822" s="2">
        <v>821.0</v>
      </c>
      <c r="B822" s="2" t="s">
        <v>2487</v>
      </c>
      <c r="C822" s="2" t="s">
        <v>23</v>
      </c>
      <c r="K822" s="2">
        <v>10.0</v>
      </c>
      <c r="N822" s="6">
        <v>44110.0</v>
      </c>
      <c r="Q822" s="2" t="s">
        <v>86</v>
      </c>
    </row>
    <row r="823">
      <c r="A823" s="2">
        <v>822.0</v>
      </c>
      <c r="B823" s="2" t="s">
        <v>2488</v>
      </c>
      <c r="C823" s="2" t="s">
        <v>23</v>
      </c>
      <c r="K823" s="2">
        <v>500.0</v>
      </c>
      <c r="N823" s="6">
        <v>43115.0</v>
      </c>
      <c r="Q823" s="2" t="s">
        <v>2489</v>
      </c>
    </row>
    <row r="824">
      <c r="A824" s="2">
        <v>823.0</v>
      </c>
      <c r="B824" s="2" t="s">
        <v>2490</v>
      </c>
      <c r="C824" s="2" t="s">
        <v>23</v>
      </c>
      <c r="K824" s="2">
        <v>40.0</v>
      </c>
      <c r="N824" s="6">
        <v>44034.0</v>
      </c>
      <c r="Q824" s="2" t="s">
        <v>86</v>
      </c>
    </row>
    <row r="825">
      <c r="A825" s="2">
        <v>824.0</v>
      </c>
      <c r="B825" s="2" t="s">
        <v>2491</v>
      </c>
      <c r="C825" s="2" t="s">
        <v>23</v>
      </c>
      <c r="K825" s="2">
        <v>20.0</v>
      </c>
      <c r="N825" s="6">
        <v>44213.0</v>
      </c>
      <c r="Q825" s="2" t="s">
        <v>2492</v>
      </c>
    </row>
    <row r="826">
      <c r="A826" s="2">
        <v>825.0</v>
      </c>
      <c r="B826" s="2" t="s">
        <v>2493</v>
      </c>
      <c r="C826" s="2" t="s">
        <v>23</v>
      </c>
      <c r="K826" s="2">
        <v>10.0</v>
      </c>
      <c r="N826" s="6">
        <v>44173.0</v>
      </c>
      <c r="Q826" s="2" t="s">
        <v>2494</v>
      </c>
    </row>
    <row r="827">
      <c r="A827" s="2">
        <v>826.0</v>
      </c>
      <c r="B827" s="2" t="s">
        <v>2495</v>
      </c>
      <c r="C827" s="2" t="s">
        <v>23</v>
      </c>
      <c r="K827" s="2">
        <v>50.0</v>
      </c>
      <c r="N827" s="6">
        <v>44827.0</v>
      </c>
      <c r="Q827" s="2" t="s">
        <v>2496</v>
      </c>
    </row>
    <row r="828">
      <c r="A828" s="2">
        <v>827.0</v>
      </c>
      <c r="B828" s="2" t="s">
        <v>2497</v>
      </c>
      <c r="C828" s="2" t="s">
        <v>23</v>
      </c>
      <c r="K828" s="2">
        <v>200.0</v>
      </c>
      <c r="N828" s="6">
        <v>43967.0</v>
      </c>
      <c r="Q828" s="2" t="s">
        <v>2498</v>
      </c>
    </row>
    <row r="829">
      <c r="A829" s="2">
        <v>828.0</v>
      </c>
      <c r="B829" s="2" t="s">
        <v>2499</v>
      </c>
      <c r="C829" s="2" t="s">
        <v>23</v>
      </c>
      <c r="K829" s="2">
        <v>50.0</v>
      </c>
      <c r="N829" s="6">
        <v>44098.0</v>
      </c>
      <c r="Q829" s="2" t="s">
        <v>2500</v>
      </c>
    </row>
    <row r="830">
      <c r="A830" s="2">
        <v>829.0</v>
      </c>
      <c r="B830" s="2" t="s">
        <v>2501</v>
      </c>
      <c r="C830" s="2" t="s">
        <v>23</v>
      </c>
      <c r="K830" s="2">
        <v>10.0</v>
      </c>
      <c r="N830" s="6">
        <v>44027.0</v>
      </c>
      <c r="Q830" s="2" t="s">
        <v>86</v>
      </c>
    </row>
    <row r="831">
      <c r="A831" s="2">
        <v>830.0</v>
      </c>
      <c r="B831" s="2" t="s">
        <v>2502</v>
      </c>
      <c r="C831" s="2" t="s">
        <v>23</v>
      </c>
      <c r="N831" s="6">
        <v>44356.0</v>
      </c>
      <c r="Q831" s="2" t="s">
        <v>86</v>
      </c>
    </row>
    <row r="832">
      <c r="A832" s="2">
        <v>831.0</v>
      </c>
      <c r="B832" s="2" t="s">
        <v>2503</v>
      </c>
      <c r="C832" s="2" t="s">
        <v>23</v>
      </c>
      <c r="N832" s="6">
        <v>42305.0</v>
      </c>
      <c r="Q832" s="2" t="s">
        <v>86</v>
      </c>
    </row>
    <row r="833">
      <c r="A833" s="2">
        <v>832.0</v>
      </c>
      <c r="B833" s="2" t="s">
        <v>2504</v>
      </c>
      <c r="C833" s="2" t="s">
        <v>23</v>
      </c>
      <c r="N833" s="6">
        <v>44132.0</v>
      </c>
      <c r="Q833" s="2" t="s">
        <v>86</v>
      </c>
    </row>
    <row r="834">
      <c r="A834" s="2">
        <v>833.0</v>
      </c>
      <c r="B834" s="2" t="s">
        <v>2505</v>
      </c>
      <c r="C834" s="2" t="s">
        <v>23</v>
      </c>
      <c r="K834" s="2">
        <v>70.0</v>
      </c>
      <c r="N834" s="6">
        <v>44171.0</v>
      </c>
      <c r="Q834" s="2" t="s">
        <v>2506</v>
      </c>
    </row>
    <row r="835">
      <c r="A835" s="2">
        <v>834.0</v>
      </c>
      <c r="B835" s="2" t="s">
        <v>2507</v>
      </c>
      <c r="C835" s="2" t="s">
        <v>23</v>
      </c>
      <c r="N835" s="6">
        <v>45637.0</v>
      </c>
      <c r="Q835" s="2" t="s">
        <v>2508</v>
      </c>
    </row>
    <row r="836">
      <c r="A836" s="2">
        <v>835.0</v>
      </c>
      <c r="B836" s="2" t="s">
        <v>2509</v>
      </c>
      <c r="C836" s="2" t="s">
        <v>23</v>
      </c>
      <c r="K836" s="2">
        <v>50.0</v>
      </c>
      <c r="N836" s="6">
        <v>44344.0</v>
      </c>
      <c r="Q836" s="2" t="s">
        <v>86</v>
      </c>
    </row>
    <row r="837">
      <c r="A837" s="2">
        <v>836.0</v>
      </c>
      <c r="B837" s="2" t="s">
        <v>2510</v>
      </c>
      <c r="C837" s="2" t="s">
        <v>23</v>
      </c>
      <c r="N837" s="6">
        <v>44632.0</v>
      </c>
      <c r="Q837" s="2" t="s">
        <v>86</v>
      </c>
    </row>
    <row r="838">
      <c r="A838" s="2">
        <v>837.0</v>
      </c>
      <c r="B838" s="2" t="s">
        <v>2511</v>
      </c>
      <c r="C838" s="2" t="s">
        <v>23</v>
      </c>
      <c r="N838" s="6">
        <v>44019.0</v>
      </c>
      <c r="Q838" s="2" t="s">
        <v>401</v>
      </c>
    </row>
    <row r="839">
      <c r="A839" s="2">
        <v>838.0</v>
      </c>
      <c r="B839" s="2" t="s">
        <v>2512</v>
      </c>
      <c r="C839" s="2" t="s">
        <v>23</v>
      </c>
      <c r="N839" s="6">
        <v>44235.0</v>
      </c>
      <c r="Q839" s="2" t="s">
        <v>86</v>
      </c>
    </row>
    <row r="840">
      <c r="A840" s="2">
        <v>839.0</v>
      </c>
      <c r="B840" s="2" t="s">
        <v>2513</v>
      </c>
      <c r="C840" s="2" t="s">
        <v>23</v>
      </c>
      <c r="N840" s="6">
        <v>44522.0</v>
      </c>
      <c r="Q840" s="2" t="s">
        <v>86</v>
      </c>
    </row>
    <row r="841">
      <c r="A841" s="2">
        <v>840.0</v>
      </c>
      <c r="B841" s="2" t="s">
        <v>2514</v>
      </c>
      <c r="C841" s="2" t="s">
        <v>23</v>
      </c>
      <c r="K841" s="2">
        <v>20.0</v>
      </c>
      <c r="N841" s="6">
        <v>44021.0</v>
      </c>
      <c r="Q841" s="2" t="s">
        <v>401</v>
      </c>
    </row>
    <row r="842">
      <c r="A842" s="2">
        <v>841.0</v>
      </c>
      <c r="B842" s="2" t="s">
        <v>2515</v>
      </c>
      <c r="C842" s="2" t="s">
        <v>23</v>
      </c>
      <c r="N842" s="6">
        <v>46000.0</v>
      </c>
      <c r="Q842" s="2" t="s">
        <v>2516</v>
      </c>
    </row>
    <row r="843">
      <c r="A843" s="2">
        <v>842.0</v>
      </c>
      <c r="B843" s="2" t="s">
        <v>2517</v>
      </c>
      <c r="C843" s="2" t="s">
        <v>23</v>
      </c>
      <c r="K843" s="2">
        <v>60.0</v>
      </c>
      <c r="N843" s="6">
        <v>43926.0</v>
      </c>
      <c r="Q843" s="2" t="s">
        <v>86</v>
      </c>
    </row>
    <row r="844">
      <c r="A844" s="2">
        <v>843.0</v>
      </c>
      <c r="B844" s="2" t="s">
        <v>2518</v>
      </c>
      <c r="C844" s="2" t="s">
        <v>23</v>
      </c>
      <c r="K844" s="2">
        <v>30.0</v>
      </c>
      <c r="N844" s="6">
        <v>43866.0</v>
      </c>
      <c r="Q844" s="2" t="s">
        <v>1381</v>
      </c>
    </row>
    <row r="845">
      <c r="A845" s="2">
        <v>844.0</v>
      </c>
      <c r="B845" s="2" t="s">
        <v>2519</v>
      </c>
      <c r="C845" s="2" t="s">
        <v>23</v>
      </c>
      <c r="K845" s="2">
        <v>40.0</v>
      </c>
      <c r="N845" s="6">
        <v>45669.0</v>
      </c>
      <c r="Q845" s="2" t="s">
        <v>2520</v>
      </c>
    </row>
    <row r="846">
      <c r="A846" s="2">
        <v>845.0</v>
      </c>
      <c r="B846" s="2" t="s">
        <v>2521</v>
      </c>
      <c r="C846" s="2" t="s">
        <v>23</v>
      </c>
      <c r="K846" s="2">
        <v>20.0</v>
      </c>
      <c r="N846" s="6">
        <v>45353.0</v>
      </c>
      <c r="Q846" s="2" t="s">
        <v>2522</v>
      </c>
    </row>
    <row r="847">
      <c r="A847" s="2">
        <v>846.0</v>
      </c>
      <c r="B847" s="2" t="s">
        <v>2523</v>
      </c>
      <c r="C847" s="2" t="s">
        <v>23</v>
      </c>
      <c r="K847" s="2">
        <v>40.0</v>
      </c>
      <c r="N847" s="6">
        <v>44601.0</v>
      </c>
      <c r="Q847" s="2" t="s">
        <v>2524</v>
      </c>
    </row>
    <row r="848">
      <c r="A848" s="2">
        <v>847.0</v>
      </c>
      <c r="B848" s="2" t="s">
        <v>2525</v>
      </c>
      <c r="C848" s="2" t="s">
        <v>23</v>
      </c>
      <c r="N848" s="6">
        <v>44671.0</v>
      </c>
      <c r="Q848" s="2" t="s">
        <v>2526</v>
      </c>
    </row>
    <row r="849">
      <c r="A849" s="2">
        <v>848.0</v>
      </c>
      <c r="B849" s="2" t="s">
        <v>2527</v>
      </c>
      <c r="C849" s="2" t="s">
        <v>23</v>
      </c>
      <c r="K849" s="2">
        <v>30.0</v>
      </c>
      <c r="N849" s="6">
        <v>44220.0</v>
      </c>
      <c r="Q849" s="2" t="s">
        <v>200</v>
      </c>
    </row>
    <row r="850">
      <c r="A850" s="2">
        <v>849.0</v>
      </c>
      <c r="B850" s="2" t="s">
        <v>2528</v>
      </c>
      <c r="C850" s="2" t="s">
        <v>23</v>
      </c>
      <c r="K850" s="2">
        <v>100.0</v>
      </c>
      <c r="N850" s="6">
        <v>45209.0</v>
      </c>
      <c r="Q850" s="2" t="s">
        <v>2529</v>
      </c>
    </row>
    <row r="851">
      <c r="A851" s="2">
        <v>850.0</v>
      </c>
      <c r="B851" s="2" t="s">
        <v>2530</v>
      </c>
      <c r="C851" s="2" t="s">
        <v>23</v>
      </c>
      <c r="N851" s="6">
        <v>46000.0</v>
      </c>
      <c r="Q851" s="2" t="s">
        <v>2531</v>
      </c>
    </row>
    <row r="852">
      <c r="A852" s="2">
        <v>851.0</v>
      </c>
      <c r="B852" s="2" t="s">
        <v>2532</v>
      </c>
      <c r="C852" s="2" t="s">
        <v>23</v>
      </c>
      <c r="N852" s="6">
        <v>42341.0</v>
      </c>
      <c r="Q852" s="2" t="s">
        <v>86</v>
      </c>
    </row>
    <row r="853">
      <c r="A853" s="2">
        <v>852.0</v>
      </c>
      <c r="B853" s="2" t="s">
        <v>2533</v>
      </c>
      <c r="C853" s="2" t="s">
        <v>23</v>
      </c>
      <c r="K853" s="2">
        <v>10.0</v>
      </c>
      <c r="N853" s="6">
        <v>43933.0</v>
      </c>
      <c r="Q853" s="2" t="s">
        <v>2534</v>
      </c>
    </row>
    <row r="854">
      <c r="A854" s="2">
        <v>853.0</v>
      </c>
      <c r="B854" s="2" t="s">
        <v>2535</v>
      </c>
      <c r="C854" s="2" t="s">
        <v>23</v>
      </c>
      <c r="N854" s="6">
        <v>44109.0</v>
      </c>
      <c r="Q854" s="2" t="s">
        <v>86</v>
      </c>
    </row>
    <row r="855">
      <c r="A855" s="2">
        <v>854.0</v>
      </c>
      <c r="B855" s="2" t="s">
        <v>2536</v>
      </c>
      <c r="C855" s="2" t="s">
        <v>23</v>
      </c>
      <c r="K855" s="2">
        <v>30.0</v>
      </c>
      <c r="N855" s="6">
        <v>45280.0</v>
      </c>
      <c r="Q855" s="2" t="s">
        <v>2537</v>
      </c>
    </row>
    <row r="856">
      <c r="A856" s="2">
        <v>855.0</v>
      </c>
      <c r="B856" s="2" t="s">
        <v>2538</v>
      </c>
      <c r="C856" s="2" t="s">
        <v>23</v>
      </c>
      <c r="K856" s="2">
        <v>10.0</v>
      </c>
      <c r="N856" s="6">
        <v>45440.0</v>
      </c>
      <c r="Q856" s="2" t="s">
        <v>2539</v>
      </c>
    </row>
    <row r="857">
      <c r="A857" s="2">
        <v>856.0</v>
      </c>
      <c r="B857" s="2" t="s">
        <v>2540</v>
      </c>
      <c r="C857" s="2" t="s">
        <v>23</v>
      </c>
      <c r="K857" s="2">
        <v>40.0</v>
      </c>
      <c r="N857" s="6">
        <v>44621.0</v>
      </c>
      <c r="Q857" s="2" t="s">
        <v>2541</v>
      </c>
    </row>
    <row r="858">
      <c r="A858" s="2">
        <v>857.0</v>
      </c>
      <c r="B858" s="2" t="s">
        <v>2542</v>
      </c>
      <c r="C858" s="2" t="s">
        <v>23</v>
      </c>
      <c r="N858" s="6">
        <v>44014.0</v>
      </c>
      <c r="Q858" s="2" t="s">
        <v>200</v>
      </c>
    </row>
    <row r="859">
      <c r="A859" s="2">
        <v>858.0</v>
      </c>
      <c r="B859" s="2" t="s">
        <v>2543</v>
      </c>
      <c r="C859" s="2" t="s">
        <v>23</v>
      </c>
      <c r="K859" s="2">
        <v>10.0</v>
      </c>
      <c r="N859" s="6">
        <v>44270.0</v>
      </c>
      <c r="Q859" s="2" t="s">
        <v>86</v>
      </c>
    </row>
    <row r="860">
      <c r="A860" s="2">
        <v>859.0</v>
      </c>
      <c r="B860" s="2" t="s">
        <v>2544</v>
      </c>
      <c r="C860" s="2" t="s">
        <v>23</v>
      </c>
      <c r="N860" s="6">
        <v>45134.0</v>
      </c>
      <c r="Q860" s="2" t="s">
        <v>86</v>
      </c>
    </row>
    <row r="861">
      <c r="A861" s="2">
        <v>860.0</v>
      </c>
      <c r="B861" s="2" t="s">
        <v>2545</v>
      </c>
      <c r="C861" s="2" t="s">
        <v>23</v>
      </c>
      <c r="N861" s="6">
        <v>44038.0</v>
      </c>
      <c r="Q861" s="2" t="s">
        <v>86</v>
      </c>
    </row>
    <row r="862">
      <c r="A862" s="2">
        <v>861.0</v>
      </c>
      <c r="B862" s="2" t="s">
        <v>2546</v>
      </c>
      <c r="C862" s="2" t="s">
        <v>23</v>
      </c>
      <c r="K862" s="2">
        <v>70.0</v>
      </c>
      <c r="N862" s="6">
        <v>44095.0</v>
      </c>
      <c r="Q862" s="2" t="s">
        <v>2547</v>
      </c>
    </row>
    <row r="863">
      <c r="A863" s="2">
        <v>862.0</v>
      </c>
      <c r="B863" s="2" t="s">
        <v>2548</v>
      </c>
      <c r="C863" s="2" t="s">
        <v>23</v>
      </c>
      <c r="K863" s="2">
        <v>100.0</v>
      </c>
      <c r="N863" s="6">
        <v>43916.0</v>
      </c>
      <c r="Q863" s="2" t="s">
        <v>2549</v>
      </c>
    </row>
    <row r="864">
      <c r="A864" s="2">
        <v>863.0</v>
      </c>
      <c r="B864" s="2" t="s">
        <v>2550</v>
      </c>
      <c r="C864" s="2" t="s">
        <v>23</v>
      </c>
      <c r="K864" s="2">
        <v>100.0</v>
      </c>
      <c r="N864" s="6">
        <v>45568.0</v>
      </c>
      <c r="Q864" s="2" t="s">
        <v>2551</v>
      </c>
    </row>
    <row r="865">
      <c r="A865" s="2">
        <v>864.0</v>
      </c>
      <c r="B865" s="2" t="s">
        <v>2552</v>
      </c>
      <c r="C865" s="2" t="s">
        <v>23</v>
      </c>
      <c r="K865" s="2">
        <v>50.0</v>
      </c>
      <c r="N865" s="6">
        <v>44919.0</v>
      </c>
      <c r="Q865" s="2" t="s">
        <v>2553</v>
      </c>
    </row>
    <row r="866">
      <c r="A866" s="2">
        <v>865.0</v>
      </c>
      <c r="B866" s="2" t="s">
        <v>2554</v>
      </c>
      <c r="C866" s="2" t="s">
        <v>23</v>
      </c>
      <c r="K866" s="2">
        <v>250.0</v>
      </c>
      <c r="N866" s="6">
        <v>44063.0</v>
      </c>
      <c r="Q866" s="2" t="s">
        <v>2555</v>
      </c>
    </row>
    <row r="867">
      <c r="A867" s="2">
        <v>866.0</v>
      </c>
      <c r="B867" s="2" t="s">
        <v>2556</v>
      </c>
      <c r="C867" s="2" t="s">
        <v>23</v>
      </c>
      <c r="K867" s="2">
        <v>20.0</v>
      </c>
      <c r="N867" s="6">
        <v>44205.0</v>
      </c>
      <c r="Q867" s="2" t="s">
        <v>2557</v>
      </c>
    </row>
    <row r="868">
      <c r="A868" s="2">
        <v>867.0</v>
      </c>
      <c r="B868" s="2" t="s">
        <v>2558</v>
      </c>
      <c r="C868" s="2" t="s">
        <v>23</v>
      </c>
      <c r="N868" s="6">
        <v>44556.0</v>
      </c>
      <c r="Q868" s="2" t="s">
        <v>2559</v>
      </c>
    </row>
    <row r="869">
      <c r="A869" s="2">
        <v>868.0</v>
      </c>
      <c r="B869" s="2" t="s">
        <v>2560</v>
      </c>
      <c r="C869" s="2" t="s">
        <v>23</v>
      </c>
      <c r="K869" s="2">
        <v>10.0</v>
      </c>
      <c r="N869" s="6">
        <v>45271.0</v>
      </c>
      <c r="Q869" s="2" t="s">
        <v>2561</v>
      </c>
    </row>
    <row r="870">
      <c r="A870" s="2">
        <v>869.0</v>
      </c>
      <c r="B870" s="2" t="s">
        <v>2562</v>
      </c>
      <c r="C870" s="2" t="s">
        <v>23</v>
      </c>
      <c r="N870" s="6">
        <v>45557.0</v>
      </c>
      <c r="Q870" s="2" t="s">
        <v>2541</v>
      </c>
    </row>
    <row r="871">
      <c r="A871" s="2">
        <v>870.0</v>
      </c>
      <c r="B871" s="2" t="s">
        <v>2563</v>
      </c>
      <c r="C871" s="2" t="s">
        <v>23</v>
      </c>
      <c r="K871" s="2">
        <v>30.0</v>
      </c>
      <c r="N871" s="6">
        <v>44794.0</v>
      </c>
      <c r="Q871" s="2" t="s">
        <v>86</v>
      </c>
    </row>
    <row r="872">
      <c r="A872" s="2">
        <v>871.0</v>
      </c>
      <c r="B872" s="2" t="s">
        <v>2564</v>
      </c>
      <c r="C872" s="2" t="s">
        <v>23</v>
      </c>
      <c r="K872" s="2">
        <v>70.0</v>
      </c>
      <c r="N872" s="6">
        <v>45372.0</v>
      </c>
      <c r="Q872" s="2" t="s">
        <v>2565</v>
      </c>
    </row>
    <row r="873">
      <c r="A873" s="2">
        <v>872.0</v>
      </c>
      <c r="B873" s="2" t="s">
        <v>2566</v>
      </c>
      <c r="C873" s="2" t="s">
        <v>23</v>
      </c>
      <c r="N873" s="6">
        <v>44502.0</v>
      </c>
      <c r="Q873" s="2" t="s">
        <v>86</v>
      </c>
    </row>
    <row r="874">
      <c r="A874" s="2">
        <v>873.0</v>
      </c>
      <c r="B874" s="2" t="s">
        <v>2567</v>
      </c>
      <c r="C874" s="2" t="s">
        <v>23</v>
      </c>
      <c r="K874" s="2">
        <v>60.0</v>
      </c>
      <c r="N874" s="6">
        <v>44116.0</v>
      </c>
      <c r="Q874" s="2" t="s">
        <v>2568</v>
      </c>
    </row>
    <row r="875">
      <c r="A875" s="2">
        <v>874.0</v>
      </c>
      <c r="B875" s="2" t="s">
        <v>2569</v>
      </c>
      <c r="C875" s="2" t="s">
        <v>23</v>
      </c>
      <c r="K875" s="2">
        <v>300.0</v>
      </c>
      <c r="N875" s="6">
        <v>43871.0</v>
      </c>
      <c r="Q875" s="2" t="s">
        <v>2570</v>
      </c>
    </row>
    <row r="876">
      <c r="A876" s="2">
        <v>875.0</v>
      </c>
      <c r="B876" s="2" t="s">
        <v>2571</v>
      </c>
      <c r="C876" s="2" t="s">
        <v>23</v>
      </c>
      <c r="K876" s="2">
        <v>40.0</v>
      </c>
      <c r="N876" s="6">
        <v>45450.0</v>
      </c>
      <c r="Q876" s="2" t="s">
        <v>491</v>
      </c>
    </row>
    <row r="877">
      <c r="A877" s="2">
        <v>876.0</v>
      </c>
      <c r="B877" s="2" t="s">
        <v>2572</v>
      </c>
      <c r="C877" s="2" t="s">
        <v>23</v>
      </c>
      <c r="K877" s="2">
        <v>30.0</v>
      </c>
      <c r="N877" s="6">
        <v>45109.0</v>
      </c>
      <c r="Q877" s="2" t="s">
        <v>2573</v>
      </c>
    </row>
    <row r="878">
      <c r="A878" s="2">
        <v>877.0</v>
      </c>
      <c r="B878" s="2" t="s">
        <v>2574</v>
      </c>
      <c r="C878" s="2" t="s">
        <v>23</v>
      </c>
      <c r="K878" s="2">
        <v>200.0</v>
      </c>
      <c r="N878" s="6">
        <v>43846.0</v>
      </c>
      <c r="Q878" s="2" t="s">
        <v>2575</v>
      </c>
    </row>
    <row r="879">
      <c r="A879" s="2">
        <v>878.0</v>
      </c>
      <c r="B879" s="2" t="s">
        <v>2576</v>
      </c>
      <c r="C879" s="2" t="s">
        <v>23</v>
      </c>
      <c r="K879" s="2">
        <v>30.0</v>
      </c>
      <c r="N879" s="6">
        <v>42841.0</v>
      </c>
      <c r="Q879" s="2" t="s">
        <v>2577</v>
      </c>
    </row>
    <row r="880">
      <c r="A880" s="2">
        <v>879.0</v>
      </c>
      <c r="B880" s="2" t="s">
        <v>2578</v>
      </c>
      <c r="C880" s="2" t="s">
        <v>23</v>
      </c>
      <c r="K880" s="2">
        <v>20.0</v>
      </c>
      <c r="N880" s="6">
        <v>44571.0</v>
      </c>
      <c r="Q880" s="2" t="s">
        <v>2579</v>
      </c>
    </row>
    <row r="881">
      <c r="A881" s="2">
        <v>880.0</v>
      </c>
      <c r="B881" s="2" t="s">
        <v>2580</v>
      </c>
      <c r="C881" s="2" t="s">
        <v>23</v>
      </c>
      <c r="N881" s="6">
        <v>45218.0</v>
      </c>
      <c r="Q881" s="2" t="s">
        <v>2581</v>
      </c>
    </row>
    <row r="882">
      <c r="A882" s="2">
        <v>881.0</v>
      </c>
      <c r="B882" s="2" t="s">
        <v>2582</v>
      </c>
      <c r="C882" s="2" t="s">
        <v>23</v>
      </c>
      <c r="K882" s="2">
        <v>10.0</v>
      </c>
      <c r="N882" s="6">
        <v>45101.0</v>
      </c>
      <c r="Q882" s="2" t="s">
        <v>2583</v>
      </c>
    </row>
    <row r="883">
      <c r="A883" s="2">
        <v>882.0</v>
      </c>
      <c r="B883" s="2" t="s">
        <v>2584</v>
      </c>
      <c r="C883" s="2" t="s">
        <v>23</v>
      </c>
      <c r="K883" s="2">
        <v>20.0</v>
      </c>
      <c r="N883" s="6">
        <v>44665.0</v>
      </c>
      <c r="Q883" s="2" t="s">
        <v>1521</v>
      </c>
    </row>
    <row r="884">
      <c r="A884" s="2">
        <v>883.0</v>
      </c>
      <c r="B884" s="2" t="s">
        <v>2585</v>
      </c>
      <c r="C884" s="2" t="s">
        <v>23</v>
      </c>
      <c r="K884" s="2">
        <v>80.0</v>
      </c>
      <c r="N884" s="6">
        <v>45780.0</v>
      </c>
      <c r="Q884" s="2" t="s">
        <v>2586</v>
      </c>
    </row>
    <row r="885">
      <c r="A885" s="2">
        <v>884.0</v>
      </c>
      <c r="B885" s="2" t="s">
        <v>2587</v>
      </c>
      <c r="C885" s="2" t="s">
        <v>23</v>
      </c>
      <c r="K885" s="2">
        <v>30.0</v>
      </c>
      <c r="N885" s="6">
        <v>43277.0</v>
      </c>
      <c r="Q885" s="2" t="s">
        <v>2588</v>
      </c>
    </row>
    <row r="886">
      <c r="A886" s="2">
        <v>885.0</v>
      </c>
      <c r="B886" s="2" t="s">
        <v>2589</v>
      </c>
      <c r="C886" s="2" t="s">
        <v>23</v>
      </c>
      <c r="N886" s="6">
        <v>45148.0</v>
      </c>
      <c r="Q886" s="2" t="s">
        <v>86</v>
      </c>
    </row>
    <row r="887">
      <c r="A887" s="2">
        <v>886.0</v>
      </c>
      <c r="B887" s="2" t="s">
        <v>2590</v>
      </c>
      <c r="C887" s="2" t="s">
        <v>23</v>
      </c>
      <c r="N887" s="6">
        <v>44346.0</v>
      </c>
      <c r="Q887" s="2" t="s">
        <v>86</v>
      </c>
    </row>
    <row r="888">
      <c r="A888" s="2">
        <v>887.0</v>
      </c>
      <c r="B888" s="2" t="s">
        <v>2591</v>
      </c>
      <c r="C888" s="2" t="s">
        <v>23</v>
      </c>
      <c r="N888" s="6">
        <v>44126.0</v>
      </c>
      <c r="Q888" s="2" t="s">
        <v>86</v>
      </c>
    </row>
    <row r="889">
      <c r="A889" s="2">
        <v>888.0</v>
      </c>
      <c r="B889" s="2" t="s">
        <v>2592</v>
      </c>
      <c r="C889" s="2" t="s">
        <v>23</v>
      </c>
      <c r="N889" s="6">
        <v>44311.0</v>
      </c>
      <c r="Q889" s="2" t="s">
        <v>86</v>
      </c>
    </row>
    <row r="890">
      <c r="A890" s="2">
        <v>889.0</v>
      </c>
      <c r="B890" s="2" t="s">
        <v>2593</v>
      </c>
      <c r="C890" s="2" t="s">
        <v>23</v>
      </c>
      <c r="N890" s="6">
        <v>44358.0</v>
      </c>
      <c r="Q890" s="2" t="s">
        <v>86</v>
      </c>
    </row>
    <row r="891">
      <c r="A891" s="2">
        <v>890.0</v>
      </c>
      <c r="B891" s="2" t="s">
        <v>2594</v>
      </c>
      <c r="C891" s="2" t="s">
        <v>23</v>
      </c>
      <c r="K891" s="2">
        <v>50.0</v>
      </c>
      <c r="N891" s="6">
        <v>44560.0</v>
      </c>
      <c r="Q891" s="2" t="s">
        <v>2595</v>
      </c>
    </row>
    <row r="892">
      <c r="A892" s="2">
        <v>891.0</v>
      </c>
      <c r="B892" s="2" t="s">
        <v>2596</v>
      </c>
      <c r="C892" s="2" t="s">
        <v>23</v>
      </c>
      <c r="K892" s="2">
        <v>10.0</v>
      </c>
      <c r="N892" s="6">
        <v>44362.0</v>
      </c>
      <c r="Q892" s="2" t="s">
        <v>86</v>
      </c>
    </row>
    <row r="893">
      <c r="A893" s="2">
        <v>892.0</v>
      </c>
      <c r="B893" s="2" t="s">
        <v>2597</v>
      </c>
      <c r="C893" s="2" t="s">
        <v>23</v>
      </c>
      <c r="N893" s="6">
        <v>45578.0</v>
      </c>
      <c r="Q893" s="2" t="s">
        <v>2598</v>
      </c>
    </row>
    <row r="894">
      <c r="A894" s="2">
        <v>893.0</v>
      </c>
      <c r="B894" s="2" t="s">
        <v>2599</v>
      </c>
      <c r="C894" s="2" t="s">
        <v>23</v>
      </c>
      <c r="K894" s="2">
        <v>30.0</v>
      </c>
      <c r="N894" s="6">
        <v>44641.0</v>
      </c>
      <c r="Q894" s="2" t="s">
        <v>86</v>
      </c>
    </row>
    <row r="895">
      <c r="A895" s="2">
        <v>894.0</v>
      </c>
      <c r="B895" s="2" t="s">
        <v>2600</v>
      </c>
      <c r="C895" s="2" t="s">
        <v>23</v>
      </c>
      <c r="K895" s="2">
        <v>200.0</v>
      </c>
      <c r="N895" s="6">
        <v>44352.0</v>
      </c>
      <c r="Q895" s="2" t="s">
        <v>2601</v>
      </c>
    </row>
    <row r="896">
      <c r="A896" s="2">
        <v>895.0</v>
      </c>
      <c r="B896" s="2" t="s">
        <v>2602</v>
      </c>
      <c r="C896" s="2" t="s">
        <v>23</v>
      </c>
      <c r="N896" s="6">
        <v>44730.0</v>
      </c>
      <c r="Q896" s="2" t="s">
        <v>86</v>
      </c>
    </row>
    <row r="897">
      <c r="A897" s="2">
        <v>896.0</v>
      </c>
      <c r="B897" s="2" t="s">
        <v>2603</v>
      </c>
      <c r="C897" s="2" t="s">
        <v>23</v>
      </c>
      <c r="K897" s="2">
        <v>10.0</v>
      </c>
      <c r="N897" s="6">
        <v>45457.0</v>
      </c>
      <c r="Q897" s="2" t="s">
        <v>2604</v>
      </c>
    </row>
    <row r="898">
      <c r="A898" s="2">
        <v>897.0</v>
      </c>
      <c r="B898" s="2" t="s">
        <v>2605</v>
      </c>
      <c r="C898" s="2" t="s">
        <v>23</v>
      </c>
      <c r="N898" s="6">
        <v>44072.0</v>
      </c>
      <c r="Q898" s="2" t="s">
        <v>86</v>
      </c>
    </row>
    <row r="899">
      <c r="A899" s="2">
        <v>898.0</v>
      </c>
      <c r="B899" s="2" t="s">
        <v>2606</v>
      </c>
      <c r="C899" s="2" t="s">
        <v>23</v>
      </c>
      <c r="K899" s="2">
        <v>500.0</v>
      </c>
      <c r="N899" s="6">
        <v>43870.0</v>
      </c>
      <c r="Q899" s="2" t="s">
        <v>2607</v>
      </c>
    </row>
    <row r="900">
      <c r="A900" s="2">
        <v>899.0</v>
      </c>
      <c r="B900" s="2" t="s">
        <v>2608</v>
      </c>
      <c r="C900" s="2" t="s">
        <v>23</v>
      </c>
      <c r="K900" s="2">
        <v>40.0</v>
      </c>
      <c r="N900" s="6">
        <v>45622.0</v>
      </c>
      <c r="Q900" s="2" t="s">
        <v>2609</v>
      </c>
    </row>
    <row r="901">
      <c r="A901" s="2">
        <v>900.0</v>
      </c>
      <c r="B901" s="2" t="s">
        <v>2610</v>
      </c>
      <c r="C901" s="2" t="s">
        <v>23</v>
      </c>
      <c r="K901" s="2">
        <v>10.0</v>
      </c>
      <c r="N901" s="6">
        <v>44426.0</v>
      </c>
      <c r="Q901" s="2" t="s">
        <v>1790</v>
      </c>
    </row>
    <row r="902">
      <c r="A902" s="2">
        <v>901.0</v>
      </c>
      <c r="B902" s="2" t="s">
        <v>2611</v>
      </c>
      <c r="C902" s="2" t="s">
        <v>23</v>
      </c>
      <c r="K902" s="2">
        <v>250.0</v>
      </c>
      <c r="N902" s="6">
        <v>44004.0</v>
      </c>
      <c r="Q902" s="2" t="s">
        <v>2612</v>
      </c>
    </row>
    <row r="903">
      <c r="A903" s="2">
        <v>902.0</v>
      </c>
      <c r="B903" s="2" t="s">
        <v>2613</v>
      </c>
      <c r="C903" s="2" t="s">
        <v>23</v>
      </c>
      <c r="K903" s="2">
        <v>30.0</v>
      </c>
      <c r="N903" s="6">
        <v>44511.0</v>
      </c>
      <c r="Q903" s="2" t="s">
        <v>2614</v>
      </c>
    </row>
    <row r="904">
      <c r="A904" s="2">
        <v>903.0</v>
      </c>
      <c r="B904" s="2" t="s">
        <v>2615</v>
      </c>
      <c r="C904" s="2" t="s">
        <v>23</v>
      </c>
      <c r="K904" s="2">
        <v>50.0</v>
      </c>
      <c r="N904" s="6">
        <v>44363.0</v>
      </c>
      <c r="Q904" s="2" t="s">
        <v>1437</v>
      </c>
    </row>
    <row r="905">
      <c r="A905" s="2">
        <v>904.0</v>
      </c>
      <c r="B905" s="2" t="s">
        <v>2616</v>
      </c>
      <c r="C905" s="2" t="s">
        <v>23</v>
      </c>
      <c r="K905" s="2">
        <v>150.0</v>
      </c>
      <c r="N905" s="6">
        <v>45726.0</v>
      </c>
      <c r="Q905" s="2" t="s">
        <v>2617</v>
      </c>
    </row>
    <row r="906">
      <c r="A906" s="2">
        <v>905.0</v>
      </c>
      <c r="B906" s="2" t="s">
        <v>2618</v>
      </c>
      <c r="C906" s="2" t="s">
        <v>23</v>
      </c>
      <c r="N906" s="6">
        <v>44501.0</v>
      </c>
      <c r="Q906" s="2" t="s">
        <v>86</v>
      </c>
    </row>
    <row r="907">
      <c r="A907" s="2">
        <v>906.0</v>
      </c>
      <c r="B907" s="2" t="s">
        <v>2619</v>
      </c>
      <c r="C907" s="2" t="s">
        <v>23</v>
      </c>
      <c r="K907" s="2">
        <v>40.0</v>
      </c>
      <c r="N907" s="6">
        <v>45634.0</v>
      </c>
      <c r="Q907" s="2" t="s">
        <v>2620</v>
      </c>
    </row>
    <row r="908">
      <c r="A908" s="2">
        <v>907.0</v>
      </c>
      <c r="B908" s="2" t="s">
        <v>2621</v>
      </c>
      <c r="C908" s="2" t="s">
        <v>23</v>
      </c>
      <c r="N908" s="6">
        <v>43944.0</v>
      </c>
      <c r="Q908" s="2" t="s">
        <v>86</v>
      </c>
    </row>
    <row r="909">
      <c r="A909" s="2">
        <v>908.0</v>
      </c>
      <c r="B909" s="2" t="s">
        <v>2622</v>
      </c>
      <c r="C909" s="2" t="s">
        <v>23</v>
      </c>
      <c r="N909" s="6">
        <v>44205.0</v>
      </c>
      <c r="Q909" s="2" t="s">
        <v>86</v>
      </c>
    </row>
    <row r="910">
      <c r="A910" s="2">
        <v>909.0</v>
      </c>
      <c r="B910" s="2" t="s">
        <v>2623</v>
      </c>
      <c r="C910" s="2" t="s">
        <v>23</v>
      </c>
      <c r="K910" s="2">
        <v>80.0</v>
      </c>
      <c r="N910" s="6">
        <v>45804.0</v>
      </c>
      <c r="Q910" s="2" t="s">
        <v>2624</v>
      </c>
    </row>
    <row r="911">
      <c r="A911" s="2">
        <v>910.0</v>
      </c>
      <c r="B911" s="2" t="s">
        <v>2625</v>
      </c>
      <c r="C911" s="2" t="s">
        <v>23</v>
      </c>
      <c r="N911" s="6">
        <v>44453.0</v>
      </c>
      <c r="Q911" s="2" t="s">
        <v>2626</v>
      </c>
    </row>
    <row r="912">
      <c r="A912" s="2">
        <v>911.0</v>
      </c>
      <c r="B912" s="2" t="s">
        <v>2627</v>
      </c>
      <c r="C912" s="2" t="s">
        <v>23</v>
      </c>
      <c r="K912" s="2">
        <v>40.0</v>
      </c>
      <c r="N912" s="6">
        <v>44500.0</v>
      </c>
      <c r="Q912" s="2" t="s">
        <v>1437</v>
      </c>
    </row>
    <row r="913">
      <c r="A913" s="2">
        <v>912.0</v>
      </c>
      <c r="B913" s="2" t="s">
        <v>2628</v>
      </c>
      <c r="C913" s="2" t="s">
        <v>23</v>
      </c>
      <c r="N913" s="6">
        <v>44495.0</v>
      </c>
      <c r="Q913" s="2" t="s">
        <v>2492</v>
      </c>
    </row>
    <row r="914">
      <c r="A914" s="2">
        <v>913.0</v>
      </c>
      <c r="B914" s="2" t="s">
        <v>2629</v>
      </c>
      <c r="C914" s="2" t="s">
        <v>23</v>
      </c>
      <c r="K914" s="2">
        <v>500.0</v>
      </c>
      <c r="N914" s="6">
        <v>45354.0</v>
      </c>
      <c r="Q914" s="2" t="s">
        <v>2630</v>
      </c>
    </row>
    <row r="915">
      <c r="A915" s="2">
        <v>914.0</v>
      </c>
      <c r="B915" s="2" t="s">
        <v>2631</v>
      </c>
      <c r="C915" s="2" t="s">
        <v>23</v>
      </c>
      <c r="K915" s="2">
        <v>40.0</v>
      </c>
      <c r="N915" s="6">
        <v>45662.0</v>
      </c>
      <c r="Q915" s="2" t="s">
        <v>2632</v>
      </c>
    </row>
    <row r="916">
      <c r="A916" s="2">
        <v>915.0</v>
      </c>
      <c r="B916" s="2" t="s">
        <v>2633</v>
      </c>
      <c r="C916" s="2" t="s">
        <v>23</v>
      </c>
      <c r="K916" s="2">
        <v>20.0</v>
      </c>
      <c r="N916" s="6">
        <v>44467.0</v>
      </c>
      <c r="Q916" s="2" t="s">
        <v>2541</v>
      </c>
    </row>
    <row r="917">
      <c r="A917" s="2">
        <v>916.0</v>
      </c>
      <c r="B917" s="2" t="s">
        <v>2634</v>
      </c>
      <c r="C917" s="2" t="s">
        <v>23</v>
      </c>
      <c r="K917" s="2">
        <v>40.0</v>
      </c>
      <c r="N917" s="6">
        <v>45029.0</v>
      </c>
      <c r="Q917" s="2" t="s">
        <v>2635</v>
      </c>
    </row>
    <row r="918">
      <c r="A918" s="2">
        <v>917.0</v>
      </c>
      <c r="B918" s="2" t="s">
        <v>2636</v>
      </c>
      <c r="C918" s="2" t="s">
        <v>23</v>
      </c>
      <c r="K918" s="2">
        <v>10.0</v>
      </c>
      <c r="N918" s="6">
        <v>44402.0</v>
      </c>
      <c r="Q918" s="2" t="s">
        <v>1734</v>
      </c>
    </row>
    <row r="919">
      <c r="A919" s="2">
        <v>918.0</v>
      </c>
      <c r="B919" s="2" t="s">
        <v>2637</v>
      </c>
      <c r="C919" s="2" t="s">
        <v>23</v>
      </c>
      <c r="K919" s="2">
        <v>150.0</v>
      </c>
      <c r="N919" s="6">
        <v>43989.0</v>
      </c>
      <c r="Q919" s="2" t="s">
        <v>2638</v>
      </c>
    </row>
    <row r="920">
      <c r="A920" s="2">
        <v>919.0</v>
      </c>
      <c r="B920" s="2" t="s">
        <v>2639</v>
      </c>
      <c r="C920" s="2" t="s">
        <v>23</v>
      </c>
      <c r="K920" s="2">
        <v>30.0</v>
      </c>
      <c r="N920" s="6">
        <v>45776.0</v>
      </c>
      <c r="Q920" s="2" t="s">
        <v>2640</v>
      </c>
    </row>
    <row r="921">
      <c r="A921" s="2">
        <v>920.0</v>
      </c>
      <c r="B921" s="2" t="s">
        <v>2641</v>
      </c>
      <c r="C921" s="2" t="s">
        <v>23</v>
      </c>
      <c r="K921" s="2">
        <v>50.0</v>
      </c>
      <c r="N921" s="6">
        <v>44387.0</v>
      </c>
      <c r="Q921" s="2" t="s">
        <v>2642</v>
      </c>
    </row>
    <row r="922">
      <c r="A922" s="2">
        <v>921.0</v>
      </c>
      <c r="B922" s="2" t="s">
        <v>82</v>
      </c>
      <c r="C922" s="2" t="s">
        <v>23</v>
      </c>
      <c r="K922" s="2">
        <v>60.0</v>
      </c>
      <c r="N922" s="6">
        <v>44365.0</v>
      </c>
      <c r="Q922" s="2" t="s">
        <v>83</v>
      </c>
    </row>
    <row r="923">
      <c r="A923" s="2">
        <v>922.0</v>
      </c>
      <c r="B923" s="2" t="s">
        <v>2643</v>
      </c>
      <c r="C923" s="2" t="s">
        <v>23</v>
      </c>
      <c r="K923" s="2">
        <v>20.0</v>
      </c>
      <c r="N923" s="6">
        <v>45170.0</v>
      </c>
      <c r="Q923" s="2" t="s">
        <v>2644</v>
      </c>
    </row>
    <row r="924">
      <c r="A924" s="2">
        <v>923.0</v>
      </c>
      <c r="B924" s="2" t="s">
        <v>2645</v>
      </c>
      <c r="C924" s="2" t="s">
        <v>23</v>
      </c>
      <c r="K924" s="2">
        <v>20.0</v>
      </c>
      <c r="N924" s="6">
        <v>44697.0</v>
      </c>
      <c r="Q924" s="2" t="s">
        <v>1656</v>
      </c>
    </row>
    <row r="925">
      <c r="A925" s="2">
        <v>924.0</v>
      </c>
      <c r="B925" s="2" t="s">
        <v>2646</v>
      </c>
      <c r="C925" s="2" t="s">
        <v>23</v>
      </c>
      <c r="K925" s="2">
        <v>100.0</v>
      </c>
      <c r="N925" s="6">
        <v>43947.0</v>
      </c>
      <c r="Q925" s="2" t="s">
        <v>2647</v>
      </c>
    </row>
    <row r="926">
      <c r="A926" s="2">
        <v>925.0</v>
      </c>
      <c r="B926" s="2" t="s">
        <v>2648</v>
      </c>
      <c r="C926" s="2" t="s">
        <v>23</v>
      </c>
      <c r="K926" s="2">
        <v>20.0</v>
      </c>
      <c r="N926" s="6">
        <v>44418.0</v>
      </c>
      <c r="Q926" s="2" t="s">
        <v>86</v>
      </c>
    </row>
    <row r="927">
      <c r="A927" s="2">
        <v>926.0</v>
      </c>
      <c r="B927" s="2" t="s">
        <v>2649</v>
      </c>
      <c r="C927" s="2" t="s">
        <v>23</v>
      </c>
      <c r="K927" s="2">
        <v>50.0</v>
      </c>
      <c r="N927" s="6">
        <v>44708.0</v>
      </c>
      <c r="Q927" s="2" t="s">
        <v>2650</v>
      </c>
    </row>
    <row r="928">
      <c r="A928" s="2">
        <v>927.0</v>
      </c>
      <c r="B928" s="2" t="s">
        <v>2651</v>
      </c>
      <c r="C928" s="2" t="s">
        <v>23</v>
      </c>
      <c r="K928" s="2">
        <v>10.0</v>
      </c>
      <c r="N928" s="6">
        <v>45490.0</v>
      </c>
      <c r="Q928" s="2" t="s">
        <v>2652</v>
      </c>
    </row>
    <row r="929">
      <c r="A929" s="2">
        <v>928.0</v>
      </c>
      <c r="B929" s="2" t="s">
        <v>2653</v>
      </c>
      <c r="C929" s="2" t="s">
        <v>23</v>
      </c>
      <c r="K929" s="2">
        <v>60.0</v>
      </c>
      <c r="N929" s="6">
        <v>43440.0</v>
      </c>
      <c r="Q929" s="2" t="s">
        <v>2654</v>
      </c>
    </row>
    <row r="930">
      <c r="A930" s="2">
        <v>929.0</v>
      </c>
      <c r="B930" s="2" t="s">
        <v>2655</v>
      </c>
      <c r="C930" s="2" t="s">
        <v>23</v>
      </c>
      <c r="K930" s="2">
        <v>60.0</v>
      </c>
      <c r="N930" s="6">
        <v>45640.0</v>
      </c>
      <c r="Q930" s="2" t="s">
        <v>2656</v>
      </c>
    </row>
    <row r="931">
      <c r="A931" s="2">
        <v>930.0</v>
      </c>
      <c r="B931" s="2" t="s">
        <v>2657</v>
      </c>
      <c r="C931" s="2" t="s">
        <v>23</v>
      </c>
      <c r="N931" s="6">
        <v>44861.0</v>
      </c>
      <c r="Q931" s="2" t="s">
        <v>86</v>
      </c>
    </row>
    <row r="932">
      <c r="A932" s="2">
        <v>931.0</v>
      </c>
      <c r="B932" s="2" t="s">
        <v>2658</v>
      </c>
      <c r="C932" s="2" t="s">
        <v>23</v>
      </c>
      <c r="N932" s="6">
        <v>45978.0</v>
      </c>
      <c r="Q932" s="2" t="s">
        <v>2659</v>
      </c>
    </row>
    <row r="933">
      <c r="A933" s="2">
        <v>932.0</v>
      </c>
      <c r="B933" s="2" t="s">
        <v>2660</v>
      </c>
      <c r="C933" s="2" t="s">
        <v>23</v>
      </c>
      <c r="N933" s="6">
        <v>44475.0</v>
      </c>
      <c r="Q933" s="2" t="s">
        <v>86</v>
      </c>
    </row>
    <row r="934">
      <c r="A934" s="2">
        <v>933.0</v>
      </c>
      <c r="B934" s="2" t="s">
        <v>2661</v>
      </c>
      <c r="C934" s="2" t="s">
        <v>23</v>
      </c>
      <c r="K934" s="2">
        <v>60.0</v>
      </c>
      <c r="N934" s="6">
        <v>45628.0</v>
      </c>
      <c r="Q934" s="2" t="s">
        <v>2662</v>
      </c>
    </row>
    <row r="935">
      <c r="A935" s="2">
        <v>934.0</v>
      </c>
      <c r="B935" s="2" t="s">
        <v>2663</v>
      </c>
      <c r="C935" s="2" t="s">
        <v>23</v>
      </c>
      <c r="N935" s="6">
        <v>44698.0</v>
      </c>
      <c r="Q935" s="2" t="s">
        <v>86</v>
      </c>
    </row>
    <row r="936">
      <c r="A936" s="2">
        <v>935.0</v>
      </c>
      <c r="B936" s="2" t="s">
        <v>2664</v>
      </c>
      <c r="C936" s="2" t="s">
        <v>23</v>
      </c>
      <c r="N936" s="6">
        <v>44649.0</v>
      </c>
      <c r="Q936" s="2" t="s">
        <v>86</v>
      </c>
    </row>
    <row r="937">
      <c r="A937" s="2">
        <v>936.0</v>
      </c>
      <c r="B937" s="2" t="s">
        <v>2665</v>
      </c>
      <c r="C937" s="2" t="s">
        <v>23</v>
      </c>
      <c r="K937" s="2">
        <v>90.0</v>
      </c>
      <c r="N937" s="6">
        <v>44594.0</v>
      </c>
      <c r="Q937" s="2" t="s">
        <v>2666</v>
      </c>
    </row>
    <row r="938">
      <c r="A938" s="2">
        <v>937.0</v>
      </c>
      <c r="B938" s="2" t="s">
        <v>2667</v>
      </c>
      <c r="C938" s="2" t="s">
        <v>23</v>
      </c>
      <c r="N938" s="6">
        <v>44076.0</v>
      </c>
      <c r="Q938" s="2" t="s">
        <v>86</v>
      </c>
    </row>
    <row r="939">
      <c r="A939" s="2">
        <v>938.0</v>
      </c>
      <c r="B939" s="2" t="s">
        <v>2668</v>
      </c>
      <c r="C939" s="2" t="s">
        <v>23</v>
      </c>
      <c r="K939" s="2">
        <v>50.0</v>
      </c>
      <c r="N939" s="6">
        <v>44888.0</v>
      </c>
      <c r="Q939" s="2" t="s">
        <v>2669</v>
      </c>
    </row>
    <row r="940">
      <c r="A940" s="2">
        <v>939.0</v>
      </c>
      <c r="B940" s="2" t="s">
        <v>2670</v>
      </c>
      <c r="C940" s="2" t="s">
        <v>23</v>
      </c>
      <c r="N940" s="6">
        <v>43898.0</v>
      </c>
      <c r="Q940" s="2" t="s">
        <v>86</v>
      </c>
    </row>
    <row r="941">
      <c r="A941" s="2">
        <v>940.0</v>
      </c>
      <c r="B941" s="2" t="s">
        <v>2671</v>
      </c>
      <c r="C941" s="2" t="s">
        <v>23</v>
      </c>
      <c r="K941" s="2">
        <v>60.0</v>
      </c>
      <c r="N941" s="6">
        <v>45653.0</v>
      </c>
      <c r="Q941" s="2" t="s">
        <v>2672</v>
      </c>
    </row>
    <row r="942">
      <c r="A942" s="2">
        <v>941.0</v>
      </c>
      <c r="B942" s="2" t="s">
        <v>2673</v>
      </c>
      <c r="C942" s="2" t="s">
        <v>23</v>
      </c>
      <c r="K942" s="2">
        <v>10.0</v>
      </c>
      <c r="N942" s="6">
        <v>45210.0</v>
      </c>
      <c r="Q942" s="2" t="s">
        <v>2674</v>
      </c>
    </row>
    <row r="943">
      <c r="A943" s="2">
        <v>942.0</v>
      </c>
      <c r="B943" s="2" t="s">
        <v>2675</v>
      </c>
      <c r="C943" s="2" t="s">
        <v>23</v>
      </c>
      <c r="K943" s="2">
        <v>50.0</v>
      </c>
      <c r="N943" s="6">
        <v>45321.0</v>
      </c>
      <c r="Q943" s="2" t="s">
        <v>2676</v>
      </c>
    </row>
    <row r="944">
      <c r="A944" s="2">
        <v>943.0</v>
      </c>
      <c r="B944" s="2" t="s">
        <v>2677</v>
      </c>
      <c r="C944" s="2" t="s">
        <v>23</v>
      </c>
      <c r="N944" s="6">
        <v>44762.0</v>
      </c>
      <c r="Q944" s="2" t="s">
        <v>86</v>
      </c>
    </row>
    <row r="945">
      <c r="A945" s="2">
        <v>944.0</v>
      </c>
      <c r="B945" s="2" t="s">
        <v>2678</v>
      </c>
      <c r="C945" s="2" t="s">
        <v>23</v>
      </c>
      <c r="N945" s="6">
        <v>44539.0</v>
      </c>
      <c r="Q945" s="2" t="s">
        <v>86</v>
      </c>
    </row>
    <row r="946">
      <c r="A946" s="2">
        <v>945.0</v>
      </c>
      <c r="B946" s="2" t="s">
        <v>2679</v>
      </c>
      <c r="C946" s="2" t="s">
        <v>23</v>
      </c>
      <c r="K946" s="2">
        <v>20.0</v>
      </c>
      <c r="N946" s="6">
        <v>44908.0</v>
      </c>
      <c r="Q946" s="2" t="s">
        <v>60</v>
      </c>
    </row>
    <row r="947">
      <c r="A947" s="2">
        <v>946.0</v>
      </c>
      <c r="B947" s="2" t="s">
        <v>2680</v>
      </c>
      <c r="C947" s="2" t="s">
        <v>23</v>
      </c>
      <c r="K947" s="2">
        <v>10.0</v>
      </c>
      <c r="N947" s="6">
        <v>44718.0</v>
      </c>
      <c r="Q947" s="2" t="s">
        <v>426</v>
      </c>
    </row>
    <row r="948">
      <c r="A948" s="2">
        <v>947.0</v>
      </c>
      <c r="B948" s="2" t="s">
        <v>2681</v>
      </c>
      <c r="C948" s="2" t="s">
        <v>23</v>
      </c>
      <c r="K948" s="2">
        <v>10.0</v>
      </c>
      <c r="N948" s="6">
        <v>45407.0</v>
      </c>
      <c r="Q948" s="2" t="s">
        <v>2682</v>
      </c>
    </row>
    <row r="949">
      <c r="A949" s="2">
        <v>948.0</v>
      </c>
      <c r="B949" s="2" t="s">
        <v>2683</v>
      </c>
      <c r="C949" s="2" t="s">
        <v>23</v>
      </c>
      <c r="K949" s="2">
        <v>70.0</v>
      </c>
      <c r="N949" s="6">
        <v>44025.0</v>
      </c>
      <c r="Q949" s="2" t="s">
        <v>2684</v>
      </c>
    </row>
    <row r="950">
      <c r="A950" s="2">
        <v>949.0</v>
      </c>
      <c r="B950" s="2" t="s">
        <v>2685</v>
      </c>
      <c r="C950" s="2" t="s">
        <v>23</v>
      </c>
      <c r="K950" s="2">
        <v>70.0</v>
      </c>
      <c r="N950" s="6">
        <v>43960.0</v>
      </c>
      <c r="Q950" s="2" t="s">
        <v>2686</v>
      </c>
    </row>
    <row r="951">
      <c r="A951" s="2">
        <v>950.0</v>
      </c>
      <c r="B951" s="2" t="s">
        <v>2687</v>
      </c>
      <c r="C951" s="2" t="s">
        <v>23</v>
      </c>
      <c r="K951" s="2">
        <v>20.0</v>
      </c>
      <c r="N951" s="6">
        <v>44345.0</v>
      </c>
      <c r="Q951" s="2" t="s">
        <v>2688</v>
      </c>
    </row>
    <row r="952">
      <c r="A952" s="2">
        <v>951.0</v>
      </c>
      <c r="B952" s="2" t="s">
        <v>2689</v>
      </c>
      <c r="C952" s="2" t="s">
        <v>23</v>
      </c>
      <c r="K952" s="2">
        <v>20.0</v>
      </c>
      <c r="N952" s="6">
        <v>42771.0</v>
      </c>
      <c r="Q952" s="2" t="s">
        <v>2690</v>
      </c>
    </row>
    <row r="953">
      <c r="A953" s="2">
        <v>952.0</v>
      </c>
      <c r="B953" s="2" t="s">
        <v>2691</v>
      </c>
      <c r="C953" s="2" t="s">
        <v>23</v>
      </c>
      <c r="N953" s="6">
        <v>45143.0</v>
      </c>
      <c r="Q953" s="2" t="s">
        <v>86</v>
      </c>
    </row>
    <row r="954">
      <c r="A954" s="2">
        <v>953.0</v>
      </c>
      <c r="B954" s="2" t="s">
        <v>2692</v>
      </c>
      <c r="C954" s="2" t="s">
        <v>23</v>
      </c>
      <c r="N954" s="6">
        <v>44206.0</v>
      </c>
      <c r="Q954" s="2" t="s">
        <v>86</v>
      </c>
    </row>
    <row r="955">
      <c r="A955" s="2">
        <v>954.0</v>
      </c>
      <c r="B955" s="2" t="s">
        <v>2693</v>
      </c>
      <c r="C955" s="2" t="s">
        <v>23</v>
      </c>
      <c r="K955" s="2">
        <v>20.0</v>
      </c>
      <c r="N955" s="6">
        <v>45668.0</v>
      </c>
      <c r="Q955" s="2" t="s">
        <v>2694</v>
      </c>
    </row>
    <row r="956">
      <c r="A956" s="2">
        <v>955.0</v>
      </c>
      <c r="B956" s="2" t="s">
        <v>2695</v>
      </c>
      <c r="C956" s="2" t="s">
        <v>23</v>
      </c>
      <c r="K956" s="2">
        <v>10.0</v>
      </c>
      <c r="N956" s="6">
        <v>46052.0</v>
      </c>
      <c r="Q956" s="2" t="s">
        <v>2696</v>
      </c>
    </row>
    <row r="957">
      <c r="A957" s="2">
        <v>956.0</v>
      </c>
      <c r="B957" s="2" t="s">
        <v>2697</v>
      </c>
      <c r="C957" s="2" t="s">
        <v>23</v>
      </c>
      <c r="N957" s="6">
        <v>44881.0</v>
      </c>
      <c r="Q957" s="2" t="s">
        <v>2698</v>
      </c>
    </row>
    <row r="958">
      <c r="A958" s="2">
        <v>957.0</v>
      </c>
      <c r="B958" s="2" t="s">
        <v>2699</v>
      </c>
      <c r="C958" s="2" t="s">
        <v>23</v>
      </c>
      <c r="N958" s="6">
        <v>44813.0</v>
      </c>
      <c r="Q958" s="2" t="s">
        <v>86</v>
      </c>
    </row>
    <row r="959">
      <c r="A959" s="2">
        <v>958.0</v>
      </c>
      <c r="B959" s="2" t="s">
        <v>2700</v>
      </c>
      <c r="C959" s="2" t="s">
        <v>23</v>
      </c>
      <c r="K959" s="2">
        <v>60.0</v>
      </c>
      <c r="N959" s="6">
        <v>44359.0</v>
      </c>
      <c r="Q959" s="2" t="s">
        <v>2701</v>
      </c>
    </row>
    <row r="960">
      <c r="A960" s="2">
        <v>959.0</v>
      </c>
      <c r="B960" s="2" t="s">
        <v>2702</v>
      </c>
      <c r="C960" s="2" t="s">
        <v>23</v>
      </c>
      <c r="N960" s="6">
        <v>44401.0</v>
      </c>
      <c r="Q960" s="2" t="s">
        <v>86</v>
      </c>
    </row>
    <row r="961">
      <c r="A961" s="2">
        <v>960.0</v>
      </c>
      <c r="B961" s="2" t="s">
        <v>2703</v>
      </c>
      <c r="C961" s="2" t="s">
        <v>23</v>
      </c>
      <c r="K961" s="2">
        <v>70.0</v>
      </c>
      <c r="N961" s="6">
        <v>43844.0</v>
      </c>
      <c r="Q961" s="2" t="s">
        <v>2704</v>
      </c>
    </row>
    <row r="962">
      <c r="A962" s="2">
        <v>961.0</v>
      </c>
      <c r="B962" s="2" t="s">
        <v>2705</v>
      </c>
      <c r="C962" s="2" t="s">
        <v>23</v>
      </c>
      <c r="K962" s="2">
        <v>20.0</v>
      </c>
      <c r="N962" s="6">
        <v>44036.0</v>
      </c>
      <c r="Q962" s="2" t="s">
        <v>2706</v>
      </c>
    </row>
    <row r="963">
      <c r="A963" s="2">
        <v>962.0</v>
      </c>
      <c r="B963" s="2" t="s">
        <v>2707</v>
      </c>
      <c r="C963" s="2" t="s">
        <v>23</v>
      </c>
      <c r="N963" s="6">
        <v>42536.0</v>
      </c>
      <c r="Q963" s="2" t="s">
        <v>2708</v>
      </c>
    </row>
    <row r="964">
      <c r="A964" s="2">
        <v>963.0</v>
      </c>
      <c r="B964" s="2" t="s">
        <v>2709</v>
      </c>
      <c r="C964" s="2" t="s">
        <v>23</v>
      </c>
      <c r="K964" s="2">
        <v>30.0</v>
      </c>
      <c r="N964" s="6">
        <v>44147.0</v>
      </c>
      <c r="Q964" s="2" t="s">
        <v>2710</v>
      </c>
    </row>
    <row r="965">
      <c r="A965" s="2">
        <v>964.0</v>
      </c>
      <c r="B965" s="2" t="s">
        <v>2711</v>
      </c>
      <c r="C965" s="2" t="s">
        <v>23</v>
      </c>
      <c r="K965" s="2">
        <v>30.0</v>
      </c>
      <c r="N965" s="6">
        <v>44251.0</v>
      </c>
      <c r="Q965" s="2" t="s">
        <v>60</v>
      </c>
    </row>
    <row r="966">
      <c r="A966" s="2">
        <v>965.0</v>
      </c>
      <c r="B966" s="2" t="s">
        <v>2712</v>
      </c>
      <c r="C966" s="2" t="s">
        <v>23</v>
      </c>
      <c r="N966" s="6">
        <v>42331.0</v>
      </c>
      <c r="Q966" s="2" t="s">
        <v>86</v>
      </c>
    </row>
    <row r="967">
      <c r="A967" s="2">
        <v>966.0</v>
      </c>
      <c r="B967" s="2" t="s">
        <v>2713</v>
      </c>
      <c r="C967" s="2" t="s">
        <v>23</v>
      </c>
      <c r="N967" s="6">
        <v>44203.0</v>
      </c>
      <c r="Q967" s="2" t="s">
        <v>86</v>
      </c>
    </row>
    <row r="968">
      <c r="A968" s="2">
        <v>967.0</v>
      </c>
      <c r="B968" s="2" t="s">
        <v>2714</v>
      </c>
      <c r="C968" s="2" t="s">
        <v>23</v>
      </c>
      <c r="K968" s="2">
        <v>70.0</v>
      </c>
      <c r="N968" s="6">
        <v>44825.0</v>
      </c>
      <c r="Q968" s="2" t="s">
        <v>2715</v>
      </c>
    </row>
    <row r="969">
      <c r="A969" s="2">
        <v>968.0</v>
      </c>
      <c r="B969" s="2" t="s">
        <v>2716</v>
      </c>
      <c r="C969" s="2" t="s">
        <v>23</v>
      </c>
      <c r="K969" s="2">
        <v>70.0</v>
      </c>
      <c r="N969" s="6">
        <v>42667.0</v>
      </c>
      <c r="Q969" s="2" t="s">
        <v>1156</v>
      </c>
    </row>
    <row r="970">
      <c r="A970" s="2">
        <v>969.0</v>
      </c>
      <c r="B970" s="2" t="s">
        <v>2717</v>
      </c>
      <c r="C970" s="2" t="s">
        <v>23</v>
      </c>
      <c r="K970" s="2">
        <v>10.0</v>
      </c>
      <c r="N970" s="6">
        <v>44165.0</v>
      </c>
      <c r="Q970" s="2" t="s">
        <v>2718</v>
      </c>
    </row>
    <row r="971">
      <c r="A971" s="2">
        <v>970.0</v>
      </c>
      <c r="B971" s="2" t="s">
        <v>2719</v>
      </c>
      <c r="C971" s="2" t="s">
        <v>23</v>
      </c>
      <c r="K971" s="2">
        <v>10.0</v>
      </c>
      <c r="N971" s="6">
        <v>44621.0</v>
      </c>
      <c r="Q971" s="2" t="s">
        <v>235</v>
      </c>
    </row>
    <row r="972">
      <c r="A972" s="2">
        <v>971.0</v>
      </c>
      <c r="B972" s="2" t="s">
        <v>2720</v>
      </c>
      <c r="C972" s="2" t="s">
        <v>23</v>
      </c>
      <c r="K972" s="2">
        <v>10.0</v>
      </c>
      <c r="N972" s="6">
        <v>45564.0</v>
      </c>
      <c r="Q972" s="2" t="s">
        <v>2721</v>
      </c>
    </row>
    <row r="973">
      <c r="A973" s="2">
        <v>972.0</v>
      </c>
      <c r="B973" s="2" t="s">
        <v>2722</v>
      </c>
      <c r="C973" s="2" t="s">
        <v>23</v>
      </c>
      <c r="N973" s="6">
        <v>45615.0</v>
      </c>
      <c r="Q973" s="2" t="s">
        <v>2723</v>
      </c>
    </row>
    <row r="974">
      <c r="A974" s="2">
        <v>973.0</v>
      </c>
      <c r="B974" s="2" t="s">
        <v>2724</v>
      </c>
      <c r="C974" s="2" t="s">
        <v>23</v>
      </c>
      <c r="K974" s="2">
        <v>10.0</v>
      </c>
      <c r="N974" s="6">
        <v>44908.0</v>
      </c>
      <c r="Q974" s="2" t="s">
        <v>2725</v>
      </c>
    </row>
    <row r="975">
      <c r="A975" s="2">
        <v>974.0</v>
      </c>
      <c r="B975" s="2" t="s">
        <v>2726</v>
      </c>
      <c r="C975" s="2" t="s">
        <v>23</v>
      </c>
      <c r="N975" s="6">
        <v>44526.0</v>
      </c>
      <c r="Q975" s="2" t="s">
        <v>86</v>
      </c>
    </row>
    <row r="976">
      <c r="A976" s="2">
        <v>975.0</v>
      </c>
      <c r="B976" s="2" t="s">
        <v>2727</v>
      </c>
      <c r="C976" s="2" t="s">
        <v>23</v>
      </c>
      <c r="N976" s="6">
        <v>44115.0</v>
      </c>
      <c r="Q976" s="2" t="s">
        <v>86</v>
      </c>
    </row>
    <row r="977">
      <c r="A977" s="2">
        <v>976.0</v>
      </c>
      <c r="B977" s="2" t="s">
        <v>2728</v>
      </c>
      <c r="C977" s="2" t="s">
        <v>23</v>
      </c>
      <c r="N977" s="6">
        <v>45970.0</v>
      </c>
      <c r="Q977" s="2" t="s">
        <v>2729</v>
      </c>
    </row>
    <row r="978">
      <c r="A978" s="2">
        <v>977.0</v>
      </c>
      <c r="B978" s="2" t="s">
        <v>2730</v>
      </c>
      <c r="C978" s="2" t="s">
        <v>23</v>
      </c>
      <c r="K978" s="2">
        <v>30.0</v>
      </c>
      <c r="N978" s="6">
        <v>45463.0</v>
      </c>
      <c r="Q978" s="2" t="s">
        <v>2731</v>
      </c>
    </row>
    <row r="979">
      <c r="A979" s="2">
        <v>978.0</v>
      </c>
      <c r="B979" s="2" t="s">
        <v>2732</v>
      </c>
      <c r="C979" s="2" t="s">
        <v>23</v>
      </c>
      <c r="K979" s="2">
        <v>50.0</v>
      </c>
      <c r="N979" s="6">
        <v>43994.0</v>
      </c>
      <c r="Q979" s="2" t="s">
        <v>2733</v>
      </c>
    </row>
    <row r="980">
      <c r="A980" s="2">
        <v>979.0</v>
      </c>
      <c r="B980" s="2" t="s">
        <v>2734</v>
      </c>
      <c r="C980" s="2" t="s">
        <v>23</v>
      </c>
      <c r="N980" s="6">
        <v>44557.0</v>
      </c>
      <c r="Q980" s="2" t="s">
        <v>86</v>
      </c>
    </row>
    <row r="981">
      <c r="A981" s="2">
        <v>980.0</v>
      </c>
      <c r="B981" s="2" t="s">
        <v>2735</v>
      </c>
      <c r="C981" s="2" t="s">
        <v>23</v>
      </c>
      <c r="N981" s="6">
        <v>45606.0</v>
      </c>
      <c r="Q981" s="2" t="s">
        <v>2736</v>
      </c>
    </row>
    <row r="982">
      <c r="A982" s="2">
        <v>981.0</v>
      </c>
      <c r="B982" s="2" t="s">
        <v>2737</v>
      </c>
      <c r="C982" s="2" t="s">
        <v>23</v>
      </c>
      <c r="K982" s="2">
        <v>40.0</v>
      </c>
      <c r="N982" s="6">
        <v>44744.0</v>
      </c>
      <c r="Q982" s="2" t="s">
        <v>2738</v>
      </c>
    </row>
    <row r="983">
      <c r="A983" s="2">
        <v>982.0</v>
      </c>
      <c r="B983" s="2" t="s">
        <v>2739</v>
      </c>
      <c r="C983" s="2" t="s">
        <v>23</v>
      </c>
      <c r="N983" s="6">
        <v>42801.0</v>
      </c>
      <c r="Q983" s="2" t="s">
        <v>86</v>
      </c>
    </row>
    <row r="984">
      <c r="A984" s="2">
        <v>983.0</v>
      </c>
      <c r="B984" s="2" t="s">
        <v>2740</v>
      </c>
      <c r="C984" s="2" t="s">
        <v>23</v>
      </c>
      <c r="K984" s="2">
        <v>20.0</v>
      </c>
      <c r="N984" s="6">
        <v>44694.0</v>
      </c>
      <c r="Q984" s="2" t="s">
        <v>86</v>
      </c>
    </row>
    <row r="985">
      <c r="A985" s="2">
        <v>984.0</v>
      </c>
      <c r="B985" s="2" t="s">
        <v>2741</v>
      </c>
      <c r="C985" s="2" t="s">
        <v>23</v>
      </c>
      <c r="K985" s="2">
        <v>20.0</v>
      </c>
      <c r="N985" s="6">
        <v>45642.0</v>
      </c>
      <c r="Q985" s="2" t="s">
        <v>2742</v>
      </c>
    </row>
    <row r="986">
      <c r="A986" s="2">
        <v>985.0</v>
      </c>
      <c r="B986" s="2" t="s">
        <v>2743</v>
      </c>
      <c r="C986" s="2" t="s">
        <v>23</v>
      </c>
      <c r="K986" s="2">
        <v>70.0</v>
      </c>
      <c r="N986" s="6">
        <v>43848.0</v>
      </c>
      <c r="Q986" s="2" t="s">
        <v>2744</v>
      </c>
    </row>
    <row r="987">
      <c r="A987" s="2">
        <v>986.0</v>
      </c>
      <c r="B987" s="2" t="s">
        <v>2745</v>
      </c>
      <c r="C987" s="2" t="s">
        <v>23</v>
      </c>
      <c r="N987" s="6">
        <v>45485.0</v>
      </c>
      <c r="Q987" s="2" t="s">
        <v>2746</v>
      </c>
    </row>
    <row r="988">
      <c r="A988" s="2">
        <v>987.0</v>
      </c>
      <c r="B988" s="2" t="s">
        <v>2747</v>
      </c>
      <c r="C988" s="2" t="s">
        <v>23</v>
      </c>
      <c r="N988" s="6">
        <v>44089.0</v>
      </c>
      <c r="Q988" s="2" t="s">
        <v>86</v>
      </c>
    </row>
    <row r="989">
      <c r="A989" s="2">
        <v>988.0</v>
      </c>
      <c r="B989" s="2" t="s">
        <v>2748</v>
      </c>
      <c r="C989" s="2" t="s">
        <v>23</v>
      </c>
      <c r="N989" s="6">
        <v>44776.0</v>
      </c>
      <c r="Q989" s="2" t="s">
        <v>2749</v>
      </c>
    </row>
    <row r="990">
      <c r="A990" s="2">
        <v>989.0</v>
      </c>
      <c r="B990" s="2" t="s">
        <v>2750</v>
      </c>
      <c r="C990" s="2" t="s">
        <v>23</v>
      </c>
      <c r="K990" s="2">
        <v>10.0</v>
      </c>
      <c r="N990" s="6">
        <v>44260.0</v>
      </c>
      <c r="Q990" s="2" t="s">
        <v>295</v>
      </c>
    </row>
    <row r="991">
      <c r="A991" s="2">
        <v>990.0</v>
      </c>
      <c r="B991" s="2" t="s">
        <v>2751</v>
      </c>
      <c r="C991" s="2" t="s">
        <v>23</v>
      </c>
      <c r="K991" s="2">
        <v>10.0</v>
      </c>
      <c r="N991" s="6">
        <v>44101.0</v>
      </c>
      <c r="Q991" s="2" t="s">
        <v>2752</v>
      </c>
    </row>
    <row r="992">
      <c r="A992" s="2">
        <v>991.0</v>
      </c>
      <c r="B992" s="2" t="s">
        <v>2753</v>
      </c>
      <c r="C992" s="2" t="s">
        <v>23</v>
      </c>
      <c r="K992" s="2">
        <v>80.0</v>
      </c>
      <c r="N992" s="6">
        <v>45136.0</v>
      </c>
      <c r="Q992" s="2" t="s">
        <v>491</v>
      </c>
    </row>
    <row r="993">
      <c r="A993" s="2">
        <v>992.0</v>
      </c>
      <c r="B993" s="2" t="s">
        <v>2754</v>
      </c>
      <c r="C993" s="2" t="s">
        <v>23</v>
      </c>
      <c r="K993" s="2">
        <v>40.0</v>
      </c>
      <c r="N993" s="6">
        <v>42711.0</v>
      </c>
      <c r="Q993" s="2" t="s">
        <v>2755</v>
      </c>
    </row>
    <row r="994">
      <c r="A994" s="2">
        <v>993.0</v>
      </c>
      <c r="B994" s="2" t="s">
        <v>2756</v>
      </c>
      <c r="C994" s="2" t="s">
        <v>23</v>
      </c>
      <c r="N994" s="6">
        <v>44798.0</v>
      </c>
      <c r="Q994" s="2" t="s">
        <v>86</v>
      </c>
    </row>
    <row r="995">
      <c r="A995" s="2">
        <v>994.0</v>
      </c>
      <c r="B995" s="2" t="s">
        <v>2757</v>
      </c>
      <c r="C995" s="2" t="s">
        <v>23</v>
      </c>
      <c r="N995" s="6">
        <v>44802.0</v>
      </c>
      <c r="Q995" s="2" t="s">
        <v>86</v>
      </c>
    </row>
    <row r="996">
      <c r="A996" s="2">
        <v>995.0</v>
      </c>
      <c r="B996" s="2" t="s">
        <v>2758</v>
      </c>
      <c r="C996" s="2" t="s">
        <v>23</v>
      </c>
      <c r="N996" s="6">
        <v>44204.0</v>
      </c>
      <c r="Q996" s="2" t="s">
        <v>86</v>
      </c>
    </row>
    <row r="997">
      <c r="A997" s="2">
        <v>996.0</v>
      </c>
      <c r="B997" s="2" t="s">
        <v>2759</v>
      </c>
      <c r="C997" s="2" t="s">
        <v>23</v>
      </c>
      <c r="K997" s="2">
        <v>10.0</v>
      </c>
      <c r="N997" s="6">
        <v>45156.0</v>
      </c>
      <c r="Q997" s="2" t="s">
        <v>2760</v>
      </c>
    </row>
    <row r="998">
      <c r="A998" s="2">
        <v>997.0</v>
      </c>
      <c r="B998" s="2" t="s">
        <v>2761</v>
      </c>
      <c r="C998" s="2" t="s">
        <v>23</v>
      </c>
      <c r="K998" s="2">
        <v>20.0</v>
      </c>
      <c r="N998" s="6">
        <v>44756.0</v>
      </c>
      <c r="Q998" s="2" t="s">
        <v>86</v>
      </c>
    </row>
    <row r="999">
      <c r="A999" s="2">
        <v>998.0</v>
      </c>
      <c r="B999" s="2" t="s">
        <v>2762</v>
      </c>
      <c r="C999" s="2" t="s">
        <v>23</v>
      </c>
      <c r="K999" s="2">
        <v>1200.0</v>
      </c>
      <c r="N999" s="6">
        <v>43841.0</v>
      </c>
      <c r="Q999" s="2" t="s">
        <v>2763</v>
      </c>
    </row>
    <row r="1000">
      <c r="A1000" s="2">
        <v>999.0</v>
      </c>
      <c r="B1000" s="2" t="s">
        <v>2764</v>
      </c>
      <c r="C1000" s="2" t="s">
        <v>23</v>
      </c>
      <c r="K1000" s="2">
        <v>70.0</v>
      </c>
      <c r="N1000" s="6">
        <v>42769.0</v>
      </c>
      <c r="Q1000" s="2" t="s">
        <v>2765</v>
      </c>
    </row>
    <row r="1001">
      <c r="A1001" s="2">
        <v>1000.0</v>
      </c>
      <c r="B1001" s="2" t="s">
        <v>2766</v>
      </c>
      <c r="C1001" s="2" t="s">
        <v>23</v>
      </c>
      <c r="N1001" s="6">
        <v>44576.0</v>
      </c>
      <c r="Q1001" s="2" t="s">
        <v>86</v>
      </c>
    </row>
    <row r="1002">
      <c r="A1002" s="2">
        <v>1001.0</v>
      </c>
      <c r="B1002" s="2" t="s">
        <v>2767</v>
      </c>
      <c r="C1002" s="2" t="s">
        <v>23</v>
      </c>
      <c r="N1002" s="6">
        <v>46090.0</v>
      </c>
      <c r="Q1002" s="2" t="s">
        <v>2768</v>
      </c>
    </row>
    <row r="1003">
      <c r="A1003" s="2">
        <v>1002.0</v>
      </c>
      <c r="B1003" s="2" t="s">
        <v>2769</v>
      </c>
      <c r="C1003" s="2" t="s">
        <v>23</v>
      </c>
      <c r="N1003" s="6">
        <v>44571.0</v>
      </c>
      <c r="Q1003" s="2" t="s">
        <v>86</v>
      </c>
    </row>
    <row r="1004">
      <c r="A1004" s="2">
        <v>1003.0</v>
      </c>
      <c r="B1004" s="2" t="s">
        <v>2770</v>
      </c>
      <c r="C1004" s="2" t="s">
        <v>23</v>
      </c>
      <c r="K1004" s="2">
        <v>40.0</v>
      </c>
      <c r="N1004" s="6">
        <v>45271.0</v>
      </c>
      <c r="Q1004" s="2" t="s">
        <v>2771</v>
      </c>
    </row>
    <row r="1005">
      <c r="A1005" s="2">
        <v>1004.0</v>
      </c>
      <c r="B1005" s="2" t="s">
        <v>2772</v>
      </c>
      <c r="C1005" s="2" t="s">
        <v>23</v>
      </c>
      <c r="N1005" s="6">
        <v>44327.0</v>
      </c>
      <c r="Q1005" s="2" t="s">
        <v>86</v>
      </c>
    </row>
    <row r="1006">
      <c r="A1006" s="2">
        <v>1005.0</v>
      </c>
      <c r="B1006" s="2" t="s">
        <v>2773</v>
      </c>
      <c r="C1006" s="2" t="s">
        <v>23</v>
      </c>
      <c r="K1006" s="2">
        <v>30.0</v>
      </c>
      <c r="N1006" s="6">
        <v>44144.0</v>
      </c>
      <c r="Q1006" s="2" t="s">
        <v>86</v>
      </c>
    </row>
    <row r="1007">
      <c r="A1007" s="2">
        <v>1006.0</v>
      </c>
      <c r="B1007" s="2" t="s">
        <v>2774</v>
      </c>
      <c r="C1007" s="2" t="s">
        <v>23</v>
      </c>
      <c r="N1007" s="6">
        <v>43846.0</v>
      </c>
      <c r="Q1007" s="2" t="s">
        <v>86</v>
      </c>
    </row>
    <row r="1008">
      <c r="A1008" s="2">
        <v>1007.0</v>
      </c>
      <c r="B1008" s="2" t="s">
        <v>2775</v>
      </c>
      <c r="C1008" s="2" t="s">
        <v>23</v>
      </c>
      <c r="K1008" s="2">
        <v>30.0</v>
      </c>
      <c r="N1008" s="6">
        <v>44429.0</v>
      </c>
      <c r="Q1008" s="2" t="s">
        <v>86</v>
      </c>
    </row>
    <row r="1009">
      <c r="A1009" s="2">
        <v>1008.0</v>
      </c>
      <c r="B1009" s="2" t="s">
        <v>2776</v>
      </c>
      <c r="C1009" s="2" t="s">
        <v>23</v>
      </c>
      <c r="K1009" s="2">
        <v>100.0</v>
      </c>
      <c r="N1009" s="6">
        <v>44598.0</v>
      </c>
      <c r="Q1009" s="2" t="s">
        <v>2777</v>
      </c>
    </row>
    <row r="1010">
      <c r="A1010" s="2">
        <v>1009.0</v>
      </c>
      <c r="B1010" s="2" t="s">
        <v>2778</v>
      </c>
      <c r="C1010" s="2" t="s">
        <v>23</v>
      </c>
      <c r="K1010" s="2">
        <v>150.0</v>
      </c>
      <c r="N1010" s="6">
        <v>44163.0</v>
      </c>
      <c r="Q1010" s="2" t="s">
        <v>2779</v>
      </c>
    </row>
    <row r="1011">
      <c r="A1011" s="2">
        <v>1010.0</v>
      </c>
      <c r="B1011" s="2" t="s">
        <v>2780</v>
      </c>
      <c r="C1011" s="2" t="s">
        <v>23</v>
      </c>
      <c r="K1011" s="2">
        <v>10.0</v>
      </c>
      <c r="N1011" s="6">
        <v>44061.0</v>
      </c>
      <c r="Q1011" s="2" t="s">
        <v>1474</v>
      </c>
    </row>
    <row r="1012">
      <c r="A1012" s="2">
        <v>1011.0</v>
      </c>
      <c r="B1012" s="2" t="s">
        <v>2781</v>
      </c>
      <c r="C1012" s="2" t="s">
        <v>23</v>
      </c>
      <c r="N1012" s="6">
        <v>44673.0</v>
      </c>
      <c r="Q1012" s="2" t="s">
        <v>2782</v>
      </c>
    </row>
    <row r="1013">
      <c r="A1013" s="2">
        <v>1012.0</v>
      </c>
      <c r="B1013" s="2" t="s">
        <v>2783</v>
      </c>
      <c r="C1013" s="2" t="s">
        <v>23</v>
      </c>
      <c r="K1013" s="2">
        <v>10.0</v>
      </c>
      <c r="N1013" s="6">
        <v>43977.0</v>
      </c>
      <c r="Q1013" s="2" t="s">
        <v>2784</v>
      </c>
    </row>
    <row r="1014">
      <c r="A1014" s="2">
        <v>1013.0</v>
      </c>
      <c r="B1014" s="2" t="s">
        <v>2785</v>
      </c>
      <c r="C1014" s="2" t="s">
        <v>23</v>
      </c>
      <c r="N1014" s="6">
        <v>42445.0</v>
      </c>
      <c r="Q1014" s="2" t="s">
        <v>86</v>
      </c>
    </row>
    <row r="1015">
      <c r="A1015" s="2">
        <v>1014.0</v>
      </c>
      <c r="B1015" s="2" t="s">
        <v>2786</v>
      </c>
      <c r="C1015" s="2" t="s">
        <v>23</v>
      </c>
      <c r="K1015" s="2">
        <v>40.0</v>
      </c>
      <c r="N1015" s="6">
        <v>44205.0</v>
      </c>
      <c r="Q1015" s="2" t="s">
        <v>86</v>
      </c>
    </row>
    <row r="1016">
      <c r="A1016" s="2">
        <v>1015.0</v>
      </c>
      <c r="B1016" s="2" t="s">
        <v>2787</v>
      </c>
      <c r="C1016" s="2" t="s">
        <v>23</v>
      </c>
      <c r="N1016" s="6">
        <v>44389.0</v>
      </c>
      <c r="Q1016" s="2" t="s">
        <v>2788</v>
      </c>
    </row>
    <row r="1017">
      <c r="A1017" s="2">
        <v>1016.0</v>
      </c>
      <c r="B1017" s="2" t="s">
        <v>2789</v>
      </c>
      <c r="C1017" s="2" t="s">
        <v>23</v>
      </c>
      <c r="K1017" s="2">
        <v>10.0</v>
      </c>
      <c r="N1017" s="6">
        <v>45414.0</v>
      </c>
      <c r="Q1017" s="2" t="s">
        <v>2790</v>
      </c>
    </row>
    <row r="1018">
      <c r="A1018" s="2">
        <v>1017.0</v>
      </c>
      <c r="B1018" s="2" t="s">
        <v>2791</v>
      </c>
      <c r="C1018" s="2" t="s">
        <v>23</v>
      </c>
      <c r="K1018" s="2">
        <v>80.0</v>
      </c>
      <c r="N1018" s="6">
        <v>43854.0</v>
      </c>
      <c r="Q1018" s="2" t="s">
        <v>2792</v>
      </c>
    </row>
    <row r="1019">
      <c r="A1019" s="2">
        <v>1018.0</v>
      </c>
      <c r="B1019" s="2" t="s">
        <v>2793</v>
      </c>
      <c r="C1019" s="2" t="s">
        <v>23</v>
      </c>
      <c r="N1019" s="6">
        <v>43944.0</v>
      </c>
      <c r="Q1019" s="2" t="s">
        <v>2794</v>
      </c>
    </row>
    <row r="1020">
      <c r="A1020" s="2">
        <v>1019.0</v>
      </c>
      <c r="B1020" s="2" t="s">
        <v>2795</v>
      </c>
      <c r="C1020" s="2" t="s">
        <v>23</v>
      </c>
      <c r="K1020" s="2">
        <v>10.0</v>
      </c>
      <c r="N1020" s="6">
        <v>44193.0</v>
      </c>
      <c r="Q1020" s="2" t="s">
        <v>2796</v>
      </c>
    </row>
    <row r="1021">
      <c r="A1021" s="2">
        <v>1020.0</v>
      </c>
      <c r="B1021" s="2" t="s">
        <v>2797</v>
      </c>
      <c r="C1021" s="2" t="s">
        <v>23</v>
      </c>
      <c r="K1021" s="2">
        <v>250.0</v>
      </c>
      <c r="N1021" s="6">
        <v>44313.0</v>
      </c>
      <c r="Q1021" s="2" t="s">
        <v>2798</v>
      </c>
    </row>
    <row r="1022">
      <c r="A1022" s="2">
        <v>1021.0</v>
      </c>
      <c r="B1022" s="2" t="s">
        <v>2799</v>
      </c>
      <c r="C1022" s="2" t="s">
        <v>23</v>
      </c>
      <c r="K1022" s="2">
        <v>350.0</v>
      </c>
      <c r="N1022" s="6">
        <v>44001.0</v>
      </c>
      <c r="Q1022" s="2" t="s">
        <v>2800</v>
      </c>
    </row>
    <row r="1023">
      <c r="A1023" s="2">
        <v>1022.0</v>
      </c>
      <c r="B1023" s="2" t="s">
        <v>2801</v>
      </c>
      <c r="C1023" s="2" t="s">
        <v>23</v>
      </c>
      <c r="N1023" s="6">
        <v>45988.0</v>
      </c>
      <c r="Q1023" s="2" t="s">
        <v>2802</v>
      </c>
    </row>
    <row r="1024">
      <c r="A1024" s="2">
        <v>1023.0</v>
      </c>
      <c r="B1024" s="2" t="s">
        <v>2803</v>
      </c>
      <c r="C1024" s="2" t="s">
        <v>23</v>
      </c>
      <c r="K1024" s="2">
        <v>20.0</v>
      </c>
      <c r="N1024" s="6">
        <v>45022.0</v>
      </c>
      <c r="Q1024" s="2" t="s">
        <v>2804</v>
      </c>
    </row>
    <row r="1025">
      <c r="A1025" s="2">
        <v>1024.0</v>
      </c>
      <c r="B1025" s="2" t="s">
        <v>2805</v>
      </c>
      <c r="C1025" s="2" t="s">
        <v>23</v>
      </c>
      <c r="K1025" s="2">
        <v>60.0</v>
      </c>
      <c r="N1025" s="6">
        <v>43992.0</v>
      </c>
      <c r="Q1025" s="2" t="s">
        <v>2806</v>
      </c>
    </row>
    <row r="1026">
      <c r="A1026" s="2">
        <v>1025.0</v>
      </c>
      <c r="B1026" s="2" t="s">
        <v>2807</v>
      </c>
      <c r="C1026" s="2" t="s">
        <v>23</v>
      </c>
      <c r="K1026" s="2">
        <v>10.0</v>
      </c>
      <c r="N1026" s="6">
        <v>44251.0</v>
      </c>
      <c r="Q1026" s="2" t="s">
        <v>426</v>
      </c>
    </row>
    <row r="1027">
      <c r="A1027" s="2">
        <v>1026.0</v>
      </c>
      <c r="B1027" s="2" t="s">
        <v>2808</v>
      </c>
      <c r="C1027" s="2" t="s">
        <v>23</v>
      </c>
      <c r="N1027" s="6">
        <v>43921.0</v>
      </c>
      <c r="Q1027" s="2" t="s">
        <v>86</v>
      </c>
    </row>
    <row r="1028">
      <c r="A1028" s="2">
        <v>1027.0</v>
      </c>
      <c r="B1028" s="2" t="s">
        <v>2809</v>
      </c>
      <c r="C1028" s="2" t="s">
        <v>23</v>
      </c>
      <c r="K1028" s="2">
        <v>30.0</v>
      </c>
      <c r="N1028" s="6">
        <v>45212.0</v>
      </c>
      <c r="Q1028" s="2" t="s">
        <v>491</v>
      </c>
    </row>
    <row r="1029">
      <c r="A1029" s="2">
        <v>1028.0</v>
      </c>
      <c r="B1029" s="2" t="s">
        <v>2810</v>
      </c>
      <c r="C1029" s="2" t="s">
        <v>23</v>
      </c>
      <c r="N1029" s="6">
        <v>44596.0</v>
      </c>
      <c r="Q1029" s="2" t="s">
        <v>401</v>
      </c>
    </row>
    <row r="1030">
      <c r="A1030" s="2">
        <v>1029.0</v>
      </c>
      <c r="B1030" s="2" t="s">
        <v>2811</v>
      </c>
      <c r="C1030" s="2" t="s">
        <v>23</v>
      </c>
      <c r="K1030" s="2">
        <v>100.0</v>
      </c>
      <c r="N1030" s="6">
        <v>44895.0</v>
      </c>
      <c r="Q1030" s="2" t="s">
        <v>321</v>
      </c>
    </row>
    <row r="1031">
      <c r="A1031" s="2">
        <v>1030.0</v>
      </c>
      <c r="B1031" s="2" t="s">
        <v>2812</v>
      </c>
      <c r="C1031" s="2" t="s">
        <v>23</v>
      </c>
      <c r="K1031" s="2">
        <v>10.0</v>
      </c>
      <c r="N1031" s="6">
        <v>44238.0</v>
      </c>
      <c r="Q1031" s="2" t="s">
        <v>1437</v>
      </c>
    </row>
    <row r="1032">
      <c r="A1032" s="2">
        <v>1031.0</v>
      </c>
      <c r="B1032" s="2" t="s">
        <v>2813</v>
      </c>
      <c r="C1032" s="2" t="s">
        <v>23</v>
      </c>
      <c r="K1032" s="2">
        <v>90.0</v>
      </c>
      <c r="N1032" s="6">
        <v>45497.0</v>
      </c>
      <c r="Q1032" s="2" t="s">
        <v>2814</v>
      </c>
    </row>
    <row r="1033">
      <c r="A1033" s="2">
        <v>1032.0</v>
      </c>
      <c r="B1033" s="2" t="s">
        <v>2815</v>
      </c>
      <c r="C1033" s="2" t="s">
        <v>23</v>
      </c>
      <c r="K1033" s="2">
        <v>20.0</v>
      </c>
      <c r="N1033" s="6">
        <v>44847.0</v>
      </c>
      <c r="Q1033" s="2" t="s">
        <v>2816</v>
      </c>
    </row>
    <row r="1034">
      <c r="A1034" s="2">
        <v>1033.0</v>
      </c>
      <c r="B1034" s="2" t="s">
        <v>2817</v>
      </c>
      <c r="C1034" s="2" t="s">
        <v>23</v>
      </c>
      <c r="K1034" s="2">
        <v>30.0</v>
      </c>
      <c r="N1034" s="6">
        <v>44590.0</v>
      </c>
      <c r="Q1034" s="2" t="s">
        <v>2818</v>
      </c>
    </row>
    <row r="1035">
      <c r="A1035" s="2">
        <v>1034.0</v>
      </c>
      <c r="B1035" s="2" t="s">
        <v>2819</v>
      </c>
      <c r="C1035" s="2" t="s">
        <v>23</v>
      </c>
      <c r="K1035" s="2">
        <v>40.0</v>
      </c>
      <c r="N1035" s="6">
        <v>45220.0</v>
      </c>
      <c r="Q1035" s="2" t="s">
        <v>2820</v>
      </c>
    </row>
    <row r="1036">
      <c r="A1036" s="2">
        <v>1035.0</v>
      </c>
      <c r="B1036" s="2" t="s">
        <v>2821</v>
      </c>
      <c r="C1036" s="2" t="s">
        <v>23</v>
      </c>
      <c r="N1036" s="6">
        <v>44465.0</v>
      </c>
      <c r="Q1036" s="2" t="s">
        <v>86</v>
      </c>
    </row>
    <row r="1037">
      <c r="A1037" s="2">
        <v>1036.0</v>
      </c>
      <c r="B1037" s="2" t="s">
        <v>2822</v>
      </c>
      <c r="C1037" s="2" t="s">
        <v>23</v>
      </c>
      <c r="N1037" s="6">
        <v>43964.0</v>
      </c>
      <c r="Q1037" s="2" t="s">
        <v>86</v>
      </c>
    </row>
    <row r="1038">
      <c r="A1038" s="2">
        <v>1037.0</v>
      </c>
      <c r="B1038" s="2" t="s">
        <v>2823</v>
      </c>
      <c r="C1038" s="2" t="s">
        <v>23</v>
      </c>
      <c r="K1038" s="2">
        <v>200.0</v>
      </c>
      <c r="N1038" s="6">
        <v>44018.0</v>
      </c>
      <c r="Q1038" s="2" t="s">
        <v>2824</v>
      </c>
    </row>
    <row r="1039">
      <c r="A1039" s="2">
        <v>1038.0</v>
      </c>
      <c r="B1039" s="2" t="s">
        <v>2825</v>
      </c>
      <c r="C1039" s="2" t="s">
        <v>23</v>
      </c>
      <c r="K1039" s="2">
        <v>50.0</v>
      </c>
      <c r="N1039" s="6">
        <v>44921.0</v>
      </c>
      <c r="Q1039" s="2" t="s">
        <v>2777</v>
      </c>
    </row>
    <row r="1040">
      <c r="A1040" s="2">
        <v>1039.0</v>
      </c>
      <c r="B1040" s="2" t="s">
        <v>2826</v>
      </c>
      <c r="C1040" s="2" t="s">
        <v>23</v>
      </c>
      <c r="K1040" s="2">
        <v>80.0</v>
      </c>
      <c r="N1040" s="6">
        <v>44318.0</v>
      </c>
      <c r="Q1040" s="2" t="s">
        <v>2827</v>
      </c>
    </row>
    <row r="1041">
      <c r="A1041" s="2">
        <v>1040.0</v>
      </c>
      <c r="B1041" s="2" t="s">
        <v>2828</v>
      </c>
      <c r="C1041" s="2" t="s">
        <v>23</v>
      </c>
      <c r="K1041" s="2">
        <v>10.0</v>
      </c>
      <c r="N1041" s="6">
        <v>45540.0</v>
      </c>
      <c r="Q1041" s="2" t="s">
        <v>2829</v>
      </c>
    </row>
    <row r="1042">
      <c r="A1042" s="2">
        <v>1041.0</v>
      </c>
      <c r="B1042" s="2" t="s">
        <v>2830</v>
      </c>
      <c r="C1042" s="2" t="s">
        <v>23</v>
      </c>
      <c r="N1042" s="6">
        <v>44774.0</v>
      </c>
      <c r="Q1042" s="2" t="s">
        <v>86</v>
      </c>
    </row>
    <row r="1043">
      <c r="A1043" s="2">
        <v>1042.0</v>
      </c>
      <c r="B1043" s="2" t="s">
        <v>2831</v>
      </c>
      <c r="C1043" s="2" t="s">
        <v>23</v>
      </c>
      <c r="K1043" s="2">
        <v>20.0</v>
      </c>
      <c r="N1043" s="6">
        <v>43855.0</v>
      </c>
      <c r="Q1043" s="2" t="s">
        <v>86</v>
      </c>
    </row>
    <row r="1044">
      <c r="A1044" s="2">
        <v>1043.0</v>
      </c>
      <c r="B1044" s="2" t="s">
        <v>2832</v>
      </c>
      <c r="C1044" s="2" t="s">
        <v>23</v>
      </c>
      <c r="K1044" s="2">
        <v>40.0</v>
      </c>
      <c r="N1044" s="6">
        <v>44041.0</v>
      </c>
      <c r="Q1044" s="2" t="s">
        <v>2833</v>
      </c>
    </row>
    <row r="1045">
      <c r="A1045" s="2">
        <v>1044.0</v>
      </c>
      <c r="B1045" s="2" t="s">
        <v>2834</v>
      </c>
      <c r="C1045" s="2" t="s">
        <v>23</v>
      </c>
      <c r="K1045" s="2">
        <v>20.0</v>
      </c>
      <c r="N1045" s="6">
        <v>42868.0</v>
      </c>
      <c r="Q1045" s="2" t="s">
        <v>386</v>
      </c>
    </row>
    <row r="1046">
      <c r="A1046" s="2">
        <v>1045.0</v>
      </c>
      <c r="B1046" s="2" t="s">
        <v>2835</v>
      </c>
      <c r="C1046" s="2" t="s">
        <v>23</v>
      </c>
      <c r="K1046" s="2">
        <v>50.0</v>
      </c>
      <c r="N1046" s="6">
        <v>44947.0</v>
      </c>
      <c r="Q1046" s="2" t="s">
        <v>2836</v>
      </c>
    </row>
    <row r="1047">
      <c r="A1047" s="2">
        <v>1046.0</v>
      </c>
      <c r="B1047" s="2" t="s">
        <v>2837</v>
      </c>
      <c r="C1047" s="2" t="s">
        <v>23</v>
      </c>
      <c r="K1047" s="2">
        <v>10.0</v>
      </c>
      <c r="N1047" s="6">
        <v>44901.0</v>
      </c>
      <c r="Q1047" s="2" t="s">
        <v>2838</v>
      </c>
    </row>
    <row r="1048">
      <c r="A1048" s="2">
        <v>1047.0</v>
      </c>
      <c r="B1048" s="2" t="s">
        <v>2839</v>
      </c>
      <c r="C1048" s="2" t="s">
        <v>23</v>
      </c>
      <c r="K1048" s="2">
        <v>90.0</v>
      </c>
      <c r="N1048" s="6">
        <v>44817.0</v>
      </c>
      <c r="Q1048" s="2" t="s">
        <v>2840</v>
      </c>
    </row>
    <row r="1049">
      <c r="A1049" s="2">
        <v>1048.0</v>
      </c>
      <c r="B1049" s="2" t="s">
        <v>2841</v>
      </c>
      <c r="C1049" s="2" t="s">
        <v>23</v>
      </c>
      <c r="K1049" s="2">
        <v>40.0</v>
      </c>
      <c r="N1049" s="6">
        <v>44343.0</v>
      </c>
      <c r="Q1049" s="2" t="s">
        <v>1675</v>
      </c>
    </row>
    <row r="1050">
      <c r="A1050" s="2">
        <v>1049.0</v>
      </c>
      <c r="B1050" s="2" t="s">
        <v>2842</v>
      </c>
      <c r="C1050" s="2" t="s">
        <v>23</v>
      </c>
      <c r="K1050" s="2">
        <v>60.0</v>
      </c>
      <c r="N1050" s="6">
        <v>43978.0</v>
      </c>
      <c r="Q1050" s="2" t="s">
        <v>2843</v>
      </c>
    </row>
    <row r="1051">
      <c r="A1051" s="2">
        <v>1050.0</v>
      </c>
      <c r="B1051" s="2" t="s">
        <v>2844</v>
      </c>
      <c r="C1051" s="2" t="s">
        <v>23</v>
      </c>
      <c r="N1051" s="6">
        <v>44247.0</v>
      </c>
      <c r="Q1051" s="2" t="s">
        <v>86</v>
      </c>
    </row>
    <row r="1052">
      <c r="A1052" s="2">
        <v>1051.0</v>
      </c>
      <c r="B1052" s="2" t="s">
        <v>2845</v>
      </c>
      <c r="C1052" s="2" t="s">
        <v>23</v>
      </c>
      <c r="N1052" s="6">
        <v>44684.0</v>
      </c>
      <c r="Q1052" s="2" t="s">
        <v>86</v>
      </c>
    </row>
    <row r="1053">
      <c r="A1053" s="2">
        <v>1052.0</v>
      </c>
      <c r="B1053" s="2" t="s">
        <v>2846</v>
      </c>
      <c r="C1053" s="2" t="s">
        <v>23</v>
      </c>
      <c r="K1053" s="2">
        <v>50.0</v>
      </c>
      <c r="N1053" s="6">
        <v>44657.0</v>
      </c>
      <c r="Q1053" s="2" t="s">
        <v>401</v>
      </c>
    </row>
    <row r="1054">
      <c r="A1054" s="2">
        <v>1053.0</v>
      </c>
      <c r="B1054" s="2" t="s">
        <v>2847</v>
      </c>
      <c r="C1054" s="2" t="s">
        <v>23</v>
      </c>
      <c r="K1054" s="2">
        <v>40.0</v>
      </c>
      <c r="N1054" s="6">
        <v>44028.0</v>
      </c>
      <c r="Q1054" s="2" t="s">
        <v>295</v>
      </c>
    </row>
    <row r="1055">
      <c r="A1055" s="2">
        <v>1054.0</v>
      </c>
      <c r="B1055" s="2" t="s">
        <v>2848</v>
      </c>
      <c r="C1055" s="2" t="s">
        <v>23</v>
      </c>
      <c r="K1055" s="2">
        <v>20.0</v>
      </c>
      <c r="N1055" s="6">
        <v>44952.0</v>
      </c>
      <c r="Q1055" s="2" t="s">
        <v>86</v>
      </c>
    </row>
    <row r="1056">
      <c r="A1056" s="2">
        <v>1055.0</v>
      </c>
      <c r="B1056" s="2" t="s">
        <v>2849</v>
      </c>
      <c r="C1056" s="2" t="s">
        <v>23</v>
      </c>
      <c r="K1056" s="2">
        <v>20.0</v>
      </c>
      <c r="N1056" s="6">
        <v>44766.0</v>
      </c>
      <c r="Q1056" s="2" t="s">
        <v>1466</v>
      </c>
    </row>
    <row r="1057">
      <c r="A1057" s="2">
        <v>1056.0</v>
      </c>
      <c r="B1057" s="2" t="s">
        <v>2850</v>
      </c>
      <c r="C1057" s="2" t="s">
        <v>23</v>
      </c>
      <c r="N1057" s="6">
        <v>45118.0</v>
      </c>
      <c r="Q1057" s="2" t="s">
        <v>94</v>
      </c>
    </row>
    <row r="1058">
      <c r="A1058" s="2">
        <v>1057.0</v>
      </c>
      <c r="B1058" s="2" t="s">
        <v>2851</v>
      </c>
      <c r="C1058" s="2" t="s">
        <v>23</v>
      </c>
      <c r="N1058" s="6">
        <v>44347.0</v>
      </c>
      <c r="Q1058" s="2" t="s">
        <v>86</v>
      </c>
    </row>
    <row r="1059">
      <c r="A1059" s="2">
        <v>1058.0</v>
      </c>
      <c r="B1059" s="2" t="s">
        <v>2852</v>
      </c>
      <c r="C1059" s="2" t="s">
        <v>23</v>
      </c>
      <c r="K1059" s="2">
        <v>100.0</v>
      </c>
      <c r="N1059" s="6">
        <v>43888.0</v>
      </c>
      <c r="Q1059" s="2" t="s">
        <v>2853</v>
      </c>
    </row>
    <row r="1060">
      <c r="A1060" s="2">
        <v>1059.0</v>
      </c>
      <c r="B1060" s="2" t="s">
        <v>2854</v>
      </c>
      <c r="C1060" s="2" t="s">
        <v>23</v>
      </c>
      <c r="K1060" s="2">
        <v>200.0</v>
      </c>
      <c r="N1060" s="6">
        <v>44003.0</v>
      </c>
      <c r="Q1060" s="2" t="s">
        <v>2855</v>
      </c>
    </row>
    <row r="1061">
      <c r="A1061" s="2">
        <v>1060.0</v>
      </c>
      <c r="B1061" s="2" t="s">
        <v>2856</v>
      </c>
      <c r="C1061" s="2" t="s">
        <v>23</v>
      </c>
      <c r="N1061" s="6">
        <v>44795.0</v>
      </c>
      <c r="Q1061" s="2" t="s">
        <v>86</v>
      </c>
    </row>
    <row r="1062">
      <c r="A1062" s="2">
        <v>1061.0</v>
      </c>
      <c r="B1062" s="2" t="s">
        <v>2857</v>
      </c>
      <c r="C1062" s="2" t="s">
        <v>23</v>
      </c>
      <c r="N1062" s="6">
        <v>44308.0</v>
      </c>
      <c r="Q1062" s="2" t="s">
        <v>2858</v>
      </c>
    </row>
    <row r="1063">
      <c r="A1063" s="2">
        <v>1062.0</v>
      </c>
      <c r="B1063" s="2" t="s">
        <v>2859</v>
      </c>
      <c r="C1063" s="2" t="s">
        <v>23</v>
      </c>
      <c r="K1063" s="2">
        <v>50.0</v>
      </c>
      <c r="N1063" s="6">
        <v>45220.0</v>
      </c>
      <c r="Q1063" s="2" t="s">
        <v>200</v>
      </c>
    </row>
    <row r="1064">
      <c r="A1064" s="2">
        <v>1063.0</v>
      </c>
      <c r="B1064" s="2" t="s">
        <v>2860</v>
      </c>
      <c r="C1064" s="2" t="s">
        <v>23</v>
      </c>
      <c r="K1064" s="2">
        <v>40.0</v>
      </c>
      <c r="N1064" s="6">
        <v>45624.0</v>
      </c>
      <c r="Q1064" s="2" t="s">
        <v>2861</v>
      </c>
    </row>
    <row r="1065">
      <c r="A1065" s="2">
        <v>1064.0</v>
      </c>
      <c r="B1065" s="2" t="s">
        <v>2862</v>
      </c>
      <c r="C1065" s="2" t="s">
        <v>23</v>
      </c>
      <c r="K1065" s="2">
        <v>20.0</v>
      </c>
      <c r="N1065" s="6">
        <v>44347.0</v>
      </c>
      <c r="Q1065" s="2" t="s">
        <v>60</v>
      </c>
    </row>
    <row r="1066">
      <c r="A1066" s="2">
        <v>1065.0</v>
      </c>
      <c r="B1066" s="2" t="s">
        <v>2863</v>
      </c>
      <c r="C1066" s="2" t="s">
        <v>23</v>
      </c>
      <c r="N1066" s="6">
        <v>44613.0</v>
      </c>
      <c r="Q1066" s="2" t="s">
        <v>86</v>
      </c>
    </row>
    <row r="1067">
      <c r="A1067" s="2">
        <v>1066.0</v>
      </c>
      <c r="B1067" s="2" t="s">
        <v>2864</v>
      </c>
      <c r="C1067" s="2" t="s">
        <v>23</v>
      </c>
      <c r="N1067" s="6">
        <v>45943.0</v>
      </c>
      <c r="Q1067" s="2" t="s">
        <v>2865</v>
      </c>
    </row>
    <row r="1068">
      <c r="A1068" s="2">
        <v>1067.0</v>
      </c>
      <c r="B1068" s="2" t="s">
        <v>2866</v>
      </c>
      <c r="C1068" s="2" t="s">
        <v>23</v>
      </c>
      <c r="K1068" s="2">
        <v>20.0</v>
      </c>
      <c r="N1068" s="6">
        <v>44111.0</v>
      </c>
      <c r="Q1068" s="2" t="s">
        <v>2867</v>
      </c>
    </row>
    <row r="1069">
      <c r="A1069" s="2">
        <v>1068.0</v>
      </c>
      <c r="B1069" s="2" t="s">
        <v>2868</v>
      </c>
      <c r="C1069" s="2" t="s">
        <v>23</v>
      </c>
      <c r="N1069" s="6">
        <v>44672.0</v>
      </c>
      <c r="Q1069" s="2" t="s">
        <v>2869</v>
      </c>
    </row>
    <row r="1070">
      <c r="A1070" s="2">
        <v>1069.0</v>
      </c>
      <c r="B1070" s="2" t="s">
        <v>2870</v>
      </c>
      <c r="C1070" s="2" t="s">
        <v>23</v>
      </c>
      <c r="K1070" s="2">
        <v>70.0</v>
      </c>
      <c r="N1070" s="6">
        <v>44669.0</v>
      </c>
      <c r="Q1070" s="2" t="s">
        <v>426</v>
      </c>
    </row>
    <row r="1071">
      <c r="A1071" s="2">
        <v>1070.0</v>
      </c>
      <c r="B1071" s="2" t="s">
        <v>85</v>
      </c>
      <c r="C1071" s="2" t="s">
        <v>23</v>
      </c>
      <c r="N1071" s="6">
        <v>43939.0</v>
      </c>
      <c r="Q1071" s="2" t="s">
        <v>86</v>
      </c>
    </row>
    <row r="1072">
      <c r="A1072" s="2">
        <v>1071.0</v>
      </c>
      <c r="B1072" s="2" t="s">
        <v>2871</v>
      </c>
      <c r="C1072" s="2" t="s">
        <v>23</v>
      </c>
      <c r="K1072" s="2">
        <v>10.0</v>
      </c>
      <c r="N1072" s="6">
        <v>43963.0</v>
      </c>
      <c r="Q1072" s="2" t="s">
        <v>2872</v>
      </c>
    </row>
    <row r="1073">
      <c r="A1073" s="2">
        <v>1072.0</v>
      </c>
      <c r="B1073" s="2" t="s">
        <v>2873</v>
      </c>
      <c r="C1073" s="2" t="s">
        <v>23</v>
      </c>
      <c r="K1073" s="2">
        <v>70.0</v>
      </c>
      <c r="N1073" s="6">
        <v>45731.0</v>
      </c>
      <c r="Q1073" s="2" t="s">
        <v>2874</v>
      </c>
    </row>
    <row r="1074">
      <c r="A1074" s="2">
        <v>1073.0</v>
      </c>
      <c r="B1074" s="2" t="s">
        <v>2875</v>
      </c>
      <c r="C1074" s="2" t="s">
        <v>23</v>
      </c>
      <c r="N1074" s="6">
        <v>45364.0</v>
      </c>
      <c r="Q1074" s="2" t="s">
        <v>2876</v>
      </c>
    </row>
    <row r="1075">
      <c r="A1075" s="2">
        <v>1074.0</v>
      </c>
      <c r="B1075" s="2" t="s">
        <v>2877</v>
      </c>
      <c r="C1075" s="2" t="s">
        <v>23</v>
      </c>
      <c r="K1075" s="2">
        <v>10.0</v>
      </c>
      <c r="N1075" s="6">
        <v>42472.0</v>
      </c>
      <c r="Q1075" s="2" t="s">
        <v>2878</v>
      </c>
    </row>
    <row r="1076">
      <c r="A1076" s="2">
        <v>1075.0</v>
      </c>
      <c r="B1076" s="2" t="s">
        <v>2879</v>
      </c>
      <c r="C1076" s="2" t="s">
        <v>23</v>
      </c>
      <c r="N1076" s="6">
        <v>44139.0</v>
      </c>
      <c r="Q1076" s="2" t="s">
        <v>86</v>
      </c>
    </row>
    <row r="1077">
      <c r="A1077" s="2">
        <v>1076.0</v>
      </c>
      <c r="B1077" s="2" t="s">
        <v>2880</v>
      </c>
      <c r="C1077" s="2" t="s">
        <v>23</v>
      </c>
      <c r="K1077" s="2">
        <v>10.0</v>
      </c>
      <c r="N1077" s="6">
        <v>43862.0</v>
      </c>
      <c r="Q1077" s="2" t="s">
        <v>86</v>
      </c>
    </row>
    <row r="1078">
      <c r="A1078" s="2">
        <v>1077.0</v>
      </c>
      <c r="B1078" s="2" t="s">
        <v>87</v>
      </c>
      <c r="C1078" s="2" t="s">
        <v>23</v>
      </c>
      <c r="N1078" s="6">
        <v>44610.0</v>
      </c>
      <c r="Q1078" s="2" t="s">
        <v>89</v>
      </c>
    </row>
    <row r="1079">
      <c r="A1079" s="2">
        <v>1078.0</v>
      </c>
      <c r="B1079" s="2" t="s">
        <v>2881</v>
      </c>
      <c r="C1079" s="2" t="s">
        <v>23</v>
      </c>
      <c r="K1079" s="2">
        <v>10.0</v>
      </c>
      <c r="N1079" s="6">
        <v>44021.0</v>
      </c>
      <c r="Q1079" s="2" t="s">
        <v>86</v>
      </c>
    </row>
    <row r="1080">
      <c r="A1080" s="2">
        <v>1079.0</v>
      </c>
      <c r="B1080" s="2" t="s">
        <v>2882</v>
      </c>
      <c r="C1080" s="2" t="s">
        <v>23</v>
      </c>
      <c r="K1080" s="2">
        <v>250.0</v>
      </c>
      <c r="N1080" s="6">
        <v>43876.0</v>
      </c>
      <c r="Q1080" s="2" t="s">
        <v>2883</v>
      </c>
    </row>
    <row r="1081">
      <c r="A1081" s="2">
        <v>1080.0</v>
      </c>
      <c r="B1081" s="2" t="s">
        <v>2884</v>
      </c>
      <c r="C1081" s="2" t="s">
        <v>23</v>
      </c>
      <c r="N1081" s="6">
        <v>44554.0</v>
      </c>
      <c r="Q1081" s="2" t="s">
        <v>86</v>
      </c>
    </row>
    <row r="1082">
      <c r="A1082" s="2">
        <v>1081.0</v>
      </c>
      <c r="B1082" s="2" t="s">
        <v>2885</v>
      </c>
      <c r="C1082" s="2" t="s">
        <v>23</v>
      </c>
      <c r="K1082" s="2">
        <v>40.0</v>
      </c>
      <c r="N1082" s="6">
        <v>44677.0</v>
      </c>
      <c r="Q1082" s="2" t="s">
        <v>2886</v>
      </c>
    </row>
    <row r="1083">
      <c r="A1083" s="2">
        <v>1082.0</v>
      </c>
      <c r="B1083" s="2" t="s">
        <v>2887</v>
      </c>
      <c r="C1083" s="2" t="s">
        <v>23</v>
      </c>
      <c r="N1083" s="6">
        <v>44483.0</v>
      </c>
      <c r="Q1083" s="2" t="s">
        <v>86</v>
      </c>
    </row>
    <row r="1084">
      <c r="A1084" s="2">
        <v>1083.0</v>
      </c>
      <c r="B1084" s="2" t="s">
        <v>2888</v>
      </c>
      <c r="C1084" s="2" t="s">
        <v>23</v>
      </c>
      <c r="N1084" s="6">
        <v>44638.0</v>
      </c>
      <c r="Q1084" s="2" t="s">
        <v>86</v>
      </c>
    </row>
    <row r="1085">
      <c r="A1085" s="2">
        <v>1084.0</v>
      </c>
      <c r="B1085" s="2" t="s">
        <v>2889</v>
      </c>
      <c r="C1085" s="2" t="s">
        <v>23</v>
      </c>
      <c r="N1085" s="6">
        <v>44718.0</v>
      </c>
      <c r="Q1085" s="2" t="s">
        <v>86</v>
      </c>
    </row>
    <row r="1086">
      <c r="A1086" s="2">
        <v>1085.0</v>
      </c>
      <c r="B1086" s="2" t="s">
        <v>2890</v>
      </c>
      <c r="C1086" s="2" t="s">
        <v>23</v>
      </c>
      <c r="K1086" s="2">
        <v>20.0</v>
      </c>
      <c r="N1086" s="6">
        <v>43621.0</v>
      </c>
      <c r="Q1086" s="2" t="s">
        <v>86</v>
      </c>
    </row>
    <row r="1087">
      <c r="A1087" s="2">
        <v>1086.0</v>
      </c>
      <c r="B1087" s="2" t="s">
        <v>2891</v>
      </c>
      <c r="C1087" s="2" t="s">
        <v>23</v>
      </c>
      <c r="K1087" s="2">
        <v>30.0</v>
      </c>
      <c r="N1087" s="6">
        <v>44200.0</v>
      </c>
      <c r="Q1087" s="2" t="s">
        <v>86</v>
      </c>
    </row>
    <row r="1088">
      <c r="A1088" s="2">
        <v>1087.0</v>
      </c>
      <c r="B1088" s="2" t="s">
        <v>2892</v>
      </c>
      <c r="C1088" s="2" t="s">
        <v>23</v>
      </c>
      <c r="K1088" s="2">
        <v>20.0</v>
      </c>
      <c r="N1088" s="6">
        <v>45417.0</v>
      </c>
      <c r="Q1088" s="2" t="s">
        <v>2893</v>
      </c>
    </row>
    <row r="1089">
      <c r="A1089" s="2">
        <v>1088.0</v>
      </c>
      <c r="B1089" s="2" t="s">
        <v>2894</v>
      </c>
      <c r="C1089" s="2" t="s">
        <v>23</v>
      </c>
      <c r="K1089" s="2">
        <v>10.0</v>
      </c>
      <c r="N1089" s="6">
        <v>45435.0</v>
      </c>
      <c r="Q1089" s="2" t="s">
        <v>2409</v>
      </c>
    </row>
    <row r="1090">
      <c r="A1090" s="2">
        <v>1089.0</v>
      </c>
      <c r="B1090" s="2" t="s">
        <v>2895</v>
      </c>
      <c r="C1090" s="2" t="s">
        <v>23</v>
      </c>
      <c r="K1090" s="2">
        <v>10.0</v>
      </c>
      <c r="N1090" s="6">
        <v>44177.0</v>
      </c>
      <c r="Q1090" s="2" t="s">
        <v>2896</v>
      </c>
    </row>
    <row r="1091">
      <c r="A1091" s="2">
        <v>1090.0</v>
      </c>
      <c r="B1091" s="2" t="s">
        <v>2897</v>
      </c>
      <c r="C1091" s="2" t="s">
        <v>23</v>
      </c>
      <c r="N1091" s="6">
        <v>44162.0</v>
      </c>
      <c r="Q1091" s="2" t="s">
        <v>2898</v>
      </c>
    </row>
    <row r="1092">
      <c r="A1092" s="2">
        <v>1091.0</v>
      </c>
      <c r="B1092" s="2" t="s">
        <v>2899</v>
      </c>
      <c r="C1092" s="2" t="s">
        <v>23</v>
      </c>
      <c r="K1092" s="2">
        <v>10.0</v>
      </c>
      <c r="N1092" s="6">
        <v>43924.0</v>
      </c>
      <c r="Q1092" s="2" t="s">
        <v>2900</v>
      </c>
    </row>
    <row r="1093">
      <c r="A1093" s="2">
        <v>1092.0</v>
      </c>
      <c r="B1093" s="2" t="s">
        <v>2901</v>
      </c>
      <c r="C1093" s="2" t="s">
        <v>23</v>
      </c>
      <c r="N1093" s="6">
        <v>45612.0</v>
      </c>
      <c r="Q1093" s="2" t="s">
        <v>1711</v>
      </c>
    </row>
    <row r="1094">
      <c r="A1094" s="2">
        <v>1093.0</v>
      </c>
      <c r="B1094" s="2" t="s">
        <v>2902</v>
      </c>
      <c r="C1094" s="2" t="s">
        <v>23</v>
      </c>
      <c r="N1094" s="6">
        <v>44106.0</v>
      </c>
      <c r="Q1094" s="2" t="s">
        <v>86</v>
      </c>
    </row>
    <row r="1095">
      <c r="A1095" s="2">
        <v>1094.0</v>
      </c>
      <c r="B1095" s="2" t="s">
        <v>2903</v>
      </c>
      <c r="C1095" s="2" t="s">
        <v>23</v>
      </c>
      <c r="K1095" s="2">
        <v>20.0</v>
      </c>
      <c r="N1095" s="6">
        <v>44625.0</v>
      </c>
      <c r="Q1095" s="2" t="s">
        <v>2904</v>
      </c>
    </row>
    <row r="1096">
      <c r="A1096" s="2">
        <v>1095.0</v>
      </c>
      <c r="B1096" s="2" t="s">
        <v>2905</v>
      </c>
      <c r="C1096" s="2" t="s">
        <v>23</v>
      </c>
      <c r="K1096" s="2">
        <v>30.0</v>
      </c>
      <c r="N1096" s="6">
        <v>45333.0</v>
      </c>
      <c r="Q1096" s="2" t="s">
        <v>200</v>
      </c>
    </row>
    <row r="1097">
      <c r="A1097" s="2">
        <v>1096.0</v>
      </c>
      <c r="B1097" s="2" t="s">
        <v>2906</v>
      </c>
      <c r="C1097" s="2" t="s">
        <v>23</v>
      </c>
      <c r="N1097" s="6">
        <v>44415.0</v>
      </c>
      <c r="Q1097" s="2" t="s">
        <v>86</v>
      </c>
    </row>
    <row r="1098">
      <c r="A1098" s="2">
        <v>1097.0</v>
      </c>
      <c r="B1098" s="2" t="s">
        <v>2907</v>
      </c>
      <c r="C1098" s="2" t="s">
        <v>23</v>
      </c>
      <c r="N1098" s="6">
        <v>43926.0</v>
      </c>
      <c r="Q1098" s="2" t="s">
        <v>2908</v>
      </c>
    </row>
    <row r="1099">
      <c r="A1099" s="2">
        <v>1098.0</v>
      </c>
      <c r="B1099" s="2" t="s">
        <v>2909</v>
      </c>
      <c r="C1099" s="2" t="s">
        <v>23</v>
      </c>
      <c r="K1099" s="2">
        <v>30.0</v>
      </c>
      <c r="N1099" s="6">
        <v>44408.0</v>
      </c>
      <c r="Q1099" s="2" t="s">
        <v>2910</v>
      </c>
    </row>
    <row r="1100">
      <c r="A1100" s="2">
        <v>1099.0</v>
      </c>
      <c r="B1100" s="2" t="s">
        <v>2911</v>
      </c>
      <c r="C1100" s="2" t="s">
        <v>23</v>
      </c>
      <c r="K1100" s="2">
        <v>200.0</v>
      </c>
      <c r="N1100" s="6">
        <v>44281.0</v>
      </c>
      <c r="Q1100" s="2" t="s">
        <v>2912</v>
      </c>
    </row>
    <row r="1101">
      <c r="A1101" s="2">
        <v>1100.0</v>
      </c>
      <c r="B1101" s="2" t="s">
        <v>2913</v>
      </c>
      <c r="C1101" s="2" t="s">
        <v>23</v>
      </c>
      <c r="K1101" s="2">
        <v>60.0</v>
      </c>
      <c r="N1101" s="6">
        <v>43928.0</v>
      </c>
      <c r="Q1101" s="2" t="s">
        <v>2914</v>
      </c>
    </row>
    <row r="1102">
      <c r="A1102" s="2">
        <v>1101.0</v>
      </c>
      <c r="B1102" s="2" t="s">
        <v>2915</v>
      </c>
      <c r="C1102" s="2" t="s">
        <v>23</v>
      </c>
      <c r="K1102" s="2">
        <v>80.0</v>
      </c>
      <c r="N1102" s="6">
        <v>44623.0</v>
      </c>
      <c r="Q1102" s="2" t="s">
        <v>2916</v>
      </c>
    </row>
    <row r="1103">
      <c r="A1103" s="2">
        <v>1102.0</v>
      </c>
      <c r="B1103" s="2" t="s">
        <v>2917</v>
      </c>
      <c r="C1103" s="2" t="s">
        <v>23</v>
      </c>
      <c r="K1103" s="2">
        <v>30.0</v>
      </c>
      <c r="N1103" s="6">
        <v>44087.0</v>
      </c>
      <c r="Q1103" s="2" t="s">
        <v>1727</v>
      </c>
    </row>
    <row r="1104">
      <c r="A1104" s="2">
        <v>1103.0</v>
      </c>
      <c r="B1104" s="2" t="s">
        <v>2918</v>
      </c>
      <c r="C1104" s="2" t="s">
        <v>23</v>
      </c>
      <c r="K1104" s="2">
        <v>70.0</v>
      </c>
      <c r="N1104" s="6">
        <v>44268.0</v>
      </c>
      <c r="Q1104" s="2" t="s">
        <v>2919</v>
      </c>
    </row>
    <row r="1105">
      <c r="A1105" s="2">
        <v>1104.0</v>
      </c>
      <c r="B1105" s="2" t="s">
        <v>2920</v>
      </c>
      <c r="C1105" s="2" t="s">
        <v>23</v>
      </c>
      <c r="N1105" s="6">
        <v>45246.0</v>
      </c>
      <c r="Q1105" s="2" t="s">
        <v>86</v>
      </c>
    </row>
    <row r="1106">
      <c r="A1106" s="2">
        <v>1105.0</v>
      </c>
      <c r="B1106" s="2" t="s">
        <v>2921</v>
      </c>
      <c r="C1106" s="2" t="s">
        <v>23</v>
      </c>
      <c r="K1106" s="2">
        <v>50.0</v>
      </c>
      <c r="N1106" s="6">
        <v>44310.0</v>
      </c>
      <c r="Q1106" s="2" t="s">
        <v>2922</v>
      </c>
    </row>
    <row r="1107">
      <c r="A1107" s="2">
        <v>1106.0</v>
      </c>
      <c r="B1107" s="2" t="s">
        <v>2923</v>
      </c>
      <c r="C1107" s="2" t="s">
        <v>23</v>
      </c>
      <c r="N1107" s="6">
        <v>44656.0</v>
      </c>
      <c r="Q1107" s="2" t="s">
        <v>2924</v>
      </c>
    </row>
    <row r="1108">
      <c r="A1108" s="2">
        <v>1107.0</v>
      </c>
      <c r="B1108" s="2" t="s">
        <v>2925</v>
      </c>
      <c r="C1108" s="2" t="s">
        <v>23</v>
      </c>
      <c r="N1108" s="6">
        <v>44218.0</v>
      </c>
      <c r="Q1108" s="2" t="s">
        <v>86</v>
      </c>
    </row>
    <row r="1109">
      <c r="A1109" s="2">
        <v>1108.0</v>
      </c>
      <c r="B1109" s="2" t="s">
        <v>2926</v>
      </c>
      <c r="C1109" s="2" t="s">
        <v>23</v>
      </c>
      <c r="K1109" s="2">
        <v>60.0</v>
      </c>
      <c r="N1109" s="6">
        <v>45090.0</v>
      </c>
      <c r="Q1109" s="2" t="s">
        <v>60</v>
      </c>
    </row>
    <row r="1110">
      <c r="A1110" s="2">
        <v>1109.0</v>
      </c>
      <c r="B1110" s="2" t="s">
        <v>2927</v>
      </c>
      <c r="C1110" s="2" t="s">
        <v>23</v>
      </c>
      <c r="K1110" s="2">
        <v>30.0</v>
      </c>
      <c r="N1110" s="6">
        <v>45624.0</v>
      </c>
      <c r="Q1110" s="2" t="s">
        <v>2928</v>
      </c>
    </row>
    <row r="1111">
      <c r="A1111" s="2">
        <v>1110.0</v>
      </c>
      <c r="B1111" s="2" t="s">
        <v>2929</v>
      </c>
      <c r="C1111" s="2" t="s">
        <v>23</v>
      </c>
      <c r="K1111" s="2">
        <v>50.0</v>
      </c>
      <c r="N1111" s="6">
        <v>44081.0</v>
      </c>
      <c r="Q1111" s="2" t="s">
        <v>1801</v>
      </c>
    </row>
    <row r="1112">
      <c r="A1112" s="2">
        <v>1111.0</v>
      </c>
      <c r="B1112" s="2" t="s">
        <v>2930</v>
      </c>
      <c r="C1112" s="2" t="s">
        <v>23</v>
      </c>
      <c r="K1112" s="2">
        <v>50.0</v>
      </c>
      <c r="N1112" s="6">
        <v>44774.0</v>
      </c>
      <c r="Q1112" s="2" t="s">
        <v>86</v>
      </c>
    </row>
    <row r="1113">
      <c r="A1113" s="2">
        <v>1112.0</v>
      </c>
      <c r="B1113" s="2" t="s">
        <v>2931</v>
      </c>
      <c r="C1113" s="2" t="s">
        <v>23</v>
      </c>
      <c r="K1113" s="2">
        <v>10.0</v>
      </c>
      <c r="N1113" s="6">
        <v>43899.0</v>
      </c>
      <c r="Q1113" s="2" t="s">
        <v>2932</v>
      </c>
    </row>
    <row r="1114">
      <c r="A1114" s="2">
        <v>1113.0</v>
      </c>
      <c r="B1114" s="2" t="s">
        <v>2933</v>
      </c>
      <c r="C1114" s="2" t="s">
        <v>23</v>
      </c>
      <c r="K1114" s="2">
        <v>20.0</v>
      </c>
      <c r="N1114" s="6">
        <v>43988.0</v>
      </c>
      <c r="Q1114" s="2" t="s">
        <v>2934</v>
      </c>
    </row>
    <row r="1115">
      <c r="A1115" s="2">
        <v>1114.0</v>
      </c>
      <c r="B1115" s="2" t="s">
        <v>2935</v>
      </c>
      <c r="C1115" s="2" t="s">
        <v>23</v>
      </c>
      <c r="K1115" s="2">
        <v>10.0</v>
      </c>
      <c r="N1115" s="6">
        <v>44087.0</v>
      </c>
      <c r="Q1115" s="2" t="s">
        <v>86</v>
      </c>
    </row>
    <row r="1116">
      <c r="A1116" s="2">
        <v>1115.0</v>
      </c>
      <c r="B1116" s="2" t="s">
        <v>2936</v>
      </c>
      <c r="C1116" s="2" t="s">
        <v>23</v>
      </c>
      <c r="K1116" s="2">
        <v>100.0</v>
      </c>
      <c r="N1116" s="6">
        <v>44532.0</v>
      </c>
      <c r="Q1116" s="2" t="s">
        <v>2937</v>
      </c>
    </row>
    <row r="1117">
      <c r="A1117" s="2">
        <v>1116.0</v>
      </c>
      <c r="B1117" s="2" t="s">
        <v>2938</v>
      </c>
      <c r="C1117" s="2" t="s">
        <v>23</v>
      </c>
      <c r="K1117" s="2">
        <v>10.0</v>
      </c>
      <c r="N1117" s="6">
        <v>43978.0</v>
      </c>
      <c r="Q1117" s="2" t="s">
        <v>1437</v>
      </c>
    </row>
    <row r="1118">
      <c r="A1118" s="2">
        <v>1117.0</v>
      </c>
      <c r="B1118" s="2" t="s">
        <v>2939</v>
      </c>
      <c r="C1118" s="2" t="s">
        <v>23</v>
      </c>
      <c r="K1118" s="2">
        <v>40.0</v>
      </c>
      <c r="N1118" s="6">
        <v>44399.0</v>
      </c>
      <c r="Q1118" s="2" t="s">
        <v>2940</v>
      </c>
    </row>
    <row r="1119">
      <c r="A1119" s="2">
        <v>1118.0</v>
      </c>
      <c r="B1119" s="2" t="s">
        <v>2941</v>
      </c>
      <c r="C1119" s="2" t="s">
        <v>23</v>
      </c>
      <c r="K1119" s="2">
        <v>100.0</v>
      </c>
      <c r="N1119" s="6">
        <v>44005.0</v>
      </c>
      <c r="Q1119" s="2" t="s">
        <v>86</v>
      </c>
    </row>
    <row r="1120">
      <c r="A1120" s="2">
        <v>1119.0</v>
      </c>
      <c r="B1120" s="2" t="s">
        <v>2942</v>
      </c>
      <c r="C1120" s="2" t="s">
        <v>23</v>
      </c>
      <c r="K1120" s="2">
        <v>40.0</v>
      </c>
      <c r="N1120" s="6">
        <v>45440.0</v>
      </c>
      <c r="Q1120" s="2" t="s">
        <v>2943</v>
      </c>
    </row>
    <row r="1121">
      <c r="A1121" s="2">
        <v>1120.0</v>
      </c>
      <c r="B1121" s="2" t="s">
        <v>2944</v>
      </c>
      <c r="C1121" s="2" t="s">
        <v>23</v>
      </c>
      <c r="N1121" s="6">
        <v>45564.0</v>
      </c>
      <c r="Q1121" s="2" t="s">
        <v>2541</v>
      </c>
    </row>
    <row r="1122">
      <c r="A1122" s="2">
        <v>1121.0</v>
      </c>
      <c r="B1122" s="2" t="s">
        <v>2945</v>
      </c>
      <c r="C1122" s="2" t="s">
        <v>23</v>
      </c>
      <c r="N1122" s="6">
        <v>44578.0</v>
      </c>
      <c r="Q1122" s="2" t="s">
        <v>86</v>
      </c>
    </row>
    <row r="1123">
      <c r="A1123" s="2">
        <v>1122.0</v>
      </c>
      <c r="B1123" s="2" t="s">
        <v>2946</v>
      </c>
      <c r="C1123" s="2" t="s">
        <v>23</v>
      </c>
      <c r="K1123" s="2">
        <v>50.0</v>
      </c>
      <c r="N1123" s="6">
        <v>44546.0</v>
      </c>
      <c r="Q1123" s="2" t="s">
        <v>1466</v>
      </c>
    </row>
    <row r="1124">
      <c r="A1124" s="2">
        <v>1123.0</v>
      </c>
      <c r="B1124" s="2" t="s">
        <v>2947</v>
      </c>
      <c r="C1124" s="2" t="s">
        <v>23</v>
      </c>
      <c r="K1124" s="2">
        <v>20.0</v>
      </c>
      <c r="N1124" s="6">
        <v>44436.0</v>
      </c>
      <c r="Q1124" s="2" t="s">
        <v>2948</v>
      </c>
    </row>
    <row r="1125">
      <c r="A1125" s="2">
        <v>1124.0</v>
      </c>
      <c r="B1125" s="2" t="s">
        <v>2949</v>
      </c>
      <c r="C1125" s="2" t="s">
        <v>23</v>
      </c>
      <c r="N1125" s="6">
        <v>44522.0</v>
      </c>
      <c r="Q1125" s="2" t="s">
        <v>86</v>
      </c>
    </row>
    <row r="1126">
      <c r="A1126" s="2">
        <v>1125.0</v>
      </c>
      <c r="B1126" s="2" t="s">
        <v>2950</v>
      </c>
      <c r="C1126" s="2" t="s">
        <v>23</v>
      </c>
      <c r="K1126" s="2">
        <v>50.0</v>
      </c>
      <c r="N1126" s="6">
        <v>45692.0</v>
      </c>
      <c r="Q1126" s="2" t="s">
        <v>2951</v>
      </c>
    </row>
    <row r="1127">
      <c r="A1127" s="2">
        <v>1126.0</v>
      </c>
      <c r="B1127" s="2" t="s">
        <v>2952</v>
      </c>
      <c r="C1127" s="2" t="s">
        <v>23</v>
      </c>
      <c r="K1127" s="2">
        <v>80.0</v>
      </c>
      <c r="N1127" s="6">
        <v>44627.0</v>
      </c>
      <c r="Q1127" s="2" t="s">
        <v>2953</v>
      </c>
    </row>
    <row r="1128">
      <c r="A1128" s="2">
        <v>1127.0</v>
      </c>
      <c r="B1128" s="2" t="s">
        <v>2954</v>
      </c>
      <c r="C1128" s="2" t="s">
        <v>23</v>
      </c>
      <c r="N1128" s="6">
        <v>44467.0</v>
      </c>
      <c r="Q1128" s="2" t="s">
        <v>1437</v>
      </c>
    </row>
    <row r="1129">
      <c r="A1129" s="2">
        <v>1128.0</v>
      </c>
      <c r="B1129" s="2" t="s">
        <v>2955</v>
      </c>
      <c r="C1129" s="2" t="s">
        <v>23</v>
      </c>
      <c r="N1129" s="6">
        <v>45429.0</v>
      </c>
      <c r="Q1129" s="2" t="s">
        <v>2956</v>
      </c>
    </row>
    <row r="1130">
      <c r="A1130" s="2">
        <v>1129.0</v>
      </c>
      <c r="B1130" s="2" t="s">
        <v>2957</v>
      </c>
      <c r="C1130" s="2" t="s">
        <v>23</v>
      </c>
      <c r="K1130" s="2">
        <v>10.0</v>
      </c>
      <c r="N1130" s="6">
        <v>44026.0</v>
      </c>
      <c r="Q1130" s="2" t="s">
        <v>86</v>
      </c>
    </row>
    <row r="1131">
      <c r="A1131" s="2">
        <v>1130.0</v>
      </c>
      <c r="B1131" s="2" t="s">
        <v>2958</v>
      </c>
      <c r="C1131" s="2" t="s">
        <v>23</v>
      </c>
      <c r="K1131" s="2">
        <v>90.0</v>
      </c>
      <c r="N1131" s="6">
        <v>44052.0</v>
      </c>
      <c r="Q1131" s="2" t="s">
        <v>2959</v>
      </c>
    </row>
    <row r="1132">
      <c r="A1132" s="2">
        <v>1131.0</v>
      </c>
      <c r="B1132" s="2" t="s">
        <v>2960</v>
      </c>
      <c r="C1132" s="2" t="s">
        <v>23</v>
      </c>
      <c r="K1132" s="2">
        <v>50.0</v>
      </c>
      <c r="N1132" s="6">
        <v>44840.0</v>
      </c>
      <c r="Q1132" s="2" t="s">
        <v>2794</v>
      </c>
    </row>
    <row r="1133">
      <c r="A1133" s="2">
        <v>1132.0</v>
      </c>
      <c r="B1133" s="2" t="s">
        <v>2961</v>
      </c>
      <c r="C1133" s="2" t="s">
        <v>23</v>
      </c>
      <c r="K1133" s="2">
        <v>20.0</v>
      </c>
      <c r="N1133" s="6">
        <v>44140.0</v>
      </c>
      <c r="Q1133" s="2" t="s">
        <v>2962</v>
      </c>
    </row>
    <row r="1134">
      <c r="A1134" s="2">
        <v>1133.0</v>
      </c>
      <c r="B1134" s="2" t="s">
        <v>2963</v>
      </c>
      <c r="C1134" s="2" t="s">
        <v>23</v>
      </c>
      <c r="K1134" s="2">
        <v>150.0</v>
      </c>
      <c r="N1134" s="6">
        <v>45638.0</v>
      </c>
      <c r="Q1134" s="2" t="s">
        <v>2964</v>
      </c>
    </row>
    <row r="1135">
      <c r="A1135" s="2">
        <v>1134.0</v>
      </c>
      <c r="B1135" s="2" t="s">
        <v>2965</v>
      </c>
      <c r="C1135" s="2" t="s">
        <v>23</v>
      </c>
      <c r="K1135" s="2">
        <v>80.0</v>
      </c>
      <c r="N1135" s="6">
        <v>45076.0</v>
      </c>
      <c r="Q1135" s="2" t="s">
        <v>2966</v>
      </c>
    </row>
    <row r="1136">
      <c r="A1136" s="2">
        <v>1135.0</v>
      </c>
      <c r="B1136" s="2" t="s">
        <v>2967</v>
      </c>
      <c r="C1136" s="2" t="s">
        <v>23</v>
      </c>
      <c r="K1136" s="2">
        <v>10.0</v>
      </c>
      <c r="N1136" s="6">
        <v>44092.0</v>
      </c>
      <c r="Q1136" s="2" t="s">
        <v>1425</v>
      </c>
    </row>
    <row r="1137">
      <c r="A1137" s="2">
        <v>1136.0</v>
      </c>
      <c r="B1137" s="2" t="s">
        <v>2968</v>
      </c>
      <c r="C1137" s="2" t="s">
        <v>23</v>
      </c>
      <c r="K1137" s="2">
        <v>20.0</v>
      </c>
      <c r="N1137" s="6">
        <v>44574.0</v>
      </c>
      <c r="Q1137" s="2" t="s">
        <v>86</v>
      </c>
    </row>
    <row r="1138">
      <c r="A1138" s="2">
        <v>1137.0</v>
      </c>
      <c r="B1138" s="2" t="s">
        <v>2969</v>
      </c>
      <c r="C1138" s="2" t="s">
        <v>23</v>
      </c>
      <c r="K1138" s="2">
        <v>80.0</v>
      </c>
      <c r="N1138" s="6">
        <v>43917.0</v>
      </c>
      <c r="Q1138" s="2" t="s">
        <v>86</v>
      </c>
    </row>
    <row r="1139">
      <c r="A1139" s="2">
        <v>1138.0</v>
      </c>
      <c r="B1139" s="2" t="s">
        <v>2970</v>
      </c>
      <c r="C1139" s="2" t="s">
        <v>23</v>
      </c>
      <c r="K1139" s="2">
        <v>150.0</v>
      </c>
      <c r="N1139" s="6">
        <v>44273.0</v>
      </c>
      <c r="Q1139" s="2" t="s">
        <v>1249</v>
      </c>
    </row>
    <row r="1140">
      <c r="A1140" s="2">
        <v>1139.0</v>
      </c>
      <c r="B1140" s="2" t="s">
        <v>2971</v>
      </c>
      <c r="C1140" s="2" t="s">
        <v>23</v>
      </c>
      <c r="N1140" s="6">
        <v>43900.0</v>
      </c>
      <c r="Q1140" s="2" t="s">
        <v>86</v>
      </c>
    </row>
    <row r="1141">
      <c r="A1141" s="2">
        <v>1140.0</v>
      </c>
      <c r="B1141" s="2" t="s">
        <v>2972</v>
      </c>
      <c r="C1141" s="2" t="s">
        <v>23</v>
      </c>
      <c r="K1141" s="2">
        <v>30.0</v>
      </c>
      <c r="N1141" s="6">
        <v>43876.0</v>
      </c>
      <c r="Q1141" s="2" t="s">
        <v>86</v>
      </c>
    </row>
    <row r="1142">
      <c r="A1142" s="2">
        <v>1141.0</v>
      </c>
      <c r="B1142" s="2" t="s">
        <v>2973</v>
      </c>
      <c r="C1142" s="2" t="s">
        <v>23</v>
      </c>
      <c r="K1142" s="2">
        <v>150.0</v>
      </c>
      <c r="N1142" s="6">
        <v>44133.0</v>
      </c>
      <c r="Q1142" s="2" t="s">
        <v>1801</v>
      </c>
    </row>
    <row r="1143">
      <c r="A1143" s="2">
        <v>1142.0</v>
      </c>
      <c r="B1143" s="2" t="s">
        <v>2974</v>
      </c>
      <c r="C1143" s="2" t="s">
        <v>23</v>
      </c>
      <c r="K1143" s="2">
        <v>10.0</v>
      </c>
      <c r="N1143" s="6">
        <v>44021.0</v>
      </c>
      <c r="Q1143" s="2" t="s">
        <v>2975</v>
      </c>
    </row>
    <row r="1144">
      <c r="A1144" s="2">
        <v>1143.0</v>
      </c>
      <c r="B1144" s="2" t="s">
        <v>2976</v>
      </c>
      <c r="C1144" s="2" t="s">
        <v>23</v>
      </c>
      <c r="K1144" s="2">
        <v>10.0</v>
      </c>
      <c r="N1144" s="6">
        <v>44197.0</v>
      </c>
      <c r="Q1144" s="2" t="s">
        <v>2977</v>
      </c>
    </row>
    <row r="1145">
      <c r="A1145" s="2">
        <v>1144.0</v>
      </c>
      <c r="B1145" s="2" t="s">
        <v>2978</v>
      </c>
      <c r="C1145" s="2" t="s">
        <v>23</v>
      </c>
      <c r="K1145" s="2">
        <v>10.0</v>
      </c>
      <c r="N1145" s="6">
        <v>45732.0</v>
      </c>
      <c r="Q1145" s="2" t="s">
        <v>2979</v>
      </c>
    </row>
    <row r="1146">
      <c r="A1146" s="2">
        <v>1145.0</v>
      </c>
      <c r="B1146" s="2" t="s">
        <v>2980</v>
      </c>
      <c r="C1146" s="2" t="s">
        <v>23</v>
      </c>
      <c r="K1146" s="2">
        <v>20.0</v>
      </c>
      <c r="N1146" s="6">
        <v>44383.0</v>
      </c>
      <c r="Q1146" s="2" t="s">
        <v>1116</v>
      </c>
    </row>
    <row r="1147">
      <c r="A1147" s="2">
        <v>1146.0</v>
      </c>
      <c r="B1147" s="2" t="s">
        <v>2981</v>
      </c>
      <c r="C1147" s="2" t="s">
        <v>23</v>
      </c>
      <c r="N1147" s="6">
        <v>44753.0</v>
      </c>
      <c r="Q1147" s="2" t="s">
        <v>86</v>
      </c>
    </row>
    <row r="1148">
      <c r="A1148" s="2">
        <v>1147.0</v>
      </c>
      <c r="B1148" s="2" t="s">
        <v>2982</v>
      </c>
      <c r="C1148" s="2" t="s">
        <v>23</v>
      </c>
      <c r="N1148" s="6">
        <v>44683.0</v>
      </c>
      <c r="Q1148" s="2" t="s">
        <v>86</v>
      </c>
    </row>
    <row r="1149">
      <c r="A1149" s="2">
        <v>1148.0</v>
      </c>
      <c r="B1149" s="2" t="s">
        <v>2983</v>
      </c>
      <c r="C1149" s="2" t="s">
        <v>23</v>
      </c>
      <c r="N1149" s="6">
        <v>44212.0</v>
      </c>
      <c r="Q1149" s="2" t="s">
        <v>86</v>
      </c>
    </row>
    <row r="1150">
      <c r="A1150" s="2">
        <v>1149.0</v>
      </c>
      <c r="B1150" s="2" t="s">
        <v>2984</v>
      </c>
      <c r="C1150" s="2" t="s">
        <v>23</v>
      </c>
      <c r="N1150" s="6">
        <v>45904.0</v>
      </c>
      <c r="Q1150" s="2" t="s">
        <v>2985</v>
      </c>
    </row>
    <row r="1151">
      <c r="A1151" s="2">
        <v>1150.0</v>
      </c>
      <c r="B1151" s="2" t="s">
        <v>2986</v>
      </c>
      <c r="C1151" s="2" t="s">
        <v>23</v>
      </c>
      <c r="K1151" s="2">
        <v>30.0</v>
      </c>
      <c r="N1151" s="6">
        <v>44651.0</v>
      </c>
      <c r="Q1151" s="2" t="s">
        <v>86</v>
      </c>
    </row>
    <row r="1152">
      <c r="A1152" s="2">
        <v>1151.0</v>
      </c>
      <c r="B1152" s="2" t="s">
        <v>2987</v>
      </c>
      <c r="C1152" s="2" t="s">
        <v>23</v>
      </c>
      <c r="N1152" s="6">
        <v>44995.0</v>
      </c>
      <c r="Q1152" s="2" t="s">
        <v>2988</v>
      </c>
    </row>
    <row r="1153">
      <c r="A1153" s="2">
        <v>1152.0</v>
      </c>
      <c r="B1153" s="2" t="s">
        <v>2989</v>
      </c>
      <c r="C1153" s="2" t="s">
        <v>23</v>
      </c>
      <c r="K1153" s="2">
        <v>10.0</v>
      </c>
      <c r="N1153" s="6">
        <v>46071.0</v>
      </c>
      <c r="Q1153" s="2" t="s">
        <v>2990</v>
      </c>
    </row>
    <row r="1154">
      <c r="A1154" s="2">
        <v>1153.0</v>
      </c>
      <c r="B1154" s="2" t="s">
        <v>2991</v>
      </c>
      <c r="C1154" s="2" t="s">
        <v>23</v>
      </c>
      <c r="K1154" s="2">
        <v>50.0</v>
      </c>
      <c r="N1154" s="6">
        <v>45768.0</v>
      </c>
      <c r="Q1154" s="2" t="s">
        <v>2992</v>
      </c>
    </row>
    <row r="1155">
      <c r="A1155" s="2">
        <v>1154.0</v>
      </c>
      <c r="B1155" s="2" t="s">
        <v>2993</v>
      </c>
      <c r="C1155" s="2" t="s">
        <v>23</v>
      </c>
      <c r="K1155" s="2">
        <v>50.0</v>
      </c>
      <c r="N1155" s="6">
        <v>44348.0</v>
      </c>
      <c r="Q1155" s="2" t="s">
        <v>2994</v>
      </c>
    </row>
    <row r="1156">
      <c r="A1156" s="2">
        <v>1155.0</v>
      </c>
      <c r="B1156" s="2" t="s">
        <v>2995</v>
      </c>
      <c r="C1156" s="2" t="s">
        <v>23</v>
      </c>
      <c r="N1156" s="6">
        <v>44781.0</v>
      </c>
      <c r="Q1156" s="2" t="s">
        <v>86</v>
      </c>
    </row>
    <row r="1157">
      <c r="A1157" s="2">
        <v>1156.0</v>
      </c>
      <c r="B1157" s="2" t="s">
        <v>2996</v>
      </c>
      <c r="C1157" s="2" t="s">
        <v>23</v>
      </c>
      <c r="K1157" s="2">
        <v>600.0</v>
      </c>
      <c r="N1157" s="6">
        <v>44272.0</v>
      </c>
      <c r="Q1157" s="2" t="s">
        <v>2997</v>
      </c>
    </row>
    <row r="1158">
      <c r="A1158" s="2">
        <v>1157.0</v>
      </c>
      <c r="B1158" s="2" t="s">
        <v>2998</v>
      </c>
      <c r="C1158" s="2" t="s">
        <v>23</v>
      </c>
      <c r="K1158" s="2">
        <v>50.0</v>
      </c>
      <c r="N1158" s="6">
        <v>44619.0</v>
      </c>
      <c r="Q1158" s="2" t="s">
        <v>2820</v>
      </c>
    </row>
    <row r="1159">
      <c r="A1159" s="2">
        <v>1158.0</v>
      </c>
      <c r="B1159" s="2" t="s">
        <v>2999</v>
      </c>
      <c r="C1159" s="2" t="s">
        <v>23</v>
      </c>
      <c r="K1159" s="2">
        <v>20.0</v>
      </c>
      <c r="N1159" s="6">
        <v>42850.0</v>
      </c>
      <c r="Q1159" s="2" t="s">
        <v>86</v>
      </c>
    </row>
    <row r="1160">
      <c r="A1160" s="2">
        <v>1159.0</v>
      </c>
      <c r="B1160" s="2" t="s">
        <v>3000</v>
      </c>
      <c r="C1160" s="2" t="s">
        <v>23</v>
      </c>
      <c r="K1160" s="2">
        <v>30.0</v>
      </c>
      <c r="N1160" s="6">
        <v>45718.0</v>
      </c>
      <c r="Q1160" s="2" t="s">
        <v>3001</v>
      </c>
    </row>
    <row r="1161">
      <c r="A1161" s="2">
        <v>1160.0</v>
      </c>
      <c r="B1161" s="2" t="s">
        <v>3002</v>
      </c>
      <c r="C1161" s="2" t="s">
        <v>23</v>
      </c>
      <c r="K1161" s="2">
        <v>20.0</v>
      </c>
      <c r="N1161" s="6">
        <v>43928.0</v>
      </c>
      <c r="Q1161" s="2" t="s">
        <v>3003</v>
      </c>
    </row>
    <row r="1162">
      <c r="A1162" s="2">
        <v>1161.0</v>
      </c>
      <c r="B1162" s="2" t="s">
        <v>3004</v>
      </c>
      <c r="C1162" s="2" t="s">
        <v>23</v>
      </c>
      <c r="K1162" s="2">
        <v>150.0</v>
      </c>
      <c r="N1162" s="6">
        <v>44426.0</v>
      </c>
      <c r="Q1162" s="2" t="s">
        <v>3005</v>
      </c>
    </row>
    <row r="1163">
      <c r="A1163" s="2">
        <v>1162.0</v>
      </c>
      <c r="B1163" s="2" t="s">
        <v>3006</v>
      </c>
      <c r="C1163" s="2" t="s">
        <v>23</v>
      </c>
      <c r="K1163" s="2">
        <v>10.0</v>
      </c>
      <c r="N1163" s="6">
        <v>43275.0</v>
      </c>
      <c r="Q1163" s="2" t="s">
        <v>3007</v>
      </c>
    </row>
    <row r="1164">
      <c r="A1164" s="2">
        <v>1163.0</v>
      </c>
      <c r="B1164" s="2" t="s">
        <v>3008</v>
      </c>
      <c r="C1164" s="2" t="s">
        <v>23</v>
      </c>
      <c r="K1164" s="2">
        <v>100.0</v>
      </c>
      <c r="N1164" s="6">
        <v>44379.0</v>
      </c>
      <c r="Q1164" s="2" t="s">
        <v>3009</v>
      </c>
    </row>
    <row r="1165">
      <c r="A1165" s="2">
        <v>1164.0</v>
      </c>
      <c r="B1165" s="2" t="s">
        <v>3010</v>
      </c>
      <c r="C1165" s="2" t="s">
        <v>23</v>
      </c>
      <c r="N1165" s="6">
        <v>44698.0</v>
      </c>
      <c r="Q1165" s="2" t="s">
        <v>86</v>
      </c>
    </row>
    <row r="1166">
      <c r="A1166" s="2">
        <v>1165.0</v>
      </c>
      <c r="B1166" s="2" t="s">
        <v>3011</v>
      </c>
      <c r="C1166" s="2" t="s">
        <v>23</v>
      </c>
      <c r="K1166" s="2">
        <v>100.0</v>
      </c>
      <c r="N1166" s="6">
        <v>45006.0</v>
      </c>
      <c r="Q1166" s="2" t="s">
        <v>3012</v>
      </c>
    </row>
    <row r="1167">
      <c r="A1167" s="2">
        <v>1166.0</v>
      </c>
      <c r="B1167" s="2" t="s">
        <v>3013</v>
      </c>
      <c r="C1167" s="2" t="s">
        <v>23</v>
      </c>
      <c r="N1167" s="6">
        <v>44011.0</v>
      </c>
      <c r="Q1167" s="2" t="s">
        <v>86</v>
      </c>
    </row>
    <row r="1168">
      <c r="A1168" s="2">
        <v>1167.0</v>
      </c>
      <c r="B1168" s="2" t="s">
        <v>3014</v>
      </c>
      <c r="C1168" s="2" t="s">
        <v>23</v>
      </c>
      <c r="N1168" s="6">
        <v>45790.0</v>
      </c>
      <c r="Q1168" s="2" t="s">
        <v>3015</v>
      </c>
    </row>
    <row r="1169">
      <c r="A1169" s="2">
        <v>1168.0</v>
      </c>
      <c r="B1169" s="2" t="s">
        <v>3016</v>
      </c>
      <c r="C1169" s="2" t="s">
        <v>23</v>
      </c>
      <c r="K1169" s="2">
        <v>40.0</v>
      </c>
      <c r="N1169" s="6">
        <v>45584.0</v>
      </c>
      <c r="Q1169" s="2" t="s">
        <v>3017</v>
      </c>
    </row>
    <row r="1170">
      <c r="A1170" s="2">
        <v>1169.0</v>
      </c>
      <c r="B1170" s="2" t="s">
        <v>3018</v>
      </c>
      <c r="C1170" s="2" t="s">
        <v>23</v>
      </c>
      <c r="K1170" s="2">
        <v>50.0</v>
      </c>
      <c r="N1170" s="6">
        <v>45659.0</v>
      </c>
      <c r="Q1170" s="2" t="s">
        <v>3019</v>
      </c>
    </row>
    <row r="1171">
      <c r="A1171" s="2">
        <v>1170.0</v>
      </c>
      <c r="B1171" s="2" t="s">
        <v>3020</v>
      </c>
      <c r="C1171" s="2" t="s">
        <v>23</v>
      </c>
      <c r="K1171" s="2">
        <v>50.0</v>
      </c>
      <c r="N1171" s="6">
        <v>45808.0</v>
      </c>
      <c r="Q1171" s="2" t="s">
        <v>3021</v>
      </c>
    </row>
    <row r="1172">
      <c r="A1172" s="2">
        <v>1171.0</v>
      </c>
      <c r="B1172" s="2" t="s">
        <v>3022</v>
      </c>
      <c r="C1172" s="2" t="s">
        <v>23</v>
      </c>
      <c r="K1172" s="2">
        <v>60.0</v>
      </c>
      <c r="N1172" s="6">
        <v>45709.0</v>
      </c>
      <c r="Q1172" s="2" t="s">
        <v>3023</v>
      </c>
    </row>
    <row r="1173">
      <c r="A1173" s="2">
        <v>1172.0</v>
      </c>
      <c r="B1173" s="2" t="s">
        <v>3024</v>
      </c>
      <c r="C1173" s="2" t="s">
        <v>23</v>
      </c>
      <c r="K1173" s="2">
        <v>100.0</v>
      </c>
      <c r="N1173" s="6">
        <v>45065.0</v>
      </c>
      <c r="Q1173" s="2" t="s">
        <v>3025</v>
      </c>
    </row>
    <row r="1174">
      <c r="A1174" s="2">
        <v>1173.0</v>
      </c>
      <c r="B1174" s="2" t="s">
        <v>3026</v>
      </c>
      <c r="C1174" s="2" t="s">
        <v>23</v>
      </c>
      <c r="F1174" s="2">
        <v>0.01</v>
      </c>
      <c r="N1174" s="6">
        <v>42537.0</v>
      </c>
      <c r="O1174" s="2" t="s">
        <v>226</v>
      </c>
      <c r="P1174" s="2" t="s">
        <v>36</v>
      </c>
      <c r="Q1174" s="2" t="s">
        <v>86</v>
      </c>
      <c r="S1174" s="2" t="s">
        <v>39</v>
      </c>
    </row>
    <row r="1175">
      <c r="A1175" s="2">
        <v>1174.0</v>
      </c>
      <c r="B1175" s="2" t="s">
        <v>3027</v>
      </c>
      <c r="C1175" s="2" t="s">
        <v>23</v>
      </c>
      <c r="N1175" s="6">
        <v>44809.0</v>
      </c>
      <c r="Q1175" s="2" t="s">
        <v>86</v>
      </c>
    </row>
    <row r="1176">
      <c r="A1176" s="2">
        <v>1175.0</v>
      </c>
      <c r="B1176" s="2" t="s">
        <v>3028</v>
      </c>
      <c r="C1176" s="2" t="s">
        <v>23</v>
      </c>
      <c r="N1176" s="6">
        <v>44339.0</v>
      </c>
      <c r="Q1176" s="2" t="s">
        <v>3029</v>
      </c>
    </row>
    <row r="1177">
      <c r="A1177" s="2">
        <v>1176.0</v>
      </c>
      <c r="B1177" s="2" t="s">
        <v>3030</v>
      </c>
      <c r="C1177" s="2" t="s">
        <v>23</v>
      </c>
      <c r="N1177" s="6">
        <v>42558.0</v>
      </c>
      <c r="Q1177" s="2" t="s">
        <v>86</v>
      </c>
    </row>
    <row r="1178">
      <c r="A1178" s="2">
        <v>1177.0</v>
      </c>
      <c r="B1178" s="2" t="s">
        <v>3031</v>
      </c>
      <c r="C1178" s="2" t="s">
        <v>23</v>
      </c>
      <c r="K1178" s="2">
        <v>30.0</v>
      </c>
      <c r="N1178" s="6">
        <v>43977.0</v>
      </c>
      <c r="Q1178" s="2" t="s">
        <v>3032</v>
      </c>
    </row>
    <row r="1179">
      <c r="A1179" s="2">
        <v>1178.0</v>
      </c>
      <c r="B1179" s="2" t="s">
        <v>3033</v>
      </c>
      <c r="C1179" s="2" t="s">
        <v>23</v>
      </c>
      <c r="K1179" s="2">
        <v>60.0</v>
      </c>
      <c r="N1179" s="6">
        <v>44295.0</v>
      </c>
      <c r="Q1179" s="2" t="s">
        <v>1116</v>
      </c>
    </row>
    <row r="1180">
      <c r="A1180" s="2">
        <v>1179.0</v>
      </c>
      <c r="B1180" s="2" t="s">
        <v>3034</v>
      </c>
      <c r="C1180" s="2" t="s">
        <v>23</v>
      </c>
      <c r="N1180" s="6">
        <v>44471.0</v>
      </c>
      <c r="Q1180" s="2" t="s">
        <v>86</v>
      </c>
    </row>
    <row r="1181">
      <c r="A1181" s="2">
        <v>1180.0</v>
      </c>
      <c r="B1181" s="2" t="s">
        <v>3035</v>
      </c>
      <c r="C1181" s="2" t="s">
        <v>23</v>
      </c>
      <c r="N1181" s="6">
        <v>43848.0</v>
      </c>
      <c r="Q1181" s="2" t="s">
        <v>86</v>
      </c>
    </row>
    <row r="1182">
      <c r="A1182" s="2">
        <v>1181.0</v>
      </c>
      <c r="B1182" s="2" t="s">
        <v>3036</v>
      </c>
      <c r="C1182" s="2" t="s">
        <v>23</v>
      </c>
      <c r="N1182" s="6">
        <v>44573.0</v>
      </c>
      <c r="Q1182" s="2" t="s">
        <v>1156</v>
      </c>
    </row>
    <row r="1183">
      <c r="A1183" s="2">
        <v>1182.0</v>
      </c>
      <c r="B1183" s="2" t="s">
        <v>3037</v>
      </c>
      <c r="C1183" s="2" t="s">
        <v>23</v>
      </c>
      <c r="K1183" s="2">
        <v>100.0</v>
      </c>
      <c r="N1183" s="6">
        <v>43886.0</v>
      </c>
      <c r="Q1183" s="2" t="s">
        <v>3038</v>
      </c>
    </row>
    <row r="1184">
      <c r="A1184" s="2">
        <v>1183.0</v>
      </c>
      <c r="B1184" s="2" t="s">
        <v>3039</v>
      </c>
      <c r="C1184" s="2" t="s">
        <v>23</v>
      </c>
      <c r="K1184" s="2">
        <v>60.0</v>
      </c>
      <c r="N1184" s="6">
        <v>42395.0</v>
      </c>
      <c r="Q1184" s="2" t="s">
        <v>3040</v>
      </c>
    </row>
    <row r="1185">
      <c r="A1185" s="2">
        <v>1184.0</v>
      </c>
      <c r="B1185" s="2" t="s">
        <v>3041</v>
      </c>
      <c r="C1185" s="2" t="s">
        <v>23</v>
      </c>
      <c r="K1185" s="2">
        <v>450.0</v>
      </c>
      <c r="N1185" s="6">
        <v>43997.0</v>
      </c>
      <c r="Q1185" s="2" t="s">
        <v>3042</v>
      </c>
    </row>
    <row r="1186">
      <c r="A1186" s="2">
        <v>1185.0</v>
      </c>
      <c r="B1186" s="2" t="s">
        <v>3043</v>
      </c>
      <c r="C1186" s="2" t="s">
        <v>23</v>
      </c>
      <c r="K1186" s="2">
        <v>10.0</v>
      </c>
      <c r="N1186" s="6">
        <v>42804.0</v>
      </c>
      <c r="Q1186" s="2" t="s">
        <v>3044</v>
      </c>
    </row>
    <row r="1187">
      <c r="A1187" s="2">
        <v>1186.0</v>
      </c>
      <c r="B1187" s="2" t="s">
        <v>3045</v>
      </c>
      <c r="C1187" s="2" t="s">
        <v>23</v>
      </c>
      <c r="K1187" s="2">
        <v>10.0</v>
      </c>
      <c r="N1187" s="6">
        <v>45842.0</v>
      </c>
      <c r="Q1187" s="2" t="s">
        <v>3046</v>
      </c>
    </row>
    <row r="1188">
      <c r="A1188" s="2">
        <v>1187.0</v>
      </c>
      <c r="B1188" s="2" t="s">
        <v>3047</v>
      </c>
      <c r="C1188" s="2" t="s">
        <v>23</v>
      </c>
      <c r="K1188" s="2">
        <v>80.0</v>
      </c>
      <c r="N1188" s="6">
        <v>44702.0</v>
      </c>
      <c r="Q1188" s="2" t="s">
        <v>86</v>
      </c>
    </row>
    <row r="1189">
      <c r="A1189" s="2">
        <v>1188.0</v>
      </c>
      <c r="B1189" s="2" t="s">
        <v>3048</v>
      </c>
      <c r="C1189" s="2" t="s">
        <v>23</v>
      </c>
      <c r="N1189" s="6">
        <v>44134.0</v>
      </c>
      <c r="Q1189" s="2" t="s">
        <v>86</v>
      </c>
    </row>
    <row r="1190">
      <c r="A1190" s="2">
        <v>1189.0</v>
      </c>
      <c r="B1190" s="2" t="s">
        <v>3049</v>
      </c>
      <c r="C1190" s="2" t="s">
        <v>23</v>
      </c>
      <c r="K1190" s="2">
        <v>150.0</v>
      </c>
      <c r="N1190" s="6">
        <v>43890.0</v>
      </c>
      <c r="Q1190" s="2" t="s">
        <v>3050</v>
      </c>
    </row>
    <row r="1191">
      <c r="A1191" s="2">
        <v>1190.0</v>
      </c>
      <c r="B1191" s="2" t="s">
        <v>3051</v>
      </c>
      <c r="C1191" s="2" t="s">
        <v>23</v>
      </c>
      <c r="K1191" s="2">
        <v>10.0</v>
      </c>
      <c r="N1191" s="6">
        <v>44642.0</v>
      </c>
      <c r="Q1191" s="2" t="s">
        <v>86</v>
      </c>
    </row>
    <row r="1192">
      <c r="A1192" s="2">
        <v>1191.0</v>
      </c>
      <c r="B1192" s="2" t="s">
        <v>3052</v>
      </c>
      <c r="C1192" s="2" t="s">
        <v>23</v>
      </c>
      <c r="N1192" s="6">
        <v>44680.0</v>
      </c>
      <c r="Q1192" s="2" t="s">
        <v>86</v>
      </c>
    </row>
    <row r="1193">
      <c r="A1193" s="2">
        <v>1192.0</v>
      </c>
      <c r="B1193" s="2" t="s">
        <v>3053</v>
      </c>
      <c r="C1193" s="2" t="s">
        <v>23</v>
      </c>
      <c r="K1193" s="2">
        <v>10.0</v>
      </c>
      <c r="N1193" s="6">
        <v>45445.0</v>
      </c>
      <c r="Q1193" s="2" t="s">
        <v>3054</v>
      </c>
    </row>
    <row r="1194">
      <c r="A1194" s="2">
        <v>1193.0</v>
      </c>
      <c r="B1194" s="2" t="s">
        <v>3055</v>
      </c>
      <c r="C1194" s="2" t="s">
        <v>23</v>
      </c>
      <c r="N1194" s="6">
        <v>44725.0</v>
      </c>
      <c r="Q1194" s="2" t="s">
        <v>86</v>
      </c>
    </row>
    <row r="1195">
      <c r="A1195" s="2">
        <v>1194.0</v>
      </c>
      <c r="B1195" s="2" t="s">
        <v>3056</v>
      </c>
      <c r="C1195" s="2" t="s">
        <v>23</v>
      </c>
      <c r="K1195" s="2">
        <v>40.0</v>
      </c>
      <c r="N1195" s="6">
        <v>44657.0</v>
      </c>
      <c r="Q1195" s="2" t="s">
        <v>491</v>
      </c>
    </row>
    <row r="1196">
      <c r="A1196" s="2">
        <v>1195.0</v>
      </c>
      <c r="B1196" s="2" t="s">
        <v>3057</v>
      </c>
      <c r="C1196" s="2" t="s">
        <v>23</v>
      </c>
      <c r="K1196" s="2">
        <v>40.0</v>
      </c>
      <c r="N1196" s="6">
        <v>43993.0</v>
      </c>
      <c r="Q1196" s="2" t="s">
        <v>3058</v>
      </c>
    </row>
    <row r="1197">
      <c r="A1197" s="2">
        <v>1196.0</v>
      </c>
      <c r="B1197" s="2" t="s">
        <v>3059</v>
      </c>
      <c r="C1197" s="2" t="s">
        <v>23</v>
      </c>
      <c r="K1197" s="2">
        <v>40.0</v>
      </c>
      <c r="N1197" s="6">
        <v>44264.0</v>
      </c>
      <c r="Q1197" s="2" t="s">
        <v>3060</v>
      </c>
    </row>
    <row r="1198">
      <c r="A1198" s="2">
        <v>1197.0</v>
      </c>
      <c r="B1198" s="2" t="s">
        <v>3061</v>
      </c>
      <c r="C1198" s="2" t="s">
        <v>23</v>
      </c>
      <c r="K1198" s="2">
        <v>70.0</v>
      </c>
      <c r="N1198" s="6">
        <v>42584.0</v>
      </c>
      <c r="Q1198" s="2" t="s">
        <v>3062</v>
      </c>
    </row>
    <row r="1199">
      <c r="A1199" s="2">
        <v>1198.0</v>
      </c>
      <c r="B1199" s="2" t="s">
        <v>3063</v>
      </c>
      <c r="C1199" s="2" t="s">
        <v>23</v>
      </c>
      <c r="K1199" s="2">
        <v>30.0</v>
      </c>
      <c r="N1199" s="6">
        <v>45804.0</v>
      </c>
      <c r="Q1199" s="2" t="s">
        <v>3064</v>
      </c>
    </row>
    <row r="1200">
      <c r="A1200" s="2">
        <v>1199.0</v>
      </c>
      <c r="B1200" s="2" t="s">
        <v>3065</v>
      </c>
      <c r="C1200" s="2" t="s">
        <v>23</v>
      </c>
      <c r="K1200" s="2">
        <v>20.0</v>
      </c>
      <c r="N1200" s="6">
        <v>44614.0</v>
      </c>
      <c r="Q1200" s="2" t="s">
        <v>86</v>
      </c>
    </row>
    <row r="1201">
      <c r="A1201" s="2">
        <v>1200.0</v>
      </c>
      <c r="B1201" s="2" t="s">
        <v>3066</v>
      </c>
      <c r="C1201" s="2" t="s">
        <v>23</v>
      </c>
      <c r="N1201" s="6">
        <v>44001.0</v>
      </c>
      <c r="Q1201" s="2" t="s">
        <v>86</v>
      </c>
    </row>
    <row r="1202">
      <c r="A1202" s="2">
        <v>1201.0</v>
      </c>
      <c r="B1202" s="2" t="s">
        <v>3067</v>
      </c>
      <c r="C1202" s="2" t="s">
        <v>23</v>
      </c>
      <c r="K1202" s="2">
        <v>20.0</v>
      </c>
      <c r="N1202" s="6">
        <v>46077.0</v>
      </c>
      <c r="Q1202" s="2" t="s">
        <v>3068</v>
      </c>
    </row>
    <row r="1203">
      <c r="A1203" s="2">
        <v>1202.0</v>
      </c>
      <c r="B1203" s="2" t="s">
        <v>3069</v>
      </c>
      <c r="C1203" s="2" t="s">
        <v>23</v>
      </c>
      <c r="N1203" s="6">
        <v>42499.0</v>
      </c>
      <c r="Q1203" s="2" t="s">
        <v>86</v>
      </c>
    </row>
    <row r="1204">
      <c r="A1204" s="2">
        <v>1203.0</v>
      </c>
      <c r="B1204" s="2" t="s">
        <v>3070</v>
      </c>
      <c r="C1204" s="2" t="s">
        <v>23</v>
      </c>
      <c r="K1204" s="2">
        <v>100.0</v>
      </c>
      <c r="N1204" s="6">
        <v>44449.0</v>
      </c>
      <c r="Q1204" s="2" t="s">
        <v>3071</v>
      </c>
    </row>
    <row r="1205">
      <c r="A1205" s="2">
        <v>1204.0</v>
      </c>
      <c r="B1205" s="2" t="s">
        <v>3072</v>
      </c>
      <c r="C1205" s="2" t="s">
        <v>23</v>
      </c>
      <c r="K1205" s="2">
        <v>1000.0</v>
      </c>
      <c r="N1205" s="6">
        <v>43989.0</v>
      </c>
      <c r="Q1205" s="2" t="s">
        <v>3073</v>
      </c>
    </row>
    <row r="1206">
      <c r="A1206" s="2">
        <v>1205.0</v>
      </c>
      <c r="B1206" s="2" t="s">
        <v>3074</v>
      </c>
      <c r="C1206" s="2" t="s">
        <v>23</v>
      </c>
      <c r="K1206" s="2">
        <v>20.0</v>
      </c>
      <c r="N1206" s="6">
        <v>43843.0</v>
      </c>
      <c r="Q1206" s="2" t="s">
        <v>3075</v>
      </c>
    </row>
    <row r="1207">
      <c r="A1207" s="2">
        <v>1206.0</v>
      </c>
      <c r="B1207" s="2" t="s">
        <v>3076</v>
      </c>
      <c r="C1207" s="2" t="s">
        <v>23</v>
      </c>
      <c r="K1207" s="2">
        <v>40.0</v>
      </c>
      <c r="N1207" s="6">
        <v>45735.0</v>
      </c>
      <c r="Q1207" s="2" t="s">
        <v>2258</v>
      </c>
    </row>
    <row r="1208">
      <c r="A1208" s="2">
        <v>1207.0</v>
      </c>
      <c r="B1208" s="2" t="s">
        <v>3077</v>
      </c>
      <c r="C1208" s="2" t="s">
        <v>23</v>
      </c>
      <c r="K1208" s="2">
        <v>150.0</v>
      </c>
      <c r="N1208" s="6">
        <v>45043.0</v>
      </c>
      <c r="Q1208" s="2" t="s">
        <v>3078</v>
      </c>
    </row>
    <row r="1209">
      <c r="A1209" s="2">
        <v>1208.0</v>
      </c>
      <c r="B1209" s="2" t="s">
        <v>3079</v>
      </c>
      <c r="C1209" s="2" t="s">
        <v>23</v>
      </c>
      <c r="K1209" s="2">
        <v>60.0</v>
      </c>
      <c r="N1209" s="6">
        <v>45270.0</v>
      </c>
      <c r="Q1209" s="2" t="s">
        <v>3080</v>
      </c>
    </row>
    <row r="1210">
      <c r="A1210" s="2">
        <v>1209.0</v>
      </c>
      <c r="B1210" s="2" t="s">
        <v>3081</v>
      </c>
      <c r="C1210" s="2" t="s">
        <v>23</v>
      </c>
      <c r="K1210" s="2">
        <v>30.0</v>
      </c>
      <c r="N1210" s="6">
        <v>45012.0</v>
      </c>
      <c r="Q1210" s="2" t="s">
        <v>3082</v>
      </c>
    </row>
    <row r="1211">
      <c r="A1211" s="2">
        <v>1210.0</v>
      </c>
      <c r="B1211" s="2" t="s">
        <v>3083</v>
      </c>
      <c r="C1211" s="2" t="s">
        <v>23</v>
      </c>
      <c r="D1211" s="2">
        <v>0.0</v>
      </c>
      <c r="H1211" s="2" t="s">
        <v>204</v>
      </c>
      <c r="N1211" s="6">
        <v>42248.0</v>
      </c>
      <c r="O1211" s="2" t="s">
        <v>49</v>
      </c>
      <c r="P1211" s="2" t="s">
        <v>36</v>
      </c>
      <c r="Q1211" s="2" t="s">
        <v>86</v>
      </c>
      <c r="S1211" s="2" t="s">
        <v>730</v>
      </c>
    </row>
    <row r="1212">
      <c r="A1212" s="2">
        <v>1211.0</v>
      </c>
      <c r="B1212" s="2" t="s">
        <v>3084</v>
      </c>
      <c r="C1212" s="2" t="s">
        <v>23</v>
      </c>
      <c r="K1212" s="2">
        <v>60.0</v>
      </c>
      <c r="N1212" s="6">
        <v>45610.0</v>
      </c>
      <c r="Q1212" s="2" t="s">
        <v>3085</v>
      </c>
    </row>
    <row r="1213">
      <c r="A1213" s="2">
        <v>1212.0</v>
      </c>
      <c r="B1213" s="2" t="s">
        <v>3086</v>
      </c>
      <c r="C1213" s="2" t="s">
        <v>23</v>
      </c>
      <c r="K1213" s="2">
        <v>10.0</v>
      </c>
      <c r="N1213" s="6">
        <v>44534.0</v>
      </c>
      <c r="Q1213" s="2" t="s">
        <v>86</v>
      </c>
    </row>
    <row r="1214">
      <c r="A1214" s="2">
        <v>1213.0</v>
      </c>
      <c r="B1214" s="2" t="s">
        <v>3087</v>
      </c>
      <c r="C1214" s="2" t="s">
        <v>23</v>
      </c>
      <c r="K1214" s="2">
        <v>40.0</v>
      </c>
      <c r="N1214" s="6">
        <v>43300.0</v>
      </c>
      <c r="Q1214" s="2" t="s">
        <v>3088</v>
      </c>
    </row>
    <row r="1215">
      <c r="A1215" s="2">
        <v>1214.0</v>
      </c>
      <c r="B1215" s="2" t="s">
        <v>3089</v>
      </c>
      <c r="C1215" s="2" t="s">
        <v>23</v>
      </c>
      <c r="N1215" s="6">
        <v>45992.0</v>
      </c>
      <c r="Q1215" s="2" t="s">
        <v>3090</v>
      </c>
    </row>
    <row r="1216">
      <c r="A1216" s="2">
        <v>1215.0</v>
      </c>
      <c r="B1216" s="2" t="s">
        <v>3091</v>
      </c>
      <c r="C1216" s="2" t="s">
        <v>23</v>
      </c>
      <c r="K1216" s="2">
        <v>80.0</v>
      </c>
      <c r="N1216" s="6">
        <v>44403.0</v>
      </c>
      <c r="Q1216" s="2" t="s">
        <v>3092</v>
      </c>
    </row>
    <row r="1217">
      <c r="A1217" s="2">
        <v>1216.0</v>
      </c>
      <c r="B1217" s="2" t="s">
        <v>3093</v>
      </c>
      <c r="C1217" s="2" t="s">
        <v>23</v>
      </c>
      <c r="N1217" s="6">
        <v>44111.0</v>
      </c>
      <c r="Q1217" s="2" t="s">
        <v>86</v>
      </c>
    </row>
    <row r="1218">
      <c r="A1218" s="2">
        <v>1217.0</v>
      </c>
      <c r="B1218" s="2" t="s">
        <v>3094</v>
      </c>
      <c r="C1218" s="2" t="s">
        <v>23</v>
      </c>
      <c r="N1218" s="6">
        <v>44754.0</v>
      </c>
      <c r="Q1218" s="2" t="s">
        <v>1116</v>
      </c>
    </row>
    <row r="1219">
      <c r="A1219" s="2">
        <v>1218.0</v>
      </c>
      <c r="B1219" s="2" t="s">
        <v>3095</v>
      </c>
      <c r="C1219" s="2" t="s">
        <v>23</v>
      </c>
      <c r="K1219" s="2">
        <v>250.0</v>
      </c>
      <c r="N1219" s="6">
        <v>43889.0</v>
      </c>
      <c r="Q1219" s="2" t="s">
        <v>3096</v>
      </c>
    </row>
    <row r="1220">
      <c r="A1220" s="2">
        <v>1219.0</v>
      </c>
      <c r="B1220" s="2" t="s">
        <v>3097</v>
      </c>
      <c r="C1220" s="2" t="s">
        <v>23</v>
      </c>
      <c r="N1220" s="6">
        <v>43985.0</v>
      </c>
      <c r="Q1220" s="2" t="s">
        <v>86</v>
      </c>
    </row>
    <row r="1221">
      <c r="A1221" s="2">
        <v>1220.0</v>
      </c>
      <c r="B1221" s="2" t="s">
        <v>3098</v>
      </c>
      <c r="C1221" s="2" t="s">
        <v>23</v>
      </c>
      <c r="N1221" s="6">
        <v>44322.0</v>
      </c>
      <c r="Q1221" s="2" t="s">
        <v>86</v>
      </c>
    </row>
    <row r="1222">
      <c r="A1222" s="2">
        <v>1221.0</v>
      </c>
      <c r="B1222" s="2" t="s">
        <v>3099</v>
      </c>
      <c r="C1222" s="2" t="s">
        <v>23</v>
      </c>
      <c r="K1222" s="2">
        <v>350.0</v>
      </c>
      <c r="N1222" s="6">
        <v>43911.0</v>
      </c>
      <c r="Q1222" s="2" t="s">
        <v>3100</v>
      </c>
    </row>
    <row r="1223">
      <c r="A1223" s="2">
        <v>1222.0</v>
      </c>
      <c r="B1223" s="2" t="s">
        <v>3101</v>
      </c>
      <c r="C1223" s="2" t="s">
        <v>23</v>
      </c>
      <c r="K1223" s="2">
        <v>50.0</v>
      </c>
      <c r="N1223" s="6">
        <v>43920.0</v>
      </c>
      <c r="Q1223" s="2" t="s">
        <v>3102</v>
      </c>
    </row>
    <row r="1224">
      <c r="A1224" s="2">
        <v>1223.0</v>
      </c>
      <c r="B1224" s="2" t="s">
        <v>3103</v>
      </c>
      <c r="C1224" s="2" t="s">
        <v>23</v>
      </c>
      <c r="K1224" s="2">
        <v>200.0</v>
      </c>
      <c r="N1224" s="6">
        <v>43840.0</v>
      </c>
      <c r="Q1224" s="2" t="s">
        <v>3104</v>
      </c>
    </row>
    <row r="1225">
      <c r="A1225" s="2">
        <v>1224.0</v>
      </c>
      <c r="B1225" s="2" t="s">
        <v>3105</v>
      </c>
      <c r="C1225" s="2" t="s">
        <v>23</v>
      </c>
      <c r="N1225" s="6">
        <v>45016.0</v>
      </c>
      <c r="Q1225" s="2" t="s">
        <v>86</v>
      </c>
    </row>
    <row r="1226">
      <c r="A1226" s="2">
        <v>1225.0</v>
      </c>
      <c r="B1226" s="2" t="s">
        <v>3106</v>
      </c>
      <c r="C1226" s="2" t="s">
        <v>23</v>
      </c>
      <c r="N1226" s="6">
        <v>44263.0</v>
      </c>
      <c r="Q1226" s="2" t="s">
        <v>86</v>
      </c>
    </row>
    <row r="1227">
      <c r="A1227" s="2">
        <v>1226.0</v>
      </c>
      <c r="B1227" s="2" t="s">
        <v>3107</v>
      </c>
      <c r="C1227" s="2" t="s">
        <v>23</v>
      </c>
      <c r="K1227" s="2">
        <v>100.0</v>
      </c>
      <c r="N1227" s="6">
        <v>44293.0</v>
      </c>
      <c r="Q1227" s="2" t="s">
        <v>3108</v>
      </c>
    </row>
    <row r="1228">
      <c r="A1228" s="2">
        <v>1227.0</v>
      </c>
      <c r="B1228" s="2" t="s">
        <v>3109</v>
      </c>
      <c r="C1228" s="2" t="s">
        <v>23</v>
      </c>
      <c r="N1228" s="6">
        <v>44007.0</v>
      </c>
      <c r="Q1228" s="2" t="s">
        <v>86</v>
      </c>
    </row>
    <row r="1229">
      <c r="A1229" s="2">
        <v>1228.0</v>
      </c>
      <c r="B1229" s="2" t="s">
        <v>3110</v>
      </c>
      <c r="C1229" s="2" t="s">
        <v>23</v>
      </c>
      <c r="N1229" s="6">
        <v>45259.0</v>
      </c>
      <c r="Q1229" s="2" t="s">
        <v>86</v>
      </c>
    </row>
    <row r="1230">
      <c r="A1230" s="2">
        <v>1229.0</v>
      </c>
      <c r="B1230" s="2" t="s">
        <v>3111</v>
      </c>
      <c r="C1230" s="2" t="s">
        <v>23</v>
      </c>
      <c r="K1230" s="2">
        <v>30.0</v>
      </c>
      <c r="N1230" s="6">
        <v>45979.0</v>
      </c>
      <c r="Q1230" s="2" t="s">
        <v>3112</v>
      </c>
    </row>
    <row r="1231">
      <c r="A1231" s="2">
        <v>1230.0</v>
      </c>
      <c r="B1231" s="2" t="s">
        <v>3113</v>
      </c>
      <c r="C1231" s="2" t="s">
        <v>23</v>
      </c>
      <c r="K1231" s="2">
        <v>40.0</v>
      </c>
      <c r="N1231" s="6">
        <v>45159.0</v>
      </c>
      <c r="Q1231" s="2" t="s">
        <v>1131</v>
      </c>
    </row>
    <row r="1232">
      <c r="A1232" s="2">
        <v>1231.0</v>
      </c>
      <c r="B1232" s="2" t="s">
        <v>3114</v>
      </c>
      <c r="C1232" s="2" t="s">
        <v>23</v>
      </c>
      <c r="N1232" s="6">
        <v>44901.0</v>
      </c>
      <c r="Q1232" s="2" t="s">
        <v>86</v>
      </c>
    </row>
    <row r="1233">
      <c r="A1233" s="2">
        <v>1232.0</v>
      </c>
      <c r="B1233" s="2" t="s">
        <v>3115</v>
      </c>
      <c r="C1233" s="2" t="s">
        <v>23</v>
      </c>
      <c r="N1233" s="6">
        <v>43958.0</v>
      </c>
      <c r="Q1233" s="2" t="s">
        <v>86</v>
      </c>
    </row>
    <row r="1234">
      <c r="A1234" s="2">
        <v>1233.0</v>
      </c>
      <c r="B1234" s="2" t="s">
        <v>3116</v>
      </c>
      <c r="C1234" s="2" t="s">
        <v>23</v>
      </c>
      <c r="N1234" s="6">
        <v>45995.0</v>
      </c>
      <c r="Q1234" s="2" t="s">
        <v>3117</v>
      </c>
    </row>
    <row r="1235">
      <c r="A1235" s="2">
        <v>1234.0</v>
      </c>
      <c r="B1235" s="2" t="s">
        <v>3118</v>
      </c>
      <c r="C1235" s="2" t="s">
        <v>23</v>
      </c>
      <c r="N1235" s="6">
        <v>44647.0</v>
      </c>
      <c r="Q1235" s="2" t="s">
        <v>86</v>
      </c>
    </row>
    <row r="1236">
      <c r="A1236" s="2">
        <v>1235.0</v>
      </c>
      <c r="B1236" s="2" t="s">
        <v>3119</v>
      </c>
      <c r="C1236" s="2" t="s">
        <v>23</v>
      </c>
      <c r="N1236" s="6">
        <v>42915.0</v>
      </c>
      <c r="Q1236" s="2" t="s">
        <v>3120</v>
      </c>
    </row>
    <row r="1237">
      <c r="A1237" s="2">
        <v>1236.0</v>
      </c>
      <c r="B1237" s="2" t="s">
        <v>3121</v>
      </c>
      <c r="C1237" s="2" t="s">
        <v>23</v>
      </c>
      <c r="K1237" s="2">
        <v>20.0</v>
      </c>
      <c r="N1237" s="6">
        <v>44027.0</v>
      </c>
      <c r="Q1237" s="2" t="s">
        <v>3122</v>
      </c>
    </row>
    <row r="1238">
      <c r="A1238" s="2">
        <v>1237.0</v>
      </c>
      <c r="B1238" s="2" t="s">
        <v>3123</v>
      </c>
      <c r="C1238" s="2" t="s">
        <v>23</v>
      </c>
      <c r="K1238" s="2">
        <v>150.0</v>
      </c>
      <c r="N1238" s="6">
        <v>45093.0</v>
      </c>
      <c r="Q1238" s="2" t="s">
        <v>3124</v>
      </c>
    </row>
    <row r="1239">
      <c r="A1239" s="2">
        <v>1238.0</v>
      </c>
      <c r="B1239" s="2" t="s">
        <v>3125</v>
      </c>
      <c r="C1239" s="2" t="s">
        <v>23</v>
      </c>
      <c r="N1239" s="6">
        <v>44035.0</v>
      </c>
      <c r="Q1239" s="2" t="s">
        <v>86</v>
      </c>
    </row>
    <row r="1240">
      <c r="A1240" s="2">
        <v>1239.0</v>
      </c>
      <c r="B1240" s="2" t="s">
        <v>3126</v>
      </c>
      <c r="C1240" s="2" t="s">
        <v>23</v>
      </c>
      <c r="K1240" s="2">
        <v>40.0</v>
      </c>
      <c r="N1240" s="6">
        <v>45742.0</v>
      </c>
      <c r="Q1240" s="2" t="s">
        <v>3127</v>
      </c>
    </row>
    <row r="1241">
      <c r="A1241" s="2">
        <v>1240.0</v>
      </c>
      <c r="B1241" s="2" t="s">
        <v>3128</v>
      </c>
      <c r="C1241" s="2" t="s">
        <v>23</v>
      </c>
      <c r="K1241" s="2">
        <v>10.0</v>
      </c>
      <c r="N1241" s="6">
        <v>45007.0</v>
      </c>
      <c r="Q1241" s="2" t="s">
        <v>3129</v>
      </c>
    </row>
    <row r="1242">
      <c r="A1242" s="2">
        <v>1241.0</v>
      </c>
      <c r="B1242" s="2" t="s">
        <v>3130</v>
      </c>
      <c r="C1242" s="2" t="s">
        <v>23</v>
      </c>
      <c r="N1242" s="6">
        <v>45114.0</v>
      </c>
      <c r="Q1242" s="2" t="s">
        <v>86</v>
      </c>
    </row>
    <row r="1243">
      <c r="A1243" s="2">
        <v>1242.0</v>
      </c>
      <c r="B1243" s="2" t="s">
        <v>3131</v>
      </c>
      <c r="C1243" s="2" t="s">
        <v>23</v>
      </c>
      <c r="N1243" s="6">
        <v>45182.0</v>
      </c>
      <c r="Q1243" s="2" t="s">
        <v>86</v>
      </c>
    </row>
    <row r="1244">
      <c r="A1244" s="2">
        <v>1243.0</v>
      </c>
      <c r="B1244" s="2" t="s">
        <v>3132</v>
      </c>
      <c r="C1244" s="2" t="s">
        <v>23</v>
      </c>
      <c r="K1244" s="2">
        <v>10.0</v>
      </c>
      <c r="N1244" s="6">
        <v>45435.0</v>
      </c>
      <c r="Q1244" s="2" t="s">
        <v>3133</v>
      </c>
    </row>
    <row r="1245">
      <c r="A1245" s="2">
        <v>1244.0</v>
      </c>
      <c r="B1245" s="2" t="s">
        <v>3134</v>
      </c>
      <c r="C1245" s="2" t="s">
        <v>23</v>
      </c>
      <c r="K1245" s="2">
        <v>10.0</v>
      </c>
      <c r="N1245" s="6">
        <v>45617.0</v>
      </c>
      <c r="Q1245" s="2" t="s">
        <v>3135</v>
      </c>
    </row>
    <row r="1246">
      <c r="A1246" s="2">
        <v>1245.0</v>
      </c>
      <c r="B1246" s="2" t="s">
        <v>3136</v>
      </c>
      <c r="C1246" s="2" t="s">
        <v>23</v>
      </c>
      <c r="K1246" s="2">
        <v>30.0</v>
      </c>
      <c r="N1246" s="6">
        <v>45197.0</v>
      </c>
      <c r="Q1246" s="2" t="s">
        <v>86</v>
      </c>
    </row>
    <row r="1247">
      <c r="A1247" s="2">
        <v>1246.0</v>
      </c>
      <c r="B1247" s="2" t="s">
        <v>3137</v>
      </c>
      <c r="C1247" s="2" t="s">
        <v>23</v>
      </c>
      <c r="K1247" s="2">
        <v>30.0</v>
      </c>
      <c r="N1247" s="6">
        <v>44786.0</v>
      </c>
      <c r="Q1247" s="2" t="s">
        <v>86</v>
      </c>
    </row>
    <row r="1248">
      <c r="A1248" s="2">
        <v>1247.0</v>
      </c>
      <c r="B1248" s="2" t="s">
        <v>3138</v>
      </c>
      <c r="C1248" s="2" t="s">
        <v>23</v>
      </c>
      <c r="N1248" s="6">
        <v>44641.0</v>
      </c>
      <c r="Q1248" s="2" t="s">
        <v>86</v>
      </c>
    </row>
    <row r="1249">
      <c r="A1249" s="2">
        <v>1248.0</v>
      </c>
      <c r="B1249" s="2" t="s">
        <v>3139</v>
      </c>
      <c r="C1249" s="2" t="s">
        <v>23</v>
      </c>
      <c r="K1249" s="2">
        <v>50.0</v>
      </c>
      <c r="N1249" s="6">
        <v>43970.0</v>
      </c>
      <c r="Q1249" s="2" t="s">
        <v>200</v>
      </c>
    </row>
    <row r="1250">
      <c r="A1250" s="2">
        <v>1249.0</v>
      </c>
      <c r="B1250" s="2" t="s">
        <v>3140</v>
      </c>
      <c r="C1250" s="2" t="s">
        <v>23</v>
      </c>
      <c r="N1250" s="6">
        <v>43420.0</v>
      </c>
      <c r="Q1250" s="2" t="s">
        <v>86</v>
      </c>
    </row>
    <row r="1251">
      <c r="A1251" s="2">
        <v>1250.0</v>
      </c>
      <c r="B1251" s="2" t="s">
        <v>3141</v>
      </c>
      <c r="C1251" s="2" t="s">
        <v>23</v>
      </c>
      <c r="K1251" s="2">
        <v>10.0</v>
      </c>
      <c r="N1251" s="6">
        <v>42481.0</v>
      </c>
      <c r="Q1251" s="2" t="s">
        <v>1094</v>
      </c>
    </row>
    <row r="1252">
      <c r="A1252" s="2">
        <v>1251.0</v>
      </c>
      <c r="B1252" s="2" t="s">
        <v>3142</v>
      </c>
      <c r="C1252" s="2" t="s">
        <v>23</v>
      </c>
      <c r="N1252" s="6">
        <v>44683.0</v>
      </c>
      <c r="Q1252" s="2" t="s">
        <v>86</v>
      </c>
    </row>
    <row r="1253">
      <c r="A1253" s="2">
        <v>1252.0</v>
      </c>
      <c r="B1253" s="2" t="s">
        <v>3143</v>
      </c>
      <c r="C1253" s="2" t="s">
        <v>23</v>
      </c>
      <c r="K1253" s="2">
        <v>30.0</v>
      </c>
      <c r="N1253" s="6">
        <v>44649.0</v>
      </c>
      <c r="Q1253" s="2" t="s">
        <v>86</v>
      </c>
    </row>
    <row r="1254">
      <c r="A1254" s="2">
        <v>1253.0</v>
      </c>
      <c r="B1254" s="2" t="s">
        <v>3144</v>
      </c>
      <c r="C1254" s="2" t="s">
        <v>23</v>
      </c>
      <c r="N1254" s="6">
        <v>44271.0</v>
      </c>
      <c r="Q1254" s="2" t="s">
        <v>86</v>
      </c>
    </row>
    <row r="1255">
      <c r="A1255" s="2">
        <v>1254.0</v>
      </c>
      <c r="B1255" s="2" t="s">
        <v>3145</v>
      </c>
      <c r="C1255" s="2" t="s">
        <v>23</v>
      </c>
      <c r="N1255" s="6">
        <v>42459.0</v>
      </c>
      <c r="Q1255" s="2" t="s">
        <v>86</v>
      </c>
    </row>
    <row r="1256">
      <c r="A1256" s="2">
        <v>1255.0</v>
      </c>
      <c r="B1256" s="2" t="s">
        <v>3146</v>
      </c>
      <c r="C1256" s="2" t="s">
        <v>23</v>
      </c>
      <c r="K1256" s="2">
        <v>30.0</v>
      </c>
      <c r="N1256" s="6">
        <v>44057.0</v>
      </c>
      <c r="Q1256" s="2" t="s">
        <v>546</v>
      </c>
    </row>
    <row r="1257">
      <c r="A1257" s="2">
        <v>1256.0</v>
      </c>
      <c r="B1257" s="2" t="s">
        <v>3147</v>
      </c>
      <c r="C1257" s="2" t="s">
        <v>23</v>
      </c>
      <c r="N1257" s="6">
        <v>44907.0</v>
      </c>
      <c r="Q1257" s="2" t="s">
        <v>3148</v>
      </c>
    </row>
    <row r="1258">
      <c r="A1258" s="2">
        <v>1257.0</v>
      </c>
      <c r="B1258" s="2" t="s">
        <v>3149</v>
      </c>
      <c r="C1258" s="2" t="s">
        <v>23</v>
      </c>
      <c r="N1258" s="6">
        <v>44544.0</v>
      </c>
      <c r="Q1258" s="2" t="s">
        <v>401</v>
      </c>
    </row>
    <row r="1259">
      <c r="A1259" s="2">
        <v>1258.0</v>
      </c>
      <c r="B1259" s="2" t="s">
        <v>3150</v>
      </c>
      <c r="C1259" s="2" t="s">
        <v>23</v>
      </c>
      <c r="K1259" s="2">
        <v>90.0</v>
      </c>
      <c r="N1259" s="6">
        <v>44325.0</v>
      </c>
      <c r="Q1259" s="2" t="s">
        <v>3151</v>
      </c>
    </row>
    <row r="1260">
      <c r="A1260" s="2">
        <v>1259.0</v>
      </c>
      <c r="B1260" s="2" t="s">
        <v>3152</v>
      </c>
      <c r="C1260" s="2" t="s">
        <v>23</v>
      </c>
      <c r="K1260" s="2">
        <v>40.0</v>
      </c>
      <c r="N1260" s="6">
        <v>44748.0</v>
      </c>
      <c r="Q1260" s="2" t="s">
        <v>401</v>
      </c>
    </row>
    <row r="1261">
      <c r="A1261" s="2">
        <v>1260.0</v>
      </c>
      <c r="B1261" s="2" t="s">
        <v>3153</v>
      </c>
      <c r="C1261" s="2" t="s">
        <v>23</v>
      </c>
      <c r="N1261" s="6">
        <v>44969.0</v>
      </c>
      <c r="Q1261" s="2" t="s">
        <v>86</v>
      </c>
    </row>
    <row r="1262">
      <c r="A1262" s="2">
        <v>1261.0</v>
      </c>
      <c r="B1262" s="2" t="s">
        <v>3154</v>
      </c>
      <c r="C1262" s="2" t="s">
        <v>23</v>
      </c>
      <c r="K1262" s="2">
        <v>150.0</v>
      </c>
      <c r="N1262" s="6">
        <v>44146.0</v>
      </c>
      <c r="Q1262" s="2" t="s">
        <v>3155</v>
      </c>
    </row>
    <row r="1263">
      <c r="A1263" s="2">
        <v>1262.0</v>
      </c>
      <c r="B1263" s="2" t="s">
        <v>3156</v>
      </c>
      <c r="C1263" s="2" t="s">
        <v>23</v>
      </c>
      <c r="K1263" s="2">
        <v>40.0</v>
      </c>
      <c r="N1263" s="6">
        <v>44229.0</v>
      </c>
      <c r="Q1263" s="2" t="s">
        <v>1249</v>
      </c>
    </row>
    <row r="1264">
      <c r="A1264" s="2">
        <v>1263.0</v>
      </c>
      <c r="B1264" s="2" t="s">
        <v>3157</v>
      </c>
      <c r="C1264" s="2" t="s">
        <v>23</v>
      </c>
      <c r="N1264" s="6">
        <v>44027.0</v>
      </c>
      <c r="Q1264" s="2" t="s">
        <v>86</v>
      </c>
    </row>
    <row r="1265">
      <c r="A1265" s="2">
        <v>1264.0</v>
      </c>
      <c r="B1265" s="2" t="s">
        <v>3158</v>
      </c>
      <c r="C1265" s="2" t="s">
        <v>23</v>
      </c>
      <c r="N1265" s="6">
        <v>44876.0</v>
      </c>
      <c r="Q1265" s="2" t="s">
        <v>86</v>
      </c>
    </row>
    <row r="1266">
      <c r="A1266" s="2">
        <v>1265.0</v>
      </c>
      <c r="B1266" s="2" t="s">
        <v>3159</v>
      </c>
      <c r="C1266" s="2" t="s">
        <v>23</v>
      </c>
      <c r="N1266" s="6">
        <v>44250.0</v>
      </c>
      <c r="Q1266" s="2" t="s">
        <v>86</v>
      </c>
    </row>
    <row r="1267">
      <c r="A1267" s="2">
        <v>1266.0</v>
      </c>
      <c r="B1267" s="2" t="s">
        <v>3160</v>
      </c>
      <c r="C1267" s="2" t="s">
        <v>23</v>
      </c>
      <c r="N1267" s="6">
        <v>44684.0</v>
      </c>
      <c r="Q1267" s="2" t="s">
        <v>3161</v>
      </c>
    </row>
    <row r="1268">
      <c r="A1268" s="2">
        <v>1267.0</v>
      </c>
      <c r="B1268" s="2" t="s">
        <v>3162</v>
      </c>
      <c r="C1268" s="2" t="s">
        <v>23</v>
      </c>
      <c r="K1268" s="2">
        <v>40.0</v>
      </c>
      <c r="N1268" s="6">
        <v>45409.0</v>
      </c>
      <c r="Q1268" s="2" t="s">
        <v>3163</v>
      </c>
    </row>
    <row r="1269">
      <c r="A1269" s="2">
        <v>1268.0</v>
      </c>
      <c r="B1269" s="2" t="s">
        <v>3164</v>
      </c>
      <c r="C1269" s="2" t="s">
        <v>23</v>
      </c>
      <c r="K1269" s="2">
        <v>80.0</v>
      </c>
      <c r="N1269" s="6">
        <v>42751.0</v>
      </c>
      <c r="Q1269" s="2" t="s">
        <v>3165</v>
      </c>
    </row>
    <row r="1270">
      <c r="A1270" s="2">
        <v>1269.0</v>
      </c>
      <c r="B1270" s="2" t="s">
        <v>3166</v>
      </c>
      <c r="C1270" s="2" t="s">
        <v>23</v>
      </c>
      <c r="K1270" s="2">
        <v>40.0</v>
      </c>
      <c r="N1270" s="6">
        <v>45687.0</v>
      </c>
      <c r="Q1270" s="2" t="s">
        <v>3167</v>
      </c>
    </row>
    <row r="1271">
      <c r="A1271" s="2">
        <v>1270.0</v>
      </c>
      <c r="B1271" s="2" t="s">
        <v>3168</v>
      </c>
      <c r="C1271" s="2" t="s">
        <v>23</v>
      </c>
      <c r="K1271" s="2">
        <v>30.0</v>
      </c>
      <c r="N1271" s="6">
        <v>45577.0</v>
      </c>
      <c r="Q1271" s="2" t="s">
        <v>3169</v>
      </c>
    </row>
    <row r="1272">
      <c r="A1272" s="2">
        <v>1271.0</v>
      </c>
      <c r="B1272" s="2" t="s">
        <v>3170</v>
      </c>
      <c r="C1272" s="2" t="s">
        <v>23</v>
      </c>
      <c r="N1272" s="6">
        <v>44718.0</v>
      </c>
      <c r="Q1272" s="2" t="s">
        <v>86</v>
      </c>
    </row>
    <row r="1273">
      <c r="A1273" s="2">
        <v>1272.0</v>
      </c>
      <c r="B1273" s="2" t="s">
        <v>3171</v>
      </c>
      <c r="C1273" s="2" t="s">
        <v>23</v>
      </c>
      <c r="K1273" s="2">
        <v>50.0</v>
      </c>
      <c r="N1273" s="6">
        <v>44387.0</v>
      </c>
      <c r="Q1273" s="2" t="s">
        <v>86</v>
      </c>
    </row>
    <row r="1274">
      <c r="A1274" s="2">
        <v>1273.0</v>
      </c>
      <c r="B1274" s="2" t="s">
        <v>3172</v>
      </c>
      <c r="C1274" s="2" t="s">
        <v>23</v>
      </c>
      <c r="K1274" s="2">
        <v>250.0</v>
      </c>
      <c r="N1274" s="6">
        <v>44634.0</v>
      </c>
      <c r="Q1274" s="2" t="s">
        <v>3173</v>
      </c>
    </row>
    <row r="1275">
      <c r="A1275" s="2">
        <v>1274.0</v>
      </c>
      <c r="B1275" s="2" t="s">
        <v>3174</v>
      </c>
      <c r="C1275" s="2" t="s">
        <v>23</v>
      </c>
      <c r="K1275" s="2">
        <v>20.0</v>
      </c>
      <c r="N1275" s="6">
        <v>44041.0</v>
      </c>
      <c r="Q1275" s="2" t="s">
        <v>3175</v>
      </c>
    </row>
    <row r="1276">
      <c r="A1276" s="2">
        <v>1275.0</v>
      </c>
      <c r="B1276" s="2" t="s">
        <v>3176</v>
      </c>
      <c r="C1276" s="2" t="s">
        <v>23</v>
      </c>
      <c r="K1276" s="2">
        <v>20.0</v>
      </c>
      <c r="N1276" s="6">
        <v>44689.0</v>
      </c>
      <c r="Q1276" s="2" t="s">
        <v>86</v>
      </c>
    </row>
    <row r="1277">
      <c r="A1277" s="2">
        <v>1276.0</v>
      </c>
      <c r="B1277" s="2" t="s">
        <v>3177</v>
      </c>
      <c r="C1277" s="2" t="s">
        <v>23</v>
      </c>
      <c r="K1277" s="2">
        <v>20.0</v>
      </c>
      <c r="N1277" s="6">
        <v>44826.0</v>
      </c>
      <c r="Q1277" s="2" t="s">
        <v>3178</v>
      </c>
    </row>
    <row r="1278">
      <c r="A1278" s="2">
        <v>1277.0</v>
      </c>
      <c r="B1278" s="2" t="s">
        <v>3179</v>
      </c>
      <c r="C1278" s="2" t="s">
        <v>23</v>
      </c>
      <c r="K1278" s="2">
        <v>30.0</v>
      </c>
      <c r="N1278" s="6">
        <v>44054.0</v>
      </c>
      <c r="Q1278" s="2" t="s">
        <v>3180</v>
      </c>
    </row>
    <row r="1279">
      <c r="A1279" s="2">
        <v>1278.0</v>
      </c>
      <c r="B1279" s="2" t="s">
        <v>3181</v>
      </c>
      <c r="C1279" s="2" t="s">
        <v>23</v>
      </c>
      <c r="K1279" s="2">
        <v>100.0</v>
      </c>
      <c r="N1279" s="6">
        <v>45103.0</v>
      </c>
      <c r="Q1279" s="2" t="s">
        <v>2001</v>
      </c>
    </row>
    <row r="1280">
      <c r="A1280" s="2">
        <v>1279.0</v>
      </c>
      <c r="B1280" s="2" t="s">
        <v>3182</v>
      </c>
      <c r="C1280" s="2" t="s">
        <v>23</v>
      </c>
      <c r="K1280" s="2">
        <v>250.0</v>
      </c>
      <c r="N1280" s="6">
        <v>43841.0</v>
      </c>
      <c r="Q1280" s="2" t="s">
        <v>3183</v>
      </c>
    </row>
    <row r="1281">
      <c r="A1281" s="2">
        <v>1280.0</v>
      </c>
      <c r="B1281" s="2" t="s">
        <v>3184</v>
      </c>
      <c r="C1281" s="2" t="s">
        <v>23</v>
      </c>
      <c r="N1281" s="6">
        <v>45256.0</v>
      </c>
      <c r="Q1281" s="2" t="s">
        <v>3185</v>
      </c>
    </row>
    <row r="1282">
      <c r="A1282" s="2">
        <v>1281.0</v>
      </c>
      <c r="B1282" s="2" t="s">
        <v>3186</v>
      </c>
      <c r="C1282" s="2" t="s">
        <v>23</v>
      </c>
      <c r="N1282" s="6">
        <v>45466.0</v>
      </c>
      <c r="Q1282" s="2" t="s">
        <v>2688</v>
      </c>
    </row>
    <row r="1283">
      <c r="A1283" s="2">
        <v>1282.0</v>
      </c>
      <c r="B1283" s="2" t="s">
        <v>3187</v>
      </c>
      <c r="C1283" s="2" t="s">
        <v>23</v>
      </c>
      <c r="N1283" s="6">
        <v>44763.0</v>
      </c>
      <c r="Q1283" s="2" t="s">
        <v>86</v>
      </c>
    </row>
    <row r="1284">
      <c r="A1284" s="2">
        <v>1283.0</v>
      </c>
      <c r="B1284" s="2" t="s">
        <v>3188</v>
      </c>
      <c r="C1284" s="2" t="s">
        <v>23</v>
      </c>
      <c r="K1284" s="2">
        <v>70.0</v>
      </c>
      <c r="N1284" s="6">
        <v>43966.0</v>
      </c>
      <c r="Q1284" s="2" t="s">
        <v>3189</v>
      </c>
    </row>
    <row r="1285">
      <c r="A1285" s="2">
        <v>1284.0</v>
      </c>
      <c r="B1285" s="2" t="s">
        <v>3190</v>
      </c>
      <c r="C1285" s="2" t="s">
        <v>23</v>
      </c>
      <c r="K1285" s="2">
        <v>20.0</v>
      </c>
      <c r="N1285" s="6">
        <v>44713.0</v>
      </c>
      <c r="Q1285" s="2" t="s">
        <v>1521</v>
      </c>
    </row>
    <row r="1286">
      <c r="A1286" s="2">
        <v>1285.0</v>
      </c>
      <c r="B1286" s="2" t="s">
        <v>3191</v>
      </c>
      <c r="C1286" s="2" t="s">
        <v>23</v>
      </c>
      <c r="K1286" s="2">
        <v>200.0</v>
      </c>
      <c r="N1286" s="6">
        <v>45378.0</v>
      </c>
      <c r="Q1286" s="2" t="s">
        <v>3192</v>
      </c>
    </row>
    <row r="1287">
      <c r="A1287" s="2">
        <v>1286.0</v>
      </c>
      <c r="B1287" s="2" t="s">
        <v>3193</v>
      </c>
      <c r="C1287" s="2" t="s">
        <v>23</v>
      </c>
      <c r="K1287" s="2">
        <v>10.0</v>
      </c>
      <c r="N1287" s="6">
        <v>44191.0</v>
      </c>
      <c r="Q1287" s="2" t="s">
        <v>3194</v>
      </c>
    </row>
    <row r="1288">
      <c r="A1288" s="2">
        <v>1287.0</v>
      </c>
      <c r="B1288" s="2" t="s">
        <v>3195</v>
      </c>
      <c r="C1288" s="2" t="s">
        <v>23</v>
      </c>
      <c r="K1288" s="2">
        <v>60.0</v>
      </c>
      <c r="N1288" s="6">
        <v>45719.0</v>
      </c>
      <c r="Q1288" s="2" t="s">
        <v>3196</v>
      </c>
    </row>
    <row r="1289">
      <c r="A1289" s="2">
        <v>1288.0</v>
      </c>
      <c r="B1289" s="2" t="s">
        <v>3197</v>
      </c>
      <c r="C1289" s="2" t="s">
        <v>23</v>
      </c>
      <c r="K1289" s="2">
        <v>20.0</v>
      </c>
      <c r="N1289" s="6">
        <v>45614.0</v>
      </c>
      <c r="Q1289" s="2" t="s">
        <v>3198</v>
      </c>
    </row>
    <row r="1290">
      <c r="A1290" s="2">
        <v>1289.0</v>
      </c>
      <c r="B1290" s="2" t="s">
        <v>3199</v>
      </c>
      <c r="C1290" s="2" t="s">
        <v>23</v>
      </c>
      <c r="K1290" s="2">
        <v>20.0</v>
      </c>
      <c r="N1290" s="6">
        <v>44131.0</v>
      </c>
      <c r="Q1290" s="2" t="s">
        <v>3200</v>
      </c>
    </row>
    <row r="1291">
      <c r="A1291" s="2">
        <v>1290.0</v>
      </c>
      <c r="B1291" s="2" t="s">
        <v>3201</v>
      </c>
      <c r="C1291" s="2" t="s">
        <v>23</v>
      </c>
      <c r="K1291" s="2">
        <v>60.0</v>
      </c>
      <c r="N1291" s="6">
        <v>44620.0</v>
      </c>
      <c r="Q1291" s="2" t="s">
        <v>3202</v>
      </c>
    </row>
    <row r="1292">
      <c r="A1292" s="2">
        <v>1291.0</v>
      </c>
      <c r="B1292" s="2" t="s">
        <v>3203</v>
      </c>
      <c r="C1292" s="2" t="s">
        <v>23</v>
      </c>
      <c r="N1292" s="6">
        <v>44809.0</v>
      </c>
      <c r="Q1292" s="2" t="s">
        <v>86</v>
      </c>
    </row>
    <row r="1293">
      <c r="A1293" s="2">
        <v>1292.0</v>
      </c>
      <c r="B1293" s="2" t="s">
        <v>3204</v>
      </c>
      <c r="C1293" s="2" t="s">
        <v>23</v>
      </c>
      <c r="N1293" s="6">
        <v>44039.0</v>
      </c>
      <c r="Q1293" s="2" t="s">
        <v>3205</v>
      </c>
    </row>
    <row r="1294">
      <c r="A1294" s="2">
        <v>1293.0</v>
      </c>
      <c r="B1294" s="2" t="s">
        <v>3206</v>
      </c>
      <c r="C1294" s="2" t="s">
        <v>23</v>
      </c>
      <c r="K1294" s="2">
        <v>10.0</v>
      </c>
      <c r="N1294" s="6">
        <v>44384.0</v>
      </c>
      <c r="Q1294" s="2" t="s">
        <v>139</v>
      </c>
    </row>
    <row r="1295">
      <c r="A1295" s="2">
        <v>1294.0</v>
      </c>
      <c r="B1295" s="2" t="s">
        <v>3207</v>
      </c>
      <c r="C1295" s="2" t="s">
        <v>23</v>
      </c>
      <c r="K1295" s="2">
        <v>150.0</v>
      </c>
      <c r="N1295" s="6">
        <v>44323.0</v>
      </c>
      <c r="Q1295" s="2" t="s">
        <v>3208</v>
      </c>
    </row>
    <row r="1296">
      <c r="A1296" s="2">
        <v>1295.0</v>
      </c>
      <c r="B1296" s="2" t="s">
        <v>3209</v>
      </c>
      <c r="C1296" s="2" t="s">
        <v>23</v>
      </c>
      <c r="K1296" s="2">
        <v>350.0</v>
      </c>
      <c r="N1296" s="6">
        <v>45005.0</v>
      </c>
      <c r="Q1296" s="2" t="s">
        <v>3210</v>
      </c>
    </row>
    <row r="1297">
      <c r="A1297" s="2">
        <v>1296.0</v>
      </c>
      <c r="B1297" s="2" t="s">
        <v>3211</v>
      </c>
      <c r="C1297" s="2" t="s">
        <v>23</v>
      </c>
      <c r="N1297" s="6">
        <v>43842.0</v>
      </c>
      <c r="Q1297" s="2" t="s">
        <v>491</v>
      </c>
    </row>
    <row r="1298">
      <c r="A1298" s="2">
        <v>1297.0</v>
      </c>
      <c r="B1298" s="2" t="s">
        <v>3212</v>
      </c>
      <c r="C1298" s="2" t="s">
        <v>23</v>
      </c>
      <c r="K1298" s="2">
        <v>20.0</v>
      </c>
      <c r="N1298" s="6">
        <v>43981.0</v>
      </c>
      <c r="Q1298" s="2" t="s">
        <v>3213</v>
      </c>
    </row>
    <row r="1299">
      <c r="A1299" s="2">
        <v>1298.0</v>
      </c>
      <c r="B1299" s="2" t="s">
        <v>3214</v>
      </c>
      <c r="C1299" s="2" t="s">
        <v>23</v>
      </c>
      <c r="K1299" s="2">
        <v>10.0</v>
      </c>
      <c r="N1299" s="6">
        <v>45020.0</v>
      </c>
      <c r="Q1299" s="2" t="s">
        <v>1790</v>
      </c>
    </row>
    <row r="1300">
      <c r="A1300" s="2">
        <v>1299.0</v>
      </c>
      <c r="B1300" s="2" t="s">
        <v>3215</v>
      </c>
      <c r="C1300" s="2" t="s">
        <v>23</v>
      </c>
      <c r="K1300" s="2">
        <v>30.0</v>
      </c>
      <c r="N1300" s="6">
        <v>43915.0</v>
      </c>
      <c r="Q1300" s="2" t="s">
        <v>2701</v>
      </c>
    </row>
    <row r="1301">
      <c r="A1301" s="2">
        <v>1300.0</v>
      </c>
      <c r="B1301" s="2" t="s">
        <v>3216</v>
      </c>
      <c r="C1301" s="2" t="s">
        <v>23</v>
      </c>
      <c r="K1301" s="2">
        <v>80.0</v>
      </c>
      <c r="N1301" s="6">
        <v>43857.0</v>
      </c>
      <c r="Q1301" s="2" t="s">
        <v>1070</v>
      </c>
    </row>
    <row r="1302">
      <c r="A1302" s="2">
        <v>1301.0</v>
      </c>
      <c r="B1302" s="2" t="s">
        <v>3217</v>
      </c>
      <c r="C1302" s="2" t="s">
        <v>23</v>
      </c>
      <c r="K1302" s="2">
        <v>10.0</v>
      </c>
      <c r="N1302" s="6">
        <v>45358.0</v>
      </c>
      <c r="Q1302" s="2" t="s">
        <v>3218</v>
      </c>
    </row>
    <row r="1303">
      <c r="A1303" s="2">
        <v>1302.0</v>
      </c>
      <c r="B1303" s="2" t="s">
        <v>3219</v>
      </c>
      <c r="C1303" s="2" t="s">
        <v>23</v>
      </c>
      <c r="N1303" s="6">
        <v>43280.0</v>
      </c>
      <c r="Q1303" s="2" t="s">
        <v>86</v>
      </c>
    </row>
    <row r="1304">
      <c r="A1304" s="2">
        <v>1303.0</v>
      </c>
      <c r="B1304" s="2" t="s">
        <v>3220</v>
      </c>
      <c r="C1304" s="2" t="s">
        <v>23</v>
      </c>
      <c r="K1304" s="2">
        <v>30.0</v>
      </c>
      <c r="N1304" s="6">
        <v>45074.0</v>
      </c>
      <c r="Q1304" s="2" t="s">
        <v>86</v>
      </c>
    </row>
    <row r="1305">
      <c r="A1305" s="2">
        <v>1304.0</v>
      </c>
      <c r="B1305" s="2" t="s">
        <v>90</v>
      </c>
      <c r="C1305" s="2" t="s">
        <v>23</v>
      </c>
      <c r="K1305" s="2">
        <v>20.0</v>
      </c>
      <c r="N1305" s="6">
        <v>44754.0</v>
      </c>
      <c r="Q1305" s="2" t="s">
        <v>94</v>
      </c>
    </row>
    <row r="1306">
      <c r="A1306" s="2">
        <v>1305.0</v>
      </c>
      <c r="B1306" s="2" t="s">
        <v>3221</v>
      </c>
      <c r="C1306" s="2" t="s">
        <v>23</v>
      </c>
      <c r="K1306" s="2">
        <v>10.0</v>
      </c>
      <c r="N1306" s="6">
        <v>44385.0</v>
      </c>
      <c r="Q1306" s="2" t="s">
        <v>3080</v>
      </c>
    </row>
    <row r="1307">
      <c r="A1307" s="2">
        <v>1306.0</v>
      </c>
      <c r="B1307" s="2" t="s">
        <v>3222</v>
      </c>
      <c r="C1307" s="2" t="s">
        <v>23</v>
      </c>
      <c r="K1307" s="2">
        <v>20.0</v>
      </c>
      <c r="N1307" s="6">
        <v>45518.0</v>
      </c>
      <c r="Q1307" s="2" t="s">
        <v>3223</v>
      </c>
    </row>
    <row r="1308">
      <c r="A1308" s="2">
        <v>1307.0</v>
      </c>
      <c r="B1308" s="2" t="s">
        <v>3224</v>
      </c>
      <c r="C1308" s="2" t="s">
        <v>23</v>
      </c>
      <c r="K1308" s="2">
        <v>10.0</v>
      </c>
      <c r="N1308" s="6">
        <v>44458.0</v>
      </c>
      <c r="Q1308" s="2" t="s">
        <v>3225</v>
      </c>
    </row>
    <row r="1309">
      <c r="A1309" s="2">
        <v>1308.0</v>
      </c>
      <c r="B1309" s="2" t="s">
        <v>3226</v>
      </c>
      <c r="C1309" s="2" t="s">
        <v>23</v>
      </c>
      <c r="K1309" s="2">
        <v>70.0</v>
      </c>
      <c r="N1309" s="6">
        <v>45511.0</v>
      </c>
      <c r="Q1309" s="2" t="s">
        <v>3227</v>
      </c>
    </row>
    <row r="1310">
      <c r="A1310" s="2">
        <v>1309.0</v>
      </c>
      <c r="B1310" s="2" t="s">
        <v>3228</v>
      </c>
      <c r="C1310" s="2" t="s">
        <v>23</v>
      </c>
      <c r="K1310" s="2">
        <v>60.0</v>
      </c>
      <c r="N1310" s="6">
        <v>42515.0</v>
      </c>
      <c r="Q1310" s="2" t="s">
        <v>3229</v>
      </c>
    </row>
    <row r="1311">
      <c r="A1311" s="2">
        <v>1310.0</v>
      </c>
      <c r="B1311" s="2" t="s">
        <v>3230</v>
      </c>
      <c r="C1311" s="2" t="s">
        <v>23</v>
      </c>
      <c r="K1311" s="2">
        <v>40.0</v>
      </c>
      <c r="N1311" s="6">
        <v>45305.0</v>
      </c>
      <c r="Q1311" s="2" t="s">
        <v>3225</v>
      </c>
    </row>
    <row r="1312">
      <c r="A1312" s="2">
        <v>1311.0</v>
      </c>
      <c r="B1312" s="2" t="s">
        <v>3231</v>
      </c>
      <c r="C1312" s="2" t="s">
        <v>23</v>
      </c>
      <c r="K1312" s="2">
        <v>20.0</v>
      </c>
      <c r="N1312" s="6">
        <v>42439.0</v>
      </c>
      <c r="Q1312" s="2" t="s">
        <v>3232</v>
      </c>
    </row>
    <row r="1313">
      <c r="A1313" s="2">
        <v>1312.0</v>
      </c>
      <c r="B1313" s="2" t="s">
        <v>3233</v>
      </c>
      <c r="C1313" s="2" t="s">
        <v>23</v>
      </c>
      <c r="K1313" s="2">
        <v>20.0</v>
      </c>
      <c r="N1313" s="6">
        <v>45719.0</v>
      </c>
      <c r="Q1313" s="2" t="s">
        <v>3234</v>
      </c>
    </row>
    <row r="1314">
      <c r="A1314" s="2">
        <v>1313.0</v>
      </c>
      <c r="B1314" s="2" t="s">
        <v>3235</v>
      </c>
      <c r="C1314" s="2" t="s">
        <v>23</v>
      </c>
      <c r="K1314" s="2">
        <v>10.0</v>
      </c>
      <c r="N1314" s="6">
        <v>45340.0</v>
      </c>
      <c r="Q1314" s="2" t="s">
        <v>3236</v>
      </c>
    </row>
    <row r="1315">
      <c r="A1315" s="2">
        <v>1314.0</v>
      </c>
      <c r="B1315" s="2" t="s">
        <v>3237</v>
      </c>
      <c r="C1315" s="2" t="s">
        <v>23</v>
      </c>
      <c r="N1315" s="6">
        <v>44454.0</v>
      </c>
      <c r="Q1315" s="2" t="s">
        <v>86</v>
      </c>
    </row>
    <row r="1316">
      <c r="A1316" s="2">
        <v>1315.0</v>
      </c>
      <c r="B1316" s="2" t="s">
        <v>3238</v>
      </c>
      <c r="C1316" s="2" t="s">
        <v>23</v>
      </c>
      <c r="N1316" s="6">
        <v>44154.0</v>
      </c>
      <c r="Q1316" s="2" t="s">
        <v>86</v>
      </c>
    </row>
    <row r="1317">
      <c r="A1317" s="2">
        <v>1316.0</v>
      </c>
      <c r="B1317" s="2" t="s">
        <v>3239</v>
      </c>
      <c r="C1317" s="2" t="s">
        <v>23</v>
      </c>
      <c r="K1317" s="2">
        <v>30.0</v>
      </c>
      <c r="N1317" s="6">
        <v>43926.0</v>
      </c>
      <c r="Q1317" s="2" t="s">
        <v>1466</v>
      </c>
    </row>
    <row r="1318">
      <c r="A1318" s="2">
        <v>1317.0</v>
      </c>
      <c r="B1318" s="2" t="s">
        <v>3240</v>
      </c>
      <c r="C1318" s="2" t="s">
        <v>23</v>
      </c>
      <c r="K1318" s="2">
        <v>30.0</v>
      </c>
      <c r="N1318" s="6">
        <v>45350.0</v>
      </c>
      <c r="Q1318" s="2" t="s">
        <v>2362</v>
      </c>
    </row>
    <row r="1319">
      <c r="A1319" s="2">
        <v>1318.0</v>
      </c>
      <c r="B1319" s="2" t="s">
        <v>3241</v>
      </c>
      <c r="C1319" s="2" t="s">
        <v>23</v>
      </c>
      <c r="K1319" s="2">
        <v>10.0</v>
      </c>
      <c r="N1319" s="6">
        <v>45616.0</v>
      </c>
      <c r="Q1319" s="2" t="s">
        <v>3242</v>
      </c>
    </row>
    <row r="1320">
      <c r="A1320" s="2">
        <v>1319.0</v>
      </c>
      <c r="B1320" s="2" t="s">
        <v>3243</v>
      </c>
      <c r="C1320" s="2" t="s">
        <v>23</v>
      </c>
      <c r="N1320" s="6">
        <v>44756.0</v>
      </c>
      <c r="Q1320" s="2" t="s">
        <v>401</v>
      </c>
    </row>
    <row r="1321">
      <c r="A1321" s="2">
        <v>1320.0</v>
      </c>
      <c r="B1321" s="2" t="s">
        <v>3244</v>
      </c>
      <c r="C1321" s="2" t="s">
        <v>23</v>
      </c>
      <c r="K1321" s="2">
        <v>50.0</v>
      </c>
      <c r="N1321" s="6">
        <v>45698.0</v>
      </c>
      <c r="Q1321" s="2" t="s">
        <v>1853</v>
      </c>
    </row>
    <row r="1322">
      <c r="A1322" s="2">
        <v>1321.0</v>
      </c>
      <c r="B1322" s="2" t="s">
        <v>3245</v>
      </c>
      <c r="C1322" s="2" t="s">
        <v>23</v>
      </c>
      <c r="K1322" s="2">
        <v>450.0</v>
      </c>
      <c r="N1322" s="6">
        <v>44116.0</v>
      </c>
      <c r="Q1322" s="2" t="s">
        <v>3246</v>
      </c>
    </row>
    <row r="1323">
      <c r="A1323" s="2">
        <v>1322.0</v>
      </c>
      <c r="B1323" s="2" t="s">
        <v>3247</v>
      </c>
      <c r="C1323" s="2" t="s">
        <v>23</v>
      </c>
      <c r="K1323" s="2">
        <v>20.0</v>
      </c>
      <c r="N1323" s="6">
        <v>45582.0</v>
      </c>
      <c r="Q1323" s="2" t="s">
        <v>2698</v>
      </c>
    </row>
    <row r="1324">
      <c r="A1324" s="2">
        <v>1323.0</v>
      </c>
      <c r="B1324" s="2" t="s">
        <v>3248</v>
      </c>
      <c r="C1324" s="2" t="s">
        <v>23</v>
      </c>
      <c r="N1324" s="6">
        <v>44965.0</v>
      </c>
      <c r="Q1324" s="2" t="s">
        <v>86</v>
      </c>
    </row>
    <row r="1325">
      <c r="A1325" s="2">
        <v>1324.0</v>
      </c>
      <c r="B1325" s="2" t="s">
        <v>3249</v>
      </c>
      <c r="C1325" s="2" t="s">
        <v>23</v>
      </c>
      <c r="N1325" s="6">
        <v>43855.0</v>
      </c>
      <c r="Q1325" s="2" t="s">
        <v>86</v>
      </c>
    </row>
    <row r="1326">
      <c r="A1326" s="2">
        <v>1325.0</v>
      </c>
      <c r="B1326" s="2" t="s">
        <v>3250</v>
      </c>
      <c r="C1326" s="2" t="s">
        <v>23</v>
      </c>
      <c r="K1326" s="2">
        <v>10.0</v>
      </c>
      <c r="N1326" s="6">
        <v>44326.0</v>
      </c>
      <c r="Q1326" s="2" t="s">
        <v>491</v>
      </c>
    </row>
    <row r="1327">
      <c r="A1327" s="2">
        <v>1326.0</v>
      </c>
      <c r="B1327" s="2" t="s">
        <v>3251</v>
      </c>
      <c r="C1327" s="2" t="s">
        <v>23</v>
      </c>
      <c r="N1327" s="6">
        <v>44334.0</v>
      </c>
      <c r="Q1327" s="2" t="s">
        <v>86</v>
      </c>
    </row>
    <row r="1328">
      <c r="A1328" s="2">
        <v>1327.0</v>
      </c>
      <c r="B1328" s="2" t="s">
        <v>3252</v>
      </c>
      <c r="C1328" s="2" t="s">
        <v>23</v>
      </c>
      <c r="N1328" s="6">
        <v>45215.0</v>
      </c>
      <c r="Q1328" s="2" t="s">
        <v>546</v>
      </c>
    </row>
    <row r="1329">
      <c r="A1329" s="2">
        <v>1328.0</v>
      </c>
      <c r="B1329" s="2" t="s">
        <v>3253</v>
      </c>
      <c r="C1329" s="2" t="s">
        <v>23</v>
      </c>
      <c r="K1329" s="2">
        <v>10.0</v>
      </c>
      <c r="N1329" s="6">
        <v>44396.0</v>
      </c>
      <c r="Q1329" s="2" t="s">
        <v>3254</v>
      </c>
    </row>
    <row r="1330">
      <c r="A1330" s="2">
        <v>1329.0</v>
      </c>
      <c r="B1330" s="2" t="s">
        <v>3255</v>
      </c>
      <c r="C1330" s="2" t="s">
        <v>23</v>
      </c>
      <c r="K1330" s="2">
        <v>10.0</v>
      </c>
      <c r="N1330" s="6">
        <v>45171.0</v>
      </c>
      <c r="Q1330" s="2" t="s">
        <v>86</v>
      </c>
    </row>
    <row r="1331">
      <c r="A1331" s="2">
        <v>1330.0</v>
      </c>
      <c r="B1331" s="2" t="s">
        <v>3256</v>
      </c>
      <c r="C1331" s="2" t="s">
        <v>23</v>
      </c>
      <c r="K1331" s="2">
        <v>400.0</v>
      </c>
      <c r="N1331" s="6">
        <v>44037.0</v>
      </c>
      <c r="Q1331" s="2" t="s">
        <v>3257</v>
      </c>
    </row>
    <row r="1332">
      <c r="A1332" s="2">
        <v>1331.0</v>
      </c>
      <c r="B1332" s="2" t="s">
        <v>3258</v>
      </c>
      <c r="C1332" s="2" t="s">
        <v>23</v>
      </c>
      <c r="K1332" s="2">
        <v>10.0</v>
      </c>
      <c r="N1332" s="6">
        <v>42387.0</v>
      </c>
      <c r="Q1332" s="2" t="s">
        <v>3259</v>
      </c>
    </row>
    <row r="1333">
      <c r="A1333" s="2">
        <v>1332.0</v>
      </c>
      <c r="B1333" s="2" t="s">
        <v>211</v>
      </c>
      <c r="C1333" s="2" t="s">
        <v>23</v>
      </c>
      <c r="K1333" s="2">
        <v>100.0</v>
      </c>
      <c r="N1333" s="6">
        <v>44329.0</v>
      </c>
      <c r="Q1333" s="2" t="s">
        <v>215</v>
      </c>
    </row>
    <row r="1334">
      <c r="A1334" s="2">
        <v>1333.0</v>
      </c>
      <c r="B1334" s="2" t="s">
        <v>3260</v>
      </c>
      <c r="C1334" s="2" t="s">
        <v>23</v>
      </c>
      <c r="K1334" s="2">
        <v>60.0</v>
      </c>
      <c r="N1334" s="6">
        <v>44583.0</v>
      </c>
      <c r="Q1334" s="2" t="s">
        <v>86</v>
      </c>
    </row>
    <row r="1335">
      <c r="A1335" s="2">
        <v>1334.0</v>
      </c>
      <c r="B1335" s="2" t="s">
        <v>3261</v>
      </c>
      <c r="C1335" s="2" t="s">
        <v>23</v>
      </c>
      <c r="K1335" s="2">
        <v>10.0</v>
      </c>
      <c r="N1335" s="6">
        <v>44135.0</v>
      </c>
      <c r="Q1335" s="2" t="s">
        <v>86</v>
      </c>
    </row>
    <row r="1336">
      <c r="A1336" s="2">
        <v>1335.0</v>
      </c>
      <c r="B1336" s="2" t="s">
        <v>3262</v>
      </c>
      <c r="C1336" s="2" t="s">
        <v>23</v>
      </c>
      <c r="N1336" s="6">
        <v>43913.0</v>
      </c>
      <c r="Q1336" s="2" t="s">
        <v>86</v>
      </c>
    </row>
    <row r="1337">
      <c r="A1337" s="2">
        <v>1336.0</v>
      </c>
      <c r="B1337" s="2" t="s">
        <v>3263</v>
      </c>
      <c r="C1337" s="2" t="s">
        <v>23</v>
      </c>
      <c r="K1337" s="2">
        <v>60.0</v>
      </c>
      <c r="N1337" s="6">
        <v>44690.0</v>
      </c>
      <c r="Q1337" s="2" t="s">
        <v>2738</v>
      </c>
    </row>
    <row r="1338">
      <c r="A1338" s="2">
        <v>1337.0</v>
      </c>
      <c r="B1338" s="2" t="s">
        <v>3264</v>
      </c>
      <c r="C1338" s="2" t="s">
        <v>23</v>
      </c>
      <c r="N1338" s="6">
        <v>45424.0</v>
      </c>
      <c r="Q1338" s="2" t="s">
        <v>86</v>
      </c>
    </row>
    <row r="1339">
      <c r="A1339" s="2">
        <v>1338.0</v>
      </c>
      <c r="B1339" s="2" t="s">
        <v>3265</v>
      </c>
      <c r="C1339" s="2" t="s">
        <v>23</v>
      </c>
      <c r="K1339" s="2">
        <v>100.0</v>
      </c>
      <c r="N1339" s="6">
        <v>45451.0</v>
      </c>
      <c r="Q1339" s="2" t="s">
        <v>3266</v>
      </c>
    </row>
    <row r="1340">
      <c r="A1340" s="2">
        <v>1339.0</v>
      </c>
      <c r="B1340" s="2" t="s">
        <v>3267</v>
      </c>
      <c r="C1340" s="2" t="s">
        <v>23</v>
      </c>
      <c r="K1340" s="2">
        <v>10.0</v>
      </c>
      <c r="N1340" s="6">
        <v>44845.0</v>
      </c>
      <c r="Q1340" s="2" t="s">
        <v>3268</v>
      </c>
    </row>
    <row r="1341">
      <c r="A1341" s="2">
        <v>1340.0</v>
      </c>
      <c r="B1341" s="2" t="s">
        <v>3269</v>
      </c>
      <c r="C1341" s="2" t="s">
        <v>23</v>
      </c>
      <c r="K1341" s="2">
        <v>20.0</v>
      </c>
      <c r="N1341" s="6">
        <v>44344.0</v>
      </c>
      <c r="Q1341" s="2" t="s">
        <v>3270</v>
      </c>
    </row>
    <row r="1342">
      <c r="A1342" s="2">
        <v>1341.0</v>
      </c>
      <c r="B1342" s="2" t="s">
        <v>3271</v>
      </c>
      <c r="C1342" s="2" t="s">
        <v>23</v>
      </c>
      <c r="N1342" s="6">
        <v>43925.0</v>
      </c>
      <c r="Q1342" s="2" t="s">
        <v>86</v>
      </c>
    </row>
    <row r="1343">
      <c r="A1343" s="2">
        <v>1342.0</v>
      </c>
      <c r="B1343" s="2" t="s">
        <v>3272</v>
      </c>
      <c r="C1343" s="2" t="s">
        <v>23</v>
      </c>
      <c r="K1343" s="2">
        <v>50.0</v>
      </c>
      <c r="N1343" s="6">
        <v>45687.0</v>
      </c>
      <c r="Q1343" s="2" t="s">
        <v>3273</v>
      </c>
    </row>
    <row r="1344">
      <c r="A1344" s="2">
        <v>1343.0</v>
      </c>
      <c r="B1344" s="2" t="s">
        <v>3274</v>
      </c>
      <c r="C1344" s="2" t="s">
        <v>23</v>
      </c>
      <c r="K1344" s="2">
        <v>150.0</v>
      </c>
      <c r="N1344" s="6">
        <v>44452.0</v>
      </c>
      <c r="Q1344" s="2" t="s">
        <v>401</v>
      </c>
    </row>
    <row r="1345">
      <c r="A1345" s="2">
        <v>1344.0</v>
      </c>
      <c r="B1345" s="2" t="s">
        <v>3275</v>
      </c>
      <c r="C1345" s="2" t="s">
        <v>23</v>
      </c>
      <c r="K1345" s="2">
        <v>20.0</v>
      </c>
      <c r="N1345" s="6">
        <v>44883.0</v>
      </c>
      <c r="Q1345" s="2" t="s">
        <v>3276</v>
      </c>
    </row>
    <row r="1346">
      <c r="A1346" s="2">
        <v>1345.0</v>
      </c>
      <c r="B1346" s="2" t="s">
        <v>3277</v>
      </c>
      <c r="C1346" s="2" t="s">
        <v>23</v>
      </c>
      <c r="K1346" s="2">
        <v>10.0</v>
      </c>
      <c r="N1346" s="6">
        <v>43649.0</v>
      </c>
      <c r="Q1346" s="2" t="s">
        <v>3278</v>
      </c>
    </row>
    <row r="1347">
      <c r="A1347" s="2">
        <v>1346.0</v>
      </c>
      <c r="B1347" s="2" t="s">
        <v>3279</v>
      </c>
      <c r="C1347" s="2" t="s">
        <v>23</v>
      </c>
      <c r="N1347" s="6">
        <v>45996.0</v>
      </c>
      <c r="Q1347" s="2" t="s">
        <v>3280</v>
      </c>
    </row>
    <row r="1348">
      <c r="A1348" s="2">
        <v>1347.0</v>
      </c>
      <c r="B1348" s="2" t="s">
        <v>3281</v>
      </c>
      <c r="C1348" s="2" t="s">
        <v>23</v>
      </c>
      <c r="K1348" s="2">
        <v>40.0</v>
      </c>
      <c r="N1348" s="6">
        <v>45239.0</v>
      </c>
      <c r="Q1348" s="2" t="s">
        <v>3282</v>
      </c>
    </row>
    <row r="1349">
      <c r="A1349" s="2">
        <v>1348.0</v>
      </c>
      <c r="B1349" s="2" t="s">
        <v>3283</v>
      </c>
      <c r="C1349" s="2" t="s">
        <v>23</v>
      </c>
      <c r="K1349" s="2">
        <v>150.0</v>
      </c>
      <c r="N1349" s="6">
        <v>45683.0</v>
      </c>
      <c r="Q1349" s="2" t="s">
        <v>3284</v>
      </c>
    </row>
    <row r="1350">
      <c r="A1350" s="2">
        <v>1349.0</v>
      </c>
      <c r="B1350" s="2" t="s">
        <v>3285</v>
      </c>
      <c r="C1350" s="2" t="s">
        <v>23</v>
      </c>
      <c r="K1350" s="2">
        <v>70.0</v>
      </c>
      <c r="N1350" s="6">
        <v>44937.0</v>
      </c>
      <c r="Q1350" s="2" t="s">
        <v>3286</v>
      </c>
    </row>
    <row r="1351">
      <c r="A1351" s="2">
        <v>1350.0</v>
      </c>
      <c r="B1351" s="2" t="s">
        <v>3287</v>
      </c>
      <c r="C1351" s="2" t="s">
        <v>23</v>
      </c>
      <c r="K1351" s="2">
        <v>50.0</v>
      </c>
      <c r="N1351" s="6">
        <v>45066.0</v>
      </c>
      <c r="Q1351" s="2" t="s">
        <v>3288</v>
      </c>
    </row>
    <row r="1352">
      <c r="A1352" s="2">
        <v>1351.0</v>
      </c>
      <c r="B1352" s="2" t="s">
        <v>3289</v>
      </c>
      <c r="C1352" s="2" t="s">
        <v>23</v>
      </c>
      <c r="K1352" s="2">
        <v>80.0</v>
      </c>
      <c r="N1352" s="6">
        <v>45317.0</v>
      </c>
      <c r="Q1352" s="2" t="s">
        <v>3290</v>
      </c>
    </row>
    <row r="1353">
      <c r="A1353" s="2">
        <v>1352.0</v>
      </c>
      <c r="B1353" s="2" t="s">
        <v>3291</v>
      </c>
      <c r="C1353" s="2" t="s">
        <v>23</v>
      </c>
      <c r="N1353" s="6">
        <v>42579.0</v>
      </c>
      <c r="Q1353" s="2" t="s">
        <v>86</v>
      </c>
    </row>
    <row r="1354">
      <c r="A1354" s="2">
        <v>1353.0</v>
      </c>
      <c r="B1354" s="2" t="s">
        <v>3292</v>
      </c>
      <c r="C1354" s="2" t="s">
        <v>23</v>
      </c>
      <c r="K1354" s="2">
        <v>40.0</v>
      </c>
      <c r="N1354" s="6">
        <v>44027.0</v>
      </c>
      <c r="Q1354" s="2" t="s">
        <v>3293</v>
      </c>
    </row>
    <row r="1355">
      <c r="A1355" s="2">
        <v>1354.0</v>
      </c>
      <c r="B1355" s="2" t="s">
        <v>3294</v>
      </c>
      <c r="C1355" s="2" t="s">
        <v>23</v>
      </c>
      <c r="K1355" s="2">
        <v>40.0</v>
      </c>
      <c r="N1355" s="6">
        <v>44509.0</v>
      </c>
      <c r="Q1355" s="2" t="s">
        <v>60</v>
      </c>
    </row>
    <row r="1356">
      <c r="A1356" s="2">
        <v>1355.0</v>
      </c>
      <c r="B1356" s="2" t="s">
        <v>3295</v>
      </c>
      <c r="C1356" s="2" t="s">
        <v>23</v>
      </c>
      <c r="N1356" s="6">
        <v>44705.0</v>
      </c>
      <c r="Q1356" s="2" t="s">
        <v>86</v>
      </c>
    </row>
    <row r="1357">
      <c r="A1357" s="2">
        <v>1356.0</v>
      </c>
      <c r="B1357" s="2" t="s">
        <v>3296</v>
      </c>
      <c r="C1357" s="2" t="s">
        <v>23</v>
      </c>
      <c r="K1357" s="2">
        <v>30.0</v>
      </c>
      <c r="N1357" s="6">
        <v>44433.0</v>
      </c>
      <c r="Q1357" s="2" t="s">
        <v>86</v>
      </c>
    </row>
    <row r="1358">
      <c r="A1358" s="2">
        <v>1357.0</v>
      </c>
      <c r="B1358" s="2" t="s">
        <v>3297</v>
      </c>
      <c r="C1358" s="2" t="s">
        <v>23</v>
      </c>
      <c r="N1358" s="6">
        <v>44620.0</v>
      </c>
      <c r="Q1358" s="2" t="s">
        <v>86</v>
      </c>
    </row>
    <row r="1359">
      <c r="A1359" s="2">
        <v>1358.0</v>
      </c>
      <c r="B1359" s="2" t="s">
        <v>3298</v>
      </c>
      <c r="C1359" s="2" t="s">
        <v>23</v>
      </c>
      <c r="K1359" s="2">
        <v>200.0</v>
      </c>
      <c r="N1359" s="6">
        <v>43984.0</v>
      </c>
      <c r="Q1359" s="2" t="s">
        <v>3299</v>
      </c>
    </row>
    <row r="1360">
      <c r="A1360" s="2">
        <v>1359.0</v>
      </c>
      <c r="B1360" s="2" t="s">
        <v>3300</v>
      </c>
      <c r="C1360" s="2" t="s">
        <v>23</v>
      </c>
      <c r="N1360" s="6">
        <v>44562.0</v>
      </c>
      <c r="Q1360" s="2" t="s">
        <v>86</v>
      </c>
    </row>
    <row r="1361">
      <c r="A1361" s="2">
        <v>1360.0</v>
      </c>
      <c r="B1361" s="2" t="s">
        <v>3301</v>
      </c>
      <c r="C1361" s="2" t="s">
        <v>23</v>
      </c>
      <c r="K1361" s="2">
        <v>40.0</v>
      </c>
      <c r="N1361" s="6">
        <v>44110.0</v>
      </c>
      <c r="Q1361" s="2" t="s">
        <v>3302</v>
      </c>
    </row>
    <row r="1362">
      <c r="A1362" s="2">
        <v>1361.0</v>
      </c>
      <c r="B1362" s="2" t="s">
        <v>3303</v>
      </c>
      <c r="C1362" s="2" t="s">
        <v>23</v>
      </c>
      <c r="K1362" s="2">
        <v>10.0</v>
      </c>
      <c r="N1362" s="6">
        <v>42646.0</v>
      </c>
      <c r="Q1362" s="2" t="s">
        <v>1123</v>
      </c>
    </row>
    <row r="1363">
      <c r="A1363" s="2">
        <v>1362.0</v>
      </c>
      <c r="B1363" s="2" t="s">
        <v>3304</v>
      </c>
      <c r="C1363" s="2" t="s">
        <v>23</v>
      </c>
      <c r="N1363" s="6">
        <v>45343.0</v>
      </c>
      <c r="Q1363" s="2" t="s">
        <v>3305</v>
      </c>
    </row>
    <row r="1364">
      <c r="A1364" s="2">
        <v>1363.0</v>
      </c>
      <c r="B1364" s="2" t="s">
        <v>3306</v>
      </c>
      <c r="C1364" s="2" t="s">
        <v>23</v>
      </c>
      <c r="N1364" s="6">
        <v>44305.0</v>
      </c>
      <c r="Q1364" s="2" t="s">
        <v>86</v>
      </c>
    </row>
    <row r="1365">
      <c r="A1365" s="2">
        <v>1364.0</v>
      </c>
      <c r="B1365" s="2" t="s">
        <v>3307</v>
      </c>
      <c r="C1365" s="2" t="s">
        <v>23</v>
      </c>
      <c r="N1365" s="6">
        <v>44762.0</v>
      </c>
      <c r="Q1365" s="2" t="s">
        <v>86</v>
      </c>
    </row>
    <row r="1366">
      <c r="A1366" s="2">
        <v>1365.0</v>
      </c>
      <c r="B1366" s="2" t="s">
        <v>3308</v>
      </c>
      <c r="C1366" s="2" t="s">
        <v>23</v>
      </c>
      <c r="K1366" s="2">
        <v>70.0</v>
      </c>
      <c r="N1366" s="6">
        <v>43891.0</v>
      </c>
      <c r="Q1366" s="2" t="s">
        <v>3309</v>
      </c>
    </row>
    <row r="1367">
      <c r="A1367" s="2">
        <v>1366.0</v>
      </c>
      <c r="B1367" s="2" t="s">
        <v>3310</v>
      </c>
      <c r="C1367" s="2" t="s">
        <v>23</v>
      </c>
      <c r="K1367" s="2">
        <v>150.0</v>
      </c>
      <c r="N1367" s="6">
        <v>43304.0</v>
      </c>
      <c r="Q1367" s="2" t="s">
        <v>3311</v>
      </c>
    </row>
    <row r="1368">
      <c r="A1368" s="2">
        <v>1367.0</v>
      </c>
      <c r="B1368" s="2" t="s">
        <v>3312</v>
      </c>
      <c r="C1368" s="2" t="s">
        <v>23</v>
      </c>
      <c r="K1368" s="2">
        <v>100.0</v>
      </c>
      <c r="N1368" s="6">
        <v>43840.0</v>
      </c>
      <c r="Q1368" s="2" t="s">
        <v>1895</v>
      </c>
    </row>
    <row r="1369">
      <c r="A1369" s="2">
        <v>1368.0</v>
      </c>
      <c r="B1369" s="2" t="s">
        <v>3313</v>
      </c>
      <c r="C1369" s="2" t="s">
        <v>23</v>
      </c>
      <c r="K1369" s="2">
        <v>20.0</v>
      </c>
      <c r="N1369" s="6">
        <v>45208.0</v>
      </c>
      <c r="Q1369" s="2" t="s">
        <v>86</v>
      </c>
    </row>
    <row r="1370">
      <c r="A1370" s="2">
        <v>1369.0</v>
      </c>
      <c r="B1370" s="2" t="s">
        <v>3314</v>
      </c>
      <c r="C1370" s="2" t="s">
        <v>23</v>
      </c>
      <c r="N1370" s="6">
        <v>43959.0</v>
      </c>
      <c r="Q1370" s="2" t="s">
        <v>86</v>
      </c>
    </row>
    <row r="1371">
      <c r="A1371" s="2">
        <v>1370.0</v>
      </c>
      <c r="B1371" s="2" t="s">
        <v>3315</v>
      </c>
      <c r="C1371" s="2" t="s">
        <v>23</v>
      </c>
      <c r="K1371" s="2">
        <v>20.0</v>
      </c>
      <c r="N1371" s="6">
        <v>45097.0</v>
      </c>
      <c r="Q1371" s="2" t="s">
        <v>3316</v>
      </c>
    </row>
    <row r="1372">
      <c r="A1372" s="2">
        <v>1371.0</v>
      </c>
      <c r="B1372" s="2" t="s">
        <v>3317</v>
      </c>
      <c r="C1372" s="2" t="s">
        <v>23</v>
      </c>
      <c r="K1372" s="2">
        <v>40.0</v>
      </c>
      <c r="N1372" s="6">
        <v>45539.0</v>
      </c>
      <c r="Q1372" s="2" t="s">
        <v>3318</v>
      </c>
    </row>
    <row r="1373">
      <c r="A1373" s="2">
        <v>1372.0</v>
      </c>
      <c r="B1373" s="2" t="s">
        <v>3319</v>
      </c>
      <c r="C1373" s="2" t="s">
        <v>23</v>
      </c>
      <c r="N1373" s="6">
        <v>42420.0</v>
      </c>
      <c r="Q1373" s="2" t="s">
        <v>86</v>
      </c>
    </row>
    <row r="1374">
      <c r="A1374" s="2">
        <v>1373.0</v>
      </c>
      <c r="B1374" s="2" t="s">
        <v>3320</v>
      </c>
      <c r="C1374" s="2" t="s">
        <v>23</v>
      </c>
      <c r="K1374" s="2">
        <v>30.0</v>
      </c>
      <c r="N1374" s="6">
        <v>45471.0</v>
      </c>
      <c r="Q1374" s="2" t="s">
        <v>3321</v>
      </c>
    </row>
    <row r="1375">
      <c r="A1375" s="2">
        <v>1374.0</v>
      </c>
      <c r="B1375" s="2" t="s">
        <v>3322</v>
      </c>
      <c r="C1375" s="2" t="s">
        <v>23</v>
      </c>
      <c r="N1375" s="6">
        <v>44191.0</v>
      </c>
      <c r="Q1375" s="2" t="s">
        <v>86</v>
      </c>
    </row>
    <row r="1376">
      <c r="A1376" s="2">
        <v>1375.0</v>
      </c>
      <c r="B1376" s="2" t="s">
        <v>3323</v>
      </c>
      <c r="C1376" s="2" t="s">
        <v>23</v>
      </c>
      <c r="N1376" s="6">
        <v>43864.0</v>
      </c>
      <c r="Q1376" s="2" t="s">
        <v>86</v>
      </c>
    </row>
    <row r="1377">
      <c r="A1377" s="2">
        <v>1376.0</v>
      </c>
      <c r="B1377" s="2" t="s">
        <v>3324</v>
      </c>
      <c r="C1377" s="2" t="s">
        <v>23</v>
      </c>
      <c r="N1377" s="6">
        <v>44298.0</v>
      </c>
      <c r="Q1377" s="2" t="s">
        <v>1437</v>
      </c>
    </row>
    <row r="1378">
      <c r="A1378" s="2">
        <v>1377.0</v>
      </c>
      <c r="B1378" s="2" t="s">
        <v>3325</v>
      </c>
      <c r="C1378" s="2" t="s">
        <v>23</v>
      </c>
      <c r="K1378" s="2">
        <v>10.0</v>
      </c>
      <c r="N1378" s="6">
        <v>42523.0</v>
      </c>
      <c r="Q1378" s="2" t="s">
        <v>3326</v>
      </c>
    </row>
    <row r="1379">
      <c r="A1379" s="2">
        <v>1378.0</v>
      </c>
      <c r="B1379" s="2" t="s">
        <v>3327</v>
      </c>
      <c r="C1379" s="2" t="s">
        <v>23</v>
      </c>
      <c r="K1379" s="2">
        <v>10.0</v>
      </c>
      <c r="N1379" s="6">
        <v>45553.0</v>
      </c>
      <c r="Q1379" s="2" t="s">
        <v>3328</v>
      </c>
    </row>
    <row r="1380">
      <c r="A1380" s="2">
        <v>1379.0</v>
      </c>
      <c r="B1380" s="2" t="s">
        <v>3329</v>
      </c>
      <c r="C1380" s="2" t="s">
        <v>23</v>
      </c>
      <c r="K1380" s="2">
        <v>20.0</v>
      </c>
      <c r="N1380" s="6">
        <v>44514.0</v>
      </c>
      <c r="Q1380" s="2" t="s">
        <v>86</v>
      </c>
    </row>
    <row r="1381">
      <c r="A1381" s="2">
        <v>1380.0</v>
      </c>
      <c r="B1381" s="2" t="s">
        <v>3330</v>
      </c>
      <c r="C1381" s="2" t="s">
        <v>23</v>
      </c>
      <c r="K1381" s="2">
        <v>10.0</v>
      </c>
      <c r="N1381" s="6">
        <v>44116.0</v>
      </c>
      <c r="Q1381" s="2" t="s">
        <v>86</v>
      </c>
    </row>
    <row r="1382">
      <c r="A1382" s="2">
        <v>1381.0</v>
      </c>
      <c r="B1382" s="2" t="s">
        <v>3331</v>
      </c>
      <c r="C1382" s="2" t="s">
        <v>23</v>
      </c>
      <c r="K1382" s="2">
        <v>30.0</v>
      </c>
      <c r="N1382" s="6">
        <v>44134.0</v>
      </c>
      <c r="Q1382" s="2" t="s">
        <v>3332</v>
      </c>
    </row>
    <row r="1383">
      <c r="A1383" s="2">
        <v>1382.0</v>
      </c>
      <c r="B1383" s="2" t="s">
        <v>3333</v>
      </c>
      <c r="C1383" s="2" t="s">
        <v>23</v>
      </c>
      <c r="N1383" s="6">
        <v>45174.0</v>
      </c>
      <c r="Q1383" s="2" t="s">
        <v>3334</v>
      </c>
    </row>
    <row r="1384">
      <c r="A1384" s="2">
        <v>1383.0</v>
      </c>
      <c r="B1384" s="2" t="s">
        <v>3335</v>
      </c>
      <c r="C1384" s="2" t="s">
        <v>23</v>
      </c>
      <c r="K1384" s="2">
        <v>60.0</v>
      </c>
      <c r="N1384" s="6">
        <v>43410.0</v>
      </c>
      <c r="Q1384" s="2" t="s">
        <v>3336</v>
      </c>
    </row>
    <row r="1385">
      <c r="A1385" s="2">
        <v>1384.0</v>
      </c>
      <c r="B1385" s="2" t="s">
        <v>3337</v>
      </c>
      <c r="C1385" s="2" t="s">
        <v>23</v>
      </c>
      <c r="N1385" s="6">
        <v>42608.0</v>
      </c>
      <c r="Q1385" s="2" t="s">
        <v>86</v>
      </c>
    </row>
    <row r="1386">
      <c r="A1386" s="2">
        <v>1385.0</v>
      </c>
      <c r="B1386" s="2" t="s">
        <v>3338</v>
      </c>
      <c r="C1386" s="2" t="s">
        <v>23</v>
      </c>
      <c r="K1386" s="2">
        <v>150.0</v>
      </c>
      <c r="N1386" s="6">
        <v>45157.0</v>
      </c>
      <c r="Q1386" s="2" t="s">
        <v>3339</v>
      </c>
    </row>
    <row r="1387">
      <c r="A1387" s="2">
        <v>1386.0</v>
      </c>
      <c r="B1387" s="2" t="s">
        <v>3340</v>
      </c>
      <c r="C1387" s="2" t="s">
        <v>23</v>
      </c>
      <c r="K1387" s="2">
        <v>50.0</v>
      </c>
      <c r="N1387" s="6">
        <v>45685.0</v>
      </c>
      <c r="Q1387" s="2" t="s">
        <v>3341</v>
      </c>
    </row>
    <row r="1388">
      <c r="A1388" s="2">
        <v>1387.0</v>
      </c>
      <c r="B1388" s="2" t="s">
        <v>3342</v>
      </c>
      <c r="C1388" s="2" t="s">
        <v>23</v>
      </c>
      <c r="K1388" s="2">
        <v>60.0</v>
      </c>
      <c r="N1388" s="6">
        <v>44929.0</v>
      </c>
      <c r="Q1388" s="2" t="s">
        <v>3343</v>
      </c>
    </row>
    <row r="1389">
      <c r="A1389" s="2">
        <v>1388.0</v>
      </c>
      <c r="B1389" s="2" t="s">
        <v>3344</v>
      </c>
      <c r="C1389" s="2" t="s">
        <v>23</v>
      </c>
      <c r="N1389" s="6">
        <v>44062.0</v>
      </c>
      <c r="Q1389" s="2" t="s">
        <v>60</v>
      </c>
    </row>
    <row r="1390">
      <c r="A1390" s="2">
        <v>1389.0</v>
      </c>
      <c r="B1390" s="2" t="s">
        <v>3345</v>
      </c>
      <c r="C1390" s="2" t="s">
        <v>23</v>
      </c>
      <c r="K1390" s="2">
        <v>90.0</v>
      </c>
      <c r="N1390" s="6">
        <v>44844.0</v>
      </c>
      <c r="Q1390" s="2" t="s">
        <v>3346</v>
      </c>
    </row>
    <row r="1391">
      <c r="A1391" s="2">
        <v>1390.0</v>
      </c>
      <c r="B1391" s="2" t="s">
        <v>3347</v>
      </c>
      <c r="C1391" s="2" t="s">
        <v>23</v>
      </c>
      <c r="K1391" s="2">
        <v>150.0</v>
      </c>
      <c r="N1391" s="6">
        <v>45054.0</v>
      </c>
      <c r="Q1391" s="2" t="s">
        <v>3348</v>
      </c>
    </row>
    <row r="1392">
      <c r="A1392" s="2">
        <v>1391.0</v>
      </c>
      <c r="B1392" s="2" t="s">
        <v>3349</v>
      </c>
      <c r="C1392" s="2" t="s">
        <v>23</v>
      </c>
      <c r="K1392" s="2">
        <v>60.0</v>
      </c>
      <c r="N1392" s="6">
        <v>44418.0</v>
      </c>
      <c r="Q1392" s="2" t="s">
        <v>86</v>
      </c>
    </row>
    <row r="1393">
      <c r="A1393" s="2">
        <v>1392.0</v>
      </c>
      <c r="B1393" s="2" t="s">
        <v>3350</v>
      </c>
      <c r="C1393" s="2" t="s">
        <v>23</v>
      </c>
      <c r="N1393" s="6">
        <v>42584.0</v>
      </c>
      <c r="Q1393" s="2" t="s">
        <v>86</v>
      </c>
    </row>
    <row r="1394">
      <c r="A1394" s="2">
        <v>1393.0</v>
      </c>
      <c r="B1394" s="2" t="s">
        <v>3351</v>
      </c>
      <c r="C1394" s="2" t="s">
        <v>23</v>
      </c>
      <c r="N1394" s="6">
        <v>44333.0</v>
      </c>
      <c r="Q1394" s="2" t="s">
        <v>86</v>
      </c>
    </row>
    <row r="1395">
      <c r="A1395" s="2">
        <v>1394.0</v>
      </c>
      <c r="B1395" s="2" t="s">
        <v>3352</v>
      </c>
      <c r="C1395" s="2" t="s">
        <v>23</v>
      </c>
      <c r="K1395" s="2">
        <v>10.0</v>
      </c>
      <c r="N1395" s="6">
        <v>45453.0</v>
      </c>
      <c r="Q1395" s="2" t="s">
        <v>3353</v>
      </c>
    </row>
    <row r="1396">
      <c r="A1396" s="2">
        <v>1395.0</v>
      </c>
      <c r="B1396" s="2" t="s">
        <v>3354</v>
      </c>
      <c r="C1396" s="2" t="s">
        <v>23</v>
      </c>
      <c r="K1396" s="2">
        <v>20.0</v>
      </c>
      <c r="N1396" s="6">
        <v>44363.0</v>
      </c>
      <c r="Q1396" s="2" t="s">
        <v>3355</v>
      </c>
    </row>
    <row r="1397">
      <c r="A1397" s="2">
        <v>1396.0</v>
      </c>
      <c r="B1397" s="2" t="s">
        <v>3356</v>
      </c>
      <c r="C1397" s="2" t="s">
        <v>23</v>
      </c>
      <c r="K1397" s="2">
        <v>80.0</v>
      </c>
      <c r="N1397" s="6">
        <v>44134.0</v>
      </c>
      <c r="Q1397" s="2" t="s">
        <v>3357</v>
      </c>
    </row>
    <row r="1398">
      <c r="A1398" s="2">
        <v>1397.0</v>
      </c>
      <c r="B1398" s="2" t="s">
        <v>3358</v>
      </c>
      <c r="C1398" s="2" t="s">
        <v>23</v>
      </c>
      <c r="K1398" s="2">
        <v>10.0</v>
      </c>
      <c r="N1398" s="6">
        <v>43927.0</v>
      </c>
      <c r="Q1398" s="2" t="s">
        <v>3359</v>
      </c>
    </row>
    <row r="1399">
      <c r="A1399" s="2">
        <v>1398.0</v>
      </c>
      <c r="B1399" s="2" t="s">
        <v>3360</v>
      </c>
      <c r="C1399" s="2" t="s">
        <v>23</v>
      </c>
      <c r="K1399" s="2">
        <v>30.0</v>
      </c>
      <c r="N1399" s="6">
        <v>44375.0</v>
      </c>
      <c r="Q1399" s="2" t="s">
        <v>3361</v>
      </c>
    </row>
    <row r="1400">
      <c r="A1400" s="2">
        <v>1399.0</v>
      </c>
      <c r="B1400" s="2" t="s">
        <v>3362</v>
      </c>
      <c r="C1400" s="2" t="s">
        <v>23</v>
      </c>
      <c r="N1400" s="6">
        <v>44716.0</v>
      </c>
      <c r="Q1400" s="2" t="s">
        <v>3363</v>
      </c>
    </row>
    <row r="1401">
      <c r="A1401" s="2">
        <v>1400.0</v>
      </c>
      <c r="B1401" s="2" t="s">
        <v>3364</v>
      </c>
      <c r="C1401" s="2" t="s">
        <v>23</v>
      </c>
      <c r="K1401" s="2">
        <v>10.0</v>
      </c>
      <c r="N1401" s="6">
        <v>45786.0</v>
      </c>
      <c r="Q1401" s="2" t="s">
        <v>3365</v>
      </c>
    </row>
    <row r="1402">
      <c r="A1402" s="2">
        <v>1401.0</v>
      </c>
      <c r="B1402" s="2" t="s">
        <v>3366</v>
      </c>
      <c r="C1402" s="2" t="s">
        <v>23</v>
      </c>
      <c r="K1402" s="2">
        <v>10.0</v>
      </c>
      <c r="N1402" s="6">
        <v>44029.0</v>
      </c>
      <c r="Q1402" s="2" t="s">
        <v>86</v>
      </c>
    </row>
    <row r="1403">
      <c r="A1403" s="2">
        <v>1402.0</v>
      </c>
      <c r="B1403" s="2" t="s">
        <v>3367</v>
      </c>
      <c r="C1403" s="2" t="s">
        <v>23</v>
      </c>
      <c r="K1403" s="2">
        <v>40.0</v>
      </c>
      <c r="N1403" s="6">
        <v>44371.0</v>
      </c>
      <c r="Q1403" s="2" t="s">
        <v>426</v>
      </c>
    </row>
    <row r="1404">
      <c r="A1404" s="2">
        <v>1403.0</v>
      </c>
      <c r="B1404" s="2" t="s">
        <v>3368</v>
      </c>
      <c r="C1404" s="2" t="s">
        <v>23</v>
      </c>
      <c r="K1404" s="2">
        <v>30.0</v>
      </c>
      <c r="N1404" s="6">
        <v>44026.0</v>
      </c>
      <c r="Q1404" s="2" t="s">
        <v>3369</v>
      </c>
    </row>
    <row r="1405">
      <c r="A1405" s="2">
        <v>1404.0</v>
      </c>
      <c r="B1405" s="2" t="s">
        <v>3370</v>
      </c>
      <c r="C1405" s="2" t="s">
        <v>23</v>
      </c>
      <c r="N1405" s="6">
        <v>44833.0</v>
      </c>
      <c r="Q1405" s="2" t="s">
        <v>1116</v>
      </c>
    </row>
    <row r="1406">
      <c r="A1406" s="2">
        <v>1405.0</v>
      </c>
      <c r="B1406" s="2" t="s">
        <v>3371</v>
      </c>
      <c r="C1406" s="2" t="s">
        <v>23</v>
      </c>
      <c r="K1406" s="2">
        <v>200.0</v>
      </c>
      <c r="N1406" s="6">
        <v>45375.0</v>
      </c>
      <c r="Q1406" s="2" t="s">
        <v>3372</v>
      </c>
    </row>
    <row r="1407">
      <c r="A1407" s="2">
        <v>1406.0</v>
      </c>
      <c r="B1407" s="2" t="s">
        <v>3373</v>
      </c>
      <c r="C1407" s="2" t="s">
        <v>23</v>
      </c>
      <c r="K1407" s="2">
        <v>100.0</v>
      </c>
      <c r="N1407" s="6">
        <v>44185.0</v>
      </c>
      <c r="Q1407" s="2" t="s">
        <v>60</v>
      </c>
    </row>
    <row r="1408">
      <c r="A1408" s="2">
        <v>1407.0</v>
      </c>
      <c r="B1408" s="2" t="s">
        <v>3374</v>
      </c>
      <c r="C1408" s="2" t="s">
        <v>23</v>
      </c>
      <c r="N1408" s="6">
        <v>45356.0</v>
      </c>
      <c r="Q1408" s="2" t="s">
        <v>3375</v>
      </c>
    </row>
    <row r="1409">
      <c r="A1409" s="2">
        <v>1408.0</v>
      </c>
      <c r="B1409" s="2" t="s">
        <v>3376</v>
      </c>
      <c r="C1409" s="2" t="s">
        <v>23</v>
      </c>
      <c r="K1409" s="2">
        <v>200.0</v>
      </c>
      <c r="N1409" s="6">
        <v>44343.0</v>
      </c>
      <c r="Q1409" s="2" t="s">
        <v>3377</v>
      </c>
    </row>
    <row r="1410">
      <c r="A1410" s="2">
        <v>1409.0</v>
      </c>
      <c r="B1410" s="2" t="s">
        <v>3378</v>
      </c>
      <c r="C1410" s="2" t="s">
        <v>23</v>
      </c>
      <c r="K1410" s="2">
        <v>20.0</v>
      </c>
      <c r="N1410" s="6">
        <v>42783.0</v>
      </c>
      <c r="Q1410" s="2" t="s">
        <v>3379</v>
      </c>
    </row>
    <row r="1411">
      <c r="A1411" s="2">
        <v>1410.0</v>
      </c>
      <c r="B1411" s="2" t="s">
        <v>3380</v>
      </c>
      <c r="C1411" s="2" t="s">
        <v>23</v>
      </c>
      <c r="K1411" s="2">
        <v>60.0</v>
      </c>
      <c r="N1411" s="6">
        <v>43851.0</v>
      </c>
      <c r="Q1411" s="2" t="s">
        <v>3381</v>
      </c>
    </row>
    <row r="1412">
      <c r="A1412" s="2">
        <v>1411.0</v>
      </c>
      <c r="B1412" s="2" t="s">
        <v>3382</v>
      </c>
      <c r="C1412" s="2" t="s">
        <v>23</v>
      </c>
      <c r="N1412" s="6">
        <v>44599.0</v>
      </c>
      <c r="Q1412" s="2" t="s">
        <v>86</v>
      </c>
    </row>
    <row r="1413">
      <c r="A1413" s="2">
        <v>1412.0</v>
      </c>
      <c r="B1413" s="2" t="s">
        <v>3383</v>
      </c>
      <c r="C1413" s="2" t="s">
        <v>23</v>
      </c>
      <c r="N1413" s="6">
        <v>43953.0</v>
      </c>
      <c r="Q1413" s="2" t="s">
        <v>3384</v>
      </c>
    </row>
    <row r="1414">
      <c r="A1414" s="2">
        <v>1413.0</v>
      </c>
      <c r="B1414" s="2" t="s">
        <v>3385</v>
      </c>
      <c r="C1414" s="2" t="s">
        <v>23</v>
      </c>
      <c r="K1414" s="2">
        <v>10.0</v>
      </c>
      <c r="N1414" s="6">
        <v>45826.0</v>
      </c>
      <c r="Q1414" s="2" t="s">
        <v>3386</v>
      </c>
    </row>
    <row r="1415">
      <c r="A1415" s="2">
        <v>1414.0</v>
      </c>
      <c r="B1415" s="2" t="s">
        <v>3387</v>
      </c>
      <c r="C1415" s="2" t="s">
        <v>23</v>
      </c>
      <c r="K1415" s="2">
        <v>50.0</v>
      </c>
      <c r="N1415" s="6">
        <v>44874.0</v>
      </c>
      <c r="Q1415" s="2" t="s">
        <v>86</v>
      </c>
    </row>
    <row r="1416">
      <c r="A1416" s="2">
        <v>1415.0</v>
      </c>
      <c r="B1416" s="2" t="s">
        <v>3388</v>
      </c>
      <c r="C1416" s="2" t="s">
        <v>23</v>
      </c>
      <c r="K1416" s="2">
        <v>10.0</v>
      </c>
      <c r="N1416" s="6">
        <v>45380.0</v>
      </c>
      <c r="Q1416" s="2" t="s">
        <v>1156</v>
      </c>
    </row>
    <row r="1417">
      <c r="A1417" s="2">
        <v>1416.0</v>
      </c>
      <c r="B1417" s="2" t="s">
        <v>3389</v>
      </c>
      <c r="C1417" s="2" t="s">
        <v>23</v>
      </c>
      <c r="N1417" s="6">
        <v>45967.0</v>
      </c>
      <c r="Q1417" s="2" t="s">
        <v>3390</v>
      </c>
    </row>
    <row r="1418">
      <c r="A1418" s="2">
        <v>1417.0</v>
      </c>
      <c r="B1418" s="2" t="s">
        <v>3391</v>
      </c>
      <c r="C1418" s="2" t="s">
        <v>23</v>
      </c>
      <c r="K1418" s="2">
        <v>70.0</v>
      </c>
      <c r="N1418" s="6">
        <v>44059.0</v>
      </c>
      <c r="Q1418" s="2" t="s">
        <v>2362</v>
      </c>
    </row>
    <row r="1419">
      <c r="A1419" s="2">
        <v>1418.0</v>
      </c>
      <c r="B1419" s="2" t="s">
        <v>3392</v>
      </c>
      <c r="C1419" s="2" t="s">
        <v>23</v>
      </c>
      <c r="K1419" s="2">
        <v>10.0</v>
      </c>
      <c r="N1419" s="6">
        <v>45647.0</v>
      </c>
      <c r="Q1419" s="2" t="s">
        <v>1711</v>
      </c>
    </row>
    <row r="1420">
      <c r="A1420" s="2">
        <v>1419.0</v>
      </c>
      <c r="B1420" s="2" t="s">
        <v>3393</v>
      </c>
      <c r="C1420" s="2" t="s">
        <v>23</v>
      </c>
      <c r="K1420" s="2">
        <v>100.0</v>
      </c>
      <c r="N1420" s="6">
        <v>43887.0</v>
      </c>
      <c r="Q1420" s="2" t="s">
        <v>3394</v>
      </c>
    </row>
    <row r="1421">
      <c r="A1421" s="2">
        <v>1420.0</v>
      </c>
      <c r="B1421" s="2" t="s">
        <v>3395</v>
      </c>
      <c r="C1421" s="2" t="s">
        <v>23</v>
      </c>
      <c r="K1421" s="2">
        <v>30.0</v>
      </c>
      <c r="N1421" s="6">
        <v>45031.0</v>
      </c>
      <c r="Q1421" s="2" t="s">
        <v>3396</v>
      </c>
    </row>
    <row r="1422">
      <c r="A1422" s="2">
        <v>1421.0</v>
      </c>
      <c r="B1422" s="2" t="s">
        <v>3397</v>
      </c>
      <c r="C1422" s="2" t="s">
        <v>23</v>
      </c>
      <c r="N1422" s="6">
        <v>43897.0</v>
      </c>
      <c r="Q1422" s="2" t="s">
        <v>86</v>
      </c>
    </row>
    <row r="1423">
      <c r="A1423" s="2">
        <v>1422.0</v>
      </c>
      <c r="B1423" s="2" t="s">
        <v>3398</v>
      </c>
      <c r="C1423" s="2" t="s">
        <v>23</v>
      </c>
      <c r="N1423" s="6">
        <v>44223.0</v>
      </c>
      <c r="Q1423" s="2" t="s">
        <v>86</v>
      </c>
    </row>
    <row r="1424">
      <c r="A1424" s="2">
        <v>1423.0</v>
      </c>
      <c r="B1424" s="2" t="s">
        <v>3399</v>
      </c>
      <c r="C1424" s="2" t="s">
        <v>23</v>
      </c>
      <c r="K1424" s="2">
        <v>60.0</v>
      </c>
      <c r="N1424" s="6">
        <v>44877.0</v>
      </c>
      <c r="Q1424" s="2" t="s">
        <v>3400</v>
      </c>
    </row>
    <row r="1425">
      <c r="A1425" s="2">
        <v>1424.0</v>
      </c>
      <c r="B1425" s="2" t="s">
        <v>3401</v>
      </c>
      <c r="C1425" s="2" t="s">
        <v>23</v>
      </c>
      <c r="N1425" s="6">
        <v>44697.0</v>
      </c>
      <c r="Q1425" s="2" t="s">
        <v>86</v>
      </c>
    </row>
    <row r="1426">
      <c r="A1426" s="2">
        <v>1425.0</v>
      </c>
      <c r="B1426" s="2" t="s">
        <v>3402</v>
      </c>
      <c r="C1426" s="2" t="s">
        <v>23</v>
      </c>
      <c r="N1426" s="6">
        <v>43305.0</v>
      </c>
      <c r="Q1426" s="2" t="s">
        <v>86</v>
      </c>
    </row>
    <row r="1427">
      <c r="A1427" s="2">
        <v>1426.0</v>
      </c>
      <c r="B1427" s="2" t="s">
        <v>3403</v>
      </c>
      <c r="C1427" s="2" t="s">
        <v>23</v>
      </c>
      <c r="K1427" s="2">
        <v>10.0</v>
      </c>
      <c r="N1427" s="6">
        <v>45251.0</v>
      </c>
      <c r="Q1427" s="2" t="s">
        <v>2820</v>
      </c>
    </row>
    <row r="1428">
      <c r="A1428" s="2">
        <v>1427.0</v>
      </c>
      <c r="B1428" s="2" t="s">
        <v>3404</v>
      </c>
      <c r="C1428" s="2" t="s">
        <v>23</v>
      </c>
      <c r="K1428" s="2">
        <v>30.0</v>
      </c>
      <c r="N1428" s="6">
        <v>42755.0</v>
      </c>
      <c r="Q1428" s="2" t="s">
        <v>3405</v>
      </c>
    </row>
    <row r="1429">
      <c r="A1429" s="2">
        <v>1428.0</v>
      </c>
      <c r="B1429" s="2" t="s">
        <v>3406</v>
      </c>
      <c r="C1429" s="2" t="s">
        <v>23</v>
      </c>
      <c r="N1429" s="6">
        <v>44571.0</v>
      </c>
      <c r="Q1429" s="2" t="s">
        <v>86</v>
      </c>
    </row>
    <row r="1430">
      <c r="A1430" s="2">
        <v>1429.0</v>
      </c>
      <c r="B1430" s="2" t="s">
        <v>3407</v>
      </c>
      <c r="C1430" s="2" t="s">
        <v>23</v>
      </c>
      <c r="N1430" s="6">
        <v>45387.0</v>
      </c>
      <c r="Q1430" s="2" t="s">
        <v>86</v>
      </c>
    </row>
    <row r="1431">
      <c r="A1431" s="2">
        <v>1430.0</v>
      </c>
      <c r="B1431" s="2" t="s">
        <v>3408</v>
      </c>
      <c r="C1431" s="2" t="s">
        <v>23</v>
      </c>
      <c r="N1431" s="6">
        <v>44198.0</v>
      </c>
      <c r="Q1431" s="2" t="s">
        <v>86</v>
      </c>
    </row>
    <row r="1432">
      <c r="A1432" s="2">
        <v>1431.0</v>
      </c>
      <c r="B1432" s="2" t="s">
        <v>3409</v>
      </c>
      <c r="C1432" s="2" t="s">
        <v>23</v>
      </c>
      <c r="K1432" s="2">
        <v>20.0</v>
      </c>
      <c r="N1432" s="6">
        <v>44502.0</v>
      </c>
      <c r="Q1432" s="2" t="s">
        <v>1466</v>
      </c>
    </row>
    <row r="1433">
      <c r="A1433" s="2">
        <v>1432.0</v>
      </c>
      <c r="B1433" s="2" t="s">
        <v>3410</v>
      </c>
      <c r="C1433" s="2" t="s">
        <v>23</v>
      </c>
      <c r="K1433" s="2">
        <v>100.0</v>
      </c>
      <c r="N1433" s="6">
        <v>43665.0</v>
      </c>
      <c r="Q1433" s="2" t="s">
        <v>3411</v>
      </c>
    </row>
    <row r="1434">
      <c r="A1434" s="2">
        <v>1433.0</v>
      </c>
      <c r="B1434" s="2" t="s">
        <v>3412</v>
      </c>
      <c r="C1434" s="2" t="s">
        <v>23</v>
      </c>
      <c r="N1434" s="6">
        <v>44642.0</v>
      </c>
      <c r="Q1434" s="2" t="s">
        <v>86</v>
      </c>
    </row>
    <row r="1435">
      <c r="A1435" s="2">
        <v>1434.0</v>
      </c>
      <c r="B1435" s="2" t="s">
        <v>3413</v>
      </c>
      <c r="C1435" s="2" t="s">
        <v>23</v>
      </c>
      <c r="K1435" s="2">
        <v>80.0</v>
      </c>
      <c r="N1435" s="6">
        <v>45704.0</v>
      </c>
      <c r="Q1435" s="2" t="s">
        <v>3414</v>
      </c>
    </row>
    <row r="1436">
      <c r="A1436" s="2">
        <v>1435.0</v>
      </c>
      <c r="B1436" s="2" t="s">
        <v>3415</v>
      </c>
      <c r="C1436" s="2" t="s">
        <v>23</v>
      </c>
      <c r="K1436" s="2">
        <v>100.0</v>
      </c>
      <c r="N1436" s="6">
        <v>44907.0</v>
      </c>
      <c r="Q1436" s="2" t="s">
        <v>3416</v>
      </c>
    </row>
    <row r="1437">
      <c r="A1437" s="2">
        <v>1436.0</v>
      </c>
      <c r="B1437" s="2" t="s">
        <v>3417</v>
      </c>
      <c r="C1437" s="2" t="s">
        <v>23</v>
      </c>
      <c r="K1437" s="2">
        <v>150.0</v>
      </c>
      <c r="N1437" s="6">
        <v>42634.0</v>
      </c>
      <c r="Q1437" s="2" t="s">
        <v>3418</v>
      </c>
    </row>
    <row r="1438">
      <c r="A1438" s="2">
        <v>1437.0</v>
      </c>
      <c r="B1438" s="2" t="s">
        <v>3419</v>
      </c>
      <c r="C1438" s="2" t="s">
        <v>23</v>
      </c>
      <c r="K1438" s="2">
        <v>20.0</v>
      </c>
      <c r="N1438" s="6">
        <v>45312.0</v>
      </c>
      <c r="Q1438" s="2" t="s">
        <v>86</v>
      </c>
    </row>
    <row r="1439">
      <c r="A1439" s="2">
        <v>1438.0</v>
      </c>
      <c r="B1439" s="2" t="s">
        <v>3420</v>
      </c>
      <c r="C1439" s="2" t="s">
        <v>23</v>
      </c>
      <c r="K1439" s="2">
        <v>10.0</v>
      </c>
      <c r="N1439" s="6">
        <v>45823.0</v>
      </c>
      <c r="Q1439" s="2" t="s">
        <v>3421</v>
      </c>
    </row>
    <row r="1440">
      <c r="A1440" s="2">
        <v>1439.0</v>
      </c>
      <c r="B1440" s="2" t="s">
        <v>3422</v>
      </c>
      <c r="C1440" s="2" t="s">
        <v>23</v>
      </c>
      <c r="K1440" s="2">
        <v>10.0</v>
      </c>
      <c r="N1440" s="6">
        <v>43892.0</v>
      </c>
      <c r="Q1440" s="2" t="s">
        <v>3423</v>
      </c>
    </row>
    <row r="1441">
      <c r="A1441" s="2">
        <v>1440.0</v>
      </c>
      <c r="B1441" s="2" t="s">
        <v>3424</v>
      </c>
      <c r="C1441" s="2" t="s">
        <v>23</v>
      </c>
      <c r="N1441" s="6">
        <v>44536.0</v>
      </c>
      <c r="Q1441" s="2" t="s">
        <v>86</v>
      </c>
    </row>
    <row r="1442">
      <c r="A1442" s="2">
        <v>1441.0</v>
      </c>
      <c r="B1442" s="2" t="s">
        <v>3425</v>
      </c>
      <c r="C1442" s="2" t="s">
        <v>23</v>
      </c>
      <c r="K1442" s="2">
        <v>200.0</v>
      </c>
      <c r="N1442" s="6">
        <v>44142.0</v>
      </c>
      <c r="Q1442" s="2" t="s">
        <v>3426</v>
      </c>
    </row>
    <row r="1443">
      <c r="A1443" s="2">
        <v>1442.0</v>
      </c>
      <c r="B1443" s="2" t="s">
        <v>3427</v>
      </c>
      <c r="C1443" s="2" t="s">
        <v>23</v>
      </c>
      <c r="K1443" s="2">
        <v>60.0</v>
      </c>
      <c r="N1443" s="6">
        <v>44268.0</v>
      </c>
      <c r="Q1443" s="2" t="s">
        <v>3428</v>
      </c>
    </row>
    <row r="1444">
      <c r="A1444" s="2">
        <v>1443.0</v>
      </c>
      <c r="B1444" s="2" t="s">
        <v>3429</v>
      </c>
      <c r="C1444" s="2" t="s">
        <v>23</v>
      </c>
      <c r="K1444" s="2">
        <v>100.0</v>
      </c>
      <c r="N1444" s="6">
        <v>43967.0</v>
      </c>
      <c r="Q1444" s="2" t="s">
        <v>3430</v>
      </c>
    </row>
    <row r="1445">
      <c r="A1445" s="2">
        <v>1444.0</v>
      </c>
      <c r="B1445" s="2" t="s">
        <v>3431</v>
      </c>
      <c r="C1445" s="2" t="s">
        <v>23</v>
      </c>
      <c r="N1445" s="6">
        <v>45526.0</v>
      </c>
      <c r="Q1445" s="2" t="s">
        <v>369</v>
      </c>
    </row>
    <row r="1446">
      <c r="A1446" s="2">
        <v>1445.0</v>
      </c>
      <c r="B1446" s="2" t="s">
        <v>3432</v>
      </c>
      <c r="C1446" s="2" t="s">
        <v>23</v>
      </c>
      <c r="N1446" s="6">
        <v>44143.0</v>
      </c>
      <c r="Q1446" s="2" t="s">
        <v>60</v>
      </c>
    </row>
    <row r="1447">
      <c r="A1447" s="2">
        <v>1446.0</v>
      </c>
      <c r="B1447" s="2" t="s">
        <v>3433</v>
      </c>
      <c r="C1447" s="2" t="s">
        <v>23</v>
      </c>
      <c r="K1447" s="2">
        <v>10.0</v>
      </c>
      <c r="N1447" s="6">
        <v>45354.0</v>
      </c>
      <c r="Q1447" s="2" t="s">
        <v>3434</v>
      </c>
    </row>
    <row r="1448">
      <c r="A1448" s="2">
        <v>1447.0</v>
      </c>
      <c r="B1448" s="2" t="s">
        <v>3435</v>
      </c>
      <c r="C1448" s="2" t="s">
        <v>23</v>
      </c>
      <c r="N1448" s="6">
        <v>44507.0</v>
      </c>
      <c r="Q1448" s="2" t="s">
        <v>86</v>
      </c>
    </row>
    <row r="1449">
      <c r="A1449" s="2">
        <v>1448.0</v>
      </c>
      <c r="B1449" s="2" t="s">
        <v>3436</v>
      </c>
      <c r="C1449" s="2" t="s">
        <v>23</v>
      </c>
      <c r="K1449" s="2">
        <v>30.0</v>
      </c>
      <c r="N1449" s="6">
        <v>44181.0</v>
      </c>
      <c r="Q1449" s="2" t="s">
        <v>3437</v>
      </c>
    </row>
    <row r="1450">
      <c r="A1450" s="2">
        <v>1449.0</v>
      </c>
      <c r="B1450" s="2" t="s">
        <v>3438</v>
      </c>
      <c r="C1450" s="2" t="s">
        <v>23</v>
      </c>
      <c r="N1450" s="6">
        <v>44557.0</v>
      </c>
      <c r="Q1450" s="2" t="s">
        <v>86</v>
      </c>
    </row>
    <row r="1451">
      <c r="A1451" s="2">
        <v>1450.0</v>
      </c>
      <c r="B1451" s="2" t="s">
        <v>3439</v>
      </c>
      <c r="C1451" s="2" t="s">
        <v>23</v>
      </c>
      <c r="K1451" s="2">
        <v>50.0</v>
      </c>
      <c r="N1451" s="6">
        <v>44285.0</v>
      </c>
      <c r="Q1451" s="2" t="s">
        <v>60</v>
      </c>
    </row>
    <row r="1452">
      <c r="A1452" s="2">
        <v>1451.0</v>
      </c>
      <c r="B1452" s="2" t="s">
        <v>3440</v>
      </c>
      <c r="C1452" s="2" t="s">
        <v>23</v>
      </c>
      <c r="N1452" s="6">
        <v>43977.0</v>
      </c>
      <c r="Q1452" s="2" t="s">
        <v>1562</v>
      </c>
    </row>
    <row r="1453">
      <c r="A1453" s="2">
        <v>1452.0</v>
      </c>
      <c r="B1453" s="2" t="s">
        <v>3441</v>
      </c>
      <c r="C1453" s="2" t="s">
        <v>23</v>
      </c>
      <c r="K1453" s="2">
        <v>20.0</v>
      </c>
      <c r="N1453" s="6">
        <v>44269.0</v>
      </c>
      <c r="Q1453" s="2" t="s">
        <v>86</v>
      </c>
    </row>
    <row r="1454">
      <c r="A1454" s="2">
        <v>1453.0</v>
      </c>
      <c r="B1454" s="2" t="s">
        <v>3442</v>
      </c>
      <c r="C1454" s="2" t="s">
        <v>23</v>
      </c>
      <c r="K1454" s="2">
        <v>150.0</v>
      </c>
      <c r="N1454" s="6">
        <v>44620.0</v>
      </c>
      <c r="Q1454" s="2" t="s">
        <v>3443</v>
      </c>
    </row>
    <row r="1455">
      <c r="A1455" s="2">
        <v>1454.0</v>
      </c>
      <c r="B1455" s="2" t="s">
        <v>3444</v>
      </c>
      <c r="C1455" s="2" t="s">
        <v>23</v>
      </c>
      <c r="K1455" s="2">
        <v>450.0</v>
      </c>
      <c r="N1455" s="6">
        <v>44034.0</v>
      </c>
      <c r="Q1455" s="2" t="s">
        <v>3445</v>
      </c>
    </row>
    <row r="1456">
      <c r="A1456" s="2">
        <v>1455.0</v>
      </c>
      <c r="B1456" s="2" t="s">
        <v>3446</v>
      </c>
      <c r="C1456" s="2" t="s">
        <v>23</v>
      </c>
      <c r="K1456" s="2">
        <v>70.0</v>
      </c>
      <c r="N1456" s="6">
        <v>44596.0</v>
      </c>
      <c r="Q1456" s="2" t="s">
        <v>3447</v>
      </c>
    </row>
    <row r="1457">
      <c r="A1457" s="2">
        <v>1456.0</v>
      </c>
      <c r="B1457" s="2" t="s">
        <v>3448</v>
      </c>
      <c r="C1457" s="2" t="s">
        <v>23</v>
      </c>
      <c r="N1457" s="6">
        <v>42619.0</v>
      </c>
      <c r="Q1457" s="2" t="s">
        <v>86</v>
      </c>
    </row>
    <row r="1458">
      <c r="A1458" s="2">
        <v>1457.0</v>
      </c>
      <c r="B1458" s="2" t="s">
        <v>3449</v>
      </c>
      <c r="C1458" s="2" t="s">
        <v>23</v>
      </c>
      <c r="K1458" s="2">
        <v>10.0</v>
      </c>
      <c r="N1458" s="6">
        <v>45478.0</v>
      </c>
      <c r="Q1458" s="2" t="s">
        <v>3450</v>
      </c>
    </row>
    <row r="1459">
      <c r="A1459" s="2">
        <v>1458.0</v>
      </c>
      <c r="B1459" s="2" t="s">
        <v>3451</v>
      </c>
      <c r="C1459" s="2" t="s">
        <v>23</v>
      </c>
      <c r="K1459" s="2">
        <v>10.0</v>
      </c>
      <c r="N1459" s="6">
        <v>44061.0</v>
      </c>
      <c r="Q1459" s="2" t="s">
        <v>86</v>
      </c>
    </row>
    <row r="1460">
      <c r="A1460" s="2">
        <v>1459.0</v>
      </c>
      <c r="B1460" s="2" t="s">
        <v>3452</v>
      </c>
      <c r="C1460" s="2" t="s">
        <v>23</v>
      </c>
      <c r="N1460" s="6">
        <v>44360.0</v>
      </c>
      <c r="Q1460" s="2" t="s">
        <v>86</v>
      </c>
    </row>
    <row r="1461">
      <c r="A1461" s="2">
        <v>1460.0</v>
      </c>
      <c r="B1461" s="2" t="s">
        <v>3453</v>
      </c>
      <c r="C1461" s="2" t="s">
        <v>23</v>
      </c>
      <c r="N1461" s="6">
        <v>44592.0</v>
      </c>
      <c r="Q1461" s="2" t="s">
        <v>86</v>
      </c>
    </row>
    <row r="1462">
      <c r="A1462" s="2">
        <v>1461.0</v>
      </c>
      <c r="B1462" s="2" t="s">
        <v>3454</v>
      </c>
      <c r="C1462" s="2" t="s">
        <v>23</v>
      </c>
      <c r="N1462" s="6">
        <v>44578.0</v>
      </c>
      <c r="Q1462" s="2" t="s">
        <v>86</v>
      </c>
    </row>
    <row r="1463">
      <c r="A1463" s="2">
        <v>1462.0</v>
      </c>
      <c r="B1463" s="2" t="s">
        <v>3455</v>
      </c>
      <c r="C1463" s="2" t="s">
        <v>23</v>
      </c>
      <c r="N1463" s="6">
        <v>44402.0</v>
      </c>
      <c r="Q1463" s="2" t="s">
        <v>86</v>
      </c>
    </row>
    <row r="1464">
      <c r="A1464" s="2">
        <v>1463.0</v>
      </c>
      <c r="B1464" s="2" t="s">
        <v>3456</v>
      </c>
      <c r="C1464" s="2" t="s">
        <v>23</v>
      </c>
      <c r="K1464" s="2">
        <v>10.0</v>
      </c>
      <c r="N1464" s="6">
        <v>45110.0</v>
      </c>
      <c r="Q1464" s="2" t="s">
        <v>546</v>
      </c>
    </row>
    <row r="1465">
      <c r="A1465" s="2">
        <v>1464.0</v>
      </c>
      <c r="B1465" s="2" t="s">
        <v>3457</v>
      </c>
      <c r="C1465" s="2" t="s">
        <v>23</v>
      </c>
      <c r="N1465" s="6">
        <v>44800.0</v>
      </c>
      <c r="Q1465" s="2" t="s">
        <v>86</v>
      </c>
    </row>
    <row r="1466">
      <c r="A1466" s="2">
        <v>1465.0</v>
      </c>
      <c r="B1466" s="2" t="s">
        <v>3458</v>
      </c>
      <c r="C1466" s="2" t="s">
        <v>23</v>
      </c>
      <c r="N1466" s="6">
        <v>44805.0</v>
      </c>
      <c r="Q1466" s="2" t="s">
        <v>86</v>
      </c>
    </row>
    <row r="1467">
      <c r="A1467" s="2">
        <v>1466.0</v>
      </c>
      <c r="B1467" s="2" t="s">
        <v>3459</v>
      </c>
      <c r="C1467" s="2" t="s">
        <v>23</v>
      </c>
      <c r="N1467" s="6">
        <v>45171.0</v>
      </c>
      <c r="Q1467" s="2" t="s">
        <v>86</v>
      </c>
    </row>
    <row r="1468">
      <c r="A1468" s="2">
        <v>1467.0</v>
      </c>
      <c r="B1468" s="2" t="s">
        <v>3460</v>
      </c>
      <c r="C1468" s="2" t="s">
        <v>23</v>
      </c>
      <c r="N1468" s="6">
        <v>43017.0</v>
      </c>
      <c r="Q1468" s="2" t="s">
        <v>86</v>
      </c>
    </row>
    <row r="1469">
      <c r="A1469" s="2">
        <v>1468.0</v>
      </c>
      <c r="B1469" s="2" t="s">
        <v>3461</v>
      </c>
      <c r="C1469" s="2" t="s">
        <v>23</v>
      </c>
      <c r="N1469" s="6">
        <v>44264.0</v>
      </c>
      <c r="Q1469" s="2" t="s">
        <v>86</v>
      </c>
    </row>
    <row r="1470">
      <c r="A1470" s="2">
        <v>1469.0</v>
      </c>
      <c r="B1470" s="2" t="s">
        <v>3462</v>
      </c>
      <c r="C1470" s="2" t="s">
        <v>23</v>
      </c>
      <c r="K1470" s="2">
        <v>150.0</v>
      </c>
      <c r="N1470" s="6">
        <v>43867.0</v>
      </c>
      <c r="Q1470" s="2" t="s">
        <v>3463</v>
      </c>
    </row>
    <row r="1471">
      <c r="A1471" s="2">
        <v>1470.0</v>
      </c>
      <c r="B1471" s="2" t="s">
        <v>3464</v>
      </c>
      <c r="C1471" s="2" t="s">
        <v>23</v>
      </c>
      <c r="K1471" s="2">
        <v>60.0</v>
      </c>
      <c r="N1471" s="6">
        <v>45633.0</v>
      </c>
      <c r="Q1471" s="2" t="s">
        <v>3465</v>
      </c>
    </row>
    <row r="1472">
      <c r="A1472" s="2">
        <v>1471.0</v>
      </c>
      <c r="B1472" s="2" t="s">
        <v>3466</v>
      </c>
      <c r="C1472" s="2" t="s">
        <v>23</v>
      </c>
      <c r="K1472" s="2">
        <v>150.0</v>
      </c>
      <c r="N1472" s="6">
        <v>42443.0</v>
      </c>
      <c r="Q1472" s="2" t="s">
        <v>3467</v>
      </c>
    </row>
    <row r="1473">
      <c r="A1473" s="2">
        <v>1472.0</v>
      </c>
      <c r="B1473" s="2" t="s">
        <v>3468</v>
      </c>
      <c r="C1473" s="2" t="s">
        <v>23</v>
      </c>
      <c r="K1473" s="2">
        <v>30.0</v>
      </c>
      <c r="N1473" s="6">
        <v>42461.0</v>
      </c>
      <c r="O1473" s="2" t="s">
        <v>2212</v>
      </c>
      <c r="P1473" s="2" t="s">
        <v>36</v>
      </c>
      <c r="Q1473" s="2" t="s">
        <v>86</v>
      </c>
      <c r="S1473" s="2" t="s">
        <v>1660</v>
      </c>
    </row>
    <row r="1474">
      <c r="A1474" s="2">
        <v>1473.0</v>
      </c>
      <c r="B1474" s="2" t="s">
        <v>3469</v>
      </c>
      <c r="C1474" s="2" t="s">
        <v>23</v>
      </c>
      <c r="N1474" s="6">
        <v>43900.0</v>
      </c>
      <c r="Q1474" s="2" t="s">
        <v>3470</v>
      </c>
    </row>
    <row r="1475">
      <c r="A1475" s="2">
        <v>1474.0</v>
      </c>
      <c r="B1475" s="2" t="s">
        <v>3471</v>
      </c>
      <c r="C1475" s="2" t="s">
        <v>23</v>
      </c>
      <c r="N1475" s="6">
        <v>43267.0</v>
      </c>
      <c r="Q1475" s="2" t="s">
        <v>86</v>
      </c>
    </row>
    <row r="1476">
      <c r="A1476" s="2">
        <v>1475.0</v>
      </c>
      <c r="B1476" s="2" t="s">
        <v>3472</v>
      </c>
      <c r="C1476" s="2" t="s">
        <v>23</v>
      </c>
      <c r="K1476" s="2">
        <v>80.0</v>
      </c>
      <c r="N1476" s="6">
        <v>45741.0</v>
      </c>
      <c r="Q1476" s="2" t="s">
        <v>3473</v>
      </c>
    </row>
    <row r="1477">
      <c r="A1477" s="2">
        <v>1476.0</v>
      </c>
      <c r="B1477" s="2" t="s">
        <v>3474</v>
      </c>
      <c r="C1477" s="2" t="s">
        <v>23</v>
      </c>
      <c r="N1477" s="6">
        <v>44845.0</v>
      </c>
      <c r="Q1477" s="2" t="s">
        <v>86</v>
      </c>
    </row>
    <row r="1478">
      <c r="A1478" s="2">
        <v>1477.0</v>
      </c>
      <c r="B1478" s="2" t="s">
        <v>3475</v>
      </c>
      <c r="C1478" s="2" t="s">
        <v>23</v>
      </c>
      <c r="K1478" s="2">
        <v>40.0</v>
      </c>
      <c r="N1478" s="6">
        <v>44788.0</v>
      </c>
      <c r="Q1478" s="2" t="s">
        <v>3476</v>
      </c>
    </row>
    <row r="1479">
      <c r="A1479" s="2">
        <v>1478.0</v>
      </c>
      <c r="B1479" s="2" t="s">
        <v>3477</v>
      </c>
      <c r="C1479" s="2" t="s">
        <v>23</v>
      </c>
      <c r="K1479" s="2">
        <v>70.0</v>
      </c>
      <c r="N1479" s="6">
        <v>43952.0</v>
      </c>
      <c r="Q1479" s="2" t="s">
        <v>3478</v>
      </c>
    </row>
    <row r="1480">
      <c r="A1480" s="2">
        <v>1479.0</v>
      </c>
      <c r="B1480" s="2" t="s">
        <v>3479</v>
      </c>
      <c r="C1480" s="2" t="s">
        <v>23</v>
      </c>
      <c r="K1480" s="2">
        <v>100.0</v>
      </c>
      <c r="N1480" s="6">
        <v>45716.0</v>
      </c>
      <c r="Q1480" s="2" t="s">
        <v>3480</v>
      </c>
    </row>
    <row r="1481">
      <c r="A1481" s="2">
        <v>1480.0</v>
      </c>
      <c r="B1481" s="2" t="s">
        <v>3481</v>
      </c>
      <c r="C1481" s="2" t="s">
        <v>23</v>
      </c>
      <c r="K1481" s="2">
        <v>10.0</v>
      </c>
      <c r="N1481" s="6">
        <v>44274.0</v>
      </c>
      <c r="Q1481" s="2" t="s">
        <v>86</v>
      </c>
    </row>
    <row r="1482">
      <c r="A1482" s="2">
        <v>1481.0</v>
      </c>
      <c r="B1482" s="2" t="s">
        <v>3482</v>
      </c>
      <c r="C1482" s="2" t="s">
        <v>23</v>
      </c>
      <c r="N1482" s="6">
        <v>44605.0</v>
      </c>
      <c r="Q1482" s="2" t="s">
        <v>86</v>
      </c>
    </row>
    <row r="1483">
      <c r="A1483" s="2">
        <v>1482.0</v>
      </c>
      <c r="B1483" s="2" t="s">
        <v>3483</v>
      </c>
      <c r="C1483" s="2" t="s">
        <v>23</v>
      </c>
      <c r="K1483" s="2">
        <v>20.0</v>
      </c>
      <c r="N1483" s="6">
        <v>45372.0</v>
      </c>
      <c r="Q1483" s="2" t="s">
        <v>3484</v>
      </c>
    </row>
    <row r="1484">
      <c r="A1484" s="2">
        <v>1483.0</v>
      </c>
      <c r="B1484" s="2" t="s">
        <v>3485</v>
      </c>
      <c r="C1484" s="2" t="s">
        <v>23</v>
      </c>
      <c r="N1484" s="6">
        <v>44624.0</v>
      </c>
      <c r="Q1484" s="2" t="s">
        <v>86</v>
      </c>
    </row>
    <row r="1485">
      <c r="A1485" s="2">
        <v>1484.0</v>
      </c>
      <c r="B1485" s="2" t="s">
        <v>3486</v>
      </c>
      <c r="C1485" s="2" t="s">
        <v>23</v>
      </c>
      <c r="K1485" s="2">
        <v>70.0</v>
      </c>
      <c r="N1485" s="6">
        <v>45731.0</v>
      </c>
      <c r="Q1485" s="2" t="s">
        <v>3487</v>
      </c>
    </row>
    <row r="1486">
      <c r="A1486" s="2">
        <v>1485.0</v>
      </c>
      <c r="B1486" s="2" t="s">
        <v>3488</v>
      </c>
      <c r="C1486" s="2" t="s">
        <v>23</v>
      </c>
      <c r="K1486" s="2">
        <v>10.0</v>
      </c>
      <c r="N1486" s="6">
        <v>43860.0</v>
      </c>
      <c r="Q1486" s="2" t="s">
        <v>86</v>
      </c>
    </row>
    <row r="1487">
      <c r="A1487" s="2">
        <v>1486.0</v>
      </c>
      <c r="B1487" s="2" t="s">
        <v>3489</v>
      </c>
      <c r="C1487" s="2" t="s">
        <v>23</v>
      </c>
      <c r="N1487" s="6">
        <v>44214.0</v>
      </c>
      <c r="Q1487" s="2" t="s">
        <v>86</v>
      </c>
    </row>
    <row r="1488">
      <c r="A1488" s="2">
        <v>1487.0</v>
      </c>
      <c r="B1488" s="2" t="s">
        <v>3490</v>
      </c>
      <c r="C1488" s="2" t="s">
        <v>23</v>
      </c>
      <c r="K1488" s="2">
        <v>50.0</v>
      </c>
      <c r="N1488" s="6">
        <v>43891.0</v>
      </c>
      <c r="Q1488" s="2" t="s">
        <v>3491</v>
      </c>
    </row>
    <row r="1489">
      <c r="A1489" s="2">
        <v>1488.0</v>
      </c>
      <c r="B1489" s="2" t="s">
        <v>3492</v>
      </c>
      <c r="C1489" s="2" t="s">
        <v>23</v>
      </c>
      <c r="K1489" s="2">
        <v>250.0</v>
      </c>
      <c r="N1489" s="6">
        <v>44027.0</v>
      </c>
      <c r="Q1489" s="2" t="s">
        <v>3493</v>
      </c>
    </row>
    <row r="1490">
      <c r="A1490" s="2">
        <v>1489.0</v>
      </c>
      <c r="B1490" s="2" t="s">
        <v>3494</v>
      </c>
      <c r="C1490" s="2" t="s">
        <v>23</v>
      </c>
      <c r="K1490" s="2">
        <v>40.0</v>
      </c>
      <c r="N1490" s="6">
        <v>45699.0</v>
      </c>
      <c r="Q1490" s="2" t="s">
        <v>3495</v>
      </c>
    </row>
    <row r="1491">
      <c r="A1491" s="2">
        <v>1490.0</v>
      </c>
      <c r="B1491" s="2" t="s">
        <v>3496</v>
      </c>
      <c r="C1491" s="2" t="s">
        <v>23</v>
      </c>
      <c r="K1491" s="2">
        <v>90.0</v>
      </c>
      <c r="N1491" s="6">
        <v>44555.0</v>
      </c>
      <c r="Q1491" s="2" t="s">
        <v>3497</v>
      </c>
    </row>
    <row r="1492">
      <c r="A1492" s="2">
        <v>1491.0</v>
      </c>
      <c r="B1492" s="2" t="s">
        <v>3498</v>
      </c>
      <c r="C1492" s="2" t="s">
        <v>23</v>
      </c>
      <c r="K1492" s="2">
        <v>30.0</v>
      </c>
      <c r="N1492" s="6">
        <v>45646.0</v>
      </c>
      <c r="Q1492" s="2" t="s">
        <v>3499</v>
      </c>
    </row>
    <row r="1493">
      <c r="A1493" s="2">
        <v>1492.0</v>
      </c>
      <c r="B1493" s="2" t="s">
        <v>3500</v>
      </c>
      <c r="C1493" s="2" t="s">
        <v>23</v>
      </c>
      <c r="K1493" s="2">
        <v>100.0</v>
      </c>
      <c r="N1493" s="6">
        <v>44706.0</v>
      </c>
      <c r="Q1493" s="2" t="s">
        <v>3501</v>
      </c>
    </row>
    <row r="1494">
      <c r="A1494" s="2">
        <v>1493.0</v>
      </c>
      <c r="B1494" s="2" t="s">
        <v>3502</v>
      </c>
      <c r="C1494" s="2" t="s">
        <v>23</v>
      </c>
      <c r="K1494" s="2">
        <v>60.0</v>
      </c>
      <c r="N1494" s="6">
        <v>44058.0</v>
      </c>
      <c r="Q1494" s="2" t="s">
        <v>1236</v>
      </c>
    </row>
    <row r="1495">
      <c r="A1495" s="2">
        <v>1494.0</v>
      </c>
      <c r="B1495" s="2" t="s">
        <v>3503</v>
      </c>
      <c r="C1495" s="2" t="s">
        <v>23</v>
      </c>
      <c r="K1495" s="2">
        <v>60.0</v>
      </c>
      <c r="N1495" s="6">
        <v>44083.0</v>
      </c>
      <c r="Q1495" s="2" t="s">
        <v>60</v>
      </c>
    </row>
    <row r="1496">
      <c r="A1496" s="2">
        <v>1495.0</v>
      </c>
      <c r="B1496" s="2" t="s">
        <v>3504</v>
      </c>
      <c r="C1496" s="2" t="s">
        <v>23</v>
      </c>
      <c r="K1496" s="2">
        <v>20.0</v>
      </c>
      <c r="N1496" s="6">
        <v>44012.0</v>
      </c>
      <c r="Q1496" s="2" t="s">
        <v>86</v>
      </c>
    </row>
    <row r="1497">
      <c r="A1497" s="2">
        <v>1496.0</v>
      </c>
      <c r="B1497" s="2" t="s">
        <v>3505</v>
      </c>
      <c r="C1497" s="2" t="s">
        <v>23</v>
      </c>
      <c r="K1497" s="2">
        <v>50.0</v>
      </c>
      <c r="N1497" s="6">
        <v>44507.0</v>
      </c>
      <c r="Q1497" s="2" t="s">
        <v>3506</v>
      </c>
    </row>
    <row r="1498">
      <c r="A1498" s="2">
        <v>1497.0</v>
      </c>
      <c r="B1498" s="2" t="s">
        <v>3507</v>
      </c>
      <c r="C1498" s="2" t="s">
        <v>23</v>
      </c>
      <c r="K1498" s="2">
        <v>20.0</v>
      </c>
      <c r="N1498" s="6">
        <v>44605.0</v>
      </c>
      <c r="Q1498" s="2" t="s">
        <v>3508</v>
      </c>
    </row>
    <row r="1499">
      <c r="A1499" s="2">
        <v>1498.0</v>
      </c>
      <c r="B1499" s="2" t="s">
        <v>3509</v>
      </c>
      <c r="C1499" s="2" t="s">
        <v>23</v>
      </c>
      <c r="K1499" s="2">
        <v>80.0</v>
      </c>
      <c r="N1499" s="6">
        <v>44594.0</v>
      </c>
      <c r="Q1499" s="2" t="s">
        <v>3510</v>
      </c>
    </row>
    <row r="1500">
      <c r="A1500" s="2">
        <v>1499.0</v>
      </c>
      <c r="B1500" s="2" t="s">
        <v>3511</v>
      </c>
      <c r="C1500" s="2" t="s">
        <v>23</v>
      </c>
      <c r="K1500" s="2">
        <v>10.0</v>
      </c>
      <c r="N1500" s="6">
        <v>45312.0</v>
      </c>
      <c r="Q1500" s="2" t="s">
        <v>3512</v>
      </c>
    </row>
    <row r="1501">
      <c r="A1501" s="2">
        <v>1500.0</v>
      </c>
      <c r="B1501" s="2" t="s">
        <v>3513</v>
      </c>
      <c r="C1501" s="2" t="s">
        <v>23</v>
      </c>
      <c r="K1501" s="2">
        <v>20.0</v>
      </c>
      <c r="N1501" s="6">
        <v>44276.0</v>
      </c>
      <c r="Q1501" s="2" t="s">
        <v>3514</v>
      </c>
    </row>
    <row r="1502">
      <c r="A1502" s="2">
        <v>1501.0</v>
      </c>
      <c r="B1502" s="2" t="s">
        <v>3515</v>
      </c>
      <c r="C1502" s="2" t="s">
        <v>23</v>
      </c>
      <c r="K1502" s="2">
        <v>80.0</v>
      </c>
      <c r="N1502" s="6">
        <v>45768.0</v>
      </c>
      <c r="Q1502" s="2" t="s">
        <v>3516</v>
      </c>
    </row>
    <row r="1503">
      <c r="A1503" s="2">
        <v>1502.0</v>
      </c>
      <c r="B1503" s="2" t="s">
        <v>3517</v>
      </c>
      <c r="C1503" s="2" t="s">
        <v>23</v>
      </c>
      <c r="N1503" s="6">
        <v>45050.0</v>
      </c>
      <c r="Q1503" s="2" t="s">
        <v>86</v>
      </c>
    </row>
    <row r="1504">
      <c r="A1504" s="2">
        <v>1503.0</v>
      </c>
      <c r="B1504" s="2" t="s">
        <v>3518</v>
      </c>
      <c r="C1504" s="2" t="s">
        <v>23</v>
      </c>
      <c r="K1504" s="2">
        <v>100.0</v>
      </c>
      <c r="N1504" s="6">
        <v>44733.0</v>
      </c>
      <c r="Q1504" s="2" t="s">
        <v>3519</v>
      </c>
    </row>
    <row r="1505">
      <c r="A1505" s="2">
        <v>1504.0</v>
      </c>
      <c r="B1505" s="2" t="s">
        <v>3520</v>
      </c>
      <c r="C1505" s="2" t="s">
        <v>23</v>
      </c>
      <c r="N1505" s="6">
        <v>42894.0</v>
      </c>
      <c r="Q1505" s="2" t="s">
        <v>86</v>
      </c>
    </row>
    <row r="1506">
      <c r="A1506" s="2">
        <v>1505.0</v>
      </c>
      <c r="B1506" s="2" t="s">
        <v>3521</v>
      </c>
      <c r="C1506" s="2" t="s">
        <v>23</v>
      </c>
      <c r="K1506" s="2">
        <v>50.0</v>
      </c>
      <c r="N1506" s="6">
        <v>45436.0</v>
      </c>
      <c r="Q1506" s="2" t="s">
        <v>3522</v>
      </c>
    </row>
    <row r="1507">
      <c r="A1507" s="2">
        <v>1506.0</v>
      </c>
      <c r="B1507" s="2" t="s">
        <v>3523</v>
      </c>
      <c r="C1507" s="2" t="s">
        <v>23</v>
      </c>
      <c r="K1507" s="2">
        <v>80.0</v>
      </c>
      <c r="N1507" s="6">
        <v>45217.0</v>
      </c>
      <c r="Q1507" s="2" t="s">
        <v>3524</v>
      </c>
    </row>
    <row r="1508">
      <c r="A1508" s="2">
        <v>1507.0</v>
      </c>
      <c r="B1508" s="2" t="s">
        <v>3525</v>
      </c>
      <c r="C1508" s="2" t="s">
        <v>23</v>
      </c>
      <c r="K1508" s="2">
        <v>30.0</v>
      </c>
      <c r="N1508" s="6">
        <v>45518.0</v>
      </c>
      <c r="Q1508" s="2" t="s">
        <v>3526</v>
      </c>
    </row>
    <row r="1509">
      <c r="A1509" s="2">
        <v>1508.0</v>
      </c>
      <c r="B1509" s="2" t="s">
        <v>3527</v>
      </c>
      <c r="C1509" s="2" t="s">
        <v>23</v>
      </c>
      <c r="K1509" s="2">
        <v>30.0</v>
      </c>
      <c r="N1509" s="6">
        <v>45231.0</v>
      </c>
      <c r="Q1509" s="2" t="s">
        <v>2731</v>
      </c>
    </row>
    <row r="1510">
      <c r="A1510" s="2">
        <v>1509.0</v>
      </c>
      <c r="B1510" s="2" t="s">
        <v>3528</v>
      </c>
      <c r="C1510" s="2" t="s">
        <v>23</v>
      </c>
      <c r="K1510" s="2">
        <v>10.0</v>
      </c>
      <c r="N1510" s="6">
        <v>44696.0</v>
      </c>
      <c r="Q1510" s="2" t="s">
        <v>86</v>
      </c>
    </row>
    <row r="1511">
      <c r="A1511" s="2">
        <v>1510.0</v>
      </c>
      <c r="B1511" s="2" t="s">
        <v>3529</v>
      </c>
      <c r="C1511" s="2" t="s">
        <v>23</v>
      </c>
      <c r="K1511" s="2">
        <v>80.0</v>
      </c>
      <c r="N1511" s="6">
        <v>45491.0</v>
      </c>
      <c r="Q1511" s="2" t="s">
        <v>3530</v>
      </c>
    </row>
    <row r="1512">
      <c r="A1512" s="2">
        <v>1511.0</v>
      </c>
      <c r="B1512" s="2" t="s">
        <v>3531</v>
      </c>
      <c r="C1512" s="2" t="s">
        <v>23</v>
      </c>
      <c r="K1512" s="2">
        <v>50.0</v>
      </c>
      <c r="N1512" s="6">
        <v>45818.0</v>
      </c>
      <c r="Q1512" s="2" t="s">
        <v>3532</v>
      </c>
    </row>
    <row r="1513">
      <c r="A1513" s="2">
        <v>1512.0</v>
      </c>
      <c r="B1513" s="2" t="s">
        <v>95</v>
      </c>
      <c r="C1513" s="2" t="s">
        <v>23</v>
      </c>
      <c r="K1513" s="2">
        <v>10.0</v>
      </c>
      <c r="N1513" s="6">
        <v>44433.0</v>
      </c>
      <c r="Q1513" s="2" t="s">
        <v>97</v>
      </c>
    </row>
    <row r="1514">
      <c r="A1514" s="2">
        <v>1513.0</v>
      </c>
      <c r="B1514" s="2" t="s">
        <v>3533</v>
      </c>
      <c r="C1514" s="2" t="s">
        <v>23</v>
      </c>
      <c r="K1514" s="2">
        <v>40.0</v>
      </c>
      <c r="N1514" s="6">
        <v>43984.0</v>
      </c>
      <c r="Q1514" s="2" t="s">
        <v>1472</v>
      </c>
    </row>
    <row r="1515">
      <c r="A1515" s="2">
        <v>1514.0</v>
      </c>
      <c r="B1515" s="2" t="s">
        <v>3534</v>
      </c>
      <c r="C1515" s="2" t="s">
        <v>23</v>
      </c>
      <c r="N1515" s="6">
        <v>42820.0</v>
      </c>
      <c r="Q1515" s="2" t="s">
        <v>86</v>
      </c>
    </row>
    <row r="1516">
      <c r="A1516" s="2">
        <v>1515.0</v>
      </c>
      <c r="B1516" s="2" t="s">
        <v>3535</v>
      </c>
      <c r="C1516" s="2" t="s">
        <v>23</v>
      </c>
      <c r="N1516" s="6">
        <v>44914.0</v>
      </c>
      <c r="Q1516" s="2" t="s">
        <v>3536</v>
      </c>
    </row>
    <row r="1517">
      <c r="A1517" s="2">
        <v>1516.0</v>
      </c>
      <c r="B1517" s="2" t="s">
        <v>3537</v>
      </c>
      <c r="C1517" s="2" t="s">
        <v>23</v>
      </c>
      <c r="K1517" s="2">
        <v>20.0</v>
      </c>
      <c r="N1517" s="6">
        <v>45397.0</v>
      </c>
      <c r="Q1517" s="2" t="s">
        <v>3538</v>
      </c>
    </row>
    <row r="1518">
      <c r="A1518" s="2">
        <v>1517.0</v>
      </c>
      <c r="B1518" s="2" t="s">
        <v>3539</v>
      </c>
      <c r="C1518" s="2" t="s">
        <v>23</v>
      </c>
      <c r="K1518" s="2">
        <v>30.0</v>
      </c>
      <c r="N1518" s="6">
        <v>44289.0</v>
      </c>
      <c r="Q1518" s="2" t="s">
        <v>3540</v>
      </c>
    </row>
    <row r="1519">
      <c r="A1519" s="2">
        <v>1518.0</v>
      </c>
      <c r="B1519" s="2" t="s">
        <v>3541</v>
      </c>
      <c r="C1519" s="2" t="s">
        <v>23</v>
      </c>
      <c r="N1519" s="6">
        <v>44341.0</v>
      </c>
      <c r="Q1519" s="2" t="s">
        <v>86</v>
      </c>
    </row>
    <row r="1520">
      <c r="A1520" s="2">
        <v>1519.0</v>
      </c>
      <c r="B1520" s="2" t="s">
        <v>3542</v>
      </c>
      <c r="C1520" s="2" t="s">
        <v>23</v>
      </c>
      <c r="N1520" s="6">
        <v>44782.0</v>
      </c>
      <c r="Q1520" s="2" t="s">
        <v>86</v>
      </c>
    </row>
    <row r="1521">
      <c r="A1521" s="2">
        <v>1520.0</v>
      </c>
      <c r="B1521" s="2" t="s">
        <v>3543</v>
      </c>
      <c r="C1521" s="2" t="s">
        <v>23</v>
      </c>
      <c r="N1521" s="6">
        <v>44011.0</v>
      </c>
      <c r="Q1521" s="2" t="s">
        <v>86</v>
      </c>
    </row>
    <row r="1522">
      <c r="A1522" s="2">
        <v>1521.0</v>
      </c>
      <c r="B1522" s="2" t="s">
        <v>3544</v>
      </c>
      <c r="C1522" s="2" t="s">
        <v>23</v>
      </c>
      <c r="K1522" s="2">
        <v>10.0</v>
      </c>
      <c r="N1522" s="6">
        <v>44354.0</v>
      </c>
      <c r="Q1522" s="2" t="s">
        <v>235</v>
      </c>
    </row>
    <row r="1523">
      <c r="A1523" s="2">
        <v>1522.0</v>
      </c>
      <c r="B1523" s="2" t="s">
        <v>3545</v>
      </c>
      <c r="C1523" s="2" t="s">
        <v>23</v>
      </c>
      <c r="K1523" s="2">
        <v>200.0</v>
      </c>
      <c r="N1523" s="6">
        <v>44724.0</v>
      </c>
      <c r="Q1523" s="2" t="s">
        <v>3546</v>
      </c>
    </row>
    <row r="1524">
      <c r="A1524" s="2">
        <v>1523.0</v>
      </c>
      <c r="B1524" s="2" t="s">
        <v>3547</v>
      </c>
      <c r="C1524" s="2" t="s">
        <v>23</v>
      </c>
      <c r="N1524" s="6">
        <v>45434.0</v>
      </c>
      <c r="Q1524" s="2" t="s">
        <v>3548</v>
      </c>
    </row>
    <row r="1525">
      <c r="A1525" s="2">
        <v>1524.0</v>
      </c>
      <c r="B1525" s="2" t="s">
        <v>3549</v>
      </c>
      <c r="C1525" s="2" t="s">
        <v>23</v>
      </c>
      <c r="N1525" s="6">
        <v>44221.0</v>
      </c>
      <c r="Q1525" s="2" t="s">
        <v>86</v>
      </c>
    </row>
    <row r="1526">
      <c r="A1526" s="2">
        <v>1525.0</v>
      </c>
      <c r="B1526" s="2" t="s">
        <v>3550</v>
      </c>
      <c r="C1526" s="2" t="s">
        <v>23</v>
      </c>
      <c r="K1526" s="2">
        <v>150.0</v>
      </c>
      <c r="N1526" s="6">
        <v>43868.0</v>
      </c>
      <c r="Q1526" s="2" t="s">
        <v>3551</v>
      </c>
    </row>
    <row r="1527">
      <c r="A1527" s="2">
        <v>1526.0</v>
      </c>
      <c r="B1527" s="2" t="s">
        <v>3552</v>
      </c>
      <c r="C1527" s="2" t="s">
        <v>23</v>
      </c>
      <c r="K1527" s="2">
        <v>60.0</v>
      </c>
      <c r="N1527" s="6">
        <v>45718.0</v>
      </c>
      <c r="Q1527" s="2" t="s">
        <v>3553</v>
      </c>
    </row>
    <row r="1528">
      <c r="A1528" s="2">
        <v>1527.0</v>
      </c>
      <c r="B1528" s="2" t="s">
        <v>3554</v>
      </c>
      <c r="C1528" s="2" t="s">
        <v>23</v>
      </c>
      <c r="K1528" s="2">
        <v>200.0</v>
      </c>
      <c r="N1528" s="6">
        <v>43968.0</v>
      </c>
      <c r="Q1528" s="2" t="s">
        <v>1070</v>
      </c>
    </row>
    <row r="1529">
      <c r="A1529" s="2">
        <v>1528.0</v>
      </c>
      <c r="B1529" s="2" t="s">
        <v>3555</v>
      </c>
      <c r="C1529" s="2" t="s">
        <v>23</v>
      </c>
      <c r="K1529" s="2">
        <v>100.0</v>
      </c>
      <c r="N1529" s="6">
        <v>44394.0</v>
      </c>
      <c r="Q1529" s="2" t="s">
        <v>3556</v>
      </c>
    </row>
    <row r="1530">
      <c r="A1530" s="2">
        <v>1529.0</v>
      </c>
      <c r="B1530" s="2" t="s">
        <v>3557</v>
      </c>
      <c r="C1530" s="2" t="s">
        <v>23</v>
      </c>
      <c r="K1530" s="2">
        <v>50.0</v>
      </c>
      <c r="N1530" s="6">
        <v>44312.0</v>
      </c>
      <c r="Q1530" s="2" t="s">
        <v>3558</v>
      </c>
    </row>
    <row r="1531">
      <c r="A1531" s="2">
        <v>1530.0</v>
      </c>
      <c r="B1531" s="2" t="s">
        <v>3559</v>
      </c>
      <c r="C1531" s="2" t="s">
        <v>23</v>
      </c>
      <c r="K1531" s="2">
        <v>30.0</v>
      </c>
      <c r="N1531" s="6">
        <v>44394.0</v>
      </c>
      <c r="Q1531" s="2" t="s">
        <v>86</v>
      </c>
    </row>
    <row r="1532">
      <c r="A1532" s="2">
        <v>1531.0</v>
      </c>
      <c r="B1532" s="2" t="s">
        <v>3560</v>
      </c>
      <c r="C1532" s="2" t="s">
        <v>23</v>
      </c>
      <c r="K1532" s="2">
        <v>100.0</v>
      </c>
      <c r="N1532" s="6">
        <v>42646.0</v>
      </c>
      <c r="Q1532" s="2" t="s">
        <v>3561</v>
      </c>
    </row>
    <row r="1533">
      <c r="A1533" s="2">
        <v>1532.0</v>
      </c>
      <c r="B1533" s="2" t="s">
        <v>3562</v>
      </c>
      <c r="C1533" s="2" t="s">
        <v>23</v>
      </c>
      <c r="K1533" s="2">
        <v>10.0</v>
      </c>
      <c r="N1533" s="6">
        <v>45747.0</v>
      </c>
      <c r="Q1533" s="2" t="s">
        <v>3563</v>
      </c>
    </row>
    <row r="1534">
      <c r="A1534" s="2">
        <v>1533.0</v>
      </c>
      <c r="B1534" s="2" t="s">
        <v>3564</v>
      </c>
      <c r="C1534" s="2" t="s">
        <v>23</v>
      </c>
      <c r="N1534" s="6">
        <v>44576.0</v>
      </c>
      <c r="Q1534" s="2" t="s">
        <v>86</v>
      </c>
    </row>
    <row r="1535">
      <c r="A1535" s="2">
        <v>1534.0</v>
      </c>
      <c r="B1535" s="2" t="s">
        <v>3565</v>
      </c>
      <c r="C1535" s="2" t="s">
        <v>23</v>
      </c>
      <c r="K1535" s="2">
        <v>30.0</v>
      </c>
      <c r="N1535" s="6">
        <v>43883.0</v>
      </c>
      <c r="Q1535" s="2" t="s">
        <v>86</v>
      </c>
    </row>
    <row r="1536">
      <c r="A1536" s="2">
        <v>1535.0</v>
      </c>
      <c r="B1536" s="2" t="s">
        <v>3566</v>
      </c>
      <c r="C1536" s="2" t="s">
        <v>23</v>
      </c>
      <c r="K1536" s="2">
        <v>20.0</v>
      </c>
      <c r="N1536" s="6">
        <v>43846.0</v>
      </c>
      <c r="Q1536" s="2" t="s">
        <v>3567</v>
      </c>
    </row>
    <row r="1537">
      <c r="A1537" s="2">
        <v>1536.0</v>
      </c>
      <c r="B1537" s="2" t="s">
        <v>3568</v>
      </c>
      <c r="C1537" s="2" t="s">
        <v>23</v>
      </c>
      <c r="K1537" s="2">
        <v>10.0</v>
      </c>
      <c r="N1537" s="6">
        <v>44502.0</v>
      </c>
      <c r="Q1537" s="2" t="s">
        <v>1466</v>
      </c>
    </row>
    <row r="1538">
      <c r="A1538" s="2">
        <v>1537.0</v>
      </c>
      <c r="B1538" s="2" t="s">
        <v>3569</v>
      </c>
      <c r="C1538" s="2" t="s">
        <v>23</v>
      </c>
      <c r="K1538" s="2">
        <v>400.0</v>
      </c>
      <c r="N1538" s="6">
        <v>43851.0</v>
      </c>
      <c r="Q1538" s="2" t="s">
        <v>3570</v>
      </c>
    </row>
    <row r="1539">
      <c r="A1539" s="2">
        <v>1538.0</v>
      </c>
      <c r="B1539" s="2" t="s">
        <v>3571</v>
      </c>
      <c r="C1539" s="2" t="s">
        <v>23</v>
      </c>
      <c r="K1539" s="2">
        <v>90.0</v>
      </c>
      <c r="N1539" s="6">
        <v>45793.0</v>
      </c>
      <c r="Q1539" s="2" t="s">
        <v>3572</v>
      </c>
    </row>
    <row r="1540">
      <c r="A1540" s="2">
        <v>1539.0</v>
      </c>
      <c r="B1540" s="2" t="s">
        <v>3573</v>
      </c>
      <c r="C1540" s="2" t="s">
        <v>23</v>
      </c>
      <c r="K1540" s="2">
        <v>20.0</v>
      </c>
      <c r="N1540" s="6">
        <v>45405.0</v>
      </c>
      <c r="Q1540" s="2" t="s">
        <v>3075</v>
      </c>
    </row>
    <row r="1541">
      <c r="A1541" s="2">
        <v>1540.0</v>
      </c>
      <c r="B1541" s="2" t="s">
        <v>3574</v>
      </c>
      <c r="C1541" s="2" t="s">
        <v>23</v>
      </c>
      <c r="N1541" s="6">
        <v>44668.0</v>
      </c>
      <c r="Q1541" s="2" t="s">
        <v>86</v>
      </c>
    </row>
    <row r="1542">
      <c r="A1542" s="2">
        <v>1541.0</v>
      </c>
      <c r="B1542" s="2" t="s">
        <v>3575</v>
      </c>
      <c r="C1542" s="2" t="s">
        <v>23</v>
      </c>
      <c r="N1542" s="6">
        <v>44418.0</v>
      </c>
      <c r="Q1542" s="2" t="s">
        <v>86</v>
      </c>
    </row>
    <row r="1543">
      <c r="A1543" s="2">
        <v>1542.0</v>
      </c>
      <c r="B1543" s="2" t="s">
        <v>3576</v>
      </c>
      <c r="C1543" s="2" t="s">
        <v>23</v>
      </c>
      <c r="K1543" s="2">
        <v>70.0</v>
      </c>
      <c r="N1543" s="6">
        <v>42264.0</v>
      </c>
      <c r="Q1543" s="2" t="s">
        <v>3577</v>
      </c>
    </row>
    <row r="1544">
      <c r="A1544" s="2">
        <v>1543.0</v>
      </c>
      <c r="B1544" s="2" t="s">
        <v>3578</v>
      </c>
      <c r="C1544" s="2" t="s">
        <v>23</v>
      </c>
      <c r="K1544" s="2">
        <v>20.0</v>
      </c>
      <c r="N1544" s="6">
        <v>44179.0</v>
      </c>
      <c r="Q1544" s="2" t="s">
        <v>86</v>
      </c>
    </row>
    <row r="1545">
      <c r="A1545" s="2">
        <v>1544.0</v>
      </c>
      <c r="B1545" s="2" t="s">
        <v>3579</v>
      </c>
      <c r="C1545" s="2" t="s">
        <v>23</v>
      </c>
      <c r="N1545" s="6">
        <v>44547.0</v>
      </c>
      <c r="Q1545" s="2" t="s">
        <v>86</v>
      </c>
    </row>
    <row r="1546">
      <c r="A1546" s="2">
        <v>1545.0</v>
      </c>
      <c r="B1546" s="2" t="s">
        <v>3580</v>
      </c>
      <c r="C1546" s="2" t="s">
        <v>23</v>
      </c>
      <c r="N1546" s="6">
        <v>44071.0</v>
      </c>
      <c r="Q1546" s="2" t="s">
        <v>86</v>
      </c>
    </row>
    <row r="1547">
      <c r="A1547" s="2">
        <v>1546.0</v>
      </c>
      <c r="B1547" s="2" t="s">
        <v>3581</v>
      </c>
      <c r="C1547" s="2" t="s">
        <v>23</v>
      </c>
      <c r="K1547" s="2">
        <v>60.0</v>
      </c>
      <c r="N1547" s="6">
        <v>45645.0</v>
      </c>
      <c r="Q1547" s="2" t="s">
        <v>3582</v>
      </c>
    </row>
    <row r="1548">
      <c r="A1548" s="2">
        <v>1547.0</v>
      </c>
      <c r="B1548" s="2" t="s">
        <v>3583</v>
      </c>
      <c r="C1548" s="2" t="s">
        <v>23</v>
      </c>
      <c r="N1548" s="6">
        <v>45477.0</v>
      </c>
      <c r="Q1548" s="2" t="s">
        <v>3584</v>
      </c>
    </row>
    <row r="1549">
      <c r="A1549" s="2">
        <v>1548.0</v>
      </c>
      <c r="B1549" s="2" t="s">
        <v>3585</v>
      </c>
      <c r="C1549" s="2" t="s">
        <v>23</v>
      </c>
      <c r="K1549" s="2">
        <v>10.0</v>
      </c>
      <c r="N1549" s="6">
        <v>45449.0</v>
      </c>
      <c r="Q1549" s="2" t="s">
        <v>3586</v>
      </c>
    </row>
    <row r="1550">
      <c r="A1550" s="2">
        <v>1549.0</v>
      </c>
      <c r="B1550" s="2" t="s">
        <v>3587</v>
      </c>
      <c r="C1550" s="2" t="s">
        <v>23</v>
      </c>
      <c r="N1550" s="6">
        <v>43860.0</v>
      </c>
      <c r="Q1550" s="2" t="s">
        <v>86</v>
      </c>
    </row>
    <row r="1551">
      <c r="A1551" s="2">
        <v>1550.0</v>
      </c>
      <c r="B1551" s="2" t="s">
        <v>3588</v>
      </c>
      <c r="C1551" s="2" t="s">
        <v>23</v>
      </c>
      <c r="K1551" s="2">
        <v>30.0</v>
      </c>
      <c r="N1551" s="6">
        <v>44643.0</v>
      </c>
      <c r="Q1551" s="2" t="s">
        <v>3589</v>
      </c>
    </row>
    <row r="1552">
      <c r="A1552" s="2">
        <v>1551.0</v>
      </c>
      <c r="B1552" s="2" t="s">
        <v>3590</v>
      </c>
      <c r="C1552" s="2" t="s">
        <v>23</v>
      </c>
      <c r="N1552" s="6">
        <v>44945.0</v>
      </c>
      <c r="Q1552" s="2" t="s">
        <v>86</v>
      </c>
    </row>
    <row r="1553">
      <c r="A1553" s="2">
        <v>1552.0</v>
      </c>
      <c r="B1553" s="2" t="s">
        <v>3591</v>
      </c>
      <c r="C1553" s="2" t="s">
        <v>23</v>
      </c>
      <c r="K1553" s="2">
        <v>20.0</v>
      </c>
      <c r="N1553" s="6">
        <v>44327.0</v>
      </c>
      <c r="Q1553" s="2" t="s">
        <v>3592</v>
      </c>
    </row>
    <row r="1554">
      <c r="A1554" s="2">
        <v>1553.0</v>
      </c>
      <c r="B1554" s="2" t="s">
        <v>3593</v>
      </c>
      <c r="C1554" s="2" t="s">
        <v>23</v>
      </c>
      <c r="K1554" s="2">
        <v>50.0</v>
      </c>
      <c r="N1554" s="6">
        <v>44130.0</v>
      </c>
      <c r="Q1554" s="2" t="s">
        <v>3594</v>
      </c>
    </row>
    <row r="1555">
      <c r="A1555" s="2">
        <v>1554.0</v>
      </c>
      <c r="B1555" s="2" t="s">
        <v>3595</v>
      </c>
      <c r="C1555" s="2" t="s">
        <v>23</v>
      </c>
      <c r="N1555" s="6">
        <v>44567.0</v>
      </c>
      <c r="Q1555" s="2" t="s">
        <v>86</v>
      </c>
    </row>
    <row r="1556">
      <c r="A1556" s="2">
        <v>1555.0</v>
      </c>
      <c r="B1556" s="2" t="s">
        <v>3596</v>
      </c>
      <c r="C1556" s="2" t="s">
        <v>23</v>
      </c>
      <c r="N1556" s="6">
        <v>43842.0</v>
      </c>
      <c r="Q1556" s="2" t="s">
        <v>86</v>
      </c>
    </row>
    <row r="1557">
      <c r="A1557" s="2">
        <v>1556.0</v>
      </c>
      <c r="B1557" s="2" t="s">
        <v>3597</v>
      </c>
      <c r="C1557" s="2" t="s">
        <v>23</v>
      </c>
      <c r="K1557" s="2">
        <v>70.0</v>
      </c>
      <c r="N1557" s="6">
        <v>43853.0</v>
      </c>
      <c r="Q1557" s="2" t="s">
        <v>3598</v>
      </c>
    </row>
    <row r="1558">
      <c r="A1558" s="2">
        <v>1557.0</v>
      </c>
      <c r="B1558" s="2" t="s">
        <v>3599</v>
      </c>
      <c r="C1558" s="2" t="s">
        <v>23</v>
      </c>
      <c r="N1558" s="6">
        <v>45083.0</v>
      </c>
      <c r="Q1558" s="2" t="s">
        <v>3600</v>
      </c>
    </row>
    <row r="1559">
      <c r="A1559" s="2">
        <v>1558.0</v>
      </c>
      <c r="B1559" s="2" t="s">
        <v>3601</v>
      </c>
      <c r="C1559" s="2" t="s">
        <v>23</v>
      </c>
      <c r="K1559" s="2">
        <v>30.0</v>
      </c>
      <c r="N1559" s="6">
        <v>45476.0</v>
      </c>
      <c r="Q1559" s="2" t="s">
        <v>1734</v>
      </c>
    </row>
    <row r="1560">
      <c r="A1560" s="2">
        <v>1559.0</v>
      </c>
      <c r="B1560" s="2" t="s">
        <v>3602</v>
      </c>
      <c r="C1560" s="2" t="s">
        <v>23</v>
      </c>
      <c r="K1560" s="2">
        <v>200.0</v>
      </c>
      <c r="N1560" s="6">
        <v>42310.0</v>
      </c>
      <c r="Q1560" s="2" t="s">
        <v>3603</v>
      </c>
    </row>
    <row r="1561">
      <c r="A1561" s="2">
        <v>1560.0</v>
      </c>
      <c r="B1561" s="2" t="s">
        <v>3604</v>
      </c>
      <c r="C1561" s="2" t="s">
        <v>23</v>
      </c>
      <c r="N1561" s="6">
        <v>45938.0</v>
      </c>
      <c r="Q1561" s="2" t="s">
        <v>3605</v>
      </c>
    </row>
    <row r="1562">
      <c r="A1562" s="2">
        <v>1561.0</v>
      </c>
      <c r="B1562" s="2" t="s">
        <v>3606</v>
      </c>
      <c r="C1562" s="2" t="s">
        <v>23</v>
      </c>
      <c r="N1562" s="6">
        <v>44652.0</v>
      </c>
      <c r="Q1562" s="2" t="s">
        <v>86</v>
      </c>
    </row>
    <row r="1563">
      <c r="A1563" s="2">
        <v>1562.0</v>
      </c>
      <c r="B1563" s="2" t="s">
        <v>3607</v>
      </c>
      <c r="C1563" s="2" t="s">
        <v>23</v>
      </c>
      <c r="N1563" s="6">
        <v>44080.0</v>
      </c>
      <c r="Q1563" s="2" t="s">
        <v>86</v>
      </c>
    </row>
    <row r="1564">
      <c r="A1564" s="2">
        <v>1563.0</v>
      </c>
      <c r="B1564" s="2" t="s">
        <v>3608</v>
      </c>
      <c r="C1564" s="2" t="s">
        <v>23</v>
      </c>
      <c r="K1564" s="2">
        <v>20.0</v>
      </c>
      <c r="N1564" s="6">
        <v>45039.0</v>
      </c>
      <c r="Q1564" s="2" t="s">
        <v>3609</v>
      </c>
    </row>
    <row r="1565">
      <c r="A1565" s="2">
        <v>1564.0</v>
      </c>
      <c r="B1565" s="2" t="s">
        <v>3610</v>
      </c>
      <c r="C1565" s="2" t="s">
        <v>23</v>
      </c>
      <c r="F1565" s="2">
        <v>0.5</v>
      </c>
      <c r="K1565" s="2">
        <v>1000.0</v>
      </c>
      <c r="N1565" s="6">
        <v>43982.0</v>
      </c>
      <c r="Q1565" s="2" t="s">
        <v>3611</v>
      </c>
    </row>
    <row r="1566">
      <c r="A1566" s="2">
        <v>1565.0</v>
      </c>
      <c r="B1566" s="2" t="s">
        <v>3612</v>
      </c>
      <c r="C1566" s="2" t="s">
        <v>23</v>
      </c>
      <c r="N1566" s="6">
        <v>43297.0</v>
      </c>
      <c r="Q1566" s="2" t="s">
        <v>86</v>
      </c>
    </row>
    <row r="1567">
      <c r="A1567" s="2">
        <v>1566.0</v>
      </c>
      <c r="B1567" s="2" t="s">
        <v>3613</v>
      </c>
      <c r="C1567" s="2" t="s">
        <v>23</v>
      </c>
      <c r="K1567" s="2">
        <v>40.0</v>
      </c>
      <c r="N1567" s="6">
        <v>45675.0</v>
      </c>
      <c r="Q1567" s="2" t="s">
        <v>3614</v>
      </c>
    </row>
    <row r="1568">
      <c r="A1568" s="2">
        <v>1567.0</v>
      </c>
      <c r="B1568" s="2" t="s">
        <v>3615</v>
      </c>
      <c r="C1568" s="2" t="s">
        <v>23</v>
      </c>
      <c r="N1568" s="6">
        <v>45325.0</v>
      </c>
      <c r="Q1568" s="2" t="s">
        <v>86</v>
      </c>
    </row>
    <row r="1569">
      <c r="A1569" s="2">
        <v>1568.0</v>
      </c>
      <c r="B1569" s="2" t="s">
        <v>3616</v>
      </c>
      <c r="C1569" s="2" t="s">
        <v>23</v>
      </c>
      <c r="K1569" s="2">
        <v>10.0</v>
      </c>
      <c r="N1569" s="6">
        <v>45261.0</v>
      </c>
      <c r="Q1569" s="2" t="s">
        <v>3617</v>
      </c>
    </row>
    <row r="1570">
      <c r="A1570" s="2">
        <v>1569.0</v>
      </c>
      <c r="B1570" s="2" t="s">
        <v>3618</v>
      </c>
      <c r="C1570" s="2" t="s">
        <v>23</v>
      </c>
      <c r="K1570" s="2">
        <v>10.0</v>
      </c>
      <c r="N1570" s="6">
        <v>45476.0</v>
      </c>
      <c r="Q1570" s="2" t="s">
        <v>3619</v>
      </c>
    </row>
    <row r="1571">
      <c r="A1571" s="2">
        <v>1570.0</v>
      </c>
      <c r="B1571" s="2" t="s">
        <v>3620</v>
      </c>
      <c r="C1571" s="2" t="s">
        <v>23</v>
      </c>
      <c r="N1571" s="6">
        <v>44302.0</v>
      </c>
      <c r="Q1571" s="2" t="s">
        <v>1801</v>
      </c>
    </row>
    <row r="1572">
      <c r="A1572" s="2">
        <v>1571.0</v>
      </c>
      <c r="B1572" s="2" t="s">
        <v>3621</v>
      </c>
      <c r="C1572" s="2" t="s">
        <v>23</v>
      </c>
      <c r="K1572" s="2">
        <v>20.0</v>
      </c>
      <c r="N1572" s="6">
        <v>44014.0</v>
      </c>
      <c r="Q1572" s="2" t="s">
        <v>3622</v>
      </c>
    </row>
    <row r="1573">
      <c r="A1573" s="2">
        <v>1572.0</v>
      </c>
      <c r="B1573" s="2" t="s">
        <v>3623</v>
      </c>
      <c r="C1573" s="2" t="s">
        <v>23</v>
      </c>
      <c r="K1573" s="2">
        <v>40.0</v>
      </c>
      <c r="N1573" s="6">
        <v>43897.0</v>
      </c>
      <c r="Q1573" s="2" t="s">
        <v>3624</v>
      </c>
    </row>
    <row r="1574">
      <c r="A1574" s="2">
        <v>1573.0</v>
      </c>
      <c r="B1574" s="2" t="s">
        <v>3625</v>
      </c>
      <c r="C1574" s="2" t="s">
        <v>23</v>
      </c>
      <c r="K1574" s="2">
        <v>150.0</v>
      </c>
      <c r="N1574" s="6">
        <v>43855.0</v>
      </c>
      <c r="Q1574" s="2" t="s">
        <v>2001</v>
      </c>
    </row>
    <row r="1575">
      <c r="A1575" s="2">
        <v>1574.0</v>
      </c>
      <c r="B1575" s="2" t="s">
        <v>3626</v>
      </c>
      <c r="C1575" s="2" t="s">
        <v>23</v>
      </c>
      <c r="K1575" s="2">
        <v>10.0</v>
      </c>
      <c r="N1575" s="6">
        <v>44474.0</v>
      </c>
      <c r="Q1575" s="2" t="s">
        <v>3627</v>
      </c>
    </row>
    <row r="1576">
      <c r="A1576" s="2">
        <v>1575.0</v>
      </c>
      <c r="B1576" s="2" t="s">
        <v>3628</v>
      </c>
      <c r="C1576" s="2" t="s">
        <v>23</v>
      </c>
      <c r="K1576" s="2">
        <v>20.0</v>
      </c>
      <c r="N1576" s="6">
        <v>45246.0</v>
      </c>
      <c r="Q1576" s="2" t="s">
        <v>3629</v>
      </c>
    </row>
    <row r="1577">
      <c r="A1577" s="2">
        <v>1576.0</v>
      </c>
      <c r="B1577" s="2" t="s">
        <v>3630</v>
      </c>
      <c r="C1577" s="2" t="s">
        <v>23</v>
      </c>
      <c r="K1577" s="2">
        <v>150.0</v>
      </c>
      <c r="N1577" s="6">
        <v>44407.0</v>
      </c>
      <c r="Q1577" s="2" t="s">
        <v>3208</v>
      </c>
    </row>
    <row r="1578">
      <c r="A1578" s="2">
        <v>1577.0</v>
      </c>
      <c r="B1578" s="2" t="s">
        <v>3631</v>
      </c>
      <c r="C1578" s="2" t="s">
        <v>23</v>
      </c>
      <c r="K1578" s="2">
        <v>10.0</v>
      </c>
      <c r="N1578" s="6">
        <v>45120.0</v>
      </c>
      <c r="Q1578" s="2" t="s">
        <v>3632</v>
      </c>
    </row>
    <row r="1579">
      <c r="A1579" s="2">
        <v>1578.0</v>
      </c>
      <c r="B1579" s="2" t="s">
        <v>3633</v>
      </c>
      <c r="C1579" s="2" t="s">
        <v>23</v>
      </c>
      <c r="K1579" s="2">
        <v>150.0</v>
      </c>
      <c r="N1579" s="6">
        <v>44969.0</v>
      </c>
      <c r="Q1579" s="2" t="s">
        <v>3634</v>
      </c>
    </row>
    <row r="1580">
      <c r="A1580" s="2">
        <v>1579.0</v>
      </c>
      <c r="B1580" s="2" t="s">
        <v>3635</v>
      </c>
      <c r="C1580" s="2" t="s">
        <v>23</v>
      </c>
      <c r="N1580" s="6">
        <v>43937.0</v>
      </c>
      <c r="Q1580" s="2" t="s">
        <v>3636</v>
      </c>
    </row>
    <row r="1581">
      <c r="A1581" s="2">
        <v>1580.0</v>
      </c>
      <c r="B1581" s="2" t="s">
        <v>3637</v>
      </c>
      <c r="C1581" s="2" t="s">
        <v>23</v>
      </c>
      <c r="K1581" s="2">
        <v>70.0</v>
      </c>
      <c r="N1581" s="6">
        <v>44042.0</v>
      </c>
      <c r="Q1581" s="2" t="s">
        <v>60</v>
      </c>
    </row>
    <row r="1582">
      <c r="A1582" s="2">
        <v>1581.0</v>
      </c>
      <c r="B1582" s="2" t="s">
        <v>3638</v>
      </c>
      <c r="C1582" s="2" t="s">
        <v>23</v>
      </c>
      <c r="N1582" s="6">
        <v>44941.0</v>
      </c>
      <c r="Q1582" s="2" t="s">
        <v>401</v>
      </c>
    </row>
    <row r="1583">
      <c r="A1583" s="2">
        <v>1582.0</v>
      </c>
      <c r="B1583" s="2" t="s">
        <v>3639</v>
      </c>
      <c r="C1583" s="2" t="s">
        <v>23</v>
      </c>
      <c r="K1583" s="2">
        <v>60.0</v>
      </c>
      <c r="N1583" s="6">
        <v>45728.0</v>
      </c>
      <c r="Q1583" s="2" t="s">
        <v>3640</v>
      </c>
    </row>
    <row r="1584">
      <c r="A1584" s="2">
        <v>1583.0</v>
      </c>
      <c r="B1584" s="2" t="s">
        <v>3641</v>
      </c>
      <c r="C1584" s="2" t="s">
        <v>23</v>
      </c>
      <c r="N1584" s="6">
        <v>45576.0</v>
      </c>
      <c r="Q1584" s="2" t="s">
        <v>1131</v>
      </c>
    </row>
    <row r="1585">
      <c r="A1585" s="2">
        <v>1584.0</v>
      </c>
      <c r="B1585" s="2" t="s">
        <v>3642</v>
      </c>
      <c r="C1585" s="2" t="s">
        <v>23</v>
      </c>
      <c r="N1585" s="6">
        <v>45562.0</v>
      </c>
      <c r="Q1585" s="2" t="s">
        <v>3643</v>
      </c>
    </row>
    <row r="1586">
      <c r="A1586" s="2">
        <v>1585.0</v>
      </c>
      <c r="B1586" s="2" t="s">
        <v>3644</v>
      </c>
      <c r="C1586" s="2" t="s">
        <v>23</v>
      </c>
      <c r="N1586" s="6">
        <v>43846.0</v>
      </c>
      <c r="Q1586" s="2" t="s">
        <v>3645</v>
      </c>
    </row>
    <row r="1587">
      <c r="A1587" s="2">
        <v>1586.0</v>
      </c>
      <c r="B1587" s="2" t="s">
        <v>3646</v>
      </c>
      <c r="C1587" s="2" t="s">
        <v>23</v>
      </c>
      <c r="N1587" s="6">
        <v>44589.0</v>
      </c>
      <c r="Q1587" s="2" t="s">
        <v>86</v>
      </c>
    </row>
    <row r="1588">
      <c r="A1588" s="2">
        <v>1587.0</v>
      </c>
      <c r="B1588" s="2" t="s">
        <v>3647</v>
      </c>
      <c r="C1588" s="2" t="s">
        <v>23</v>
      </c>
      <c r="K1588" s="2">
        <v>20.0</v>
      </c>
      <c r="N1588" s="6">
        <v>44761.0</v>
      </c>
      <c r="Q1588" s="2" t="s">
        <v>1466</v>
      </c>
    </row>
    <row r="1589">
      <c r="A1589" s="2">
        <v>1588.0</v>
      </c>
      <c r="B1589" s="2" t="s">
        <v>3648</v>
      </c>
      <c r="C1589" s="2" t="s">
        <v>23</v>
      </c>
      <c r="N1589" s="6">
        <v>45278.0</v>
      </c>
      <c r="Q1589" s="2" t="s">
        <v>401</v>
      </c>
    </row>
    <row r="1590">
      <c r="A1590" s="2">
        <v>1589.0</v>
      </c>
      <c r="B1590" s="2" t="s">
        <v>3649</v>
      </c>
      <c r="C1590" s="2" t="s">
        <v>23</v>
      </c>
      <c r="K1590" s="2">
        <v>40.0</v>
      </c>
      <c r="N1590" s="6">
        <v>44733.0</v>
      </c>
      <c r="Q1590" s="2" t="s">
        <v>3075</v>
      </c>
    </row>
    <row r="1591">
      <c r="A1591" s="2">
        <v>1590.0</v>
      </c>
      <c r="B1591" s="2" t="s">
        <v>3650</v>
      </c>
      <c r="C1591" s="2" t="s">
        <v>23</v>
      </c>
      <c r="N1591" s="6">
        <v>45470.0</v>
      </c>
      <c r="Q1591" s="2" t="s">
        <v>1116</v>
      </c>
    </row>
    <row r="1592">
      <c r="A1592" s="2">
        <v>1591.0</v>
      </c>
      <c r="B1592" s="2" t="s">
        <v>3651</v>
      </c>
      <c r="C1592" s="2" t="s">
        <v>23</v>
      </c>
      <c r="K1592" s="2">
        <v>30.0</v>
      </c>
      <c r="N1592" s="6">
        <v>43961.0</v>
      </c>
      <c r="Q1592" s="2" t="s">
        <v>86</v>
      </c>
    </row>
    <row r="1593">
      <c r="A1593" s="2">
        <v>1592.0</v>
      </c>
      <c r="B1593" s="2" t="s">
        <v>3652</v>
      </c>
      <c r="C1593" s="2" t="s">
        <v>23</v>
      </c>
      <c r="K1593" s="2">
        <v>80.0</v>
      </c>
      <c r="N1593" s="6">
        <v>43842.0</v>
      </c>
      <c r="Q1593" s="2" t="s">
        <v>3653</v>
      </c>
    </row>
    <row r="1594">
      <c r="A1594" s="2">
        <v>1593.0</v>
      </c>
      <c r="B1594" s="2" t="s">
        <v>3654</v>
      </c>
      <c r="C1594" s="2" t="s">
        <v>23</v>
      </c>
      <c r="N1594" s="6">
        <v>45581.0</v>
      </c>
      <c r="Q1594" s="2" t="s">
        <v>1528</v>
      </c>
    </row>
    <row r="1595">
      <c r="A1595" s="2">
        <v>1594.0</v>
      </c>
      <c r="B1595" s="2" t="s">
        <v>3655</v>
      </c>
      <c r="C1595" s="2" t="s">
        <v>23</v>
      </c>
      <c r="K1595" s="2">
        <v>200.0</v>
      </c>
      <c r="N1595" s="6">
        <v>45569.0</v>
      </c>
      <c r="Q1595" s="2" t="s">
        <v>3656</v>
      </c>
    </row>
    <row r="1596">
      <c r="A1596" s="2">
        <v>1595.0</v>
      </c>
      <c r="B1596" s="2" t="s">
        <v>3657</v>
      </c>
      <c r="C1596" s="2" t="s">
        <v>23</v>
      </c>
      <c r="N1596" s="6">
        <v>44395.0</v>
      </c>
      <c r="Q1596" s="2" t="s">
        <v>86</v>
      </c>
    </row>
    <row r="1597">
      <c r="A1597" s="2">
        <v>1596.0</v>
      </c>
      <c r="B1597" s="2" t="s">
        <v>3658</v>
      </c>
      <c r="C1597" s="2" t="s">
        <v>23</v>
      </c>
      <c r="K1597" s="2">
        <v>40.0</v>
      </c>
      <c r="N1597" s="6">
        <v>45657.0</v>
      </c>
      <c r="Q1597" s="2" t="s">
        <v>3659</v>
      </c>
    </row>
    <row r="1598">
      <c r="A1598" s="2">
        <v>1597.0</v>
      </c>
      <c r="B1598" s="2" t="s">
        <v>3660</v>
      </c>
      <c r="C1598" s="2" t="s">
        <v>23</v>
      </c>
      <c r="K1598" s="2">
        <v>30.0</v>
      </c>
      <c r="N1598" s="6">
        <v>44027.0</v>
      </c>
      <c r="Q1598" s="2" t="s">
        <v>3185</v>
      </c>
    </row>
    <row r="1599">
      <c r="A1599" s="2">
        <v>1598.0</v>
      </c>
      <c r="B1599" s="2" t="s">
        <v>3661</v>
      </c>
      <c r="C1599" s="2" t="s">
        <v>23</v>
      </c>
      <c r="K1599" s="2">
        <v>60.0</v>
      </c>
      <c r="N1599" s="6">
        <v>44399.0</v>
      </c>
      <c r="Q1599" s="2" t="s">
        <v>2688</v>
      </c>
    </row>
    <row r="1600">
      <c r="A1600" s="2">
        <v>1599.0</v>
      </c>
      <c r="B1600" s="2" t="s">
        <v>3662</v>
      </c>
      <c r="C1600" s="2" t="s">
        <v>23</v>
      </c>
      <c r="N1600" s="6">
        <v>44316.0</v>
      </c>
      <c r="Q1600" s="2" t="s">
        <v>86</v>
      </c>
    </row>
    <row r="1601">
      <c r="A1601" s="2">
        <v>1600.0</v>
      </c>
      <c r="B1601" s="2" t="s">
        <v>3663</v>
      </c>
      <c r="C1601" s="2" t="s">
        <v>23</v>
      </c>
      <c r="N1601" s="6">
        <v>45603.0</v>
      </c>
      <c r="Q1601" s="2" t="s">
        <v>3664</v>
      </c>
    </row>
    <row r="1602">
      <c r="A1602" s="2">
        <v>1601.0</v>
      </c>
      <c r="B1602" s="2" t="s">
        <v>3665</v>
      </c>
      <c r="C1602" s="2" t="s">
        <v>23</v>
      </c>
      <c r="K1602" s="2">
        <v>60.0</v>
      </c>
      <c r="N1602" s="6">
        <v>45342.0</v>
      </c>
      <c r="Q1602" s="2" t="s">
        <v>3666</v>
      </c>
    </row>
    <row r="1603">
      <c r="A1603" s="2">
        <v>1602.0</v>
      </c>
      <c r="B1603" s="2" t="s">
        <v>3667</v>
      </c>
      <c r="C1603" s="2" t="s">
        <v>23</v>
      </c>
      <c r="K1603" s="2">
        <v>90.0</v>
      </c>
      <c r="N1603" s="6">
        <v>44365.0</v>
      </c>
      <c r="Q1603" s="2" t="s">
        <v>1466</v>
      </c>
    </row>
    <row r="1604">
      <c r="A1604" s="2">
        <v>1603.0</v>
      </c>
      <c r="B1604" s="2" t="s">
        <v>3668</v>
      </c>
      <c r="C1604" s="2" t="s">
        <v>23</v>
      </c>
      <c r="K1604" s="2">
        <v>80.0</v>
      </c>
      <c r="N1604" s="6">
        <v>42275.0</v>
      </c>
      <c r="O1604" s="2" t="s">
        <v>102</v>
      </c>
      <c r="P1604" s="2" t="s">
        <v>36</v>
      </c>
      <c r="Q1604" s="2" t="s">
        <v>3669</v>
      </c>
      <c r="S1604" s="2" t="s">
        <v>3670</v>
      </c>
    </row>
    <row r="1605">
      <c r="A1605" s="2">
        <v>1604.0</v>
      </c>
      <c r="B1605" s="2" t="s">
        <v>3671</v>
      </c>
      <c r="C1605" s="2" t="s">
        <v>23</v>
      </c>
      <c r="K1605" s="2">
        <v>10.0</v>
      </c>
      <c r="N1605" s="6">
        <v>43944.0</v>
      </c>
      <c r="Q1605" s="2" t="s">
        <v>401</v>
      </c>
    </row>
    <row r="1606">
      <c r="A1606" s="2">
        <v>1605.0</v>
      </c>
      <c r="B1606" s="2" t="s">
        <v>3672</v>
      </c>
      <c r="C1606" s="2" t="s">
        <v>23</v>
      </c>
      <c r="K1606" s="2">
        <v>100.0</v>
      </c>
      <c r="N1606" s="6">
        <v>44299.0</v>
      </c>
      <c r="Q1606" s="2" t="s">
        <v>1466</v>
      </c>
    </row>
    <row r="1607">
      <c r="A1607" s="2">
        <v>1606.0</v>
      </c>
      <c r="B1607" s="2" t="s">
        <v>3673</v>
      </c>
      <c r="C1607" s="2" t="s">
        <v>23</v>
      </c>
      <c r="K1607" s="2">
        <v>250.0</v>
      </c>
      <c r="N1607" s="6">
        <v>44206.0</v>
      </c>
      <c r="Q1607" s="2" t="s">
        <v>3674</v>
      </c>
    </row>
    <row r="1608">
      <c r="A1608" s="2">
        <v>1607.0</v>
      </c>
      <c r="B1608" s="2" t="s">
        <v>3675</v>
      </c>
      <c r="C1608" s="2" t="s">
        <v>23</v>
      </c>
      <c r="K1608" s="2">
        <v>150.0</v>
      </c>
      <c r="N1608" s="6">
        <v>45174.0</v>
      </c>
      <c r="Q1608" s="2" t="s">
        <v>3676</v>
      </c>
    </row>
    <row r="1609">
      <c r="A1609" s="2">
        <v>1608.0</v>
      </c>
      <c r="B1609" s="2" t="s">
        <v>3677</v>
      </c>
      <c r="C1609" s="2" t="s">
        <v>23</v>
      </c>
      <c r="K1609" s="2">
        <v>40.0</v>
      </c>
      <c r="N1609" s="6">
        <v>44269.0</v>
      </c>
      <c r="Q1609" s="2" t="s">
        <v>3678</v>
      </c>
    </row>
    <row r="1610">
      <c r="A1610" s="2">
        <v>1609.0</v>
      </c>
      <c r="B1610" s="2" t="s">
        <v>3679</v>
      </c>
      <c r="C1610" s="2" t="s">
        <v>23</v>
      </c>
      <c r="N1610" s="6">
        <v>45065.0</v>
      </c>
      <c r="Q1610" s="2" t="s">
        <v>3680</v>
      </c>
    </row>
    <row r="1611">
      <c r="A1611" s="2">
        <v>1610.0</v>
      </c>
      <c r="B1611" s="2" t="s">
        <v>3681</v>
      </c>
      <c r="C1611" s="2" t="s">
        <v>23</v>
      </c>
      <c r="K1611" s="2">
        <v>30.0</v>
      </c>
      <c r="N1611" s="6">
        <v>42583.0</v>
      </c>
      <c r="Q1611" s="2" t="s">
        <v>3682</v>
      </c>
    </row>
    <row r="1612">
      <c r="A1612" s="2">
        <v>1611.0</v>
      </c>
      <c r="B1612" s="2" t="s">
        <v>3683</v>
      </c>
      <c r="C1612" s="2" t="s">
        <v>23</v>
      </c>
      <c r="N1612" s="6">
        <v>44557.0</v>
      </c>
      <c r="Q1612" s="2" t="s">
        <v>1156</v>
      </c>
    </row>
    <row r="1613">
      <c r="A1613" s="2">
        <v>1612.0</v>
      </c>
      <c r="B1613" s="2" t="s">
        <v>3684</v>
      </c>
      <c r="C1613" s="2" t="s">
        <v>23</v>
      </c>
      <c r="K1613" s="2">
        <v>20.0</v>
      </c>
      <c r="N1613" s="6">
        <v>44399.0</v>
      </c>
      <c r="Q1613" s="2" t="s">
        <v>86</v>
      </c>
    </row>
    <row r="1614">
      <c r="A1614" s="2">
        <v>1613.0</v>
      </c>
      <c r="B1614" s="2" t="s">
        <v>3685</v>
      </c>
      <c r="C1614" s="2" t="s">
        <v>23</v>
      </c>
      <c r="K1614" s="2">
        <v>20.0</v>
      </c>
      <c r="N1614" s="6">
        <v>44868.0</v>
      </c>
      <c r="Q1614" s="2" t="s">
        <v>3686</v>
      </c>
    </row>
    <row r="1615">
      <c r="A1615" s="2">
        <v>1614.0</v>
      </c>
      <c r="B1615" s="2" t="s">
        <v>3687</v>
      </c>
      <c r="C1615" s="2" t="s">
        <v>23</v>
      </c>
      <c r="K1615" s="2">
        <v>40.0</v>
      </c>
      <c r="N1615" s="6">
        <v>44808.0</v>
      </c>
      <c r="Q1615" s="2" t="s">
        <v>3688</v>
      </c>
    </row>
    <row r="1616">
      <c r="A1616" s="2">
        <v>1615.0</v>
      </c>
      <c r="B1616" s="2" t="s">
        <v>3689</v>
      </c>
      <c r="C1616" s="2" t="s">
        <v>23</v>
      </c>
      <c r="K1616" s="2">
        <v>10.0</v>
      </c>
      <c r="N1616" s="6">
        <v>43995.0</v>
      </c>
      <c r="Q1616" s="2" t="s">
        <v>3690</v>
      </c>
    </row>
    <row r="1617">
      <c r="A1617" s="2">
        <v>1616.0</v>
      </c>
      <c r="B1617" s="2" t="s">
        <v>3691</v>
      </c>
      <c r="C1617" s="2" t="s">
        <v>23</v>
      </c>
      <c r="N1617" s="6">
        <v>44659.0</v>
      </c>
      <c r="Q1617" s="2" t="s">
        <v>86</v>
      </c>
    </row>
    <row r="1618">
      <c r="A1618" s="2">
        <v>1617.0</v>
      </c>
      <c r="B1618" s="2" t="s">
        <v>98</v>
      </c>
      <c r="C1618" s="2" t="s">
        <v>23</v>
      </c>
      <c r="K1618" s="2">
        <v>20.0</v>
      </c>
      <c r="N1618" s="6">
        <v>43865.0</v>
      </c>
      <c r="Q1618" s="2" t="s">
        <v>101</v>
      </c>
    </row>
    <row r="1619">
      <c r="A1619" s="2">
        <v>1618.0</v>
      </c>
      <c r="B1619" s="2" t="s">
        <v>104</v>
      </c>
      <c r="C1619" s="2" t="s">
        <v>23</v>
      </c>
      <c r="K1619" s="2">
        <v>20.0</v>
      </c>
      <c r="N1619" s="6">
        <v>44441.0</v>
      </c>
      <c r="Q1619" s="2" t="s">
        <v>109</v>
      </c>
    </row>
    <row r="1620">
      <c r="A1620" s="2">
        <v>1619.0</v>
      </c>
      <c r="B1620" s="2" t="s">
        <v>3692</v>
      </c>
      <c r="C1620" s="2" t="s">
        <v>23</v>
      </c>
      <c r="K1620" s="2">
        <v>10.0</v>
      </c>
      <c r="N1620" s="6">
        <v>45161.0</v>
      </c>
      <c r="Q1620" s="2" t="s">
        <v>1711</v>
      </c>
    </row>
    <row r="1621">
      <c r="A1621" s="2">
        <v>1620.0</v>
      </c>
      <c r="B1621" s="2" t="s">
        <v>3693</v>
      </c>
      <c r="C1621" s="2" t="s">
        <v>23</v>
      </c>
      <c r="N1621" s="6">
        <v>45018.0</v>
      </c>
      <c r="Q1621" s="2" t="s">
        <v>86</v>
      </c>
    </row>
    <row r="1622">
      <c r="A1622" s="2">
        <v>1621.0</v>
      </c>
      <c r="B1622" s="2" t="s">
        <v>3694</v>
      </c>
      <c r="C1622" s="2" t="s">
        <v>23</v>
      </c>
      <c r="K1622" s="2">
        <v>30.0</v>
      </c>
      <c r="N1622" s="6">
        <v>45119.0</v>
      </c>
      <c r="Q1622" s="2" t="s">
        <v>3695</v>
      </c>
    </row>
    <row r="1623">
      <c r="A1623" s="2">
        <v>1622.0</v>
      </c>
      <c r="B1623" s="2" t="s">
        <v>3696</v>
      </c>
      <c r="C1623" s="2" t="s">
        <v>23</v>
      </c>
      <c r="K1623" s="2">
        <v>10.0</v>
      </c>
      <c r="N1623" s="6">
        <v>44641.0</v>
      </c>
      <c r="Q1623" s="2" t="s">
        <v>86</v>
      </c>
    </row>
    <row r="1624">
      <c r="A1624" s="2">
        <v>1623.0</v>
      </c>
      <c r="B1624" s="2" t="s">
        <v>3697</v>
      </c>
      <c r="C1624" s="2" t="s">
        <v>23</v>
      </c>
      <c r="K1624" s="2">
        <v>30.0</v>
      </c>
      <c r="N1624" s="6">
        <v>45567.0</v>
      </c>
      <c r="Q1624" s="2" t="s">
        <v>3698</v>
      </c>
    </row>
    <row r="1625">
      <c r="A1625" s="2">
        <v>1624.0</v>
      </c>
      <c r="B1625" s="2" t="s">
        <v>3699</v>
      </c>
      <c r="C1625" s="2" t="s">
        <v>23</v>
      </c>
      <c r="N1625" s="6">
        <v>44229.0</v>
      </c>
      <c r="Q1625" s="2" t="s">
        <v>86</v>
      </c>
    </row>
    <row r="1626">
      <c r="A1626" s="2">
        <v>1625.0</v>
      </c>
      <c r="B1626" s="2" t="s">
        <v>3700</v>
      </c>
      <c r="C1626" s="2" t="s">
        <v>23</v>
      </c>
      <c r="N1626" s="6">
        <v>43869.0</v>
      </c>
      <c r="Q1626" s="2" t="s">
        <v>1437</v>
      </c>
    </row>
    <row r="1627">
      <c r="A1627" s="2">
        <v>1626.0</v>
      </c>
      <c r="B1627" s="2" t="s">
        <v>3701</v>
      </c>
      <c r="C1627" s="2" t="s">
        <v>23</v>
      </c>
      <c r="K1627" s="2">
        <v>20.0</v>
      </c>
      <c r="N1627" s="6">
        <v>45384.0</v>
      </c>
      <c r="Q1627" s="2" t="s">
        <v>2698</v>
      </c>
    </row>
    <row r="1628">
      <c r="A1628" s="2">
        <v>1627.0</v>
      </c>
      <c r="B1628" s="2" t="s">
        <v>3702</v>
      </c>
      <c r="C1628" s="2" t="s">
        <v>23</v>
      </c>
      <c r="K1628" s="2">
        <v>20.0</v>
      </c>
      <c r="N1628" s="6">
        <v>43997.0</v>
      </c>
      <c r="Q1628" s="2" t="s">
        <v>3316</v>
      </c>
    </row>
    <row r="1629">
      <c r="A1629" s="2">
        <v>1628.0</v>
      </c>
      <c r="B1629" s="2" t="s">
        <v>3703</v>
      </c>
      <c r="C1629" s="2" t="s">
        <v>23</v>
      </c>
      <c r="K1629" s="2">
        <v>10.0</v>
      </c>
      <c r="N1629" s="6">
        <v>44312.0</v>
      </c>
      <c r="Q1629" s="2" t="s">
        <v>86</v>
      </c>
    </row>
    <row r="1630">
      <c r="A1630" s="2">
        <v>1629.0</v>
      </c>
      <c r="B1630" s="2" t="s">
        <v>3704</v>
      </c>
      <c r="C1630" s="2" t="s">
        <v>23</v>
      </c>
      <c r="K1630" s="2">
        <v>40.0</v>
      </c>
      <c r="N1630" s="6">
        <v>44704.0</v>
      </c>
      <c r="Q1630" s="2" t="s">
        <v>1249</v>
      </c>
    </row>
    <row r="1631">
      <c r="A1631" s="2">
        <v>1630.0</v>
      </c>
      <c r="B1631" s="2" t="s">
        <v>3705</v>
      </c>
      <c r="C1631" s="2" t="s">
        <v>23</v>
      </c>
      <c r="N1631" s="6">
        <v>44548.0</v>
      </c>
      <c r="Q1631" s="2" t="s">
        <v>86</v>
      </c>
    </row>
    <row r="1632">
      <c r="A1632" s="2">
        <v>1631.0</v>
      </c>
      <c r="B1632" s="2" t="s">
        <v>3706</v>
      </c>
      <c r="C1632" s="2" t="s">
        <v>23</v>
      </c>
      <c r="N1632" s="6">
        <v>45386.0</v>
      </c>
      <c r="Q1632" s="2" t="s">
        <v>86</v>
      </c>
    </row>
    <row r="1633">
      <c r="A1633" s="2">
        <v>1632.0</v>
      </c>
      <c r="B1633" s="2" t="s">
        <v>3707</v>
      </c>
      <c r="C1633" s="2" t="s">
        <v>23</v>
      </c>
      <c r="N1633" s="6">
        <v>43974.0</v>
      </c>
      <c r="Q1633" s="2" t="s">
        <v>1156</v>
      </c>
    </row>
    <row r="1634">
      <c r="A1634" s="2">
        <v>1633.0</v>
      </c>
      <c r="B1634" s="2" t="s">
        <v>3708</v>
      </c>
      <c r="C1634" s="2" t="s">
        <v>23</v>
      </c>
      <c r="K1634" s="2">
        <v>10.0</v>
      </c>
      <c r="N1634" s="6">
        <v>43855.0</v>
      </c>
      <c r="Q1634" s="2" t="s">
        <v>86</v>
      </c>
    </row>
    <row r="1635">
      <c r="A1635" s="2">
        <v>1634.0</v>
      </c>
      <c r="B1635" s="2" t="s">
        <v>3709</v>
      </c>
      <c r="C1635" s="2" t="s">
        <v>23</v>
      </c>
      <c r="K1635" s="2">
        <v>30.0</v>
      </c>
      <c r="N1635" s="6">
        <v>43901.0</v>
      </c>
      <c r="Q1635" s="2" t="s">
        <v>1249</v>
      </c>
    </row>
    <row r="1636">
      <c r="A1636" s="2">
        <v>1635.0</v>
      </c>
      <c r="B1636" s="2" t="s">
        <v>3710</v>
      </c>
      <c r="C1636" s="2" t="s">
        <v>23</v>
      </c>
      <c r="K1636" s="2">
        <v>150.0</v>
      </c>
      <c r="N1636" s="6">
        <v>44901.0</v>
      </c>
      <c r="Q1636" s="2" t="s">
        <v>3711</v>
      </c>
    </row>
    <row r="1637">
      <c r="A1637" s="2">
        <v>1636.0</v>
      </c>
      <c r="B1637" s="2" t="s">
        <v>3712</v>
      </c>
      <c r="C1637" s="2" t="s">
        <v>23</v>
      </c>
      <c r="K1637" s="2">
        <v>80.0</v>
      </c>
      <c r="N1637" s="6">
        <v>44296.0</v>
      </c>
      <c r="Q1637" s="2" t="s">
        <v>3713</v>
      </c>
    </row>
    <row r="1638">
      <c r="A1638" s="2">
        <v>1637.0</v>
      </c>
      <c r="B1638" s="2" t="s">
        <v>3714</v>
      </c>
      <c r="C1638" s="2" t="s">
        <v>23</v>
      </c>
      <c r="N1638" s="6">
        <v>44439.0</v>
      </c>
      <c r="Q1638" s="2" t="s">
        <v>3715</v>
      </c>
    </row>
    <row r="1639">
      <c r="A1639" s="2">
        <v>1638.0</v>
      </c>
      <c r="B1639" s="2" t="s">
        <v>3716</v>
      </c>
      <c r="C1639" s="2" t="s">
        <v>23</v>
      </c>
      <c r="K1639" s="2">
        <v>100.0</v>
      </c>
      <c r="N1639" s="6">
        <v>43852.0</v>
      </c>
      <c r="Q1639" s="2" t="s">
        <v>3717</v>
      </c>
    </row>
    <row r="1640">
      <c r="A1640" s="2">
        <v>1639.0</v>
      </c>
      <c r="B1640" s="2" t="s">
        <v>3718</v>
      </c>
      <c r="C1640" s="2" t="s">
        <v>23</v>
      </c>
      <c r="K1640" s="2">
        <v>40.0</v>
      </c>
      <c r="N1640" s="6">
        <v>45731.0</v>
      </c>
      <c r="Q1640" s="2" t="s">
        <v>2840</v>
      </c>
    </row>
    <row r="1641">
      <c r="A1641" s="2">
        <v>1640.0</v>
      </c>
      <c r="B1641" s="2" t="s">
        <v>3719</v>
      </c>
      <c r="C1641" s="2" t="s">
        <v>23</v>
      </c>
      <c r="K1641" s="2">
        <v>10.0</v>
      </c>
      <c r="N1641" s="6">
        <v>45797.0</v>
      </c>
      <c r="Q1641" s="2" t="s">
        <v>3720</v>
      </c>
    </row>
    <row r="1642">
      <c r="A1642" s="2">
        <v>1641.0</v>
      </c>
      <c r="B1642" s="2" t="s">
        <v>3721</v>
      </c>
      <c r="C1642" s="2" t="s">
        <v>23</v>
      </c>
      <c r="K1642" s="2">
        <v>70.0</v>
      </c>
      <c r="N1642" s="6">
        <v>45126.0</v>
      </c>
      <c r="Q1642" s="2" t="s">
        <v>3722</v>
      </c>
    </row>
    <row r="1643">
      <c r="A1643" s="2">
        <v>1642.0</v>
      </c>
      <c r="B1643" s="2" t="s">
        <v>3723</v>
      </c>
      <c r="C1643" s="2" t="s">
        <v>23</v>
      </c>
      <c r="N1643" s="6">
        <v>45624.0</v>
      </c>
      <c r="Q1643" s="2" t="s">
        <v>3724</v>
      </c>
    </row>
    <row r="1644">
      <c r="A1644" s="2">
        <v>1643.0</v>
      </c>
      <c r="B1644" s="2" t="s">
        <v>3725</v>
      </c>
      <c r="C1644" s="2" t="s">
        <v>23</v>
      </c>
      <c r="N1644" s="6">
        <v>42355.0</v>
      </c>
      <c r="Q1644" s="2" t="s">
        <v>86</v>
      </c>
    </row>
    <row r="1645">
      <c r="A1645" s="2">
        <v>1644.0</v>
      </c>
      <c r="B1645" s="2" t="s">
        <v>3726</v>
      </c>
      <c r="C1645" s="2" t="s">
        <v>23</v>
      </c>
      <c r="N1645" s="6">
        <v>42254.0</v>
      </c>
      <c r="O1645" s="2" t="s">
        <v>35</v>
      </c>
      <c r="P1645" s="2" t="s">
        <v>36</v>
      </c>
      <c r="Q1645" s="2" t="s">
        <v>86</v>
      </c>
      <c r="S1645" s="2" t="s">
        <v>131</v>
      </c>
    </row>
    <row r="1646">
      <c r="A1646" s="2">
        <v>1645.0</v>
      </c>
      <c r="B1646" s="2" t="s">
        <v>3727</v>
      </c>
      <c r="C1646" s="2" t="s">
        <v>23</v>
      </c>
      <c r="K1646" s="2">
        <v>200.0</v>
      </c>
      <c r="N1646" s="6">
        <v>43889.0</v>
      </c>
      <c r="Q1646" s="2" t="s">
        <v>3728</v>
      </c>
    </row>
    <row r="1647">
      <c r="A1647" s="2">
        <v>1646.0</v>
      </c>
      <c r="B1647" s="2" t="s">
        <v>3729</v>
      </c>
      <c r="C1647" s="2" t="s">
        <v>23</v>
      </c>
      <c r="N1647" s="6">
        <v>44133.0</v>
      </c>
      <c r="Q1647" s="2" t="s">
        <v>86</v>
      </c>
    </row>
    <row r="1648">
      <c r="A1648" s="2">
        <v>1647.0</v>
      </c>
      <c r="B1648" s="2" t="s">
        <v>3730</v>
      </c>
      <c r="C1648" s="2" t="s">
        <v>23</v>
      </c>
      <c r="K1648" s="2">
        <v>50.0</v>
      </c>
      <c r="N1648" s="6">
        <v>45379.0</v>
      </c>
      <c r="Q1648" s="2" t="s">
        <v>3514</v>
      </c>
    </row>
    <row r="1649">
      <c r="A1649" s="2">
        <v>1648.0</v>
      </c>
      <c r="B1649" s="2" t="s">
        <v>3731</v>
      </c>
      <c r="C1649" s="2" t="s">
        <v>23</v>
      </c>
      <c r="K1649" s="2">
        <v>20.0</v>
      </c>
      <c r="N1649" s="6">
        <v>45620.0</v>
      </c>
      <c r="Q1649" s="2" t="s">
        <v>3732</v>
      </c>
    </row>
    <row r="1650">
      <c r="A1650" s="2">
        <v>1649.0</v>
      </c>
      <c r="B1650" s="2" t="s">
        <v>3733</v>
      </c>
      <c r="C1650" s="2" t="s">
        <v>23</v>
      </c>
      <c r="N1650" s="6">
        <v>44462.0</v>
      </c>
      <c r="Q1650" s="2" t="s">
        <v>86</v>
      </c>
    </row>
    <row r="1651">
      <c r="A1651" s="2">
        <v>1650.0</v>
      </c>
      <c r="B1651" s="2" t="s">
        <v>3734</v>
      </c>
      <c r="C1651" s="2" t="s">
        <v>23</v>
      </c>
      <c r="K1651" s="2">
        <v>20.0</v>
      </c>
      <c r="N1651" s="6">
        <v>43844.0</v>
      </c>
      <c r="Q1651" s="2" t="s">
        <v>3735</v>
      </c>
    </row>
    <row r="1652">
      <c r="A1652" s="2">
        <v>1651.0</v>
      </c>
      <c r="B1652" s="2" t="s">
        <v>3736</v>
      </c>
      <c r="C1652" s="2" t="s">
        <v>23</v>
      </c>
      <c r="K1652" s="2">
        <v>70.0</v>
      </c>
      <c r="N1652" s="6">
        <v>43948.0</v>
      </c>
      <c r="Q1652" s="2" t="s">
        <v>1437</v>
      </c>
    </row>
    <row r="1653">
      <c r="A1653" s="2">
        <v>1652.0</v>
      </c>
      <c r="B1653" s="2" t="s">
        <v>3737</v>
      </c>
      <c r="C1653" s="2" t="s">
        <v>23</v>
      </c>
      <c r="K1653" s="2">
        <v>500.0</v>
      </c>
      <c r="N1653" s="6">
        <v>45570.0</v>
      </c>
      <c r="Q1653" s="2" t="s">
        <v>3738</v>
      </c>
    </row>
    <row r="1654">
      <c r="A1654" s="2">
        <v>1653.0</v>
      </c>
      <c r="B1654" s="2" t="s">
        <v>3739</v>
      </c>
      <c r="C1654" s="2" t="s">
        <v>23</v>
      </c>
      <c r="K1654" s="2">
        <v>30.0</v>
      </c>
      <c r="N1654" s="6">
        <v>45570.0</v>
      </c>
      <c r="Q1654" s="2" t="s">
        <v>3740</v>
      </c>
    </row>
    <row r="1655">
      <c r="A1655" s="2">
        <v>1654.0</v>
      </c>
      <c r="B1655" s="2" t="s">
        <v>3741</v>
      </c>
      <c r="C1655" s="2" t="s">
        <v>23</v>
      </c>
      <c r="N1655" s="6">
        <v>45603.0</v>
      </c>
      <c r="Q1655" s="2" t="s">
        <v>3740</v>
      </c>
    </row>
    <row r="1656">
      <c r="A1656" s="2">
        <v>1655.0</v>
      </c>
      <c r="B1656" s="2" t="s">
        <v>3742</v>
      </c>
      <c r="C1656" s="2" t="s">
        <v>23</v>
      </c>
      <c r="K1656" s="2">
        <v>40.0</v>
      </c>
      <c r="N1656" s="6">
        <v>44879.0</v>
      </c>
      <c r="Q1656" s="2" t="s">
        <v>3743</v>
      </c>
    </row>
    <row r="1657">
      <c r="A1657" s="2">
        <v>1656.0</v>
      </c>
      <c r="B1657" s="2" t="s">
        <v>3744</v>
      </c>
      <c r="C1657" s="2" t="s">
        <v>23</v>
      </c>
      <c r="K1657" s="2">
        <v>30.0</v>
      </c>
      <c r="N1657" s="6">
        <v>44951.0</v>
      </c>
      <c r="Q1657" s="2" t="s">
        <v>3745</v>
      </c>
    </row>
    <row r="1658">
      <c r="A1658" s="2">
        <v>1657.0</v>
      </c>
      <c r="B1658" s="2" t="s">
        <v>3746</v>
      </c>
      <c r="C1658" s="2" t="s">
        <v>23</v>
      </c>
      <c r="K1658" s="2">
        <v>10.0</v>
      </c>
      <c r="N1658" s="6">
        <v>46095.0</v>
      </c>
      <c r="Q1658" s="2" t="s">
        <v>3747</v>
      </c>
    </row>
    <row r="1659">
      <c r="A1659" s="2">
        <v>1658.0</v>
      </c>
      <c r="B1659" s="2" t="s">
        <v>3748</v>
      </c>
      <c r="C1659" s="2" t="s">
        <v>23</v>
      </c>
      <c r="K1659" s="2">
        <v>150.0</v>
      </c>
      <c r="N1659" s="6">
        <v>43913.0</v>
      </c>
      <c r="Q1659" s="2" t="s">
        <v>3749</v>
      </c>
    </row>
    <row r="1660">
      <c r="A1660" s="2">
        <v>1659.0</v>
      </c>
      <c r="B1660" s="2" t="s">
        <v>3750</v>
      </c>
      <c r="C1660" s="2" t="s">
        <v>23</v>
      </c>
      <c r="N1660" s="6">
        <v>45370.0</v>
      </c>
      <c r="Q1660" s="2" t="s">
        <v>3751</v>
      </c>
    </row>
    <row r="1661">
      <c r="A1661" s="2">
        <v>1660.0</v>
      </c>
      <c r="B1661" s="2" t="s">
        <v>3752</v>
      </c>
      <c r="C1661" s="2" t="s">
        <v>23</v>
      </c>
      <c r="K1661" s="2">
        <v>10.0</v>
      </c>
      <c r="N1661" s="6">
        <v>44111.0</v>
      </c>
      <c r="Q1661" s="2" t="s">
        <v>3753</v>
      </c>
    </row>
    <row r="1662">
      <c r="A1662" s="2">
        <v>1661.0</v>
      </c>
      <c r="B1662" s="2" t="s">
        <v>3754</v>
      </c>
      <c r="C1662" s="2" t="s">
        <v>23</v>
      </c>
      <c r="K1662" s="2">
        <v>150.0</v>
      </c>
      <c r="N1662" s="6">
        <v>44117.0</v>
      </c>
      <c r="Q1662" s="2" t="s">
        <v>3755</v>
      </c>
    </row>
    <row r="1663">
      <c r="A1663" s="2">
        <v>1662.0</v>
      </c>
      <c r="B1663" s="2" t="s">
        <v>3756</v>
      </c>
      <c r="C1663" s="2" t="s">
        <v>23</v>
      </c>
      <c r="N1663" s="6">
        <v>45200.0</v>
      </c>
      <c r="Q1663" s="2" t="s">
        <v>3757</v>
      </c>
    </row>
    <row r="1664">
      <c r="A1664" s="2">
        <v>1663.0</v>
      </c>
      <c r="B1664" s="2" t="s">
        <v>3758</v>
      </c>
      <c r="C1664" s="2" t="s">
        <v>23</v>
      </c>
      <c r="K1664" s="2">
        <v>100.0</v>
      </c>
      <c r="N1664" s="6">
        <v>44008.0</v>
      </c>
      <c r="Q1664" s="2" t="s">
        <v>3759</v>
      </c>
    </row>
    <row r="1665">
      <c r="A1665" s="2">
        <v>1664.0</v>
      </c>
      <c r="B1665" s="2" t="s">
        <v>3760</v>
      </c>
      <c r="C1665" s="2" t="s">
        <v>23</v>
      </c>
      <c r="N1665" s="6">
        <v>43865.0</v>
      </c>
      <c r="Q1665" s="2" t="s">
        <v>86</v>
      </c>
    </row>
    <row r="1666">
      <c r="A1666" s="2">
        <v>1665.0</v>
      </c>
      <c r="B1666" s="2" t="s">
        <v>3761</v>
      </c>
      <c r="C1666" s="2" t="s">
        <v>23</v>
      </c>
      <c r="K1666" s="2">
        <v>90.0</v>
      </c>
      <c r="N1666" s="6">
        <v>44078.0</v>
      </c>
      <c r="Q1666" s="2" t="s">
        <v>60</v>
      </c>
    </row>
    <row r="1667">
      <c r="A1667" s="2">
        <v>1666.0</v>
      </c>
      <c r="B1667" s="2" t="s">
        <v>3762</v>
      </c>
      <c r="C1667" s="2" t="s">
        <v>23</v>
      </c>
      <c r="K1667" s="2">
        <v>10.0</v>
      </c>
      <c r="N1667" s="6">
        <v>44293.0</v>
      </c>
      <c r="Q1667" s="2" t="s">
        <v>86</v>
      </c>
    </row>
    <row r="1668">
      <c r="A1668" s="2">
        <v>1667.0</v>
      </c>
      <c r="B1668" s="2" t="s">
        <v>3763</v>
      </c>
      <c r="C1668" s="2" t="s">
        <v>23</v>
      </c>
      <c r="K1668" s="2">
        <v>80.0</v>
      </c>
      <c r="N1668" s="6">
        <v>45726.0</v>
      </c>
      <c r="Q1668" s="2" t="s">
        <v>3764</v>
      </c>
    </row>
    <row r="1669">
      <c r="A1669" s="2">
        <v>1668.0</v>
      </c>
      <c r="B1669" s="2" t="s">
        <v>3765</v>
      </c>
      <c r="C1669" s="2" t="s">
        <v>23</v>
      </c>
      <c r="K1669" s="2">
        <v>20.0</v>
      </c>
      <c r="N1669" s="6">
        <v>44275.0</v>
      </c>
      <c r="Q1669" s="2" t="s">
        <v>86</v>
      </c>
    </row>
    <row r="1670">
      <c r="A1670" s="2">
        <v>1669.0</v>
      </c>
      <c r="B1670" s="2" t="s">
        <v>3766</v>
      </c>
      <c r="C1670" s="2" t="s">
        <v>23</v>
      </c>
      <c r="K1670" s="2">
        <v>80.0</v>
      </c>
      <c r="N1670" s="6">
        <v>44355.0</v>
      </c>
      <c r="Q1670" s="2" t="s">
        <v>426</v>
      </c>
    </row>
    <row r="1671">
      <c r="A1671" s="2">
        <v>1670.0</v>
      </c>
      <c r="B1671" s="2" t="s">
        <v>3767</v>
      </c>
      <c r="C1671" s="2" t="s">
        <v>23</v>
      </c>
      <c r="K1671" s="2">
        <v>70.0</v>
      </c>
      <c r="N1671" s="6">
        <v>45714.0</v>
      </c>
      <c r="Q1671" s="2" t="s">
        <v>3768</v>
      </c>
    </row>
    <row r="1672">
      <c r="A1672" s="2">
        <v>1671.0</v>
      </c>
      <c r="B1672" s="2" t="s">
        <v>3769</v>
      </c>
      <c r="C1672" s="2" t="s">
        <v>23</v>
      </c>
      <c r="N1672" s="6">
        <v>45657.0</v>
      </c>
      <c r="Q1672" s="2" t="s">
        <v>3770</v>
      </c>
    </row>
    <row r="1673">
      <c r="A1673" s="2">
        <v>1672.0</v>
      </c>
      <c r="B1673" s="2" t="s">
        <v>3771</v>
      </c>
      <c r="C1673" s="2" t="s">
        <v>23</v>
      </c>
      <c r="K1673" s="2">
        <v>300.0</v>
      </c>
      <c r="N1673" s="6">
        <v>43989.0</v>
      </c>
      <c r="Q1673" s="2" t="s">
        <v>3772</v>
      </c>
    </row>
    <row r="1674">
      <c r="A1674" s="2">
        <v>1673.0</v>
      </c>
      <c r="B1674" s="2" t="s">
        <v>3773</v>
      </c>
      <c r="C1674" s="2" t="s">
        <v>23</v>
      </c>
      <c r="N1674" s="6">
        <v>44732.0</v>
      </c>
      <c r="Q1674" s="2" t="s">
        <v>86</v>
      </c>
    </row>
    <row r="1675">
      <c r="A1675" s="2">
        <v>1674.0</v>
      </c>
      <c r="B1675" s="2" t="s">
        <v>3774</v>
      </c>
      <c r="C1675" s="2" t="s">
        <v>23</v>
      </c>
      <c r="N1675" s="6">
        <v>42313.0</v>
      </c>
      <c r="Q1675" s="2" t="s">
        <v>86</v>
      </c>
    </row>
    <row r="1676">
      <c r="A1676" s="2">
        <v>1675.0</v>
      </c>
      <c r="B1676" s="2" t="s">
        <v>3775</v>
      </c>
      <c r="C1676" s="2" t="s">
        <v>23</v>
      </c>
      <c r="K1676" s="2">
        <v>40.0</v>
      </c>
      <c r="N1676" s="6">
        <v>46076.0</v>
      </c>
      <c r="Q1676" s="2" t="s">
        <v>3776</v>
      </c>
    </row>
    <row r="1677">
      <c r="A1677" s="2">
        <v>1676.0</v>
      </c>
      <c r="B1677" s="2" t="s">
        <v>3777</v>
      </c>
      <c r="C1677" s="2" t="s">
        <v>23</v>
      </c>
      <c r="N1677" s="6">
        <v>44409.0</v>
      </c>
      <c r="Q1677" s="2" t="s">
        <v>86</v>
      </c>
    </row>
    <row r="1678">
      <c r="A1678" s="2">
        <v>1677.0</v>
      </c>
      <c r="B1678" s="2" t="s">
        <v>3778</v>
      </c>
      <c r="C1678" s="2" t="s">
        <v>23</v>
      </c>
      <c r="N1678" s="6">
        <v>43882.0</v>
      </c>
      <c r="Q1678" s="2" t="s">
        <v>86</v>
      </c>
    </row>
    <row r="1679">
      <c r="A1679" s="2">
        <v>1678.0</v>
      </c>
      <c r="B1679" s="2" t="s">
        <v>3779</v>
      </c>
      <c r="C1679" s="2" t="s">
        <v>23</v>
      </c>
      <c r="K1679" s="2">
        <v>20.0</v>
      </c>
      <c r="N1679" s="6">
        <v>44167.0</v>
      </c>
      <c r="Q1679" s="2" t="s">
        <v>3780</v>
      </c>
    </row>
    <row r="1680">
      <c r="A1680" s="2">
        <v>1679.0</v>
      </c>
      <c r="B1680" s="2" t="s">
        <v>3781</v>
      </c>
      <c r="C1680" s="2" t="s">
        <v>23</v>
      </c>
      <c r="K1680" s="2">
        <v>10.0</v>
      </c>
      <c r="N1680" s="6">
        <v>44573.0</v>
      </c>
      <c r="Q1680" s="2" t="s">
        <v>86</v>
      </c>
    </row>
    <row r="1681">
      <c r="A1681" s="2">
        <v>1680.0</v>
      </c>
      <c r="B1681" s="2" t="s">
        <v>3782</v>
      </c>
      <c r="C1681" s="2" t="s">
        <v>23</v>
      </c>
      <c r="K1681" s="2">
        <v>10.0</v>
      </c>
      <c r="N1681" s="6">
        <v>44296.0</v>
      </c>
      <c r="Q1681" s="2" t="s">
        <v>3783</v>
      </c>
    </row>
    <row r="1682">
      <c r="A1682" s="2">
        <v>1681.0</v>
      </c>
      <c r="B1682" s="2" t="s">
        <v>3784</v>
      </c>
      <c r="C1682" s="2" t="s">
        <v>23</v>
      </c>
      <c r="K1682" s="2">
        <v>150.0</v>
      </c>
      <c r="N1682" s="6">
        <v>44059.0</v>
      </c>
      <c r="Q1682" s="2" t="s">
        <v>3785</v>
      </c>
    </row>
    <row r="1683">
      <c r="A1683" s="2">
        <v>1682.0</v>
      </c>
      <c r="B1683" s="2" t="s">
        <v>3786</v>
      </c>
      <c r="C1683" s="2" t="s">
        <v>23</v>
      </c>
      <c r="N1683" s="6">
        <v>44804.0</v>
      </c>
      <c r="Q1683" s="2" t="s">
        <v>86</v>
      </c>
    </row>
    <row r="1684">
      <c r="A1684" s="2">
        <v>1683.0</v>
      </c>
      <c r="B1684" s="2" t="s">
        <v>3787</v>
      </c>
      <c r="C1684" s="2" t="s">
        <v>23</v>
      </c>
      <c r="K1684" s="2">
        <v>10.0</v>
      </c>
      <c r="N1684" s="6">
        <v>44491.0</v>
      </c>
      <c r="Q1684" s="2" t="s">
        <v>86</v>
      </c>
    </row>
    <row r="1685">
      <c r="A1685" s="2">
        <v>1684.0</v>
      </c>
      <c r="B1685" s="2" t="s">
        <v>3788</v>
      </c>
      <c r="C1685" s="2" t="s">
        <v>23</v>
      </c>
      <c r="K1685" s="2">
        <v>10.0</v>
      </c>
      <c r="N1685" s="6">
        <v>44093.0</v>
      </c>
      <c r="Q1685" s="2" t="s">
        <v>3282</v>
      </c>
    </row>
    <row r="1686">
      <c r="A1686" s="2">
        <v>1685.0</v>
      </c>
      <c r="B1686" s="2" t="s">
        <v>3789</v>
      </c>
      <c r="C1686" s="2" t="s">
        <v>23</v>
      </c>
      <c r="N1686" s="6">
        <v>42283.0</v>
      </c>
      <c r="Q1686" s="2" t="s">
        <v>86</v>
      </c>
    </row>
    <row r="1687">
      <c r="A1687" s="2">
        <v>1686.0</v>
      </c>
      <c r="B1687" s="2" t="s">
        <v>3790</v>
      </c>
      <c r="C1687" s="2" t="s">
        <v>23</v>
      </c>
      <c r="K1687" s="2">
        <v>250.0</v>
      </c>
      <c r="N1687" s="6">
        <v>42379.0</v>
      </c>
      <c r="Q1687" s="2" t="s">
        <v>3791</v>
      </c>
    </row>
    <row r="1688">
      <c r="A1688" s="2">
        <v>1687.0</v>
      </c>
      <c r="B1688" s="2" t="s">
        <v>3792</v>
      </c>
      <c r="C1688" s="2" t="s">
        <v>23</v>
      </c>
      <c r="N1688" s="6">
        <v>44287.0</v>
      </c>
      <c r="Q1688" s="2" t="s">
        <v>3793</v>
      </c>
    </row>
    <row r="1689">
      <c r="A1689" s="2">
        <v>1688.0</v>
      </c>
      <c r="B1689" s="2" t="s">
        <v>3794</v>
      </c>
      <c r="C1689" s="2" t="s">
        <v>23</v>
      </c>
      <c r="N1689" s="6">
        <v>44453.0</v>
      </c>
      <c r="Q1689" s="2" t="s">
        <v>3795</v>
      </c>
    </row>
    <row r="1690">
      <c r="A1690" s="2">
        <v>1689.0</v>
      </c>
      <c r="B1690" s="2" t="s">
        <v>3796</v>
      </c>
      <c r="C1690" s="2" t="s">
        <v>23</v>
      </c>
      <c r="K1690" s="2">
        <v>10.0</v>
      </c>
      <c r="N1690" s="6">
        <v>44307.0</v>
      </c>
      <c r="Q1690" s="2" t="s">
        <v>3797</v>
      </c>
    </row>
    <row r="1691">
      <c r="A1691" s="2">
        <v>1690.0</v>
      </c>
      <c r="B1691" s="2" t="s">
        <v>3798</v>
      </c>
      <c r="C1691" s="2" t="s">
        <v>23</v>
      </c>
      <c r="K1691" s="2">
        <v>80.0</v>
      </c>
      <c r="N1691" s="6">
        <v>43955.0</v>
      </c>
      <c r="Q1691" s="2" t="s">
        <v>86</v>
      </c>
    </row>
    <row r="1692">
      <c r="A1692" s="2">
        <v>1691.0</v>
      </c>
      <c r="B1692" s="2" t="s">
        <v>3799</v>
      </c>
      <c r="C1692" s="2" t="s">
        <v>23</v>
      </c>
      <c r="K1692" s="2">
        <v>90.0</v>
      </c>
      <c r="N1692" s="6">
        <v>44217.0</v>
      </c>
      <c r="Q1692" s="2" t="s">
        <v>3800</v>
      </c>
    </row>
    <row r="1693">
      <c r="A1693" s="2">
        <v>1692.0</v>
      </c>
      <c r="B1693" s="2" t="s">
        <v>3801</v>
      </c>
      <c r="C1693" s="2" t="s">
        <v>23</v>
      </c>
      <c r="K1693" s="2">
        <v>20.0</v>
      </c>
      <c r="N1693" s="6">
        <v>44250.0</v>
      </c>
      <c r="Q1693" s="2" t="s">
        <v>2573</v>
      </c>
    </row>
    <row r="1694">
      <c r="A1694" s="2">
        <v>1693.0</v>
      </c>
      <c r="B1694" s="2" t="s">
        <v>3802</v>
      </c>
      <c r="C1694" s="2" t="s">
        <v>23</v>
      </c>
      <c r="K1694" s="2">
        <v>60.0</v>
      </c>
      <c r="N1694" s="6">
        <v>44258.0</v>
      </c>
      <c r="Q1694" s="2" t="s">
        <v>1972</v>
      </c>
    </row>
    <row r="1695">
      <c r="A1695" s="2">
        <v>1694.0</v>
      </c>
      <c r="B1695" s="2" t="s">
        <v>3803</v>
      </c>
      <c r="C1695" s="2" t="s">
        <v>23</v>
      </c>
      <c r="K1695" s="2">
        <v>40.0</v>
      </c>
      <c r="N1695" s="6">
        <v>44639.0</v>
      </c>
      <c r="Q1695" s="2" t="s">
        <v>3804</v>
      </c>
    </row>
    <row r="1696">
      <c r="A1696" s="2">
        <v>1695.0</v>
      </c>
      <c r="B1696" s="2" t="s">
        <v>3805</v>
      </c>
      <c r="C1696" s="2" t="s">
        <v>23</v>
      </c>
      <c r="N1696" s="6">
        <v>43447.0</v>
      </c>
      <c r="Q1696" s="2" t="s">
        <v>86</v>
      </c>
    </row>
    <row r="1697">
      <c r="A1697" s="2">
        <v>1696.0</v>
      </c>
      <c r="B1697" s="2" t="s">
        <v>3806</v>
      </c>
      <c r="C1697" s="2" t="s">
        <v>23</v>
      </c>
      <c r="K1697" s="2">
        <v>150.0</v>
      </c>
      <c r="N1697" s="6">
        <v>43889.0</v>
      </c>
      <c r="Q1697" s="2" t="s">
        <v>3807</v>
      </c>
    </row>
    <row r="1698">
      <c r="A1698" s="2">
        <v>1697.0</v>
      </c>
      <c r="B1698" s="2" t="s">
        <v>3808</v>
      </c>
      <c r="C1698" s="2" t="s">
        <v>23</v>
      </c>
      <c r="N1698" s="6">
        <v>43841.0</v>
      </c>
      <c r="Q1698" s="2" t="s">
        <v>3809</v>
      </c>
    </row>
    <row r="1699">
      <c r="A1699" s="2">
        <v>1698.0</v>
      </c>
      <c r="B1699" s="2" t="s">
        <v>3810</v>
      </c>
      <c r="C1699" s="2" t="s">
        <v>23</v>
      </c>
      <c r="K1699" s="2">
        <v>30.0</v>
      </c>
      <c r="N1699" s="6">
        <v>44115.0</v>
      </c>
      <c r="Q1699" s="2" t="s">
        <v>86</v>
      </c>
    </row>
    <row r="1700">
      <c r="A1700" s="2">
        <v>1699.0</v>
      </c>
      <c r="B1700" s="2" t="s">
        <v>3811</v>
      </c>
      <c r="C1700" s="2" t="s">
        <v>23</v>
      </c>
      <c r="K1700" s="2">
        <v>40.0</v>
      </c>
      <c r="N1700" s="6">
        <v>44766.0</v>
      </c>
      <c r="Q1700" s="2" t="s">
        <v>86</v>
      </c>
    </row>
    <row r="1701">
      <c r="A1701" s="2">
        <v>1700.0</v>
      </c>
      <c r="B1701" s="2" t="s">
        <v>3812</v>
      </c>
      <c r="C1701" s="2" t="s">
        <v>23</v>
      </c>
      <c r="K1701" s="2">
        <v>40.0</v>
      </c>
      <c r="N1701" s="6">
        <v>45167.0</v>
      </c>
      <c r="Q1701" s="2" t="s">
        <v>3813</v>
      </c>
    </row>
    <row r="1702">
      <c r="A1702" s="2">
        <v>1701.0</v>
      </c>
      <c r="B1702" s="2" t="s">
        <v>3814</v>
      </c>
      <c r="C1702" s="2" t="s">
        <v>23</v>
      </c>
      <c r="K1702" s="2">
        <v>30.0</v>
      </c>
      <c r="N1702" s="6">
        <v>45391.0</v>
      </c>
      <c r="Q1702" s="2" t="s">
        <v>3815</v>
      </c>
    </row>
    <row r="1703">
      <c r="A1703" s="2">
        <v>1702.0</v>
      </c>
      <c r="B1703" s="2" t="s">
        <v>3816</v>
      </c>
      <c r="C1703" s="2" t="s">
        <v>23</v>
      </c>
      <c r="K1703" s="2">
        <v>100.0</v>
      </c>
      <c r="N1703" s="6">
        <v>44043.0</v>
      </c>
      <c r="Q1703" s="2" t="s">
        <v>3817</v>
      </c>
    </row>
    <row r="1704">
      <c r="A1704" s="2">
        <v>1703.0</v>
      </c>
      <c r="B1704" s="2" t="s">
        <v>3818</v>
      </c>
      <c r="C1704" s="2" t="s">
        <v>23</v>
      </c>
      <c r="N1704" s="6">
        <v>43174.0</v>
      </c>
      <c r="Q1704" s="2" t="s">
        <v>86</v>
      </c>
    </row>
    <row r="1705">
      <c r="A1705" s="2">
        <v>1704.0</v>
      </c>
      <c r="B1705" s="2" t="s">
        <v>3819</v>
      </c>
      <c r="C1705" s="2" t="s">
        <v>23</v>
      </c>
      <c r="N1705" s="6">
        <v>42621.0</v>
      </c>
      <c r="Q1705" s="2" t="s">
        <v>86</v>
      </c>
    </row>
    <row r="1706">
      <c r="A1706" s="2">
        <v>1705.0</v>
      </c>
      <c r="B1706" s="2" t="s">
        <v>3820</v>
      </c>
      <c r="C1706" s="2" t="s">
        <v>23</v>
      </c>
      <c r="K1706" s="2">
        <v>10.0</v>
      </c>
      <c r="N1706" s="6">
        <v>44727.0</v>
      </c>
      <c r="Q1706" s="2" t="s">
        <v>86</v>
      </c>
    </row>
    <row r="1707">
      <c r="A1707" s="2">
        <v>1706.0</v>
      </c>
      <c r="B1707" s="2" t="s">
        <v>3821</v>
      </c>
      <c r="C1707" s="2" t="s">
        <v>23</v>
      </c>
      <c r="N1707" s="6">
        <v>44640.0</v>
      </c>
      <c r="Q1707" s="2" t="s">
        <v>86</v>
      </c>
    </row>
    <row r="1708">
      <c r="A1708" s="2">
        <v>1707.0</v>
      </c>
      <c r="B1708" s="2" t="s">
        <v>3822</v>
      </c>
      <c r="C1708" s="2" t="s">
        <v>23</v>
      </c>
      <c r="N1708" s="6">
        <v>42320.0</v>
      </c>
      <c r="Q1708" s="2" t="s">
        <v>86</v>
      </c>
    </row>
    <row r="1709">
      <c r="A1709" s="2">
        <v>1708.0</v>
      </c>
      <c r="B1709" s="2" t="s">
        <v>3823</v>
      </c>
      <c r="C1709" s="2" t="s">
        <v>23</v>
      </c>
      <c r="N1709" s="6">
        <v>44065.0</v>
      </c>
      <c r="Q1709" s="2" t="s">
        <v>86</v>
      </c>
    </row>
    <row r="1710">
      <c r="A1710" s="2">
        <v>1709.0</v>
      </c>
      <c r="B1710" s="2" t="s">
        <v>3824</v>
      </c>
      <c r="C1710" s="2" t="s">
        <v>23</v>
      </c>
      <c r="K1710" s="2">
        <v>150.0</v>
      </c>
      <c r="N1710" s="6">
        <v>45143.0</v>
      </c>
      <c r="Q1710" s="2" t="s">
        <v>3825</v>
      </c>
    </row>
    <row r="1711">
      <c r="A1711" s="2">
        <v>1710.0</v>
      </c>
      <c r="B1711" s="2" t="s">
        <v>3826</v>
      </c>
      <c r="C1711" s="2" t="s">
        <v>23</v>
      </c>
      <c r="K1711" s="2">
        <v>100.0</v>
      </c>
      <c r="N1711" s="6">
        <v>43993.0</v>
      </c>
      <c r="Q1711" s="2" t="s">
        <v>3827</v>
      </c>
    </row>
    <row r="1712">
      <c r="A1712" s="2">
        <v>1711.0</v>
      </c>
      <c r="B1712" s="2" t="s">
        <v>3828</v>
      </c>
      <c r="C1712" s="2" t="s">
        <v>23</v>
      </c>
      <c r="N1712" s="6">
        <v>44586.0</v>
      </c>
      <c r="Q1712" s="2" t="s">
        <v>86</v>
      </c>
    </row>
    <row r="1713">
      <c r="A1713" s="2">
        <v>1712.0</v>
      </c>
      <c r="B1713" s="2" t="s">
        <v>3829</v>
      </c>
      <c r="C1713" s="2" t="s">
        <v>23</v>
      </c>
      <c r="N1713" s="6">
        <v>46007.0</v>
      </c>
      <c r="Q1713" s="2" t="s">
        <v>3830</v>
      </c>
    </row>
    <row r="1714">
      <c r="A1714" s="2">
        <v>1713.0</v>
      </c>
      <c r="B1714" s="2" t="s">
        <v>3831</v>
      </c>
      <c r="C1714" s="2" t="s">
        <v>23</v>
      </c>
      <c r="N1714" s="6">
        <v>44649.0</v>
      </c>
      <c r="Q1714" s="2" t="s">
        <v>86</v>
      </c>
    </row>
    <row r="1715">
      <c r="A1715" s="2">
        <v>1714.0</v>
      </c>
      <c r="B1715" s="2" t="s">
        <v>3832</v>
      </c>
      <c r="C1715" s="2" t="s">
        <v>23</v>
      </c>
      <c r="K1715" s="2">
        <v>10.0</v>
      </c>
      <c r="N1715" s="6">
        <v>43864.0</v>
      </c>
      <c r="Q1715" s="2" t="s">
        <v>86</v>
      </c>
    </row>
    <row r="1716">
      <c r="A1716" s="2">
        <v>1715.0</v>
      </c>
      <c r="B1716" s="2" t="s">
        <v>3833</v>
      </c>
      <c r="C1716" s="2" t="s">
        <v>23</v>
      </c>
      <c r="K1716" s="2">
        <v>30.0</v>
      </c>
      <c r="N1716" s="6">
        <v>44318.0</v>
      </c>
      <c r="Q1716" s="2" t="s">
        <v>3218</v>
      </c>
    </row>
    <row r="1717">
      <c r="A1717" s="2">
        <v>1716.0</v>
      </c>
      <c r="B1717" s="2" t="s">
        <v>3834</v>
      </c>
      <c r="C1717" s="2" t="s">
        <v>23</v>
      </c>
      <c r="K1717" s="2">
        <v>40.0</v>
      </c>
      <c r="N1717" s="6">
        <v>45568.0</v>
      </c>
      <c r="Q1717" s="2" t="s">
        <v>3501</v>
      </c>
    </row>
    <row r="1718">
      <c r="A1718" s="2">
        <v>1717.0</v>
      </c>
      <c r="B1718" s="2" t="s">
        <v>110</v>
      </c>
      <c r="C1718" s="2" t="s">
        <v>23</v>
      </c>
      <c r="K1718" s="2">
        <v>40.0</v>
      </c>
      <c r="N1718" s="6">
        <v>44328.0</v>
      </c>
      <c r="Q1718" s="2" t="s">
        <v>114</v>
      </c>
    </row>
    <row r="1719">
      <c r="A1719" s="2">
        <v>1718.0</v>
      </c>
      <c r="B1719" s="2" t="s">
        <v>3835</v>
      </c>
      <c r="C1719" s="2" t="s">
        <v>23</v>
      </c>
      <c r="K1719" s="2">
        <v>100.0</v>
      </c>
      <c r="N1719" s="6">
        <v>45562.0</v>
      </c>
      <c r="Q1719" s="2" t="s">
        <v>3836</v>
      </c>
    </row>
    <row r="1720">
      <c r="A1720" s="2">
        <v>1719.0</v>
      </c>
      <c r="B1720" s="2" t="s">
        <v>3837</v>
      </c>
      <c r="C1720" s="2" t="s">
        <v>23</v>
      </c>
      <c r="K1720" s="2">
        <v>40.0</v>
      </c>
      <c r="N1720" s="6">
        <v>45622.0</v>
      </c>
      <c r="Q1720" s="2" t="s">
        <v>540</v>
      </c>
    </row>
    <row r="1721">
      <c r="A1721" s="2">
        <v>1720.0</v>
      </c>
      <c r="B1721" s="2" t="s">
        <v>3838</v>
      </c>
      <c r="C1721" s="2" t="s">
        <v>23</v>
      </c>
      <c r="N1721" s="6">
        <v>45398.0</v>
      </c>
      <c r="Q1721" s="2" t="s">
        <v>1156</v>
      </c>
    </row>
    <row r="1722">
      <c r="A1722" s="2">
        <v>1721.0</v>
      </c>
      <c r="B1722" s="2" t="s">
        <v>3839</v>
      </c>
      <c r="C1722" s="2" t="s">
        <v>23</v>
      </c>
      <c r="K1722" s="2">
        <v>80.0</v>
      </c>
      <c r="N1722" s="6">
        <v>45822.0</v>
      </c>
      <c r="Q1722" s="2" t="s">
        <v>3840</v>
      </c>
    </row>
    <row r="1723">
      <c r="A1723" s="2">
        <v>1722.0</v>
      </c>
      <c r="B1723" s="2" t="s">
        <v>3841</v>
      </c>
      <c r="C1723" s="2" t="s">
        <v>23</v>
      </c>
      <c r="K1723" s="2">
        <v>10.0</v>
      </c>
      <c r="N1723" s="6">
        <v>43975.0</v>
      </c>
      <c r="Q1723" s="2" t="s">
        <v>86</v>
      </c>
    </row>
    <row r="1724">
      <c r="A1724" s="2">
        <v>1723.0</v>
      </c>
      <c r="B1724" s="2" t="s">
        <v>3842</v>
      </c>
      <c r="C1724" s="2" t="s">
        <v>23</v>
      </c>
      <c r="K1724" s="2">
        <v>30.0</v>
      </c>
      <c r="N1724" s="6">
        <v>43969.0</v>
      </c>
      <c r="Q1724" s="2" t="s">
        <v>3843</v>
      </c>
    </row>
    <row r="1725">
      <c r="A1725" s="2">
        <v>1724.0</v>
      </c>
      <c r="B1725" s="2" t="s">
        <v>3844</v>
      </c>
      <c r="C1725" s="2" t="s">
        <v>23</v>
      </c>
      <c r="K1725" s="2">
        <v>50.0</v>
      </c>
      <c r="N1725" s="6">
        <v>45560.0</v>
      </c>
      <c r="Q1725" s="2" t="s">
        <v>3845</v>
      </c>
    </row>
    <row r="1726">
      <c r="A1726" s="2">
        <v>1725.0</v>
      </c>
      <c r="B1726" s="2" t="s">
        <v>3846</v>
      </c>
      <c r="C1726" s="2" t="s">
        <v>23</v>
      </c>
      <c r="N1726" s="6">
        <v>44281.0</v>
      </c>
      <c r="Q1726" s="2" t="s">
        <v>86</v>
      </c>
    </row>
    <row r="1727">
      <c r="A1727" s="2">
        <v>1726.0</v>
      </c>
      <c r="B1727" s="2" t="s">
        <v>3847</v>
      </c>
      <c r="C1727" s="2" t="s">
        <v>23</v>
      </c>
      <c r="N1727" s="6">
        <v>44676.0</v>
      </c>
      <c r="Q1727" s="2" t="s">
        <v>86</v>
      </c>
    </row>
    <row r="1728">
      <c r="A1728" s="2">
        <v>1727.0</v>
      </c>
      <c r="B1728" s="2" t="s">
        <v>3848</v>
      </c>
      <c r="C1728" s="2" t="s">
        <v>23</v>
      </c>
      <c r="N1728" s="6">
        <v>44621.0</v>
      </c>
      <c r="Q1728" s="2" t="s">
        <v>3849</v>
      </c>
    </row>
    <row r="1729">
      <c r="A1729" s="2">
        <v>1728.0</v>
      </c>
      <c r="B1729" s="2" t="s">
        <v>3850</v>
      </c>
      <c r="C1729" s="2" t="s">
        <v>23</v>
      </c>
      <c r="N1729" s="6">
        <v>45507.0</v>
      </c>
      <c r="Q1729" s="2" t="s">
        <v>3512</v>
      </c>
    </row>
    <row r="1730">
      <c r="A1730" s="2">
        <v>1729.0</v>
      </c>
      <c r="B1730" s="2" t="s">
        <v>3851</v>
      </c>
      <c r="C1730" s="2" t="s">
        <v>23</v>
      </c>
      <c r="K1730" s="2">
        <v>200.0</v>
      </c>
      <c r="N1730" s="6">
        <v>43839.0</v>
      </c>
      <c r="Q1730" s="2" t="s">
        <v>3852</v>
      </c>
    </row>
    <row r="1731">
      <c r="A1731" s="2">
        <v>1730.0</v>
      </c>
      <c r="B1731" s="2" t="s">
        <v>3853</v>
      </c>
      <c r="C1731" s="2" t="s">
        <v>23</v>
      </c>
      <c r="K1731" s="2">
        <v>60.0</v>
      </c>
      <c r="N1731" s="6">
        <v>45529.0</v>
      </c>
      <c r="Q1731" s="2" t="s">
        <v>3854</v>
      </c>
    </row>
    <row r="1732">
      <c r="A1732" s="2">
        <v>1731.0</v>
      </c>
      <c r="B1732" s="2" t="s">
        <v>3855</v>
      </c>
      <c r="C1732" s="2" t="s">
        <v>23</v>
      </c>
      <c r="K1732" s="2">
        <v>30.0</v>
      </c>
      <c r="N1732" s="6">
        <v>45420.0</v>
      </c>
      <c r="Q1732" s="2" t="s">
        <v>3856</v>
      </c>
    </row>
    <row r="1733">
      <c r="A1733" s="2">
        <v>1732.0</v>
      </c>
      <c r="B1733" s="2" t="s">
        <v>3857</v>
      </c>
      <c r="C1733" s="2" t="s">
        <v>23</v>
      </c>
      <c r="K1733" s="2">
        <v>30.0</v>
      </c>
      <c r="N1733" s="6">
        <v>45574.0</v>
      </c>
      <c r="Q1733" s="2" t="s">
        <v>3858</v>
      </c>
    </row>
    <row r="1734">
      <c r="A1734" s="2">
        <v>1733.0</v>
      </c>
      <c r="B1734" s="2" t="s">
        <v>3859</v>
      </c>
      <c r="C1734" s="2" t="s">
        <v>23</v>
      </c>
      <c r="K1734" s="2">
        <v>80.0</v>
      </c>
      <c r="N1734" s="6">
        <v>42546.0</v>
      </c>
      <c r="Q1734" s="2" t="s">
        <v>3860</v>
      </c>
    </row>
    <row r="1735">
      <c r="A1735" s="2">
        <v>1734.0</v>
      </c>
      <c r="B1735" s="2" t="s">
        <v>3861</v>
      </c>
      <c r="C1735" s="2" t="s">
        <v>23</v>
      </c>
      <c r="K1735" s="2">
        <v>20.0</v>
      </c>
      <c r="N1735" s="6">
        <v>44816.0</v>
      </c>
      <c r="Q1735" s="2" t="s">
        <v>86</v>
      </c>
    </row>
    <row r="1736">
      <c r="A1736" s="2">
        <v>1735.0</v>
      </c>
      <c r="B1736" s="2" t="s">
        <v>3862</v>
      </c>
      <c r="C1736" s="2" t="s">
        <v>23</v>
      </c>
      <c r="N1736" s="6">
        <v>44810.0</v>
      </c>
      <c r="Q1736" s="2" t="s">
        <v>86</v>
      </c>
    </row>
    <row r="1737">
      <c r="A1737" s="2">
        <v>1736.0</v>
      </c>
      <c r="B1737" s="2" t="s">
        <v>3863</v>
      </c>
      <c r="C1737" s="2" t="s">
        <v>23</v>
      </c>
      <c r="N1737" s="6">
        <v>45938.0</v>
      </c>
      <c r="Q1737" s="2" t="s">
        <v>3864</v>
      </c>
    </row>
    <row r="1738">
      <c r="A1738" s="2">
        <v>1737.0</v>
      </c>
      <c r="B1738" s="2" t="s">
        <v>3865</v>
      </c>
      <c r="C1738" s="2" t="s">
        <v>23</v>
      </c>
      <c r="K1738" s="2">
        <v>50.0</v>
      </c>
      <c r="N1738" s="6">
        <v>44867.0</v>
      </c>
      <c r="Q1738" s="2" t="s">
        <v>3866</v>
      </c>
    </row>
    <row r="1739">
      <c r="A1739" s="2">
        <v>1738.0</v>
      </c>
      <c r="B1739" s="2" t="s">
        <v>3867</v>
      </c>
      <c r="C1739" s="2" t="s">
        <v>23</v>
      </c>
      <c r="K1739" s="2">
        <v>100.0</v>
      </c>
      <c r="N1739" s="6">
        <v>44772.0</v>
      </c>
      <c r="Q1739" s="2" t="s">
        <v>3868</v>
      </c>
    </row>
    <row r="1740">
      <c r="A1740" s="2">
        <v>1739.0</v>
      </c>
      <c r="B1740" s="2" t="s">
        <v>3869</v>
      </c>
      <c r="C1740" s="2" t="s">
        <v>23</v>
      </c>
      <c r="K1740" s="2">
        <v>150.0</v>
      </c>
      <c r="N1740" s="6">
        <v>43975.0</v>
      </c>
      <c r="Q1740" s="2" t="s">
        <v>3870</v>
      </c>
    </row>
    <row r="1741">
      <c r="A1741" s="2">
        <v>1740.0</v>
      </c>
      <c r="B1741" s="2" t="s">
        <v>3871</v>
      </c>
      <c r="C1741" s="2" t="s">
        <v>23</v>
      </c>
      <c r="K1741" s="2">
        <v>10.0</v>
      </c>
      <c r="N1741" s="6">
        <v>45038.0</v>
      </c>
      <c r="Q1741" s="2" t="s">
        <v>86</v>
      </c>
    </row>
    <row r="1742">
      <c r="A1742" s="2">
        <v>1741.0</v>
      </c>
      <c r="B1742" s="2" t="s">
        <v>3872</v>
      </c>
      <c r="C1742" s="2" t="s">
        <v>23</v>
      </c>
      <c r="K1742" s="2">
        <v>30.0</v>
      </c>
      <c r="N1742" s="6">
        <v>43849.0</v>
      </c>
      <c r="Q1742" s="2" t="s">
        <v>3873</v>
      </c>
    </row>
    <row r="1743">
      <c r="A1743" s="2">
        <v>1742.0</v>
      </c>
      <c r="B1743" s="2" t="s">
        <v>3874</v>
      </c>
      <c r="C1743" s="2" t="s">
        <v>23</v>
      </c>
      <c r="K1743" s="2">
        <v>60.0</v>
      </c>
      <c r="N1743" s="6">
        <v>44026.0</v>
      </c>
      <c r="Q1743" s="2" t="s">
        <v>3875</v>
      </c>
    </row>
    <row r="1744">
      <c r="A1744" s="2">
        <v>1743.0</v>
      </c>
      <c r="B1744" s="2" t="s">
        <v>3876</v>
      </c>
      <c r="C1744" s="2" t="s">
        <v>23</v>
      </c>
      <c r="K1744" s="2">
        <v>40.0</v>
      </c>
      <c r="N1744" s="6">
        <v>45650.0</v>
      </c>
      <c r="Q1744" s="2" t="s">
        <v>3877</v>
      </c>
    </row>
    <row r="1745">
      <c r="A1745" s="2">
        <v>1744.0</v>
      </c>
      <c r="B1745" s="2" t="s">
        <v>3878</v>
      </c>
      <c r="C1745" s="2" t="s">
        <v>23</v>
      </c>
      <c r="K1745" s="2">
        <v>40.0</v>
      </c>
      <c r="N1745" s="6">
        <v>43501.0</v>
      </c>
      <c r="Q1745" s="2" t="s">
        <v>3879</v>
      </c>
    </row>
    <row r="1746">
      <c r="A1746" s="2">
        <v>1745.0</v>
      </c>
      <c r="B1746" s="2" t="s">
        <v>3880</v>
      </c>
      <c r="C1746" s="2" t="s">
        <v>23</v>
      </c>
      <c r="K1746" s="2">
        <v>40.0</v>
      </c>
      <c r="N1746" s="6">
        <v>44079.0</v>
      </c>
      <c r="Q1746" s="2" t="s">
        <v>1437</v>
      </c>
    </row>
    <row r="1747">
      <c r="A1747" s="2">
        <v>1746.0</v>
      </c>
      <c r="B1747" s="2" t="s">
        <v>3881</v>
      </c>
      <c r="C1747" s="2" t="s">
        <v>23</v>
      </c>
      <c r="K1747" s="2">
        <v>10.0</v>
      </c>
      <c r="N1747" s="6">
        <v>44713.0</v>
      </c>
      <c r="Q1747" s="2" t="s">
        <v>3882</v>
      </c>
    </row>
    <row r="1748">
      <c r="A1748" s="2">
        <v>1747.0</v>
      </c>
      <c r="B1748" s="2" t="s">
        <v>3883</v>
      </c>
      <c r="C1748" s="2" t="s">
        <v>23</v>
      </c>
      <c r="K1748" s="2">
        <v>100.0</v>
      </c>
      <c r="N1748" s="6">
        <v>45122.0</v>
      </c>
      <c r="Q1748" s="2" t="s">
        <v>60</v>
      </c>
    </row>
    <row r="1749">
      <c r="A1749" s="2">
        <v>1748.0</v>
      </c>
      <c r="B1749" s="2" t="s">
        <v>115</v>
      </c>
      <c r="C1749" s="2" t="s">
        <v>23</v>
      </c>
      <c r="N1749" s="6">
        <v>44764.0</v>
      </c>
      <c r="Q1749" s="2" t="s">
        <v>118</v>
      </c>
    </row>
    <row r="1750">
      <c r="A1750" s="2">
        <v>1749.0</v>
      </c>
      <c r="B1750" s="2" t="s">
        <v>3884</v>
      </c>
      <c r="C1750" s="2" t="s">
        <v>23</v>
      </c>
      <c r="K1750" s="2">
        <v>200.0</v>
      </c>
      <c r="N1750" s="6">
        <v>42677.0</v>
      </c>
      <c r="Q1750" s="2" t="s">
        <v>3885</v>
      </c>
    </row>
    <row r="1751">
      <c r="A1751" s="2">
        <v>1750.0</v>
      </c>
      <c r="B1751" s="2" t="s">
        <v>3886</v>
      </c>
      <c r="C1751" s="2" t="s">
        <v>23</v>
      </c>
      <c r="K1751" s="2">
        <v>10.0</v>
      </c>
      <c r="N1751" s="6">
        <v>45508.0</v>
      </c>
      <c r="Q1751" s="2" t="s">
        <v>1145</v>
      </c>
    </row>
    <row r="1752">
      <c r="A1752" s="2">
        <v>1751.0</v>
      </c>
      <c r="B1752" s="2" t="s">
        <v>3887</v>
      </c>
      <c r="C1752" s="2" t="s">
        <v>23</v>
      </c>
      <c r="N1752" s="6">
        <v>44615.0</v>
      </c>
      <c r="Q1752" s="2" t="s">
        <v>3888</v>
      </c>
    </row>
    <row r="1753">
      <c r="A1753" s="2">
        <v>1752.0</v>
      </c>
      <c r="B1753" s="2" t="s">
        <v>3889</v>
      </c>
      <c r="C1753" s="2" t="s">
        <v>23</v>
      </c>
      <c r="K1753" s="2">
        <v>10.0</v>
      </c>
      <c r="N1753" s="6">
        <v>44474.0</v>
      </c>
      <c r="Q1753" s="2" t="s">
        <v>86</v>
      </c>
    </row>
    <row r="1754">
      <c r="A1754" s="2">
        <v>1753.0</v>
      </c>
      <c r="B1754" s="2" t="s">
        <v>3890</v>
      </c>
      <c r="C1754" s="2" t="s">
        <v>23</v>
      </c>
      <c r="K1754" s="2">
        <v>10.0</v>
      </c>
      <c r="N1754" s="6">
        <v>44101.0</v>
      </c>
      <c r="Q1754" s="2" t="s">
        <v>3891</v>
      </c>
    </row>
    <row r="1755">
      <c r="A1755" s="2">
        <v>1754.0</v>
      </c>
      <c r="B1755" s="2" t="s">
        <v>3892</v>
      </c>
      <c r="C1755" s="2" t="s">
        <v>23</v>
      </c>
      <c r="K1755" s="2">
        <v>10.0</v>
      </c>
      <c r="N1755" s="6">
        <v>44777.0</v>
      </c>
      <c r="Q1755" s="2" t="s">
        <v>491</v>
      </c>
    </row>
    <row r="1756">
      <c r="A1756" s="2">
        <v>1755.0</v>
      </c>
      <c r="B1756" s="2" t="s">
        <v>3893</v>
      </c>
      <c r="C1756" s="2" t="s">
        <v>23</v>
      </c>
      <c r="K1756" s="2">
        <v>30.0</v>
      </c>
      <c r="N1756" s="6">
        <v>45432.0</v>
      </c>
      <c r="Q1756" s="2" t="s">
        <v>3894</v>
      </c>
    </row>
    <row r="1757">
      <c r="A1757" s="2">
        <v>1756.0</v>
      </c>
      <c r="B1757" s="2" t="s">
        <v>3895</v>
      </c>
      <c r="C1757" s="2" t="s">
        <v>23</v>
      </c>
      <c r="K1757" s="2">
        <v>100.0</v>
      </c>
      <c r="N1757" s="6">
        <v>44095.0</v>
      </c>
      <c r="Q1757" s="2" t="s">
        <v>3896</v>
      </c>
    </row>
    <row r="1758">
      <c r="A1758" s="2">
        <v>1757.0</v>
      </c>
      <c r="B1758" s="2" t="s">
        <v>3897</v>
      </c>
      <c r="C1758" s="2" t="s">
        <v>23</v>
      </c>
      <c r="N1758" s="6">
        <v>44726.0</v>
      </c>
      <c r="Q1758" s="2" t="s">
        <v>3898</v>
      </c>
    </row>
    <row r="1759">
      <c r="A1759" s="2">
        <v>1758.0</v>
      </c>
      <c r="B1759" s="2" t="s">
        <v>3899</v>
      </c>
      <c r="C1759" s="2" t="s">
        <v>23</v>
      </c>
      <c r="K1759" s="2">
        <v>40.0</v>
      </c>
      <c r="N1759" s="6">
        <v>44867.0</v>
      </c>
      <c r="Q1759" s="2" t="s">
        <v>1466</v>
      </c>
    </row>
    <row r="1760">
      <c r="A1760" s="2">
        <v>1759.0</v>
      </c>
      <c r="B1760" s="2" t="s">
        <v>3900</v>
      </c>
      <c r="C1760" s="2" t="s">
        <v>23</v>
      </c>
      <c r="K1760" s="2">
        <v>150.0</v>
      </c>
      <c r="N1760" s="6">
        <v>45029.0</v>
      </c>
      <c r="Q1760" s="2" t="s">
        <v>3901</v>
      </c>
    </row>
    <row r="1761">
      <c r="A1761" s="2">
        <v>1760.0</v>
      </c>
      <c r="B1761" s="2" t="s">
        <v>3902</v>
      </c>
      <c r="C1761" s="2" t="s">
        <v>23</v>
      </c>
      <c r="K1761" s="2">
        <v>20.0</v>
      </c>
      <c r="N1761" s="6">
        <v>44870.0</v>
      </c>
      <c r="Q1761" s="2" t="s">
        <v>3903</v>
      </c>
    </row>
    <row r="1762">
      <c r="A1762" s="2">
        <v>1761.0</v>
      </c>
      <c r="B1762" s="2" t="s">
        <v>3904</v>
      </c>
      <c r="C1762" s="2" t="s">
        <v>23</v>
      </c>
      <c r="K1762" s="2">
        <v>150.0</v>
      </c>
      <c r="N1762" s="6">
        <v>44358.0</v>
      </c>
      <c r="Q1762" s="2" t="s">
        <v>3905</v>
      </c>
    </row>
    <row r="1763">
      <c r="A1763" s="2">
        <v>1762.0</v>
      </c>
      <c r="B1763" s="2" t="s">
        <v>3906</v>
      </c>
      <c r="C1763" s="2" t="s">
        <v>23</v>
      </c>
      <c r="K1763" s="2">
        <v>450.0</v>
      </c>
      <c r="N1763" s="6">
        <v>43880.0</v>
      </c>
      <c r="Q1763" s="2" t="s">
        <v>3907</v>
      </c>
    </row>
    <row r="1764">
      <c r="A1764" s="2">
        <v>1763.0</v>
      </c>
      <c r="B1764" s="2" t="s">
        <v>3908</v>
      </c>
      <c r="C1764" s="2" t="s">
        <v>23</v>
      </c>
      <c r="K1764" s="2">
        <v>50.0</v>
      </c>
      <c r="N1764" s="6">
        <v>45042.0</v>
      </c>
      <c r="Q1764" s="2" t="s">
        <v>1481</v>
      </c>
    </row>
    <row r="1765">
      <c r="A1765" s="2">
        <v>1764.0</v>
      </c>
      <c r="B1765" s="2" t="s">
        <v>3909</v>
      </c>
      <c r="C1765" s="2" t="s">
        <v>23</v>
      </c>
      <c r="N1765" s="6">
        <v>44304.0</v>
      </c>
      <c r="Q1765" s="2" t="s">
        <v>86</v>
      </c>
    </row>
    <row r="1766">
      <c r="A1766" s="2">
        <v>1765.0</v>
      </c>
      <c r="B1766" s="2" t="s">
        <v>120</v>
      </c>
      <c r="C1766" s="2" t="s">
        <v>23</v>
      </c>
      <c r="K1766" s="2">
        <v>20.0</v>
      </c>
      <c r="N1766" s="6">
        <v>42416.0</v>
      </c>
      <c r="Q1766" s="2" t="s">
        <v>121</v>
      </c>
    </row>
    <row r="1767">
      <c r="A1767" s="2">
        <v>1766.0</v>
      </c>
      <c r="B1767" s="2" t="s">
        <v>3910</v>
      </c>
      <c r="C1767" s="2" t="s">
        <v>23</v>
      </c>
      <c r="N1767" s="6">
        <v>44494.0</v>
      </c>
      <c r="Q1767" s="2" t="s">
        <v>86</v>
      </c>
    </row>
    <row r="1768">
      <c r="A1768" s="2">
        <v>1767.0</v>
      </c>
      <c r="B1768" s="2" t="s">
        <v>3911</v>
      </c>
      <c r="C1768" s="2" t="s">
        <v>23</v>
      </c>
      <c r="K1768" s="2">
        <v>60.0</v>
      </c>
      <c r="N1768" s="6">
        <v>44591.0</v>
      </c>
      <c r="Q1768" s="2" t="s">
        <v>3912</v>
      </c>
    </row>
    <row r="1769">
      <c r="A1769" s="2">
        <v>1768.0</v>
      </c>
      <c r="B1769" s="2" t="s">
        <v>3913</v>
      </c>
      <c r="C1769" s="2" t="s">
        <v>23</v>
      </c>
      <c r="K1769" s="2">
        <v>20.0</v>
      </c>
      <c r="N1769" s="6">
        <v>45795.0</v>
      </c>
      <c r="Q1769" s="2" t="s">
        <v>3914</v>
      </c>
    </row>
    <row r="1770">
      <c r="A1770" s="2">
        <v>1769.0</v>
      </c>
      <c r="B1770" s="2" t="s">
        <v>3915</v>
      </c>
      <c r="C1770" s="2" t="s">
        <v>23</v>
      </c>
      <c r="N1770" s="6">
        <v>44964.0</v>
      </c>
      <c r="Q1770" s="2" t="s">
        <v>86</v>
      </c>
    </row>
    <row r="1771">
      <c r="A1771" s="2">
        <v>1770.0</v>
      </c>
      <c r="B1771" s="2" t="s">
        <v>3916</v>
      </c>
      <c r="C1771" s="2" t="s">
        <v>23</v>
      </c>
      <c r="K1771" s="2">
        <v>10.0</v>
      </c>
      <c r="N1771" s="6">
        <v>45185.0</v>
      </c>
      <c r="Q1771" s="2" t="s">
        <v>3917</v>
      </c>
    </row>
    <row r="1772">
      <c r="A1772" s="2">
        <v>1771.0</v>
      </c>
      <c r="B1772" s="2" t="s">
        <v>3918</v>
      </c>
      <c r="C1772" s="2" t="s">
        <v>23</v>
      </c>
      <c r="K1772" s="2">
        <v>60.0</v>
      </c>
      <c r="N1772" s="6">
        <v>42304.0</v>
      </c>
      <c r="Q1772" s="2" t="s">
        <v>3919</v>
      </c>
    </row>
    <row r="1773">
      <c r="A1773" s="2">
        <v>1772.0</v>
      </c>
      <c r="B1773" s="2" t="s">
        <v>3920</v>
      </c>
      <c r="C1773" s="2" t="s">
        <v>23</v>
      </c>
      <c r="K1773" s="2">
        <v>80.0</v>
      </c>
      <c r="N1773" s="6">
        <v>44134.0</v>
      </c>
      <c r="Q1773" s="2" t="s">
        <v>86</v>
      </c>
    </row>
    <row r="1774">
      <c r="A1774" s="2">
        <v>1773.0</v>
      </c>
      <c r="B1774" s="2" t="s">
        <v>3921</v>
      </c>
      <c r="C1774" s="2" t="s">
        <v>23</v>
      </c>
      <c r="K1774" s="2">
        <v>40.0</v>
      </c>
      <c r="N1774" s="6">
        <v>46000.0</v>
      </c>
      <c r="Q1774" s="2" t="s">
        <v>3922</v>
      </c>
    </row>
    <row r="1775">
      <c r="A1775" s="2">
        <v>1774.0</v>
      </c>
      <c r="B1775" s="2" t="s">
        <v>3923</v>
      </c>
      <c r="C1775" s="2" t="s">
        <v>23</v>
      </c>
      <c r="N1775" s="6">
        <v>42454.0</v>
      </c>
      <c r="Q1775" s="2" t="s">
        <v>86</v>
      </c>
    </row>
    <row r="1776">
      <c r="A1776" s="2">
        <v>1775.0</v>
      </c>
      <c r="B1776" s="2" t="s">
        <v>3924</v>
      </c>
      <c r="C1776" s="2" t="s">
        <v>23</v>
      </c>
      <c r="K1776" s="2">
        <v>70.0</v>
      </c>
      <c r="N1776" s="6">
        <v>44827.0</v>
      </c>
      <c r="Q1776" s="2" t="s">
        <v>86</v>
      </c>
    </row>
    <row r="1777">
      <c r="A1777" s="2">
        <v>1776.0</v>
      </c>
      <c r="B1777" s="2" t="s">
        <v>3925</v>
      </c>
      <c r="C1777" s="2" t="s">
        <v>23</v>
      </c>
      <c r="K1777" s="2">
        <v>80.0</v>
      </c>
      <c r="N1777" s="6">
        <v>44305.0</v>
      </c>
      <c r="Q1777" s="2" t="s">
        <v>3926</v>
      </c>
    </row>
    <row r="1778">
      <c r="A1778" s="2">
        <v>1777.0</v>
      </c>
      <c r="B1778" s="2" t="s">
        <v>3927</v>
      </c>
      <c r="C1778" s="2" t="s">
        <v>23</v>
      </c>
      <c r="K1778" s="2">
        <v>50.0</v>
      </c>
      <c r="N1778" s="6">
        <v>45652.0</v>
      </c>
      <c r="Q1778" s="2" t="s">
        <v>3928</v>
      </c>
    </row>
    <row r="1779">
      <c r="A1779" s="2">
        <v>1778.0</v>
      </c>
      <c r="B1779" s="2" t="s">
        <v>3929</v>
      </c>
      <c r="C1779" s="2" t="s">
        <v>23</v>
      </c>
      <c r="K1779" s="2">
        <v>40.0</v>
      </c>
      <c r="N1779" s="6">
        <v>44355.0</v>
      </c>
      <c r="Q1779" s="2" t="s">
        <v>1466</v>
      </c>
    </row>
    <row r="1780">
      <c r="A1780" s="2">
        <v>1779.0</v>
      </c>
      <c r="B1780" s="2" t="s">
        <v>3930</v>
      </c>
      <c r="C1780" s="2" t="s">
        <v>23</v>
      </c>
      <c r="N1780" s="6">
        <v>44635.0</v>
      </c>
      <c r="Q1780" s="2" t="s">
        <v>86</v>
      </c>
    </row>
    <row r="1781">
      <c r="A1781" s="2">
        <v>1780.0</v>
      </c>
      <c r="B1781" s="2" t="s">
        <v>3931</v>
      </c>
      <c r="C1781" s="2" t="s">
        <v>23</v>
      </c>
      <c r="K1781" s="2">
        <v>60.0</v>
      </c>
      <c r="N1781" s="6">
        <v>43978.0</v>
      </c>
      <c r="Q1781" s="2" t="s">
        <v>86</v>
      </c>
    </row>
    <row r="1782">
      <c r="A1782" s="2">
        <v>1781.0</v>
      </c>
      <c r="B1782" s="2" t="s">
        <v>3932</v>
      </c>
      <c r="C1782" s="2" t="s">
        <v>23</v>
      </c>
      <c r="N1782" s="6">
        <v>44354.0</v>
      </c>
      <c r="Q1782" s="2" t="s">
        <v>86</v>
      </c>
    </row>
    <row r="1783">
      <c r="A1783" s="2">
        <v>1782.0</v>
      </c>
      <c r="B1783" s="2" t="s">
        <v>3933</v>
      </c>
      <c r="C1783" s="2" t="s">
        <v>23</v>
      </c>
      <c r="N1783" s="6">
        <v>45197.0</v>
      </c>
      <c r="Q1783" s="2" t="s">
        <v>3934</v>
      </c>
    </row>
    <row r="1784">
      <c r="A1784" s="2">
        <v>1783.0</v>
      </c>
      <c r="B1784" s="2" t="s">
        <v>3935</v>
      </c>
      <c r="C1784" s="2" t="s">
        <v>23</v>
      </c>
      <c r="K1784" s="2">
        <v>60.0</v>
      </c>
      <c r="N1784" s="6">
        <v>45688.0</v>
      </c>
      <c r="Q1784" s="2" t="s">
        <v>3936</v>
      </c>
    </row>
    <row r="1785">
      <c r="A1785" s="2">
        <v>1784.0</v>
      </c>
      <c r="B1785" s="2" t="s">
        <v>3937</v>
      </c>
      <c r="C1785" s="2" t="s">
        <v>23</v>
      </c>
      <c r="N1785" s="6">
        <v>44606.0</v>
      </c>
      <c r="Q1785" s="2" t="s">
        <v>86</v>
      </c>
    </row>
    <row r="1786">
      <c r="A1786" s="2">
        <v>1785.0</v>
      </c>
      <c r="B1786" s="2" t="s">
        <v>3938</v>
      </c>
      <c r="C1786" s="2" t="s">
        <v>23</v>
      </c>
      <c r="N1786" s="6">
        <v>44704.0</v>
      </c>
      <c r="Q1786" s="2" t="s">
        <v>86</v>
      </c>
    </row>
    <row r="1787">
      <c r="A1787" s="2">
        <v>1786.0</v>
      </c>
      <c r="B1787" s="2" t="s">
        <v>3939</v>
      </c>
      <c r="C1787" s="2" t="s">
        <v>23</v>
      </c>
      <c r="N1787" s="6">
        <v>44066.0</v>
      </c>
      <c r="Q1787" s="2" t="s">
        <v>86</v>
      </c>
    </row>
    <row r="1788">
      <c r="A1788" s="2">
        <v>1787.0</v>
      </c>
      <c r="B1788" s="2" t="s">
        <v>3940</v>
      </c>
      <c r="C1788" s="2" t="s">
        <v>23</v>
      </c>
      <c r="K1788" s="2">
        <v>10.0</v>
      </c>
      <c r="N1788" s="6">
        <v>45715.0</v>
      </c>
      <c r="Q1788" s="2" t="s">
        <v>3941</v>
      </c>
    </row>
    <row r="1789">
      <c r="A1789" s="2">
        <v>1788.0</v>
      </c>
      <c r="B1789" s="2" t="s">
        <v>3942</v>
      </c>
      <c r="C1789" s="2" t="s">
        <v>23</v>
      </c>
      <c r="N1789" s="6">
        <v>44606.0</v>
      </c>
      <c r="Q1789" s="2" t="s">
        <v>86</v>
      </c>
    </row>
    <row r="1790">
      <c r="A1790" s="2">
        <v>1789.0</v>
      </c>
      <c r="B1790" s="2" t="s">
        <v>3943</v>
      </c>
      <c r="C1790" s="2" t="s">
        <v>23</v>
      </c>
      <c r="K1790" s="2">
        <v>30.0</v>
      </c>
      <c r="N1790" s="6">
        <v>44027.0</v>
      </c>
      <c r="Q1790" s="2" t="s">
        <v>3944</v>
      </c>
    </row>
    <row r="1791">
      <c r="A1791" s="2">
        <v>1790.0</v>
      </c>
      <c r="B1791" s="2" t="s">
        <v>3945</v>
      </c>
      <c r="C1791" s="2" t="s">
        <v>23</v>
      </c>
      <c r="K1791" s="2">
        <v>150.0</v>
      </c>
      <c r="N1791" s="6">
        <v>44364.0</v>
      </c>
      <c r="Q1791" s="2" t="s">
        <v>3946</v>
      </c>
    </row>
    <row r="1792">
      <c r="A1792" s="2">
        <v>1791.0</v>
      </c>
      <c r="B1792" s="2" t="s">
        <v>3947</v>
      </c>
      <c r="C1792" s="2" t="s">
        <v>23</v>
      </c>
      <c r="K1792" s="2">
        <v>150.0</v>
      </c>
      <c r="N1792" s="6">
        <v>45147.0</v>
      </c>
      <c r="Q1792" s="2" t="s">
        <v>3948</v>
      </c>
    </row>
    <row r="1793">
      <c r="A1793" s="2">
        <v>1792.0</v>
      </c>
      <c r="B1793" s="2" t="s">
        <v>3949</v>
      </c>
      <c r="C1793" s="2" t="s">
        <v>23</v>
      </c>
      <c r="K1793" s="2">
        <v>30.0</v>
      </c>
      <c r="N1793" s="6">
        <v>43852.0</v>
      </c>
      <c r="Q1793" s="2" t="s">
        <v>3950</v>
      </c>
    </row>
    <row r="1794">
      <c r="A1794" s="2">
        <v>1793.0</v>
      </c>
      <c r="B1794" s="2" t="s">
        <v>3951</v>
      </c>
      <c r="C1794" s="2" t="s">
        <v>23</v>
      </c>
      <c r="K1794" s="2">
        <v>80.0</v>
      </c>
      <c r="N1794" s="6">
        <v>44688.0</v>
      </c>
      <c r="Q1794" s="2" t="s">
        <v>2794</v>
      </c>
    </row>
    <row r="1795">
      <c r="A1795" s="2">
        <v>1794.0</v>
      </c>
      <c r="B1795" s="2" t="s">
        <v>217</v>
      </c>
      <c r="C1795" s="2" t="s">
        <v>23</v>
      </c>
      <c r="K1795" s="2">
        <v>70.0</v>
      </c>
      <c r="N1795" s="6">
        <v>45346.0</v>
      </c>
      <c r="Q1795" s="2" t="s">
        <v>220</v>
      </c>
    </row>
    <row r="1796">
      <c r="A1796" s="2">
        <v>1795.0</v>
      </c>
      <c r="B1796" s="2" t="s">
        <v>3952</v>
      </c>
      <c r="C1796" s="2" t="s">
        <v>23</v>
      </c>
      <c r="N1796" s="6">
        <v>43663.0</v>
      </c>
      <c r="Q1796" s="2" t="s">
        <v>3953</v>
      </c>
    </row>
    <row r="1797">
      <c r="A1797" s="2">
        <v>1796.0</v>
      </c>
      <c r="B1797" s="2" t="s">
        <v>3954</v>
      </c>
      <c r="C1797" s="2" t="s">
        <v>23</v>
      </c>
      <c r="N1797" s="6">
        <v>45608.0</v>
      </c>
      <c r="Q1797" s="2" t="s">
        <v>3955</v>
      </c>
    </row>
    <row r="1798">
      <c r="A1798" s="2">
        <v>1797.0</v>
      </c>
      <c r="B1798" s="2" t="s">
        <v>3956</v>
      </c>
      <c r="C1798" s="2" t="s">
        <v>23</v>
      </c>
      <c r="K1798" s="2">
        <v>30.0</v>
      </c>
      <c r="N1798" s="6">
        <v>43887.0</v>
      </c>
      <c r="Q1798" s="2" t="s">
        <v>86</v>
      </c>
    </row>
    <row r="1799">
      <c r="A1799" s="2">
        <v>1798.0</v>
      </c>
      <c r="B1799" s="2" t="s">
        <v>3957</v>
      </c>
      <c r="C1799" s="2" t="s">
        <v>23</v>
      </c>
      <c r="N1799" s="6">
        <v>42298.0</v>
      </c>
      <c r="O1799" s="2" t="s">
        <v>49</v>
      </c>
      <c r="P1799" s="2" t="s">
        <v>36</v>
      </c>
      <c r="Q1799" s="2" t="s">
        <v>86</v>
      </c>
      <c r="S1799" s="2" t="s">
        <v>3958</v>
      </c>
    </row>
    <row r="1800">
      <c r="A1800" s="2">
        <v>1799.0</v>
      </c>
      <c r="B1800" s="2" t="s">
        <v>3959</v>
      </c>
      <c r="C1800" s="2" t="s">
        <v>23</v>
      </c>
      <c r="K1800" s="2">
        <v>50.0</v>
      </c>
      <c r="N1800" s="6">
        <v>45659.0</v>
      </c>
      <c r="Q1800" s="2" t="s">
        <v>3960</v>
      </c>
    </row>
    <row r="1801">
      <c r="A1801" s="2">
        <v>1800.0</v>
      </c>
      <c r="B1801" s="2" t="s">
        <v>3961</v>
      </c>
      <c r="C1801" s="2" t="s">
        <v>23</v>
      </c>
      <c r="K1801" s="2">
        <v>40.0</v>
      </c>
      <c r="N1801" s="6">
        <v>44316.0</v>
      </c>
      <c r="Q1801" s="2" t="s">
        <v>401</v>
      </c>
    </row>
    <row r="1802">
      <c r="A1802" s="2">
        <v>1801.0</v>
      </c>
      <c r="B1802" s="2" t="s">
        <v>3962</v>
      </c>
      <c r="C1802" s="2" t="s">
        <v>23</v>
      </c>
      <c r="K1802" s="2">
        <v>40.0</v>
      </c>
      <c r="N1802" s="6">
        <v>44043.0</v>
      </c>
      <c r="Q1802" s="2" t="s">
        <v>86</v>
      </c>
    </row>
    <row r="1803">
      <c r="A1803" s="2">
        <v>1802.0</v>
      </c>
      <c r="B1803" s="2" t="s">
        <v>3963</v>
      </c>
      <c r="C1803" s="2" t="s">
        <v>23</v>
      </c>
      <c r="K1803" s="2">
        <v>20.0</v>
      </c>
      <c r="N1803" s="6">
        <v>44996.0</v>
      </c>
      <c r="Q1803" s="2" t="s">
        <v>3964</v>
      </c>
    </row>
    <row r="1804">
      <c r="A1804" s="2">
        <v>1803.0</v>
      </c>
      <c r="B1804" s="2" t="s">
        <v>3965</v>
      </c>
      <c r="C1804" s="2" t="s">
        <v>23</v>
      </c>
      <c r="K1804" s="2">
        <v>10.0</v>
      </c>
      <c r="N1804" s="6">
        <v>44384.0</v>
      </c>
      <c r="Q1804" s="2" t="s">
        <v>3966</v>
      </c>
    </row>
    <row r="1805">
      <c r="A1805" s="2">
        <v>1804.0</v>
      </c>
      <c r="B1805" s="2" t="s">
        <v>3967</v>
      </c>
      <c r="C1805" s="2" t="s">
        <v>23</v>
      </c>
      <c r="N1805" s="6">
        <v>44430.0</v>
      </c>
      <c r="Q1805" s="2" t="s">
        <v>86</v>
      </c>
    </row>
    <row r="1806">
      <c r="A1806" s="2">
        <v>1805.0</v>
      </c>
      <c r="B1806" s="2" t="s">
        <v>3968</v>
      </c>
      <c r="C1806" s="2" t="s">
        <v>23</v>
      </c>
      <c r="N1806" s="6">
        <v>45581.0</v>
      </c>
      <c r="Q1806" s="2" t="s">
        <v>3751</v>
      </c>
    </row>
    <row r="1807">
      <c r="A1807" s="2">
        <v>1806.0</v>
      </c>
      <c r="B1807" s="2" t="s">
        <v>3969</v>
      </c>
      <c r="C1807" s="2" t="s">
        <v>23</v>
      </c>
      <c r="K1807" s="2">
        <v>80.0</v>
      </c>
      <c r="N1807" s="6">
        <v>43944.0</v>
      </c>
      <c r="Q1807" s="2" t="s">
        <v>3970</v>
      </c>
    </row>
    <row r="1808">
      <c r="A1808" s="2">
        <v>1807.0</v>
      </c>
      <c r="B1808" s="2" t="s">
        <v>3971</v>
      </c>
      <c r="C1808" s="2" t="s">
        <v>23</v>
      </c>
      <c r="K1808" s="2">
        <v>40.0</v>
      </c>
      <c r="N1808" s="6">
        <v>43932.0</v>
      </c>
      <c r="Q1808" s="2" t="s">
        <v>2869</v>
      </c>
    </row>
    <row r="1809">
      <c r="A1809" s="2">
        <v>1808.0</v>
      </c>
      <c r="B1809" s="2" t="s">
        <v>3972</v>
      </c>
      <c r="C1809" s="2" t="s">
        <v>23</v>
      </c>
      <c r="K1809" s="2">
        <v>150.0</v>
      </c>
      <c r="N1809" s="6">
        <v>44062.0</v>
      </c>
      <c r="Q1809" s="2" t="s">
        <v>3973</v>
      </c>
    </row>
    <row r="1810">
      <c r="A1810" s="2">
        <v>1809.0</v>
      </c>
      <c r="B1810" s="2" t="s">
        <v>3974</v>
      </c>
      <c r="C1810" s="2" t="s">
        <v>23</v>
      </c>
      <c r="N1810" s="6">
        <v>44049.0</v>
      </c>
      <c r="Q1810" s="2" t="s">
        <v>86</v>
      </c>
    </row>
    <row r="1811">
      <c r="A1811" s="2">
        <v>1810.0</v>
      </c>
      <c r="B1811" s="2" t="s">
        <v>3975</v>
      </c>
      <c r="C1811" s="2" t="s">
        <v>23</v>
      </c>
      <c r="N1811" s="6">
        <v>44620.0</v>
      </c>
      <c r="Q1811" s="2" t="s">
        <v>86</v>
      </c>
    </row>
    <row r="1812">
      <c r="A1812" s="2">
        <v>1811.0</v>
      </c>
      <c r="B1812" s="2" t="s">
        <v>3976</v>
      </c>
      <c r="C1812" s="2" t="s">
        <v>23</v>
      </c>
      <c r="K1812" s="2">
        <v>20.0</v>
      </c>
      <c r="N1812" s="6">
        <v>44165.0</v>
      </c>
      <c r="Q1812" s="2" t="s">
        <v>126</v>
      </c>
    </row>
    <row r="1813">
      <c r="A1813" s="2">
        <v>1812.0</v>
      </c>
      <c r="B1813" s="2" t="s">
        <v>3977</v>
      </c>
      <c r="C1813" s="2" t="s">
        <v>23</v>
      </c>
      <c r="N1813" s="6">
        <v>45570.0</v>
      </c>
      <c r="Q1813" s="2" t="s">
        <v>3978</v>
      </c>
    </row>
    <row r="1814">
      <c r="A1814" s="2">
        <v>1813.0</v>
      </c>
      <c r="B1814" s="2" t="s">
        <v>3979</v>
      </c>
      <c r="C1814" s="2" t="s">
        <v>23</v>
      </c>
      <c r="K1814" s="2">
        <v>10.0</v>
      </c>
      <c r="N1814" s="6">
        <v>45554.0</v>
      </c>
      <c r="Q1814" s="2" t="s">
        <v>3980</v>
      </c>
    </row>
    <row r="1815">
      <c r="A1815" s="2">
        <v>1814.0</v>
      </c>
      <c r="B1815" s="2" t="s">
        <v>3981</v>
      </c>
      <c r="C1815" s="2" t="s">
        <v>23</v>
      </c>
      <c r="K1815" s="2">
        <v>80.0</v>
      </c>
      <c r="N1815" s="6">
        <v>44855.0</v>
      </c>
      <c r="Q1815" s="2" t="s">
        <v>3982</v>
      </c>
    </row>
    <row r="1816">
      <c r="A1816" s="2">
        <v>1815.0</v>
      </c>
      <c r="B1816" s="2" t="s">
        <v>3983</v>
      </c>
      <c r="C1816" s="2" t="s">
        <v>23</v>
      </c>
      <c r="N1816" s="6">
        <v>44998.0</v>
      </c>
      <c r="Q1816" s="2" t="s">
        <v>546</v>
      </c>
    </row>
    <row r="1817">
      <c r="A1817" s="2">
        <v>1816.0</v>
      </c>
      <c r="B1817" s="2" t="s">
        <v>3984</v>
      </c>
      <c r="C1817" s="2" t="s">
        <v>23</v>
      </c>
      <c r="K1817" s="2">
        <v>150.0</v>
      </c>
      <c r="N1817" s="6">
        <v>44174.0</v>
      </c>
      <c r="Q1817" s="2" t="s">
        <v>3985</v>
      </c>
    </row>
    <row r="1818">
      <c r="A1818" s="2">
        <v>1817.0</v>
      </c>
      <c r="B1818" s="2" t="s">
        <v>3986</v>
      </c>
      <c r="C1818" s="2" t="s">
        <v>23</v>
      </c>
      <c r="K1818" s="2">
        <v>100.0</v>
      </c>
      <c r="N1818" s="6">
        <v>45708.0</v>
      </c>
      <c r="Q1818" s="2" t="s">
        <v>3987</v>
      </c>
    </row>
    <row r="1819">
      <c r="A1819" s="2">
        <v>1818.0</v>
      </c>
      <c r="B1819" s="2" t="s">
        <v>3988</v>
      </c>
      <c r="C1819" s="2" t="s">
        <v>23</v>
      </c>
      <c r="K1819" s="2">
        <v>40.0</v>
      </c>
      <c r="N1819" s="6">
        <v>44522.0</v>
      </c>
      <c r="Q1819" s="2" t="s">
        <v>3989</v>
      </c>
    </row>
    <row r="1820">
      <c r="A1820" s="2">
        <v>1819.0</v>
      </c>
      <c r="B1820" s="2" t="s">
        <v>3990</v>
      </c>
      <c r="C1820" s="2" t="s">
        <v>23</v>
      </c>
      <c r="N1820" s="6">
        <v>44023.0</v>
      </c>
      <c r="Q1820" s="2" t="s">
        <v>86</v>
      </c>
    </row>
    <row r="1821">
      <c r="A1821" s="2">
        <v>1820.0</v>
      </c>
      <c r="B1821" s="2" t="s">
        <v>3991</v>
      </c>
      <c r="C1821" s="2" t="s">
        <v>23</v>
      </c>
      <c r="K1821" s="2">
        <v>250.0</v>
      </c>
      <c r="N1821" s="6">
        <v>43891.0</v>
      </c>
      <c r="Q1821" s="2" t="s">
        <v>3992</v>
      </c>
    </row>
    <row r="1822">
      <c r="A1822" s="2">
        <v>1821.0</v>
      </c>
      <c r="B1822" s="2" t="s">
        <v>3993</v>
      </c>
      <c r="C1822" s="2" t="s">
        <v>23</v>
      </c>
      <c r="K1822" s="2">
        <v>20.0</v>
      </c>
      <c r="N1822" s="6">
        <v>44805.0</v>
      </c>
      <c r="Q1822" s="2" t="s">
        <v>3994</v>
      </c>
    </row>
    <row r="1823">
      <c r="A1823" s="2">
        <v>1822.0</v>
      </c>
      <c r="B1823" s="2" t="s">
        <v>3995</v>
      </c>
      <c r="C1823" s="2" t="s">
        <v>23</v>
      </c>
      <c r="N1823" s="6">
        <v>44613.0</v>
      </c>
      <c r="Q1823" s="2" t="s">
        <v>86</v>
      </c>
    </row>
    <row r="1824">
      <c r="A1824" s="2">
        <v>1823.0</v>
      </c>
      <c r="B1824" s="2" t="s">
        <v>3996</v>
      </c>
      <c r="C1824" s="2" t="s">
        <v>23</v>
      </c>
      <c r="K1824" s="2">
        <v>10.0</v>
      </c>
      <c r="N1824" s="6">
        <v>45353.0</v>
      </c>
      <c r="Q1824" s="2" t="s">
        <v>3997</v>
      </c>
    </row>
    <row r="1825">
      <c r="A1825" s="2">
        <v>1824.0</v>
      </c>
      <c r="B1825" s="2" t="s">
        <v>3998</v>
      </c>
      <c r="C1825" s="2" t="s">
        <v>23</v>
      </c>
      <c r="K1825" s="2">
        <v>20.0</v>
      </c>
      <c r="N1825" s="6">
        <v>42640.0</v>
      </c>
      <c r="Q1825" s="2" t="s">
        <v>3999</v>
      </c>
    </row>
    <row r="1826">
      <c r="A1826" s="2">
        <v>1825.0</v>
      </c>
      <c r="B1826" s="2" t="s">
        <v>4000</v>
      </c>
      <c r="C1826" s="2" t="s">
        <v>23</v>
      </c>
      <c r="K1826" s="2">
        <v>20.0</v>
      </c>
      <c r="N1826" s="6">
        <v>45249.0</v>
      </c>
      <c r="Q1826" s="2" t="s">
        <v>86</v>
      </c>
    </row>
    <row r="1827">
      <c r="A1827" s="2">
        <v>1826.0</v>
      </c>
      <c r="B1827" s="2" t="s">
        <v>4001</v>
      </c>
      <c r="C1827" s="2" t="s">
        <v>23</v>
      </c>
      <c r="K1827" s="2">
        <v>20.0</v>
      </c>
      <c r="N1827" s="6">
        <v>46065.0</v>
      </c>
      <c r="Q1827" s="2" t="s">
        <v>4002</v>
      </c>
    </row>
    <row r="1828">
      <c r="A1828" s="2">
        <v>1827.0</v>
      </c>
      <c r="B1828" s="2" t="s">
        <v>4003</v>
      </c>
      <c r="C1828" s="2" t="s">
        <v>23</v>
      </c>
      <c r="K1828" s="2">
        <v>50.0</v>
      </c>
      <c r="N1828" s="6">
        <v>44531.0</v>
      </c>
      <c r="Q1828" s="2" t="s">
        <v>401</v>
      </c>
    </row>
    <row r="1829">
      <c r="A1829" s="2">
        <v>1828.0</v>
      </c>
      <c r="B1829" s="2" t="s">
        <v>4004</v>
      </c>
      <c r="C1829" s="2" t="s">
        <v>23</v>
      </c>
      <c r="N1829" s="6">
        <v>44536.0</v>
      </c>
      <c r="Q1829" s="2" t="s">
        <v>86</v>
      </c>
    </row>
    <row r="1830">
      <c r="A1830" s="2">
        <v>1829.0</v>
      </c>
      <c r="B1830" s="2" t="s">
        <v>4005</v>
      </c>
      <c r="C1830" s="2" t="s">
        <v>23</v>
      </c>
      <c r="K1830" s="2">
        <v>10.0</v>
      </c>
      <c r="N1830" s="6">
        <v>44053.0</v>
      </c>
      <c r="Q1830" s="2" t="s">
        <v>86</v>
      </c>
    </row>
    <row r="1831">
      <c r="A1831" s="2">
        <v>1830.0</v>
      </c>
      <c r="B1831" s="2" t="s">
        <v>4006</v>
      </c>
      <c r="C1831" s="2" t="s">
        <v>23</v>
      </c>
      <c r="K1831" s="2">
        <v>150.0</v>
      </c>
      <c r="N1831" s="6">
        <v>43927.0</v>
      </c>
      <c r="Q1831" s="2" t="s">
        <v>4007</v>
      </c>
    </row>
    <row r="1832">
      <c r="A1832" s="2">
        <v>1831.0</v>
      </c>
      <c r="B1832" s="2" t="s">
        <v>4008</v>
      </c>
      <c r="C1832" s="2" t="s">
        <v>23</v>
      </c>
      <c r="N1832" s="6">
        <v>44385.0</v>
      </c>
      <c r="Q1832" s="2" t="s">
        <v>4009</v>
      </c>
    </row>
    <row r="1833">
      <c r="A1833" s="2">
        <v>1832.0</v>
      </c>
      <c r="B1833" s="2" t="s">
        <v>4010</v>
      </c>
      <c r="C1833" s="2" t="s">
        <v>23</v>
      </c>
      <c r="K1833" s="2">
        <v>30.0</v>
      </c>
      <c r="N1833" s="6">
        <v>45154.0</v>
      </c>
      <c r="Q1833" s="2" t="s">
        <v>86</v>
      </c>
    </row>
    <row r="1834">
      <c r="A1834" s="2">
        <v>1833.0</v>
      </c>
      <c r="B1834" s="2" t="s">
        <v>4011</v>
      </c>
      <c r="C1834" s="2" t="s">
        <v>23</v>
      </c>
      <c r="N1834" s="6">
        <v>44060.0</v>
      </c>
      <c r="Q1834" s="2" t="s">
        <v>86</v>
      </c>
    </row>
    <row r="1835">
      <c r="A1835" s="2">
        <v>1834.0</v>
      </c>
      <c r="B1835" s="2" t="s">
        <v>4012</v>
      </c>
      <c r="C1835" s="2" t="s">
        <v>23</v>
      </c>
      <c r="K1835" s="2">
        <v>30.0</v>
      </c>
      <c r="N1835" s="6">
        <v>44221.0</v>
      </c>
      <c r="Q1835" s="2" t="s">
        <v>4013</v>
      </c>
    </row>
    <row r="1836">
      <c r="A1836" s="2">
        <v>1835.0</v>
      </c>
      <c r="B1836" s="2" t="s">
        <v>4014</v>
      </c>
      <c r="C1836" s="2" t="s">
        <v>23</v>
      </c>
      <c r="N1836" s="6">
        <v>44044.0</v>
      </c>
      <c r="Q1836" s="2" t="s">
        <v>86</v>
      </c>
    </row>
    <row r="1837">
      <c r="A1837" s="2">
        <v>1836.0</v>
      </c>
      <c r="B1837" s="2" t="s">
        <v>4015</v>
      </c>
      <c r="C1837" s="2" t="s">
        <v>23</v>
      </c>
      <c r="N1837" s="6">
        <v>43942.0</v>
      </c>
      <c r="Q1837" s="2" t="s">
        <v>86</v>
      </c>
    </row>
    <row r="1838">
      <c r="A1838" s="2">
        <v>1837.0</v>
      </c>
      <c r="B1838" s="2" t="s">
        <v>4016</v>
      </c>
      <c r="C1838" s="2" t="s">
        <v>23</v>
      </c>
      <c r="K1838" s="2">
        <v>10.0</v>
      </c>
      <c r="N1838" s="6">
        <v>45464.0</v>
      </c>
      <c r="Q1838" s="2" t="s">
        <v>4017</v>
      </c>
    </row>
    <row r="1839">
      <c r="A1839" s="2">
        <v>1838.0</v>
      </c>
      <c r="B1839" s="2" t="s">
        <v>4018</v>
      </c>
      <c r="C1839" s="2" t="s">
        <v>23</v>
      </c>
      <c r="K1839" s="2">
        <v>20.0</v>
      </c>
      <c r="N1839" s="6">
        <v>44724.0</v>
      </c>
      <c r="Q1839" s="2" t="s">
        <v>3232</v>
      </c>
    </row>
    <row r="1840">
      <c r="A1840" s="2">
        <v>1839.0</v>
      </c>
      <c r="B1840" s="2" t="s">
        <v>4019</v>
      </c>
      <c r="C1840" s="2" t="s">
        <v>23</v>
      </c>
      <c r="N1840" s="6">
        <v>42344.0</v>
      </c>
      <c r="Q1840" s="2" t="s">
        <v>86</v>
      </c>
    </row>
    <row r="1841">
      <c r="A1841" s="2">
        <v>1840.0</v>
      </c>
      <c r="B1841" s="2" t="s">
        <v>4020</v>
      </c>
      <c r="C1841" s="2" t="s">
        <v>23</v>
      </c>
      <c r="K1841" s="2">
        <v>30.0</v>
      </c>
      <c r="N1841" s="6">
        <v>44938.0</v>
      </c>
      <c r="Q1841" s="2" t="s">
        <v>1437</v>
      </c>
    </row>
    <row r="1842">
      <c r="A1842" s="2">
        <v>1841.0</v>
      </c>
      <c r="B1842" s="2" t="s">
        <v>4021</v>
      </c>
      <c r="C1842" s="2" t="s">
        <v>23</v>
      </c>
      <c r="K1842" s="2">
        <v>40.0</v>
      </c>
      <c r="N1842" s="6">
        <v>44872.0</v>
      </c>
      <c r="Q1842" s="2" t="s">
        <v>4022</v>
      </c>
    </row>
    <row r="1843">
      <c r="A1843" s="2">
        <v>1842.0</v>
      </c>
      <c r="B1843" s="2" t="s">
        <v>4023</v>
      </c>
      <c r="C1843" s="2" t="s">
        <v>23</v>
      </c>
      <c r="N1843" s="6">
        <v>42551.0</v>
      </c>
      <c r="Q1843" s="2" t="s">
        <v>86</v>
      </c>
    </row>
    <row r="1844">
      <c r="A1844" s="2">
        <v>1843.0</v>
      </c>
      <c r="B1844" s="2" t="s">
        <v>4024</v>
      </c>
      <c r="C1844" s="2" t="s">
        <v>23</v>
      </c>
      <c r="K1844" s="2">
        <v>50.0</v>
      </c>
      <c r="N1844" s="6">
        <v>44097.0</v>
      </c>
      <c r="Q1844" s="2" t="s">
        <v>4025</v>
      </c>
    </row>
    <row r="1845">
      <c r="A1845" s="2">
        <v>1844.0</v>
      </c>
      <c r="B1845" s="2" t="s">
        <v>4026</v>
      </c>
      <c r="C1845" s="2" t="s">
        <v>23</v>
      </c>
      <c r="K1845" s="2">
        <v>20.0</v>
      </c>
      <c r="N1845" s="6">
        <v>44427.0</v>
      </c>
      <c r="Q1845" s="2" t="s">
        <v>86</v>
      </c>
    </row>
    <row r="1846">
      <c r="A1846" s="2">
        <v>1845.0</v>
      </c>
      <c r="B1846" s="2" t="s">
        <v>4027</v>
      </c>
      <c r="C1846" s="2" t="s">
        <v>23</v>
      </c>
      <c r="K1846" s="2">
        <v>40.0</v>
      </c>
      <c r="N1846" s="6">
        <v>45678.0</v>
      </c>
      <c r="Q1846" s="2" t="s">
        <v>4028</v>
      </c>
    </row>
    <row r="1847">
      <c r="A1847" s="2">
        <v>1846.0</v>
      </c>
      <c r="B1847" s="2" t="s">
        <v>4029</v>
      </c>
      <c r="C1847" s="2" t="s">
        <v>23</v>
      </c>
      <c r="K1847" s="2">
        <v>100.0</v>
      </c>
      <c r="N1847" s="6">
        <v>43842.0</v>
      </c>
      <c r="Q1847" s="2" t="s">
        <v>4030</v>
      </c>
    </row>
    <row r="1848">
      <c r="A1848" s="2">
        <v>1847.0</v>
      </c>
      <c r="B1848" s="2" t="s">
        <v>4031</v>
      </c>
      <c r="C1848" s="2" t="s">
        <v>23</v>
      </c>
      <c r="N1848" s="6">
        <v>45947.0</v>
      </c>
      <c r="Q1848" s="2" t="s">
        <v>4032</v>
      </c>
    </row>
    <row r="1849">
      <c r="A1849" s="2">
        <v>1848.0</v>
      </c>
      <c r="B1849" s="2" t="s">
        <v>4033</v>
      </c>
      <c r="C1849" s="2" t="s">
        <v>23</v>
      </c>
      <c r="K1849" s="2">
        <v>30.0</v>
      </c>
      <c r="N1849" s="6">
        <v>43892.0</v>
      </c>
      <c r="Q1849" s="2" t="s">
        <v>60</v>
      </c>
    </row>
    <row r="1850">
      <c r="A1850" s="2">
        <v>1849.0</v>
      </c>
      <c r="B1850" s="2" t="s">
        <v>4034</v>
      </c>
      <c r="C1850" s="2" t="s">
        <v>23</v>
      </c>
      <c r="K1850" s="2">
        <v>20.0</v>
      </c>
      <c r="N1850" s="6">
        <v>44310.0</v>
      </c>
      <c r="Q1850" s="2" t="s">
        <v>86</v>
      </c>
    </row>
    <row r="1851">
      <c r="A1851" s="2">
        <v>1850.0</v>
      </c>
      <c r="B1851" s="2" t="s">
        <v>4035</v>
      </c>
      <c r="C1851" s="2" t="s">
        <v>23</v>
      </c>
      <c r="N1851" s="6">
        <v>43877.0</v>
      </c>
      <c r="Q1851" s="2" t="s">
        <v>86</v>
      </c>
    </row>
    <row r="1852">
      <c r="A1852" s="2">
        <v>1851.0</v>
      </c>
      <c r="B1852" s="2" t="s">
        <v>4036</v>
      </c>
      <c r="C1852" s="2" t="s">
        <v>23</v>
      </c>
      <c r="K1852" s="2">
        <v>10.0</v>
      </c>
      <c r="N1852" s="6">
        <v>44100.0</v>
      </c>
      <c r="Q1852" s="2" t="s">
        <v>86</v>
      </c>
    </row>
    <row r="1853">
      <c r="A1853" s="2">
        <v>1852.0</v>
      </c>
      <c r="B1853" s="2" t="s">
        <v>4037</v>
      </c>
      <c r="C1853" s="2" t="s">
        <v>23</v>
      </c>
      <c r="N1853" s="6">
        <v>43071.0</v>
      </c>
      <c r="Q1853" s="2" t="s">
        <v>86</v>
      </c>
    </row>
    <row r="1854">
      <c r="A1854" s="2">
        <v>1853.0</v>
      </c>
      <c r="B1854" s="2" t="s">
        <v>4038</v>
      </c>
      <c r="C1854" s="2" t="s">
        <v>23</v>
      </c>
      <c r="N1854" s="6">
        <v>45485.0</v>
      </c>
      <c r="Q1854" s="2" t="s">
        <v>4039</v>
      </c>
    </row>
    <row r="1855">
      <c r="A1855" s="2">
        <v>1854.0</v>
      </c>
      <c r="B1855" s="2" t="s">
        <v>4040</v>
      </c>
      <c r="C1855" s="2" t="s">
        <v>23</v>
      </c>
      <c r="K1855" s="2">
        <v>30.0</v>
      </c>
      <c r="N1855" s="6">
        <v>45145.0</v>
      </c>
      <c r="Q1855" s="2" t="s">
        <v>4041</v>
      </c>
    </row>
    <row r="1856">
      <c r="A1856" s="2">
        <v>1855.0</v>
      </c>
      <c r="B1856" s="2" t="s">
        <v>4042</v>
      </c>
      <c r="C1856" s="2" t="s">
        <v>23</v>
      </c>
      <c r="K1856" s="2">
        <v>80.0</v>
      </c>
      <c r="N1856" s="6">
        <v>44396.0</v>
      </c>
      <c r="Q1856" s="2" t="s">
        <v>4043</v>
      </c>
    </row>
    <row r="1857">
      <c r="A1857" s="2">
        <v>1856.0</v>
      </c>
      <c r="B1857" s="2" t="s">
        <v>4044</v>
      </c>
      <c r="C1857" s="2" t="s">
        <v>23</v>
      </c>
      <c r="N1857" s="6">
        <v>45284.0</v>
      </c>
      <c r="Q1857" s="2" t="s">
        <v>86</v>
      </c>
    </row>
    <row r="1858">
      <c r="A1858" s="2">
        <v>1857.0</v>
      </c>
      <c r="B1858" s="2" t="s">
        <v>4045</v>
      </c>
      <c r="C1858" s="2" t="s">
        <v>23</v>
      </c>
      <c r="N1858" s="6">
        <v>45355.0</v>
      </c>
      <c r="Q1858" s="2" t="s">
        <v>1116</v>
      </c>
    </row>
    <row r="1859">
      <c r="A1859" s="2">
        <v>1858.0</v>
      </c>
      <c r="B1859" s="2" t="s">
        <v>4046</v>
      </c>
      <c r="C1859" s="2" t="s">
        <v>23</v>
      </c>
      <c r="N1859" s="6">
        <v>45117.0</v>
      </c>
      <c r="Q1859" s="2" t="s">
        <v>4047</v>
      </c>
    </row>
    <row r="1860">
      <c r="A1860" s="2">
        <v>1859.0</v>
      </c>
      <c r="B1860" s="2" t="s">
        <v>4048</v>
      </c>
      <c r="C1860" s="2" t="s">
        <v>23</v>
      </c>
      <c r="K1860" s="2">
        <v>40.0</v>
      </c>
      <c r="N1860" s="6">
        <v>45710.0</v>
      </c>
      <c r="Q1860" s="2" t="s">
        <v>4049</v>
      </c>
    </row>
    <row r="1861">
      <c r="A1861" s="2">
        <v>1860.0</v>
      </c>
      <c r="B1861" s="2" t="s">
        <v>4050</v>
      </c>
      <c r="C1861" s="2" t="s">
        <v>23</v>
      </c>
      <c r="K1861" s="2">
        <v>10.0</v>
      </c>
      <c r="N1861" s="6">
        <v>45142.0</v>
      </c>
      <c r="Q1861" s="2" t="s">
        <v>4051</v>
      </c>
    </row>
    <row r="1862">
      <c r="A1862" s="2">
        <v>1861.0</v>
      </c>
      <c r="B1862" s="2" t="s">
        <v>4052</v>
      </c>
      <c r="C1862" s="2" t="s">
        <v>23</v>
      </c>
      <c r="K1862" s="2">
        <v>50.0</v>
      </c>
      <c r="N1862" s="6">
        <v>45665.0</v>
      </c>
      <c r="Q1862" s="2" t="s">
        <v>3987</v>
      </c>
    </row>
    <row r="1863">
      <c r="A1863" s="2">
        <v>1862.0</v>
      </c>
      <c r="B1863" s="2" t="s">
        <v>4053</v>
      </c>
      <c r="C1863" s="2" t="s">
        <v>23</v>
      </c>
      <c r="K1863" s="2">
        <v>10.0</v>
      </c>
      <c r="N1863" s="6">
        <v>44309.0</v>
      </c>
      <c r="Q1863" s="2" t="s">
        <v>4054</v>
      </c>
    </row>
    <row r="1864">
      <c r="A1864" s="2">
        <v>1863.0</v>
      </c>
      <c r="B1864" s="2" t="s">
        <v>4055</v>
      </c>
      <c r="C1864" s="2" t="s">
        <v>23</v>
      </c>
      <c r="K1864" s="2">
        <v>20.0</v>
      </c>
      <c r="N1864" s="6">
        <v>44086.0</v>
      </c>
      <c r="Q1864" s="2" t="s">
        <v>86</v>
      </c>
    </row>
    <row r="1865">
      <c r="A1865" s="2">
        <v>1864.0</v>
      </c>
      <c r="B1865" s="2" t="s">
        <v>4056</v>
      </c>
      <c r="C1865" s="2" t="s">
        <v>23</v>
      </c>
      <c r="N1865" s="6">
        <v>44835.0</v>
      </c>
      <c r="Q1865" s="2" t="s">
        <v>94</v>
      </c>
    </row>
    <row r="1866">
      <c r="A1866" s="2">
        <v>1865.0</v>
      </c>
      <c r="B1866" s="2" t="s">
        <v>4057</v>
      </c>
      <c r="C1866" s="2" t="s">
        <v>23</v>
      </c>
      <c r="K1866" s="2">
        <v>50.0</v>
      </c>
      <c r="N1866" s="6">
        <v>43935.0</v>
      </c>
      <c r="Q1866" s="2" t="s">
        <v>4058</v>
      </c>
    </row>
    <row r="1867">
      <c r="A1867" s="2">
        <v>1866.0</v>
      </c>
      <c r="B1867" s="2" t="s">
        <v>4059</v>
      </c>
      <c r="C1867" s="2" t="s">
        <v>23</v>
      </c>
      <c r="K1867" s="2">
        <v>10.0</v>
      </c>
      <c r="N1867" s="6">
        <v>44137.0</v>
      </c>
      <c r="Q1867" s="2" t="s">
        <v>4060</v>
      </c>
    </row>
    <row r="1868">
      <c r="A1868" s="2">
        <v>1867.0</v>
      </c>
      <c r="B1868" s="2" t="s">
        <v>4061</v>
      </c>
      <c r="C1868" s="2" t="s">
        <v>23</v>
      </c>
      <c r="K1868" s="2">
        <v>100.0</v>
      </c>
      <c r="N1868" s="6">
        <v>43944.0</v>
      </c>
      <c r="Q1868" s="2" t="s">
        <v>4062</v>
      </c>
    </row>
    <row r="1869">
      <c r="A1869" s="2">
        <v>1868.0</v>
      </c>
      <c r="B1869" s="2" t="s">
        <v>4063</v>
      </c>
      <c r="C1869" s="2" t="s">
        <v>23</v>
      </c>
      <c r="N1869" s="6">
        <v>46186.0</v>
      </c>
      <c r="Q1869" s="2" t="s">
        <v>4064</v>
      </c>
    </row>
    <row r="1870">
      <c r="A1870" s="2">
        <v>1869.0</v>
      </c>
      <c r="B1870" s="2" t="s">
        <v>4065</v>
      </c>
      <c r="C1870" s="2" t="s">
        <v>23</v>
      </c>
      <c r="K1870" s="2">
        <v>30.0</v>
      </c>
      <c r="N1870" s="6">
        <v>45704.0</v>
      </c>
      <c r="Q1870" s="2" t="s">
        <v>4066</v>
      </c>
    </row>
    <row r="1871">
      <c r="A1871" s="2">
        <v>1870.0</v>
      </c>
      <c r="B1871" s="2" t="s">
        <v>4067</v>
      </c>
      <c r="C1871" s="2" t="s">
        <v>23</v>
      </c>
      <c r="K1871" s="2">
        <v>150.0</v>
      </c>
      <c r="N1871" s="6">
        <v>45775.0</v>
      </c>
      <c r="Q1871" s="2" t="s">
        <v>4068</v>
      </c>
    </row>
    <row r="1872">
      <c r="A1872" s="2">
        <v>1871.0</v>
      </c>
      <c r="B1872" s="2" t="s">
        <v>4069</v>
      </c>
      <c r="C1872" s="2" t="s">
        <v>23</v>
      </c>
      <c r="N1872" s="6">
        <v>43907.0</v>
      </c>
      <c r="Q1872" s="2" t="s">
        <v>86</v>
      </c>
    </row>
    <row r="1873">
      <c r="A1873" s="2">
        <v>1872.0</v>
      </c>
      <c r="B1873" s="2" t="s">
        <v>4070</v>
      </c>
      <c r="C1873" s="2" t="s">
        <v>23</v>
      </c>
      <c r="N1873" s="6">
        <v>45350.0</v>
      </c>
      <c r="Q1873" s="2" t="s">
        <v>86</v>
      </c>
    </row>
    <row r="1874">
      <c r="A1874" s="2">
        <v>1873.0</v>
      </c>
      <c r="B1874" s="2" t="s">
        <v>4071</v>
      </c>
      <c r="C1874" s="2" t="s">
        <v>23</v>
      </c>
      <c r="K1874" s="2">
        <v>200.0</v>
      </c>
      <c r="N1874" s="6">
        <v>44658.0</v>
      </c>
      <c r="Q1874" s="2" t="s">
        <v>401</v>
      </c>
    </row>
    <row r="1875">
      <c r="A1875" s="2">
        <v>1874.0</v>
      </c>
      <c r="B1875" s="2" t="s">
        <v>4072</v>
      </c>
      <c r="C1875" s="2" t="s">
        <v>23</v>
      </c>
      <c r="K1875" s="2">
        <v>50.0</v>
      </c>
      <c r="N1875" s="6">
        <v>44874.0</v>
      </c>
      <c r="Q1875" s="2" t="s">
        <v>4073</v>
      </c>
    </row>
    <row r="1876">
      <c r="A1876" s="2">
        <v>1875.0</v>
      </c>
      <c r="B1876" s="2" t="s">
        <v>4074</v>
      </c>
      <c r="C1876" s="2" t="s">
        <v>23</v>
      </c>
      <c r="K1876" s="2">
        <v>40.0</v>
      </c>
      <c r="N1876" s="6">
        <v>45586.0</v>
      </c>
      <c r="Q1876" s="2" t="s">
        <v>1867</v>
      </c>
    </row>
    <row r="1877">
      <c r="A1877" s="2">
        <v>1876.0</v>
      </c>
      <c r="B1877" s="2" t="s">
        <v>4075</v>
      </c>
      <c r="C1877" s="2" t="s">
        <v>23</v>
      </c>
      <c r="N1877" s="6">
        <v>44543.0</v>
      </c>
      <c r="Q1877" s="2" t="s">
        <v>86</v>
      </c>
    </row>
    <row r="1878">
      <c r="A1878" s="2">
        <v>1877.0</v>
      </c>
      <c r="B1878" s="2" t="s">
        <v>4076</v>
      </c>
      <c r="C1878" s="2" t="s">
        <v>23</v>
      </c>
      <c r="K1878" s="2">
        <v>60.0</v>
      </c>
      <c r="N1878" s="6">
        <v>45682.0</v>
      </c>
      <c r="Q1878" s="2" t="s">
        <v>4077</v>
      </c>
    </row>
    <row r="1879">
      <c r="A1879" s="2">
        <v>1878.0</v>
      </c>
      <c r="B1879" s="2" t="s">
        <v>4078</v>
      </c>
      <c r="C1879" s="2" t="s">
        <v>23</v>
      </c>
      <c r="N1879" s="6">
        <v>43992.0</v>
      </c>
      <c r="Q1879" s="2" t="s">
        <v>86</v>
      </c>
    </row>
    <row r="1880">
      <c r="A1880" s="2">
        <v>1879.0</v>
      </c>
      <c r="B1880" s="2" t="s">
        <v>124</v>
      </c>
      <c r="C1880" s="2" t="s">
        <v>23</v>
      </c>
      <c r="K1880" s="2">
        <v>10.0</v>
      </c>
      <c r="N1880" s="6">
        <v>44396.0</v>
      </c>
      <c r="Q1880" s="2" t="s">
        <v>126</v>
      </c>
    </row>
    <row r="1881">
      <c r="A1881" s="2">
        <v>1880.0</v>
      </c>
      <c r="B1881" s="2" t="s">
        <v>4079</v>
      </c>
      <c r="C1881" s="2" t="s">
        <v>23</v>
      </c>
      <c r="K1881" s="2">
        <v>10.0</v>
      </c>
      <c r="N1881" s="6">
        <v>45526.0</v>
      </c>
      <c r="Q1881" s="2" t="s">
        <v>4080</v>
      </c>
    </row>
    <row r="1882">
      <c r="A1882" s="2">
        <v>1881.0</v>
      </c>
      <c r="B1882" s="2" t="s">
        <v>4081</v>
      </c>
      <c r="C1882" s="2" t="s">
        <v>23</v>
      </c>
      <c r="K1882" s="2">
        <v>20.0</v>
      </c>
      <c r="N1882" s="6">
        <v>44377.0</v>
      </c>
      <c r="Q1882" s="2" t="s">
        <v>401</v>
      </c>
    </row>
    <row r="1883">
      <c r="A1883" s="2">
        <v>1882.0</v>
      </c>
      <c r="B1883" s="2" t="s">
        <v>4082</v>
      </c>
      <c r="C1883" s="2" t="s">
        <v>23</v>
      </c>
      <c r="K1883" s="2">
        <v>20.0</v>
      </c>
      <c r="N1883" s="6">
        <v>42325.0</v>
      </c>
      <c r="Q1883" s="2" t="s">
        <v>4083</v>
      </c>
    </row>
    <row r="1884">
      <c r="A1884" s="2">
        <v>1883.0</v>
      </c>
      <c r="B1884" s="2" t="s">
        <v>4084</v>
      </c>
      <c r="C1884" s="2" t="s">
        <v>23</v>
      </c>
      <c r="N1884" s="6">
        <v>43905.0</v>
      </c>
      <c r="Q1884" s="2" t="s">
        <v>86</v>
      </c>
    </row>
    <row r="1885">
      <c r="A1885" s="2">
        <v>1884.0</v>
      </c>
      <c r="B1885" s="2" t="s">
        <v>4085</v>
      </c>
      <c r="C1885" s="2" t="s">
        <v>23</v>
      </c>
      <c r="K1885" s="2">
        <v>10.0</v>
      </c>
      <c r="N1885" s="6">
        <v>45109.0</v>
      </c>
      <c r="Q1885" s="2" t="s">
        <v>1094</v>
      </c>
    </row>
    <row r="1886">
      <c r="A1886" s="2">
        <v>1885.0</v>
      </c>
      <c r="B1886" s="2" t="s">
        <v>4086</v>
      </c>
      <c r="C1886" s="2" t="s">
        <v>23</v>
      </c>
      <c r="N1886" s="6">
        <v>44623.0</v>
      </c>
      <c r="Q1886" s="2" t="s">
        <v>86</v>
      </c>
    </row>
    <row r="1887">
      <c r="A1887" s="2">
        <v>1886.0</v>
      </c>
      <c r="B1887" s="2" t="s">
        <v>4087</v>
      </c>
      <c r="C1887" s="2" t="s">
        <v>23</v>
      </c>
      <c r="N1887" s="6">
        <v>43851.0</v>
      </c>
      <c r="Q1887" s="2" t="s">
        <v>86</v>
      </c>
    </row>
    <row r="1888">
      <c r="A1888" s="2">
        <v>1887.0</v>
      </c>
      <c r="B1888" s="2" t="s">
        <v>4088</v>
      </c>
      <c r="C1888" s="2" t="s">
        <v>23</v>
      </c>
      <c r="K1888" s="2">
        <v>10.0</v>
      </c>
      <c r="N1888" s="6">
        <v>44043.0</v>
      </c>
      <c r="Q1888" s="2" t="s">
        <v>4089</v>
      </c>
    </row>
    <row r="1889">
      <c r="A1889" s="2">
        <v>1888.0</v>
      </c>
      <c r="B1889" s="2" t="s">
        <v>4090</v>
      </c>
      <c r="C1889" s="2" t="s">
        <v>23</v>
      </c>
      <c r="K1889" s="2">
        <v>20.0</v>
      </c>
      <c r="N1889" s="6">
        <v>45276.0</v>
      </c>
      <c r="Q1889" s="2" t="s">
        <v>4091</v>
      </c>
    </row>
    <row r="1890">
      <c r="A1890" s="2">
        <v>1889.0</v>
      </c>
      <c r="B1890" s="2" t="s">
        <v>4092</v>
      </c>
      <c r="C1890" s="2" t="s">
        <v>23</v>
      </c>
      <c r="K1890" s="2">
        <v>150.0</v>
      </c>
      <c r="N1890" s="6">
        <v>43900.0</v>
      </c>
      <c r="Q1890" s="2" t="s">
        <v>89</v>
      </c>
    </row>
    <row r="1891">
      <c r="A1891" s="2">
        <v>1890.0</v>
      </c>
      <c r="B1891" s="2" t="s">
        <v>4093</v>
      </c>
      <c r="C1891" s="2" t="s">
        <v>23</v>
      </c>
      <c r="K1891" s="2">
        <v>10.0</v>
      </c>
      <c r="N1891" s="6">
        <v>44469.0</v>
      </c>
      <c r="Q1891" s="2" t="s">
        <v>86</v>
      </c>
    </row>
    <row r="1892">
      <c r="A1892" s="2">
        <v>1891.0</v>
      </c>
      <c r="B1892" s="2" t="s">
        <v>4094</v>
      </c>
      <c r="C1892" s="2" t="s">
        <v>23</v>
      </c>
      <c r="N1892" s="6">
        <v>44080.0</v>
      </c>
      <c r="Q1892" s="2" t="s">
        <v>86</v>
      </c>
    </row>
    <row r="1893">
      <c r="A1893" s="2">
        <v>1892.0</v>
      </c>
      <c r="B1893" s="2" t="s">
        <v>4095</v>
      </c>
      <c r="C1893" s="2" t="s">
        <v>23</v>
      </c>
      <c r="K1893" s="2">
        <v>30.0</v>
      </c>
      <c r="N1893" s="6">
        <v>45442.0</v>
      </c>
      <c r="Q1893" s="2" t="s">
        <v>4096</v>
      </c>
    </row>
    <row r="1894">
      <c r="A1894" s="2">
        <v>1893.0</v>
      </c>
      <c r="B1894" s="2" t="s">
        <v>127</v>
      </c>
      <c r="C1894" s="2" t="s">
        <v>23</v>
      </c>
      <c r="K1894" s="2">
        <v>10.0</v>
      </c>
      <c r="N1894" s="6">
        <v>44840.0</v>
      </c>
      <c r="Q1894" s="2" t="s">
        <v>133</v>
      </c>
    </row>
    <row r="1895">
      <c r="A1895" s="2">
        <v>1894.0</v>
      </c>
      <c r="B1895" s="2" t="s">
        <v>4097</v>
      </c>
      <c r="C1895" s="2" t="s">
        <v>23</v>
      </c>
      <c r="K1895" s="2">
        <v>10.0</v>
      </c>
      <c r="N1895" s="6">
        <v>43919.0</v>
      </c>
      <c r="Q1895" s="2" t="s">
        <v>4098</v>
      </c>
    </row>
    <row r="1896">
      <c r="A1896" s="2">
        <v>1895.0</v>
      </c>
      <c r="B1896" s="2" t="s">
        <v>4099</v>
      </c>
      <c r="C1896" s="2" t="s">
        <v>23</v>
      </c>
      <c r="K1896" s="2">
        <v>90.0</v>
      </c>
      <c r="N1896" s="6">
        <v>45438.0</v>
      </c>
      <c r="Q1896" s="2" t="s">
        <v>4100</v>
      </c>
    </row>
    <row r="1897">
      <c r="A1897" s="2">
        <v>1896.0</v>
      </c>
      <c r="B1897" s="2" t="s">
        <v>4101</v>
      </c>
      <c r="C1897" s="2" t="s">
        <v>23</v>
      </c>
      <c r="K1897" s="2">
        <v>20.0</v>
      </c>
      <c r="N1897" s="6">
        <v>44197.0</v>
      </c>
      <c r="Q1897" s="2" t="s">
        <v>1472</v>
      </c>
    </row>
    <row r="1898">
      <c r="A1898" s="2">
        <v>1897.0</v>
      </c>
      <c r="B1898" s="2" t="s">
        <v>4102</v>
      </c>
      <c r="C1898" s="2" t="s">
        <v>23</v>
      </c>
      <c r="K1898" s="2">
        <v>10.0</v>
      </c>
      <c r="N1898" s="6">
        <v>45079.0</v>
      </c>
      <c r="Q1898" s="2" t="s">
        <v>86</v>
      </c>
    </row>
    <row r="1899">
      <c r="A1899" s="2">
        <v>1898.0</v>
      </c>
      <c r="B1899" s="2" t="s">
        <v>4103</v>
      </c>
      <c r="C1899" s="2" t="s">
        <v>23</v>
      </c>
      <c r="K1899" s="2">
        <v>10.0</v>
      </c>
      <c r="N1899" s="6">
        <v>43923.0</v>
      </c>
      <c r="Q1899" s="2" t="s">
        <v>1466</v>
      </c>
    </row>
    <row r="1900">
      <c r="A1900" s="2">
        <v>1899.0</v>
      </c>
      <c r="B1900" s="2" t="s">
        <v>4104</v>
      </c>
      <c r="C1900" s="2" t="s">
        <v>23</v>
      </c>
      <c r="K1900" s="2">
        <v>10.0</v>
      </c>
      <c r="N1900" s="6">
        <v>46032.0</v>
      </c>
      <c r="Q1900" s="2" t="s">
        <v>4105</v>
      </c>
    </row>
    <row r="1901">
      <c r="A1901" s="2">
        <v>1900.0</v>
      </c>
      <c r="B1901" s="2" t="s">
        <v>4106</v>
      </c>
      <c r="C1901" s="2" t="s">
        <v>23</v>
      </c>
      <c r="N1901" s="6">
        <v>42333.0</v>
      </c>
      <c r="Q1901" s="2" t="s">
        <v>4107</v>
      </c>
    </row>
    <row r="1902">
      <c r="A1902" s="2">
        <v>1901.0</v>
      </c>
      <c r="B1902" s="2" t="s">
        <v>136</v>
      </c>
      <c r="C1902" s="2" t="s">
        <v>23</v>
      </c>
      <c r="K1902" s="2">
        <v>100.0</v>
      </c>
      <c r="N1902" s="6">
        <v>44882.0</v>
      </c>
      <c r="Q1902" s="2" t="s">
        <v>139</v>
      </c>
    </row>
    <row r="1903">
      <c r="A1903" s="2">
        <v>1902.0</v>
      </c>
      <c r="B1903" s="2" t="s">
        <v>4108</v>
      </c>
      <c r="C1903" s="2" t="s">
        <v>23</v>
      </c>
      <c r="N1903" s="6">
        <v>44648.0</v>
      </c>
      <c r="Q1903" s="2" t="s">
        <v>86</v>
      </c>
    </row>
    <row r="1904">
      <c r="A1904" s="2">
        <v>1903.0</v>
      </c>
      <c r="B1904" s="2" t="s">
        <v>4109</v>
      </c>
      <c r="C1904" s="2" t="s">
        <v>23</v>
      </c>
      <c r="K1904" s="2">
        <v>60.0</v>
      </c>
      <c r="N1904" s="6">
        <v>45718.0</v>
      </c>
      <c r="Q1904" s="2" t="s">
        <v>4110</v>
      </c>
    </row>
    <row r="1905">
      <c r="A1905" s="2">
        <v>1904.0</v>
      </c>
      <c r="B1905" s="2" t="s">
        <v>4111</v>
      </c>
      <c r="C1905" s="2" t="s">
        <v>23</v>
      </c>
      <c r="K1905" s="2">
        <v>40.0</v>
      </c>
      <c r="N1905" s="6">
        <v>43943.0</v>
      </c>
      <c r="Q1905" s="2" t="s">
        <v>491</v>
      </c>
    </row>
    <row r="1906">
      <c r="A1906" s="2">
        <v>1905.0</v>
      </c>
      <c r="B1906" s="2" t="s">
        <v>4112</v>
      </c>
      <c r="C1906" s="2" t="s">
        <v>23</v>
      </c>
      <c r="K1906" s="2">
        <v>80.0</v>
      </c>
      <c r="N1906" s="6">
        <v>44255.0</v>
      </c>
      <c r="Q1906" s="2" t="s">
        <v>86</v>
      </c>
    </row>
    <row r="1907">
      <c r="A1907" s="2">
        <v>1906.0</v>
      </c>
      <c r="B1907" s="2" t="s">
        <v>4113</v>
      </c>
      <c r="C1907" s="2" t="s">
        <v>23</v>
      </c>
      <c r="N1907" s="6">
        <v>44690.0</v>
      </c>
      <c r="Q1907" s="2" t="s">
        <v>86</v>
      </c>
    </row>
    <row r="1908">
      <c r="A1908" s="2">
        <v>1907.0</v>
      </c>
      <c r="B1908" s="2" t="s">
        <v>4114</v>
      </c>
      <c r="C1908" s="2" t="s">
        <v>23</v>
      </c>
      <c r="N1908" s="6">
        <v>44188.0</v>
      </c>
      <c r="Q1908" s="2" t="s">
        <v>4115</v>
      </c>
    </row>
    <row r="1909">
      <c r="A1909" s="2">
        <v>1908.0</v>
      </c>
      <c r="B1909" s="2" t="s">
        <v>4116</v>
      </c>
      <c r="C1909" s="2" t="s">
        <v>23</v>
      </c>
      <c r="K1909" s="2">
        <v>60.0</v>
      </c>
      <c r="N1909" s="6">
        <v>45411.0</v>
      </c>
      <c r="Q1909" s="2" t="s">
        <v>4117</v>
      </c>
    </row>
    <row r="1910">
      <c r="A1910" s="2">
        <v>1909.0</v>
      </c>
      <c r="B1910" s="2" t="s">
        <v>4118</v>
      </c>
      <c r="C1910" s="2" t="s">
        <v>23</v>
      </c>
      <c r="N1910" s="6">
        <v>43879.0</v>
      </c>
      <c r="Q1910" s="2" t="s">
        <v>86</v>
      </c>
    </row>
    <row r="1911">
      <c r="A1911" s="2">
        <v>1910.0</v>
      </c>
      <c r="B1911" s="2" t="s">
        <v>4119</v>
      </c>
      <c r="C1911" s="2" t="s">
        <v>23</v>
      </c>
      <c r="K1911" s="2">
        <v>200.0</v>
      </c>
      <c r="N1911" s="6">
        <v>45213.0</v>
      </c>
      <c r="Q1911" s="2" t="s">
        <v>4120</v>
      </c>
    </row>
    <row r="1912">
      <c r="A1912" s="2">
        <v>1911.0</v>
      </c>
      <c r="B1912" s="2" t="s">
        <v>4121</v>
      </c>
      <c r="C1912" s="2" t="s">
        <v>23</v>
      </c>
      <c r="N1912" s="6">
        <v>42943.0</v>
      </c>
      <c r="Q1912" s="2" t="s">
        <v>4122</v>
      </c>
    </row>
    <row r="1913">
      <c r="A1913" s="2">
        <v>1912.0</v>
      </c>
      <c r="B1913" s="2" t="s">
        <v>4123</v>
      </c>
      <c r="C1913" s="2" t="s">
        <v>23</v>
      </c>
      <c r="K1913" s="2">
        <v>100.0</v>
      </c>
      <c r="N1913" s="6">
        <v>44027.0</v>
      </c>
      <c r="Q1913" s="2" t="s">
        <v>2994</v>
      </c>
    </row>
    <row r="1914">
      <c r="A1914" s="2">
        <v>1913.0</v>
      </c>
      <c r="B1914" s="2" t="s">
        <v>4124</v>
      </c>
      <c r="C1914" s="2" t="s">
        <v>23</v>
      </c>
      <c r="K1914" s="2">
        <v>40.0</v>
      </c>
      <c r="N1914" s="6">
        <v>44363.0</v>
      </c>
      <c r="Q1914" s="2" t="s">
        <v>86</v>
      </c>
    </row>
    <row r="1915">
      <c r="A1915" s="2">
        <v>1914.0</v>
      </c>
      <c r="B1915" s="2" t="s">
        <v>4125</v>
      </c>
      <c r="C1915" s="2" t="s">
        <v>23</v>
      </c>
      <c r="K1915" s="2">
        <v>30.0</v>
      </c>
      <c r="N1915" s="6">
        <v>44493.0</v>
      </c>
      <c r="Q1915" s="2" t="s">
        <v>4126</v>
      </c>
    </row>
    <row r="1916">
      <c r="A1916" s="2">
        <v>1915.0</v>
      </c>
      <c r="B1916" s="2" t="s">
        <v>4127</v>
      </c>
      <c r="C1916" s="2" t="s">
        <v>23</v>
      </c>
      <c r="N1916" s="6">
        <v>43938.0</v>
      </c>
      <c r="Q1916" s="2" t="s">
        <v>86</v>
      </c>
    </row>
    <row r="1917">
      <c r="A1917" s="2">
        <v>1916.0</v>
      </c>
      <c r="B1917" s="2" t="s">
        <v>4128</v>
      </c>
      <c r="C1917" s="2" t="s">
        <v>23</v>
      </c>
      <c r="K1917" s="2">
        <v>40.0</v>
      </c>
      <c r="N1917" s="6">
        <v>44500.0</v>
      </c>
      <c r="Q1917" s="2" t="s">
        <v>4129</v>
      </c>
    </row>
    <row r="1918">
      <c r="A1918" s="2">
        <v>1917.0</v>
      </c>
      <c r="B1918" s="2" t="s">
        <v>4130</v>
      </c>
      <c r="C1918" s="2" t="s">
        <v>23</v>
      </c>
      <c r="K1918" s="2">
        <v>450.0</v>
      </c>
      <c r="N1918" s="6">
        <v>43938.0</v>
      </c>
      <c r="Q1918" s="2" t="s">
        <v>4131</v>
      </c>
    </row>
    <row r="1919">
      <c r="A1919" s="2">
        <v>1918.0</v>
      </c>
      <c r="B1919" s="2" t="s">
        <v>4132</v>
      </c>
      <c r="C1919" s="2" t="s">
        <v>23</v>
      </c>
      <c r="N1919" s="6">
        <v>44851.0</v>
      </c>
      <c r="Q1919" s="2" t="s">
        <v>86</v>
      </c>
    </row>
    <row r="1920">
      <c r="A1920" s="2">
        <v>1919.0</v>
      </c>
      <c r="B1920" s="2" t="s">
        <v>4133</v>
      </c>
      <c r="C1920" s="2" t="s">
        <v>23</v>
      </c>
      <c r="N1920" s="6">
        <v>44095.0</v>
      </c>
      <c r="Q1920" s="2" t="s">
        <v>86</v>
      </c>
    </row>
    <row r="1921">
      <c r="A1921" s="2">
        <v>1920.0</v>
      </c>
      <c r="B1921" s="2" t="s">
        <v>4134</v>
      </c>
      <c r="C1921" s="2" t="s">
        <v>23</v>
      </c>
      <c r="K1921" s="2">
        <v>100.0</v>
      </c>
      <c r="N1921" s="6">
        <v>44017.0</v>
      </c>
      <c r="Q1921" s="2" t="s">
        <v>4135</v>
      </c>
    </row>
    <row r="1922">
      <c r="A1922" s="2">
        <v>1921.0</v>
      </c>
      <c r="B1922" s="2" t="s">
        <v>4136</v>
      </c>
      <c r="C1922" s="2" t="s">
        <v>23</v>
      </c>
      <c r="N1922" s="6">
        <v>44578.0</v>
      </c>
      <c r="Q1922" s="2" t="s">
        <v>86</v>
      </c>
    </row>
    <row r="1923">
      <c r="A1923" s="2">
        <v>1922.0</v>
      </c>
      <c r="B1923" s="2" t="s">
        <v>4137</v>
      </c>
      <c r="C1923" s="2" t="s">
        <v>23</v>
      </c>
      <c r="N1923" s="6">
        <v>44282.0</v>
      </c>
      <c r="Q1923" s="2" t="s">
        <v>86</v>
      </c>
    </row>
    <row r="1924">
      <c r="A1924" s="2">
        <v>1923.0</v>
      </c>
      <c r="B1924" s="2" t="s">
        <v>4138</v>
      </c>
      <c r="C1924" s="2" t="s">
        <v>23</v>
      </c>
      <c r="N1924" s="6">
        <v>44648.0</v>
      </c>
      <c r="Q1924" s="2" t="s">
        <v>86</v>
      </c>
    </row>
    <row r="1925">
      <c r="A1925" s="2">
        <v>1924.0</v>
      </c>
      <c r="B1925" s="2" t="s">
        <v>4139</v>
      </c>
      <c r="C1925" s="2" t="s">
        <v>23</v>
      </c>
      <c r="K1925" s="2">
        <v>30.0</v>
      </c>
      <c r="N1925" s="6">
        <v>44591.0</v>
      </c>
      <c r="Q1925" s="2" t="s">
        <v>1895</v>
      </c>
    </row>
    <row r="1926">
      <c r="A1926" s="2">
        <v>1925.0</v>
      </c>
      <c r="B1926" s="2" t="s">
        <v>4140</v>
      </c>
      <c r="C1926" s="2" t="s">
        <v>23</v>
      </c>
      <c r="N1926" s="6">
        <v>43879.0</v>
      </c>
      <c r="Q1926" s="2" t="s">
        <v>86</v>
      </c>
    </row>
    <row r="1927">
      <c r="A1927" s="2">
        <v>1926.0</v>
      </c>
      <c r="B1927" s="2" t="s">
        <v>4141</v>
      </c>
      <c r="C1927" s="2" t="s">
        <v>23</v>
      </c>
      <c r="K1927" s="2">
        <v>10.0</v>
      </c>
      <c r="N1927" s="6">
        <v>44515.0</v>
      </c>
      <c r="Q1927" s="2" t="s">
        <v>86</v>
      </c>
    </row>
    <row r="1928">
      <c r="A1928" s="2">
        <v>1927.0</v>
      </c>
      <c r="B1928" s="2" t="s">
        <v>4142</v>
      </c>
      <c r="C1928" s="2" t="s">
        <v>23</v>
      </c>
      <c r="N1928" s="6">
        <v>45674.0</v>
      </c>
      <c r="Q1928" s="2" t="s">
        <v>4143</v>
      </c>
    </row>
    <row r="1929">
      <c r="A1929" s="2">
        <v>1928.0</v>
      </c>
      <c r="B1929" s="2" t="s">
        <v>4144</v>
      </c>
      <c r="C1929" s="2" t="s">
        <v>23</v>
      </c>
      <c r="K1929" s="2">
        <v>50.0</v>
      </c>
      <c r="N1929" s="6">
        <v>45657.0</v>
      </c>
      <c r="Q1929" s="2" t="s">
        <v>4145</v>
      </c>
    </row>
    <row r="1930">
      <c r="A1930" s="2">
        <v>1929.0</v>
      </c>
      <c r="B1930" s="2" t="s">
        <v>4146</v>
      </c>
      <c r="C1930" s="2" t="s">
        <v>23</v>
      </c>
      <c r="N1930" s="6">
        <v>43846.0</v>
      </c>
      <c r="Q1930" s="2" t="s">
        <v>86</v>
      </c>
    </row>
    <row r="1931">
      <c r="A1931" s="2">
        <v>1930.0</v>
      </c>
      <c r="B1931" s="2" t="s">
        <v>4147</v>
      </c>
      <c r="C1931" s="2" t="s">
        <v>23</v>
      </c>
      <c r="K1931" s="2">
        <v>150.0</v>
      </c>
      <c r="N1931" s="6">
        <v>45428.0</v>
      </c>
      <c r="Q1931" s="2" t="s">
        <v>4148</v>
      </c>
    </row>
    <row r="1932">
      <c r="A1932" s="2">
        <v>1931.0</v>
      </c>
      <c r="B1932" s="2" t="s">
        <v>4149</v>
      </c>
      <c r="C1932" s="2" t="s">
        <v>23</v>
      </c>
      <c r="K1932" s="2">
        <v>80.0</v>
      </c>
      <c r="N1932" s="6">
        <v>44411.0</v>
      </c>
      <c r="Q1932" s="2" t="s">
        <v>1437</v>
      </c>
    </row>
    <row r="1933">
      <c r="A1933" s="2">
        <v>1932.0</v>
      </c>
      <c r="B1933" s="2" t="s">
        <v>4150</v>
      </c>
      <c r="C1933" s="2" t="s">
        <v>23</v>
      </c>
      <c r="N1933" s="6">
        <v>43400.0</v>
      </c>
      <c r="Q1933" s="2" t="s">
        <v>4151</v>
      </c>
    </row>
    <row r="1934">
      <c r="A1934" s="2">
        <v>1933.0</v>
      </c>
      <c r="B1934" s="2" t="s">
        <v>4152</v>
      </c>
      <c r="C1934" s="2" t="s">
        <v>23</v>
      </c>
      <c r="K1934" s="2">
        <v>60.0</v>
      </c>
      <c r="N1934" s="6">
        <v>44116.0</v>
      </c>
      <c r="Q1934" s="2" t="s">
        <v>4153</v>
      </c>
    </row>
    <row r="1935">
      <c r="A1935" s="2">
        <v>1934.0</v>
      </c>
      <c r="B1935" s="2" t="s">
        <v>4154</v>
      </c>
      <c r="C1935" s="2" t="s">
        <v>23</v>
      </c>
      <c r="N1935" s="6">
        <v>44955.0</v>
      </c>
      <c r="Q1935" s="2" t="s">
        <v>86</v>
      </c>
    </row>
    <row r="1936">
      <c r="A1936" s="2">
        <v>1935.0</v>
      </c>
      <c r="B1936" s="2" t="s">
        <v>4155</v>
      </c>
      <c r="C1936" s="2" t="s">
        <v>23</v>
      </c>
      <c r="K1936" s="2">
        <v>40.0</v>
      </c>
      <c r="N1936" s="6">
        <v>44822.0</v>
      </c>
      <c r="Q1936" s="2" t="s">
        <v>4156</v>
      </c>
    </row>
    <row r="1937">
      <c r="A1937" s="2">
        <v>1936.0</v>
      </c>
      <c r="B1937" s="2" t="s">
        <v>4157</v>
      </c>
      <c r="C1937" s="2" t="s">
        <v>23</v>
      </c>
      <c r="N1937" s="6">
        <v>45582.0</v>
      </c>
      <c r="Q1937" s="2" t="s">
        <v>4158</v>
      </c>
    </row>
    <row r="1938">
      <c r="A1938" s="2">
        <v>1937.0</v>
      </c>
      <c r="B1938" s="2" t="s">
        <v>4159</v>
      </c>
      <c r="C1938" s="2" t="s">
        <v>23</v>
      </c>
      <c r="K1938" s="2">
        <v>200.0</v>
      </c>
      <c r="N1938" s="6">
        <v>43930.0</v>
      </c>
      <c r="Q1938" s="2" t="s">
        <v>4160</v>
      </c>
    </row>
    <row r="1939">
      <c r="A1939" s="2">
        <v>1938.0</v>
      </c>
      <c r="B1939" s="2" t="s">
        <v>4161</v>
      </c>
      <c r="C1939" s="2" t="s">
        <v>23</v>
      </c>
      <c r="K1939" s="2">
        <v>20.0</v>
      </c>
      <c r="N1939" s="6">
        <v>45548.0</v>
      </c>
      <c r="Q1939" s="2" t="s">
        <v>3225</v>
      </c>
    </row>
    <row r="1940">
      <c r="A1940" s="2">
        <v>1939.0</v>
      </c>
      <c r="B1940" s="2" t="s">
        <v>4162</v>
      </c>
      <c r="C1940" s="2" t="s">
        <v>23</v>
      </c>
      <c r="K1940" s="2">
        <v>50.0</v>
      </c>
      <c r="N1940" s="6">
        <v>44043.0</v>
      </c>
      <c r="Q1940" s="2" t="s">
        <v>4163</v>
      </c>
    </row>
    <row r="1941">
      <c r="A1941" s="2">
        <v>1940.0</v>
      </c>
      <c r="B1941" s="2" t="s">
        <v>4164</v>
      </c>
      <c r="C1941" s="2" t="s">
        <v>23</v>
      </c>
      <c r="K1941" s="2">
        <v>30.0</v>
      </c>
      <c r="N1941" s="6">
        <v>44668.0</v>
      </c>
      <c r="Q1941" s="2" t="s">
        <v>60</v>
      </c>
    </row>
    <row r="1942">
      <c r="A1942" s="2">
        <v>1941.0</v>
      </c>
      <c r="B1942" s="2" t="s">
        <v>4165</v>
      </c>
      <c r="C1942" s="2" t="s">
        <v>23</v>
      </c>
      <c r="N1942" s="6">
        <v>42288.0</v>
      </c>
      <c r="O1942" s="2" t="s">
        <v>49</v>
      </c>
      <c r="P1942" s="2" t="s">
        <v>36</v>
      </c>
      <c r="Q1942" s="2" t="s">
        <v>86</v>
      </c>
      <c r="S1942" s="2" t="s">
        <v>3958</v>
      </c>
    </row>
    <row r="1943">
      <c r="A1943" s="2">
        <v>1942.0</v>
      </c>
      <c r="B1943" s="2" t="s">
        <v>4166</v>
      </c>
      <c r="C1943" s="2" t="s">
        <v>23</v>
      </c>
      <c r="K1943" s="2">
        <v>150.0</v>
      </c>
      <c r="N1943" s="6">
        <v>44265.0</v>
      </c>
      <c r="Q1943" s="2" t="s">
        <v>4167</v>
      </c>
    </row>
    <row r="1944">
      <c r="A1944" s="2">
        <v>1943.0</v>
      </c>
      <c r="B1944" s="2" t="s">
        <v>4168</v>
      </c>
      <c r="C1944" s="2" t="s">
        <v>23</v>
      </c>
      <c r="K1944" s="2">
        <v>20.0</v>
      </c>
      <c r="N1944" s="6">
        <v>45106.0</v>
      </c>
      <c r="Q1944" s="2" t="s">
        <v>4169</v>
      </c>
    </row>
    <row r="1945">
      <c r="A1945" s="2">
        <v>1944.0</v>
      </c>
      <c r="B1945" s="2" t="s">
        <v>4170</v>
      </c>
      <c r="C1945" s="2" t="s">
        <v>23</v>
      </c>
      <c r="K1945" s="2">
        <v>10.0</v>
      </c>
      <c r="N1945" s="6">
        <v>43846.0</v>
      </c>
      <c r="Q1945" s="2" t="s">
        <v>4171</v>
      </c>
    </row>
    <row r="1946">
      <c r="A1946" s="2">
        <v>1945.0</v>
      </c>
      <c r="B1946" s="2" t="s">
        <v>4172</v>
      </c>
      <c r="C1946" s="2" t="s">
        <v>23</v>
      </c>
      <c r="K1946" s="2">
        <v>100.0</v>
      </c>
      <c r="N1946" s="6">
        <v>44327.0</v>
      </c>
      <c r="Q1946" s="2" t="s">
        <v>4173</v>
      </c>
    </row>
    <row r="1947">
      <c r="A1947" s="2">
        <v>1946.0</v>
      </c>
      <c r="B1947" s="2" t="s">
        <v>4174</v>
      </c>
      <c r="C1947" s="2" t="s">
        <v>23</v>
      </c>
      <c r="K1947" s="2">
        <v>50.0</v>
      </c>
      <c r="N1947" s="6">
        <v>44215.0</v>
      </c>
      <c r="Q1947" s="2" t="s">
        <v>4175</v>
      </c>
    </row>
    <row r="1948">
      <c r="A1948" s="2">
        <v>1947.0</v>
      </c>
      <c r="B1948" s="2" t="s">
        <v>4176</v>
      </c>
      <c r="C1948" s="2" t="s">
        <v>23</v>
      </c>
      <c r="K1948" s="2">
        <v>80.0</v>
      </c>
      <c r="N1948" s="6">
        <v>44327.0</v>
      </c>
      <c r="Q1948" s="2" t="s">
        <v>4177</v>
      </c>
    </row>
    <row r="1949">
      <c r="A1949" s="2">
        <v>1948.0</v>
      </c>
      <c r="B1949" s="2" t="s">
        <v>4178</v>
      </c>
      <c r="C1949" s="2" t="s">
        <v>23</v>
      </c>
      <c r="K1949" s="2">
        <v>20.0</v>
      </c>
      <c r="N1949" s="6">
        <v>44843.0</v>
      </c>
      <c r="Q1949" s="2" t="s">
        <v>1466</v>
      </c>
    </row>
    <row r="1950">
      <c r="A1950" s="2">
        <v>1949.0</v>
      </c>
      <c r="B1950" s="2" t="s">
        <v>4179</v>
      </c>
      <c r="C1950" s="2" t="s">
        <v>23</v>
      </c>
      <c r="K1950" s="2">
        <v>20.0</v>
      </c>
      <c r="N1950" s="6">
        <v>45419.0</v>
      </c>
      <c r="Q1950" s="2" t="s">
        <v>4180</v>
      </c>
    </row>
    <row r="1951">
      <c r="A1951" s="2">
        <v>1950.0</v>
      </c>
      <c r="B1951" s="2" t="s">
        <v>4181</v>
      </c>
      <c r="C1951" s="2" t="s">
        <v>23</v>
      </c>
      <c r="N1951" s="6">
        <v>45571.0</v>
      </c>
      <c r="Q1951" s="2" t="s">
        <v>1727</v>
      </c>
    </row>
    <row r="1952">
      <c r="A1952" s="2">
        <v>1951.0</v>
      </c>
      <c r="B1952" s="2" t="s">
        <v>4182</v>
      </c>
      <c r="C1952" s="2" t="s">
        <v>23</v>
      </c>
      <c r="N1952" s="6">
        <v>45239.0</v>
      </c>
      <c r="Q1952" s="2" t="s">
        <v>4183</v>
      </c>
    </row>
    <row r="1953">
      <c r="A1953" s="2">
        <v>1952.0</v>
      </c>
      <c r="B1953" s="2" t="s">
        <v>4184</v>
      </c>
      <c r="C1953" s="2" t="s">
        <v>23</v>
      </c>
      <c r="N1953" s="6">
        <v>45002.0</v>
      </c>
      <c r="Q1953" s="2" t="s">
        <v>86</v>
      </c>
    </row>
    <row r="1954">
      <c r="A1954" s="2">
        <v>1953.0</v>
      </c>
      <c r="B1954" s="2" t="s">
        <v>4185</v>
      </c>
      <c r="C1954" s="2" t="s">
        <v>23</v>
      </c>
      <c r="N1954" s="6">
        <v>44690.0</v>
      </c>
      <c r="Q1954" s="2" t="s">
        <v>86</v>
      </c>
    </row>
    <row r="1955">
      <c r="A1955" s="2">
        <v>1954.0</v>
      </c>
      <c r="B1955" s="2" t="s">
        <v>4186</v>
      </c>
      <c r="C1955" s="2" t="s">
        <v>23</v>
      </c>
      <c r="K1955" s="2">
        <v>10.0</v>
      </c>
      <c r="N1955" s="6">
        <v>43940.0</v>
      </c>
      <c r="Q1955" s="2" t="s">
        <v>4187</v>
      </c>
    </row>
    <row r="1956">
      <c r="A1956" s="2">
        <v>1955.0</v>
      </c>
      <c r="B1956" s="2" t="s">
        <v>4188</v>
      </c>
      <c r="C1956" s="2" t="s">
        <v>23</v>
      </c>
      <c r="N1956" s="6">
        <v>44696.0</v>
      </c>
      <c r="Q1956" s="2" t="s">
        <v>86</v>
      </c>
    </row>
    <row r="1957">
      <c r="A1957" s="2">
        <v>1956.0</v>
      </c>
      <c r="B1957" s="2" t="s">
        <v>4189</v>
      </c>
      <c r="C1957" s="2" t="s">
        <v>23</v>
      </c>
      <c r="K1957" s="2">
        <v>10.0</v>
      </c>
      <c r="N1957" s="6">
        <v>44713.0</v>
      </c>
      <c r="Q1957" s="2" t="s">
        <v>4190</v>
      </c>
    </row>
    <row r="1958">
      <c r="A1958" s="2">
        <v>1957.0</v>
      </c>
      <c r="B1958" s="2" t="s">
        <v>4191</v>
      </c>
      <c r="C1958" s="2" t="s">
        <v>23</v>
      </c>
      <c r="K1958" s="2">
        <v>10.0</v>
      </c>
      <c r="N1958" s="6">
        <v>44179.0</v>
      </c>
      <c r="Q1958" s="2" t="s">
        <v>4192</v>
      </c>
    </row>
    <row r="1959">
      <c r="A1959" s="2">
        <v>1958.0</v>
      </c>
      <c r="B1959" s="2" t="s">
        <v>4193</v>
      </c>
      <c r="C1959" s="2" t="s">
        <v>23</v>
      </c>
      <c r="K1959" s="2">
        <v>10.0</v>
      </c>
      <c r="N1959" s="6">
        <v>45450.0</v>
      </c>
      <c r="Q1959" s="2" t="s">
        <v>4194</v>
      </c>
    </row>
    <row r="1960">
      <c r="A1960" s="2">
        <v>1959.0</v>
      </c>
      <c r="B1960" s="2" t="s">
        <v>4195</v>
      </c>
      <c r="C1960" s="2" t="s">
        <v>23</v>
      </c>
      <c r="N1960" s="6">
        <v>43084.0</v>
      </c>
      <c r="Q1960" s="2" t="s">
        <v>86</v>
      </c>
    </row>
    <row r="1961">
      <c r="A1961" s="2">
        <v>1960.0</v>
      </c>
      <c r="B1961" s="2" t="s">
        <v>4196</v>
      </c>
      <c r="C1961" s="2" t="s">
        <v>23</v>
      </c>
      <c r="K1961" s="2">
        <v>10.0</v>
      </c>
      <c r="N1961" s="6">
        <v>45551.0</v>
      </c>
      <c r="Q1961" s="2" t="s">
        <v>4197</v>
      </c>
    </row>
    <row r="1962">
      <c r="A1962" s="2">
        <v>1961.0</v>
      </c>
      <c r="B1962" s="2" t="s">
        <v>4198</v>
      </c>
      <c r="C1962" s="2" t="s">
        <v>23</v>
      </c>
      <c r="K1962" s="2">
        <v>20.0</v>
      </c>
      <c r="N1962" s="6">
        <v>45262.0</v>
      </c>
      <c r="Q1962" s="2" t="s">
        <v>86</v>
      </c>
    </row>
    <row r="1963">
      <c r="A1963" s="2">
        <v>1962.0</v>
      </c>
      <c r="B1963" s="2" t="s">
        <v>4199</v>
      </c>
      <c r="C1963" s="2" t="s">
        <v>23</v>
      </c>
      <c r="K1963" s="2">
        <v>90.0</v>
      </c>
      <c r="N1963" s="6">
        <v>43916.0</v>
      </c>
      <c r="Q1963" s="2" t="s">
        <v>3232</v>
      </c>
    </row>
    <row r="1964">
      <c r="A1964" s="2">
        <v>1963.0</v>
      </c>
      <c r="B1964" s="2" t="s">
        <v>4200</v>
      </c>
      <c r="C1964" s="2" t="s">
        <v>23</v>
      </c>
      <c r="N1964" s="6">
        <v>44470.0</v>
      </c>
      <c r="Q1964" s="2" t="s">
        <v>86</v>
      </c>
    </row>
    <row r="1965">
      <c r="A1965" s="2">
        <v>1964.0</v>
      </c>
      <c r="B1965" s="2" t="s">
        <v>4201</v>
      </c>
      <c r="C1965" s="2" t="s">
        <v>23</v>
      </c>
      <c r="K1965" s="2">
        <v>10.0</v>
      </c>
      <c r="N1965" s="6">
        <v>44459.0</v>
      </c>
      <c r="Q1965" s="2" t="s">
        <v>4202</v>
      </c>
    </row>
    <row r="1966">
      <c r="A1966" s="2">
        <v>1965.0</v>
      </c>
      <c r="B1966" s="2" t="s">
        <v>4203</v>
      </c>
      <c r="C1966" s="2" t="s">
        <v>23</v>
      </c>
      <c r="K1966" s="2">
        <v>80.0</v>
      </c>
      <c r="N1966" s="6">
        <v>45610.0</v>
      </c>
      <c r="Q1966" s="2" t="s">
        <v>4204</v>
      </c>
    </row>
    <row r="1967">
      <c r="A1967" s="2">
        <v>1966.0</v>
      </c>
      <c r="B1967" s="2" t="s">
        <v>4205</v>
      </c>
      <c r="C1967" s="2" t="s">
        <v>23</v>
      </c>
      <c r="K1967" s="2">
        <v>20.0</v>
      </c>
      <c r="N1967" s="6">
        <v>44231.0</v>
      </c>
      <c r="Q1967" s="2" t="s">
        <v>2435</v>
      </c>
    </row>
    <row r="1968">
      <c r="A1968" s="2">
        <v>1967.0</v>
      </c>
      <c r="B1968" s="2" t="s">
        <v>4206</v>
      </c>
      <c r="C1968" s="2" t="s">
        <v>23</v>
      </c>
      <c r="K1968" s="2">
        <v>10.0</v>
      </c>
      <c r="N1968" s="6">
        <v>44006.0</v>
      </c>
      <c r="Q1968" s="2" t="s">
        <v>4207</v>
      </c>
    </row>
    <row r="1969">
      <c r="A1969" s="2">
        <v>1968.0</v>
      </c>
      <c r="B1969" s="2" t="s">
        <v>4208</v>
      </c>
      <c r="C1969" s="2" t="s">
        <v>23</v>
      </c>
      <c r="K1969" s="2">
        <v>30.0</v>
      </c>
      <c r="N1969" s="6">
        <v>45336.0</v>
      </c>
      <c r="Q1969" s="2" t="s">
        <v>4209</v>
      </c>
    </row>
    <row r="1970">
      <c r="A1970" s="2">
        <v>1969.0</v>
      </c>
      <c r="B1970" s="2" t="s">
        <v>4210</v>
      </c>
      <c r="C1970" s="2" t="s">
        <v>23</v>
      </c>
      <c r="N1970" s="6">
        <v>44749.0</v>
      </c>
      <c r="Q1970" s="2" t="s">
        <v>86</v>
      </c>
    </row>
    <row r="1971">
      <c r="A1971" s="2">
        <v>1970.0</v>
      </c>
      <c r="B1971" s="2" t="s">
        <v>4211</v>
      </c>
      <c r="C1971" s="2" t="s">
        <v>23</v>
      </c>
      <c r="K1971" s="2">
        <v>10.0</v>
      </c>
      <c r="N1971" s="6">
        <v>43950.0</v>
      </c>
      <c r="Q1971" s="2" t="s">
        <v>4212</v>
      </c>
    </row>
    <row r="1972">
      <c r="A1972" s="2">
        <v>1971.0</v>
      </c>
      <c r="B1972" s="2" t="s">
        <v>4213</v>
      </c>
      <c r="C1972" s="2" t="s">
        <v>23</v>
      </c>
      <c r="K1972" s="2">
        <v>80.0</v>
      </c>
      <c r="N1972" s="6">
        <v>44784.0</v>
      </c>
      <c r="Q1972" s="2" t="s">
        <v>86</v>
      </c>
    </row>
    <row r="1973">
      <c r="A1973" s="2">
        <v>1972.0</v>
      </c>
      <c r="B1973" s="2" t="s">
        <v>4214</v>
      </c>
      <c r="C1973" s="2" t="s">
        <v>23</v>
      </c>
      <c r="N1973" s="6">
        <v>44509.0</v>
      </c>
      <c r="Q1973" s="2" t="s">
        <v>86</v>
      </c>
    </row>
    <row r="1974">
      <c r="A1974" s="2">
        <v>1973.0</v>
      </c>
      <c r="B1974" s="2" t="s">
        <v>4215</v>
      </c>
      <c r="C1974" s="2" t="s">
        <v>23</v>
      </c>
      <c r="K1974" s="2">
        <v>10.0</v>
      </c>
      <c r="N1974" s="6">
        <v>43906.0</v>
      </c>
      <c r="Q1974" s="2" t="s">
        <v>4216</v>
      </c>
    </row>
    <row r="1975">
      <c r="A1975" s="2">
        <v>1974.0</v>
      </c>
      <c r="B1975" s="2" t="s">
        <v>4217</v>
      </c>
      <c r="C1975" s="2" t="s">
        <v>23</v>
      </c>
      <c r="K1975" s="2">
        <v>20.0</v>
      </c>
      <c r="N1975" s="6">
        <v>44345.0</v>
      </c>
      <c r="Q1975" s="2" t="s">
        <v>86</v>
      </c>
    </row>
    <row r="1976">
      <c r="A1976" s="2">
        <v>1975.0</v>
      </c>
      <c r="B1976" s="2" t="s">
        <v>4218</v>
      </c>
      <c r="C1976" s="2" t="s">
        <v>23</v>
      </c>
      <c r="K1976" s="2">
        <v>100.0</v>
      </c>
      <c r="N1976" s="6">
        <v>43879.0</v>
      </c>
      <c r="Q1976" s="2" t="s">
        <v>4219</v>
      </c>
    </row>
    <row r="1977">
      <c r="A1977" s="2">
        <v>1976.0</v>
      </c>
      <c r="B1977" s="2" t="s">
        <v>4220</v>
      </c>
      <c r="C1977" s="2" t="s">
        <v>23</v>
      </c>
      <c r="N1977" s="6">
        <v>44317.0</v>
      </c>
      <c r="Q1977" s="2" t="s">
        <v>86</v>
      </c>
    </row>
    <row r="1978">
      <c r="A1978" s="2">
        <v>1977.0</v>
      </c>
      <c r="B1978" s="2" t="s">
        <v>4221</v>
      </c>
      <c r="C1978" s="2" t="s">
        <v>23</v>
      </c>
      <c r="K1978" s="2">
        <v>30.0</v>
      </c>
      <c r="N1978" s="6">
        <v>44087.0</v>
      </c>
      <c r="Q1978" s="2" t="s">
        <v>86</v>
      </c>
    </row>
    <row r="1979">
      <c r="A1979" s="2">
        <v>1978.0</v>
      </c>
      <c r="B1979" s="2" t="s">
        <v>4222</v>
      </c>
      <c r="C1979" s="2" t="s">
        <v>23</v>
      </c>
      <c r="K1979" s="2">
        <v>30.0</v>
      </c>
      <c r="N1979" s="6">
        <v>43853.0</v>
      </c>
      <c r="Q1979" s="2" t="s">
        <v>4223</v>
      </c>
    </row>
    <row r="1980">
      <c r="A1980" s="2">
        <v>1979.0</v>
      </c>
      <c r="B1980" s="2" t="s">
        <v>4224</v>
      </c>
      <c r="C1980" s="2" t="s">
        <v>23</v>
      </c>
      <c r="K1980" s="2">
        <v>900.0</v>
      </c>
      <c r="N1980" s="6">
        <v>43854.0</v>
      </c>
      <c r="Q1980" s="2" t="s">
        <v>4225</v>
      </c>
    </row>
    <row r="1981">
      <c r="A1981" s="2">
        <v>1980.0</v>
      </c>
      <c r="B1981" s="2" t="s">
        <v>4226</v>
      </c>
      <c r="C1981" s="2" t="s">
        <v>23</v>
      </c>
      <c r="K1981" s="2">
        <v>10.0</v>
      </c>
      <c r="N1981" s="6">
        <v>45623.0</v>
      </c>
      <c r="Q1981" s="2" t="s">
        <v>4227</v>
      </c>
    </row>
    <row r="1982">
      <c r="A1982" s="2">
        <v>1981.0</v>
      </c>
      <c r="B1982" s="2" t="s">
        <v>4228</v>
      </c>
      <c r="C1982" s="2" t="s">
        <v>23</v>
      </c>
      <c r="K1982" s="2">
        <v>20.0</v>
      </c>
      <c r="N1982" s="6">
        <v>44187.0</v>
      </c>
      <c r="Q1982" s="2" t="s">
        <v>60</v>
      </c>
    </row>
    <row r="1983">
      <c r="A1983" s="2">
        <v>1982.0</v>
      </c>
      <c r="B1983" s="2" t="s">
        <v>4229</v>
      </c>
      <c r="C1983" s="2" t="s">
        <v>23</v>
      </c>
      <c r="K1983" s="2">
        <v>20.0</v>
      </c>
      <c r="N1983" s="6">
        <v>45439.0</v>
      </c>
      <c r="Q1983" s="2" t="s">
        <v>3849</v>
      </c>
    </row>
    <row r="1984">
      <c r="A1984" s="2">
        <v>1983.0</v>
      </c>
      <c r="B1984" s="2" t="s">
        <v>4230</v>
      </c>
      <c r="C1984" s="2" t="s">
        <v>23</v>
      </c>
      <c r="N1984" s="6">
        <v>44299.0</v>
      </c>
      <c r="Q1984" s="2" t="s">
        <v>4231</v>
      </c>
    </row>
    <row r="1985">
      <c r="A1985" s="2">
        <v>1984.0</v>
      </c>
      <c r="B1985" s="2" t="s">
        <v>4232</v>
      </c>
      <c r="C1985" s="2" t="s">
        <v>23</v>
      </c>
      <c r="K1985" s="2">
        <v>60.0</v>
      </c>
      <c r="N1985" s="6">
        <v>44014.0</v>
      </c>
      <c r="Q1985" s="2" t="s">
        <v>2777</v>
      </c>
    </row>
    <row r="1986">
      <c r="A1986" s="2">
        <v>1985.0</v>
      </c>
      <c r="B1986" s="2" t="s">
        <v>4233</v>
      </c>
      <c r="C1986" s="2" t="s">
        <v>23</v>
      </c>
      <c r="K1986" s="2">
        <v>20.0</v>
      </c>
      <c r="N1986" s="6">
        <v>44923.0</v>
      </c>
      <c r="Q1986" s="2" t="s">
        <v>2701</v>
      </c>
    </row>
    <row r="1987">
      <c r="A1987" s="2">
        <v>1986.0</v>
      </c>
      <c r="B1987" s="2" t="s">
        <v>4234</v>
      </c>
      <c r="C1987" s="2" t="s">
        <v>23</v>
      </c>
      <c r="N1987" s="6">
        <v>44790.0</v>
      </c>
      <c r="Q1987" s="2" t="s">
        <v>86</v>
      </c>
    </row>
    <row r="1988">
      <c r="A1988" s="2">
        <v>1987.0</v>
      </c>
      <c r="B1988" s="2" t="s">
        <v>4235</v>
      </c>
      <c r="C1988" s="2" t="s">
        <v>23</v>
      </c>
      <c r="K1988" s="2">
        <v>30.0</v>
      </c>
      <c r="N1988" s="6">
        <v>44543.0</v>
      </c>
      <c r="Q1988" s="2" t="s">
        <v>86</v>
      </c>
    </row>
    <row r="1989">
      <c r="A1989" s="2">
        <v>1988.0</v>
      </c>
      <c r="B1989" s="2" t="s">
        <v>4236</v>
      </c>
      <c r="C1989" s="2" t="s">
        <v>23</v>
      </c>
      <c r="K1989" s="2">
        <v>300.0</v>
      </c>
      <c r="N1989" s="6">
        <v>43882.0</v>
      </c>
      <c r="Q1989" s="2" t="s">
        <v>4237</v>
      </c>
    </row>
    <row r="1990">
      <c r="A1990" s="2">
        <v>1989.0</v>
      </c>
      <c r="B1990" s="2" t="s">
        <v>4238</v>
      </c>
      <c r="C1990" s="2" t="s">
        <v>23</v>
      </c>
      <c r="K1990" s="2">
        <v>150.0</v>
      </c>
      <c r="N1990" s="6">
        <v>43871.0</v>
      </c>
      <c r="Q1990" s="2" t="s">
        <v>4239</v>
      </c>
    </row>
    <row r="1991">
      <c r="A1991" s="2">
        <v>1990.0</v>
      </c>
      <c r="B1991" s="2" t="s">
        <v>4240</v>
      </c>
      <c r="C1991" s="2" t="s">
        <v>23</v>
      </c>
      <c r="K1991" s="2">
        <v>20.0</v>
      </c>
      <c r="N1991" s="6">
        <v>44316.0</v>
      </c>
      <c r="Q1991" s="2" t="s">
        <v>86</v>
      </c>
    </row>
    <row r="1992">
      <c r="A1992" s="2">
        <v>1991.0</v>
      </c>
      <c r="B1992" s="2" t="s">
        <v>4241</v>
      </c>
      <c r="C1992" s="2" t="s">
        <v>23</v>
      </c>
      <c r="K1992" s="2">
        <v>30.0</v>
      </c>
      <c r="N1992" s="6">
        <v>43931.0</v>
      </c>
      <c r="Q1992" s="2" t="s">
        <v>60</v>
      </c>
    </row>
    <row r="1993">
      <c r="A1993" s="2">
        <v>1992.0</v>
      </c>
      <c r="B1993" s="2" t="s">
        <v>4242</v>
      </c>
      <c r="C1993" s="2" t="s">
        <v>23</v>
      </c>
      <c r="K1993" s="2">
        <v>150.0</v>
      </c>
      <c r="N1993" s="6">
        <v>43896.0</v>
      </c>
      <c r="Q1993" s="2" t="s">
        <v>4243</v>
      </c>
    </row>
    <row r="1994">
      <c r="A1994" s="2">
        <v>1993.0</v>
      </c>
      <c r="B1994" s="2" t="s">
        <v>4244</v>
      </c>
      <c r="C1994" s="2" t="s">
        <v>23</v>
      </c>
      <c r="K1994" s="2">
        <v>100.0</v>
      </c>
      <c r="N1994" s="6">
        <v>45064.0</v>
      </c>
      <c r="Q1994" s="2" t="s">
        <v>4245</v>
      </c>
    </row>
    <row r="1995">
      <c r="A1995" s="2">
        <v>1994.0</v>
      </c>
      <c r="B1995" s="2" t="s">
        <v>4246</v>
      </c>
      <c r="C1995" s="2" t="s">
        <v>23</v>
      </c>
      <c r="K1995" s="2">
        <v>40.0</v>
      </c>
      <c r="N1995" s="6">
        <v>44162.0</v>
      </c>
      <c r="Q1995" s="2" t="s">
        <v>1116</v>
      </c>
    </row>
    <row r="1996">
      <c r="A1996" s="2">
        <v>1995.0</v>
      </c>
      <c r="B1996" s="2" t="s">
        <v>4247</v>
      </c>
      <c r="C1996" s="2" t="s">
        <v>23</v>
      </c>
      <c r="N1996" s="6">
        <v>43671.0</v>
      </c>
      <c r="Q1996" s="2" t="s">
        <v>86</v>
      </c>
    </row>
    <row r="1997">
      <c r="A1997" s="2">
        <v>1996.0</v>
      </c>
      <c r="B1997" s="2" t="s">
        <v>4248</v>
      </c>
      <c r="C1997" s="2" t="s">
        <v>23</v>
      </c>
      <c r="K1997" s="2">
        <v>10.0</v>
      </c>
      <c r="N1997" s="6">
        <v>43857.0</v>
      </c>
      <c r="Q1997" s="2" t="s">
        <v>4212</v>
      </c>
    </row>
    <row r="1998">
      <c r="A1998" s="2">
        <v>1997.0</v>
      </c>
      <c r="B1998" s="2" t="s">
        <v>4249</v>
      </c>
      <c r="C1998" s="2" t="s">
        <v>23</v>
      </c>
      <c r="K1998" s="2">
        <v>40.0</v>
      </c>
      <c r="N1998" s="6">
        <v>45338.0</v>
      </c>
      <c r="Q1998" s="2" t="s">
        <v>4250</v>
      </c>
    </row>
    <row r="1999">
      <c r="A1999" s="2">
        <v>1998.0</v>
      </c>
      <c r="B1999" s="2" t="s">
        <v>4251</v>
      </c>
      <c r="C1999" s="2" t="s">
        <v>23</v>
      </c>
      <c r="N1999" s="6">
        <v>45622.0</v>
      </c>
      <c r="Q1999" s="2" t="s">
        <v>2672</v>
      </c>
    </row>
    <row r="2000">
      <c r="A2000" s="2">
        <v>1999.0</v>
      </c>
      <c r="B2000" s="2" t="s">
        <v>4252</v>
      </c>
      <c r="C2000" s="2" t="s">
        <v>23</v>
      </c>
      <c r="N2000" s="6">
        <v>44768.0</v>
      </c>
      <c r="Q2000" s="2" t="s">
        <v>86</v>
      </c>
    </row>
    <row r="2001">
      <c r="A2001" s="2">
        <v>2000.0</v>
      </c>
      <c r="B2001" s="2" t="s">
        <v>4253</v>
      </c>
      <c r="C2001" s="2" t="s">
        <v>23</v>
      </c>
      <c r="K2001" s="2">
        <v>10.0</v>
      </c>
      <c r="N2001" s="6">
        <v>43352.0</v>
      </c>
      <c r="Q2001" s="2" t="s">
        <v>4254</v>
      </c>
    </row>
    <row r="2002">
      <c r="A2002" s="2">
        <v>2001.0</v>
      </c>
      <c r="B2002" s="2" t="s">
        <v>4255</v>
      </c>
      <c r="C2002" s="2" t="s">
        <v>23</v>
      </c>
      <c r="N2002" s="6">
        <v>43889.0</v>
      </c>
      <c r="Q2002" s="2" t="s">
        <v>86</v>
      </c>
    </row>
    <row r="2003">
      <c r="A2003" s="2">
        <v>2002.0</v>
      </c>
      <c r="B2003" s="2" t="s">
        <v>4256</v>
      </c>
      <c r="C2003" s="2" t="s">
        <v>23</v>
      </c>
      <c r="N2003" s="6">
        <v>42579.0</v>
      </c>
      <c r="Q2003" s="2" t="s">
        <v>86</v>
      </c>
    </row>
    <row r="2004">
      <c r="A2004" s="2">
        <v>2003.0</v>
      </c>
      <c r="B2004" s="2" t="s">
        <v>4257</v>
      </c>
      <c r="C2004" s="2" t="s">
        <v>23</v>
      </c>
      <c r="K2004" s="2">
        <v>30.0</v>
      </c>
      <c r="N2004" s="6">
        <v>45376.0</v>
      </c>
      <c r="Q2004" s="2" t="s">
        <v>426</v>
      </c>
    </row>
    <row r="2005">
      <c r="A2005" s="2">
        <v>2004.0</v>
      </c>
      <c r="B2005" s="2" t="s">
        <v>4258</v>
      </c>
      <c r="C2005" s="2" t="s">
        <v>23</v>
      </c>
      <c r="N2005" s="6">
        <v>45060.0</v>
      </c>
      <c r="Q2005" s="2" t="s">
        <v>86</v>
      </c>
    </row>
    <row r="2006">
      <c r="A2006" s="2">
        <v>2005.0</v>
      </c>
      <c r="B2006" s="2" t="s">
        <v>4259</v>
      </c>
      <c r="C2006" s="2" t="s">
        <v>23</v>
      </c>
      <c r="N2006" s="6">
        <v>43882.0</v>
      </c>
      <c r="Q2006" s="2" t="s">
        <v>86</v>
      </c>
    </row>
    <row r="2007">
      <c r="A2007" s="2">
        <v>2006.0</v>
      </c>
      <c r="B2007" s="2" t="s">
        <v>4260</v>
      </c>
      <c r="C2007" s="2" t="s">
        <v>23</v>
      </c>
      <c r="K2007" s="2">
        <v>90.0</v>
      </c>
      <c r="N2007" s="6">
        <v>45178.0</v>
      </c>
      <c r="Q2007" s="2" t="s">
        <v>2977</v>
      </c>
    </row>
    <row r="2008">
      <c r="A2008" s="2">
        <v>2007.0</v>
      </c>
      <c r="B2008" s="2" t="s">
        <v>4261</v>
      </c>
      <c r="C2008" s="2" t="s">
        <v>23</v>
      </c>
      <c r="N2008" s="6">
        <v>45347.0</v>
      </c>
      <c r="Q2008" s="2" t="s">
        <v>86</v>
      </c>
    </row>
    <row r="2009">
      <c r="A2009" s="2">
        <v>2008.0</v>
      </c>
      <c r="B2009" s="2" t="s">
        <v>4262</v>
      </c>
      <c r="C2009" s="2" t="s">
        <v>23</v>
      </c>
      <c r="N2009" s="6">
        <v>44976.0</v>
      </c>
      <c r="Q2009" s="2" t="s">
        <v>86</v>
      </c>
    </row>
    <row r="2010">
      <c r="A2010" s="2">
        <v>2009.0</v>
      </c>
      <c r="B2010" s="2" t="s">
        <v>4263</v>
      </c>
      <c r="C2010" s="2" t="s">
        <v>23</v>
      </c>
      <c r="K2010" s="2">
        <v>70.0</v>
      </c>
      <c r="N2010" s="6">
        <v>44308.0</v>
      </c>
      <c r="Q2010" s="2" t="s">
        <v>4264</v>
      </c>
    </row>
    <row r="2011">
      <c r="A2011" s="2">
        <v>2010.0</v>
      </c>
      <c r="B2011" s="2" t="s">
        <v>4265</v>
      </c>
      <c r="C2011" s="2" t="s">
        <v>23</v>
      </c>
      <c r="K2011" s="2">
        <v>70.0</v>
      </c>
      <c r="N2011" s="6">
        <v>44338.0</v>
      </c>
      <c r="Q2011" s="2" t="s">
        <v>3075</v>
      </c>
    </row>
    <row r="2012">
      <c r="A2012" s="2">
        <v>2011.0</v>
      </c>
      <c r="B2012" s="2" t="s">
        <v>4266</v>
      </c>
      <c r="C2012" s="2" t="s">
        <v>23</v>
      </c>
      <c r="K2012" s="2">
        <v>150.0</v>
      </c>
      <c r="N2012" s="6">
        <v>44981.0</v>
      </c>
      <c r="Q2012" s="2" t="s">
        <v>401</v>
      </c>
    </row>
    <row r="2013">
      <c r="A2013" s="2">
        <v>2012.0</v>
      </c>
      <c r="B2013" s="2" t="s">
        <v>4267</v>
      </c>
      <c r="C2013" s="2" t="s">
        <v>23</v>
      </c>
      <c r="K2013" s="2">
        <v>50.0</v>
      </c>
      <c r="N2013" s="6">
        <v>44565.0</v>
      </c>
      <c r="Q2013" s="2" t="s">
        <v>89</v>
      </c>
    </row>
    <row r="2014">
      <c r="A2014" s="2">
        <v>2013.0</v>
      </c>
      <c r="B2014" s="2" t="s">
        <v>4268</v>
      </c>
      <c r="C2014" s="2" t="s">
        <v>23</v>
      </c>
      <c r="K2014" s="2">
        <v>10.0</v>
      </c>
      <c r="N2014" s="6">
        <v>42281.0</v>
      </c>
      <c r="Q2014" s="2" t="s">
        <v>4269</v>
      </c>
    </row>
    <row r="2015">
      <c r="A2015" s="2">
        <v>2014.0</v>
      </c>
      <c r="B2015" s="2" t="s">
        <v>4270</v>
      </c>
      <c r="C2015" s="2" t="s">
        <v>23</v>
      </c>
      <c r="N2015" s="6">
        <v>44167.0</v>
      </c>
      <c r="Q2015" s="2" t="s">
        <v>86</v>
      </c>
    </row>
    <row r="2016">
      <c r="A2016" s="2">
        <v>2015.0</v>
      </c>
      <c r="B2016" s="2" t="s">
        <v>4271</v>
      </c>
      <c r="C2016" s="2" t="s">
        <v>23</v>
      </c>
      <c r="N2016" s="6">
        <v>44971.0</v>
      </c>
      <c r="Q2016" s="2" t="s">
        <v>86</v>
      </c>
    </row>
    <row r="2017">
      <c r="A2017" s="2">
        <v>2016.0</v>
      </c>
      <c r="B2017" s="2" t="s">
        <v>4272</v>
      </c>
      <c r="C2017" s="2" t="s">
        <v>23</v>
      </c>
      <c r="K2017" s="2">
        <v>40.0</v>
      </c>
      <c r="N2017" s="6">
        <v>44569.0</v>
      </c>
      <c r="Q2017" s="2" t="s">
        <v>4273</v>
      </c>
    </row>
    <row r="2018">
      <c r="A2018" s="2">
        <v>2017.0</v>
      </c>
      <c r="B2018" s="2" t="s">
        <v>4274</v>
      </c>
      <c r="C2018" s="2" t="s">
        <v>23</v>
      </c>
      <c r="K2018" s="2">
        <v>200.0</v>
      </c>
      <c r="N2018" s="6">
        <v>42783.0</v>
      </c>
      <c r="Q2018" s="2" t="s">
        <v>4275</v>
      </c>
    </row>
    <row r="2019">
      <c r="A2019" s="2">
        <v>2018.0</v>
      </c>
      <c r="B2019" s="2" t="s">
        <v>141</v>
      </c>
      <c r="C2019" s="2" t="s">
        <v>23</v>
      </c>
      <c r="K2019" s="2">
        <v>70.0</v>
      </c>
      <c r="N2019" s="6">
        <v>44365.0</v>
      </c>
      <c r="Q2019" s="2" t="s">
        <v>143</v>
      </c>
    </row>
    <row r="2020">
      <c r="A2020" s="2">
        <v>2019.0</v>
      </c>
      <c r="B2020" s="2" t="s">
        <v>4276</v>
      </c>
      <c r="C2020" s="2" t="s">
        <v>23</v>
      </c>
      <c r="K2020" s="2">
        <v>90.0</v>
      </c>
      <c r="N2020" s="6">
        <v>44275.0</v>
      </c>
      <c r="Q2020" s="2" t="s">
        <v>86</v>
      </c>
    </row>
    <row r="2021">
      <c r="A2021" s="2">
        <v>2020.0</v>
      </c>
      <c r="B2021" s="2" t="s">
        <v>4277</v>
      </c>
      <c r="C2021" s="2" t="s">
        <v>23</v>
      </c>
      <c r="K2021" s="2">
        <v>10.0</v>
      </c>
      <c r="N2021" s="6">
        <v>42914.0</v>
      </c>
      <c r="Q2021" s="2" t="s">
        <v>3316</v>
      </c>
    </row>
    <row r="2022">
      <c r="A2022" s="2">
        <v>2021.0</v>
      </c>
      <c r="B2022" s="2" t="s">
        <v>4278</v>
      </c>
      <c r="C2022" s="2" t="s">
        <v>23</v>
      </c>
      <c r="K2022" s="2">
        <v>10.0</v>
      </c>
      <c r="N2022" s="6">
        <v>45287.0</v>
      </c>
      <c r="Q2022" s="2" t="s">
        <v>86</v>
      </c>
    </row>
    <row r="2023">
      <c r="A2023" s="2">
        <v>2022.0</v>
      </c>
      <c r="B2023" s="2" t="s">
        <v>4279</v>
      </c>
      <c r="C2023" s="2" t="s">
        <v>23</v>
      </c>
      <c r="K2023" s="2">
        <v>10.0</v>
      </c>
      <c r="N2023" s="6">
        <v>45397.0</v>
      </c>
      <c r="Q2023" s="2" t="s">
        <v>4280</v>
      </c>
    </row>
    <row r="2024">
      <c r="A2024" s="2">
        <v>2023.0</v>
      </c>
      <c r="B2024" s="2" t="s">
        <v>4281</v>
      </c>
      <c r="C2024" s="2" t="s">
        <v>23</v>
      </c>
      <c r="K2024" s="2">
        <v>80.0</v>
      </c>
      <c r="N2024" s="6">
        <v>43936.0</v>
      </c>
      <c r="Q2024" s="2" t="s">
        <v>86</v>
      </c>
    </row>
    <row r="2025">
      <c r="A2025" s="2">
        <v>2024.0</v>
      </c>
      <c r="B2025" s="2" t="s">
        <v>4282</v>
      </c>
      <c r="C2025" s="2" t="s">
        <v>23</v>
      </c>
      <c r="K2025" s="2">
        <v>450.0</v>
      </c>
      <c r="N2025" s="6">
        <v>45628.0</v>
      </c>
      <c r="Q2025" s="2" t="s">
        <v>4283</v>
      </c>
    </row>
    <row r="2026">
      <c r="A2026" s="2">
        <v>2025.0</v>
      </c>
      <c r="B2026" s="2" t="s">
        <v>4284</v>
      </c>
      <c r="C2026" s="2" t="s">
        <v>23</v>
      </c>
      <c r="K2026" s="2">
        <v>10.0</v>
      </c>
      <c r="N2026" s="6">
        <v>44876.0</v>
      </c>
      <c r="Q2026" s="2" t="s">
        <v>86</v>
      </c>
    </row>
    <row r="2027">
      <c r="A2027" s="2">
        <v>2026.0</v>
      </c>
      <c r="B2027" s="2" t="s">
        <v>4285</v>
      </c>
      <c r="C2027" s="2" t="s">
        <v>23</v>
      </c>
      <c r="N2027" s="6">
        <v>45421.0</v>
      </c>
      <c r="Q2027" s="2" t="s">
        <v>4286</v>
      </c>
    </row>
    <row r="2028">
      <c r="A2028" s="2">
        <v>2027.0</v>
      </c>
      <c r="B2028" s="2" t="s">
        <v>4287</v>
      </c>
      <c r="C2028" s="2" t="s">
        <v>23</v>
      </c>
      <c r="K2028" s="2">
        <v>40.0</v>
      </c>
      <c r="N2028" s="6">
        <v>44203.0</v>
      </c>
      <c r="Q2028" s="2" t="s">
        <v>2794</v>
      </c>
    </row>
    <row r="2029">
      <c r="A2029" s="2">
        <v>2028.0</v>
      </c>
      <c r="B2029" s="2" t="s">
        <v>4288</v>
      </c>
      <c r="C2029" s="2" t="s">
        <v>23</v>
      </c>
      <c r="K2029" s="2">
        <v>20.0</v>
      </c>
      <c r="N2029" s="6">
        <v>42528.0</v>
      </c>
      <c r="Q2029" s="2" t="s">
        <v>4289</v>
      </c>
    </row>
    <row r="2030">
      <c r="A2030" s="2">
        <v>2029.0</v>
      </c>
      <c r="B2030" s="2" t="s">
        <v>4290</v>
      </c>
      <c r="C2030" s="2" t="s">
        <v>23</v>
      </c>
      <c r="K2030" s="2">
        <v>80.0</v>
      </c>
      <c r="N2030" s="6">
        <v>44303.0</v>
      </c>
      <c r="Q2030" s="2" t="s">
        <v>4291</v>
      </c>
    </row>
    <row r="2031">
      <c r="A2031" s="2">
        <v>2030.0</v>
      </c>
      <c r="B2031" s="2" t="s">
        <v>4292</v>
      </c>
      <c r="C2031" s="2" t="s">
        <v>23</v>
      </c>
      <c r="N2031" s="6">
        <v>44976.0</v>
      </c>
      <c r="Q2031" s="2" t="s">
        <v>86</v>
      </c>
    </row>
    <row r="2032">
      <c r="A2032" s="2">
        <v>2031.0</v>
      </c>
      <c r="B2032" s="2" t="s">
        <v>4293</v>
      </c>
      <c r="C2032" s="2" t="s">
        <v>23</v>
      </c>
      <c r="K2032" s="2">
        <v>30.0</v>
      </c>
      <c r="N2032" s="6">
        <v>44121.0</v>
      </c>
      <c r="Q2032" s="2" t="s">
        <v>546</v>
      </c>
    </row>
    <row r="2033">
      <c r="A2033" s="2">
        <v>2032.0</v>
      </c>
      <c r="B2033" s="2" t="s">
        <v>4294</v>
      </c>
      <c r="C2033" s="2" t="s">
        <v>23</v>
      </c>
      <c r="K2033" s="2">
        <v>10.0</v>
      </c>
      <c r="N2033" s="6">
        <v>43920.0</v>
      </c>
      <c r="Q2033" s="2" t="s">
        <v>4295</v>
      </c>
    </row>
    <row r="2034">
      <c r="A2034" s="2">
        <v>2033.0</v>
      </c>
      <c r="B2034" s="2" t="s">
        <v>4296</v>
      </c>
      <c r="C2034" s="2" t="s">
        <v>23</v>
      </c>
      <c r="K2034" s="2">
        <v>20.0</v>
      </c>
      <c r="N2034" s="6">
        <v>44196.0</v>
      </c>
      <c r="Q2034" s="2" t="s">
        <v>3548</v>
      </c>
    </row>
    <row r="2035">
      <c r="A2035" s="2">
        <v>2034.0</v>
      </c>
      <c r="B2035" s="2" t="s">
        <v>4297</v>
      </c>
      <c r="C2035" s="2" t="s">
        <v>23</v>
      </c>
      <c r="N2035" s="6">
        <v>45274.0</v>
      </c>
      <c r="Q2035" s="2" t="s">
        <v>86</v>
      </c>
    </row>
    <row r="2036">
      <c r="A2036" s="2">
        <v>2035.0</v>
      </c>
      <c r="B2036" s="2" t="s">
        <v>4298</v>
      </c>
      <c r="C2036" s="2" t="s">
        <v>23</v>
      </c>
      <c r="N2036" s="6">
        <v>44793.0</v>
      </c>
      <c r="Q2036" s="2" t="s">
        <v>4299</v>
      </c>
    </row>
    <row r="2037">
      <c r="A2037" s="2">
        <v>2036.0</v>
      </c>
      <c r="B2037" s="2" t="s">
        <v>4300</v>
      </c>
      <c r="C2037" s="2" t="s">
        <v>23</v>
      </c>
      <c r="K2037" s="2">
        <v>40.0</v>
      </c>
      <c r="N2037" s="6">
        <v>44513.0</v>
      </c>
      <c r="Q2037" s="2" t="s">
        <v>86</v>
      </c>
    </row>
    <row r="2038">
      <c r="A2038" s="2">
        <v>2037.0</v>
      </c>
      <c r="B2038" s="2" t="s">
        <v>4301</v>
      </c>
      <c r="C2038" s="2" t="s">
        <v>23</v>
      </c>
      <c r="K2038" s="2">
        <v>50.0</v>
      </c>
      <c r="N2038" s="6">
        <v>44887.0</v>
      </c>
      <c r="Q2038" s="2" t="s">
        <v>4302</v>
      </c>
    </row>
    <row r="2039">
      <c r="A2039" s="2">
        <v>2038.0</v>
      </c>
      <c r="B2039" s="2" t="s">
        <v>4303</v>
      </c>
      <c r="C2039" s="2" t="s">
        <v>23</v>
      </c>
      <c r="K2039" s="2">
        <v>50.0</v>
      </c>
      <c r="N2039" s="6">
        <v>45869.0</v>
      </c>
      <c r="Q2039" s="2" t="s">
        <v>4304</v>
      </c>
    </row>
    <row r="2040">
      <c r="A2040" s="2">
        <v>2039.0</v>
      </c>
      <c r="B2040" s="2" t="s">
        <v>4305</v>
      </c>
      <c r="C2040" s="2" t="s">
        <v>23</v>
      </c>
      <c r="K2040" s="2">
        <v>20.0</v>
      </c>
      <c r="N2040" s="6">
        <v>44549.0</v>
      </c>
      <c r="Q2040" s="2" t="s">
        <v>86</v>
      </c>
    </row>
    <row r="2041">
      <c r="A2041" s="2">
        <v>2040.0</v>
      </c>
      <c r="B2041" s="2" t="s">
        <v>4306</v>
      </c>
      <c r="C2041" s="2" t="s">
        <v>23</v>
      </c>
      <c r="K2041" s="2">
        <v>150.0</v>
      </c>
      <c r="N2041" s="6">
        <v>43871.0</v>
      </c>
      <c r="Q2041" s="2" t="s">
        <v>4307</v>
      </c>
    </row>
    <row r="2042">
      <c r="A2042" s="2">
        <v>2041.0</v>
      </c>
      <c r="B2042" s="2" t="s">
        <v>4308</v>
      </c>
      <c r="C2042" s="2" t="s">
        <v>23</v>
      </c>
      <c r="N2042" s="6">
        <v>44165.0</v>
      </c>
      <c r="Q2042" s="2" t="s">
        <v>86</v>
      </c>
    </row>
    <row r="2043">
      <c r="A2043" s="2">
        <v>2042.0</v>
      </c>
      <c r="B2043" s="2" t="s">
        <v>4309</v>
      </c>
      <c r="C2043" s="2" t="s">
        <v>23</v>
      </c>
      <c r="K2043" s="2">
        <v>40.0</v>
      </c>
      <c r="N2043" s="6">
        <v>44568.0</v>
      </c>
      <c r="Q2043" s="2" t="s">
        <v>86</v>
      </c>
    </row>
    <row r="2044">
      <c r="A2044" s="2">
        <v>2043.0</v>
      </c>
      <c r="B2044" s="2" t="s">
        <v>4310</v>
      </c>
      <c r="C2044" s="2" t="s">
        <v>23</v>
      </c>
      <c r="K2044" s="2">
        <v>20.0</v>
      </c>
      <c r="N2044" s="6">
        <v>45296.0</v>
      </c>
      <c r="Q2044" s="2" t="s">
        <v>3873</v>
      </c>
    </row>
    <row r="2045">
      <c r="A2045" s="2">
        <v>2044.0</v>
      </c>
      <c r="B2045" s="2" t="s">
        <v>4311</v>
      </c>
      <c r="C2045" s="2" t="s">
        <v>23</v>
      </c>
      <c r="K2045" s="2">
        <v>350.0</v>
      </c>
      <c r="N2045" s="6">
        <v>44117.0</v>
      </c>
      <c r="Q2045" s="2" t="s">
        <v>4312</v>
      </c>
    </row>
    <row r="2046">
      <c r="A2046" s="2">
        <v>2045.0</v>
      </c>
      <c r="B2046" s="2" t="s">
        <v>4313</v>
      </c>
      <c r="C2046" s="2" t="s">
        <v>23</v>
      </c>
      <c r="K2046" s="2">
        <v>20.0</v>
      </c>
      <c r="N2046" s="6">
        <v>43948.0</v>
      </c>
      <c r="Q2046" s="2" t="s">
        <v>4314</v>
      </c>
    </row>
    <row r="2047">
      <c r="A2047" s="2">
        <v>2046.0</v>
      </c>
      <c r="B2047" s="2" t="s">
        <v>4315</v>
      </c>
      <c r="C2047" s="2" t="s">
        <v>23</v>
      </c>
      <c r="K2047" s="2">
        <v>30.0</v>
      </c>
      <c r="N2047" s="6">
        <v>43880.0</v>
      </c>
      <c r="Q2047" s="2" t="s">
        <v>1249</v>
      </c>
    </row>
    <row r="2048">
      <c r="A2048" s="2">
        <v>2047.0</v>
      </c>
      <c r="B2048" s="2" t="s">
        <v>4316</v>
      </c>
      <c r="C2048" s="2" t="s">
        <v>23</v>
      </c>
      <c r="K2048" s="2">
        <v>200.0</v>
      </c>
      <c r="N2048" s="6">
        <v>44524.0</v>
      </c>
      <c r="Q2048" s="2" t="s">
        <v>4317</v>
      </c>
    </row>
    <row r="2049">
      <c r="A2049" s="2">
        <v>2048.0</v>
      </c>
      <c r="B2049" s="2" t="s">
        <v>4318</v>
      </c>
      <c r="C2049" s="2" t="s">
        <v>23</v>
      </c>
      <c r="K2049" s="2">
        <v>50.0</v>
      </c>
      <c r="N2049" s="6">
        <v>44479.0</v>
      </c>
      <c r="Q2049" s="2" t="s">
        <v>86</v>
      </c>
    </row>
    <row r="2050">
      <c r="A2050" s="2">
        <v>2049.0</v>
      </c>
      <c r="B2050" s="2" t="s">
        <v>4319</v>
      </c>
      <c r="C2050" s="2" t="s">
        <v>23</v>
      </c>
      <c r="N2050" s="6">
        <v>44388.0</v>
      </c>
      <c r="Q2050" s="2" t="s">
        <v>4320</v>
      </c>
    </row>
    <row r="2051">
      <c r="A2051" s="2">
        <v>2050.0</v>
      </c>
      <c r="B2051" s="2" t="s">
        <v>4321</v>
      </c>
      <c r="C2051" s="2" t="s">
        <v>23</v>
      </c>
      <c r="N2051" s="6">
        <v>44746.0</v>
      </c>
      <c r="Q2051" s="2" t="s">
        <v>86</v>
      </c>
    </row>
    <row r="2052">
      <c r="A2052" s="2">
        <v>2051.0</v>
      </c>
      <c r="B2052" s="2" t="s">
        <v>4322</v>
      </c>
      <c r="C2052" s="2" t="s">
        <v>23</v>
      </c>
      <c r="K2052" s="2">
        <v>30.0</v>
      </c>
      <c r="N2052" s="6">
        <v>44879.0</v>
      </c>
      <c r="Q2052" s="2" t="s">
        <v>4323</v>
      </c>
    </row>
    <row r="2053">
      <c r="A2053" s="2">
        <v>2052.0</v>
      </c>
      <c r="B2053" s="2" t="s">
        <v>4324</v>
      </c>
      <c r="C2053" s="2" t="s">
        <v>23</v>
      </c>
      <c r="N2053" s="6">
        <v>44266.0</v>
      </c>
      <c r="Q2053" s="2" t="s">
        <v>86</v>
      </c>
    </row>
    <row r="2054">
      <c r="A2054" s="2">
        <v>2053.0</v>
      </c>
      <c r="B2054" s="2" t="s">
        <v>4325</v>
      </c>
      <c r="C2054" s="2" t="s">
        <v>23</v>
      </c>
      <c r="K2054" s="2">
        <v>50.0</v>
      </c>
      <c r="N2054" s="6">
        <v>45428.0</v>
      </c>
      <c r="Q2054" s="2" t="s">
        <v>4326</v>
      </c>
    </row>
    <row r="2055">
      <c r="A2055" s="2">
        <v>2054.0</v>
      </c>
      <c r="B2055" s="2" t="s">
        <v>4327</v>
      </c>
      <c r="C2055" s="2" t="s">
        <v>23</v>
      </c>
      <c r="N2055" s="6">
        <v>42534.0</v>
      </c>
      <c r="Q2055" s="2" t="s">
        <v>86</v>
      </c>
    </row>
    <row r="2056">
      <c r="A2056" s="2">
        <v>2055.0</v>
      </c>
      <c r="B2056" s="2" t="s">
        <v>4328</v>
      </c>
      <c r="C2056" s="2" t="s">
        <v>23</v>
      </c>
      <c r="N2056" s="6">
        <v>44478.0</v>
      </c>
      <c r="Q2056" s="2" t="s">
        <v>86</v>
      </c>
    </row>
    <row r="2057">
      <c r="A2057" s="2">
        <v>2056.0</v>
      </c>
      <c r="B2057" s="2" t="s">
        <v>4329</v>
      </c>
      <c r="C2057" s="2" t="s">
        <v>23</v>
      </c>
      <c r="K2057" s="2">
        <v>20.0</v>
      </c>
      <c r="N2057" s="6">
        <v>45589.0</v>
      </c>
      <c r="Q2057" s="2" t="s">
        <v>4330</v>
      </c>
    </row>
    <row r="2058">
      <c r="A2058" s="2">
        <v>2057.0</v>
      </c>
      <c r="B2058" s="2" t="s">
        <v>4331</v>
      </c>
      <c r="C2058" s="2" t="s">
        <v>23</v>
      </c>
      <c r="K2058" s="2">
        <v>150.0</v>
      </c>
      <c r="N2058" s="6">
        <v>43840.0</v>
      </c>
      <c r="Q2058" s="2" t="s">
        <v>4332</v>
      </c>
    </row>
    <row r="2059">
      <c r="A2059" s="2">
        <v>2058.0</v>
      </c>
      <c r="B2059" s="2" t="s">
        <v>4333</v>
      </c>
      <c r="C2059" s="2" t="s">
        <v>23</v>
      </c>
      <c r="K2059" s="2">
        <v>40.0</v>
      </c>
      <c r="N2059" s="6">
        <v>45783.0</v>
      </c>
      <c r="Q2059" s="2" t="s">
        <v>4334</v>
      </c>
    </row>
    <row r="2060">
      <c r="A2060" s="2">
        <v>2059.0</v>
      </c>
      <c r="B2060" s="2" t="s">
        <v>4335</v>
      </c>
      <c r="C2060" s="2" t="s">
        <v>23</v>
      </c>
      <c r="K2060" s="2">
        <v>150.0</v>
      </c>
      <c r="N2060" s="6">
        <v>45388.0</v>
      </c>
      <c r="Q2060" s="2" t="s">
        <v>4336</v>
      </c>
    </row>
    <row r="2061">
      <c r="A2061" s="2">
        <v>2060.0</v>
      </c>
      <c r="B2061" s="2" t="s">
        <v>4337</v>
      </c>
      <c r="C2061" s="2" t="s">
        <v>23</v>
      </c>
      <c r="K2061" s="2">
        <v>60.0</v>
      </c>
      <c r="N2061" s="6">
        <v>42320.0</v>
      </c>
      <c r="Q2061" s="2" t="s">
        <v>2790</v>
      </c>
    </row>
    <row r="2062">
      <c r="A2062" s="2">
        <v>2061.0</v>
      </c>
      <c r="B2062" s="2" t="s">
        <v>4338</v>
      </c>
      <c r="C2062" s="2" t="s">
        <v>23</v>
      </c>
      <c r="K2062" s="2">
        <v>10.0</v>
      </c>
      <c r="N2062" s="6">
        <v>44087.0</v>
      </c>
      <c r="Q2062" s="2" t="s">
        <v>86</v>
      </c>
    </row>
    <row r="2063">
      <c r="A2063" s="2">
        <v>2062.0</v>
      </c>
      <c r="B2063" s="2" t="s">
        <v>4339</v>
      </c>
      <c r="C2063" s="2" t="s">
        <v>23</v>
      </c>
      <c r="K2063" s="2">
        <v>80.0</v>
      </c>
      <c r="N2063" s="6">
        <v>42311.0</v>
      </c>
      <c r="Q2063" s="2" t="s">
        <v>2820</v>
      </c>
    </row>
    <row r="2064">
      <c r="A2064" s="2">
        <v>2063.0</v>
      </c>
      <c r="B2064" s="2" t="s">
        <v>4340</v>
      </c>
      <c r="C2064" s="2" t="s">
        <v>23</v>
      </c>
      <c r="K2064" s="2">
        <v>150.0</v>
      </c>
      <c r="N2064" s="6">
        <v>44677.0</v>
      </c>
      <c r="Q2064" s="2" t="s">
        <v>4341</v>
      </c>
    </row>
    <row r="2065">
      <c r="A2065" s="2">
        <v>2064.0</v>
      </c>
      <c r="B2065" s="2" t="s">
        <v>4342</v>
      </c>
      <c r="C2065" s="2" t="s">
        <v>23</v>
      </c>
      <c r="K2065" s="2">
        <v>50.0</v>
      </c>
      <c r="N2065" s="6">
        <v>44617.0</v>
      </c>
      <c r="Q2065" s="2" t="s">
        <v>4343</v>
      </c>
    </row>
    <row r="2066">
      <c r="A2066" s="2">
        <v>2065.0</v>
      </c>
      <c r="B2066" s="2" t="s">
        <v>4344</v>
      </c>
      <c r="C2066" s="2" t="s">
        <v>23</v>
      </c>
      <c r="K2066" s="2">
        <v>150.0</v>
      </c>
      <c r="N2066" s="6">
        <v>45260.0</v>
      </c>
      <c r="Q2066" s="2" t="s">
        <v>4345</v>
      </c>
    </row>
    <row r="2067">
      <c r="A2067" s="2">
        <v>2066.0</v>
      </c>
      <c r="B2067" s="2" t="s">
        <v>4346</v>
      </c>
      <c r="C2067" s="2" t="s">
        <v>23</v>
      </c>
      <c r="N2067" s="6">
        <v>44616.0</v>
      </c>
      <c r="Q2067" s="2" t="s">
        <v>86</v>
      </c>
    </row>
    <row r="2068">
      <c r="A2068" s="2">
        <v>2067.0</v>
      </c>
      <c r="B2068" s="2" t="s">
        <v>4347</v>
      </c>
      <c r="C2068" s="2" t="s">
        <v>23</v>
      </c>
      <c r="N2068" s="6">
        <v>44448.0</v>
      </c>
      <c r="Q2068" s="2" t="s">
        <v>4348</v>
      </c>
    </row>
    <row r="2069">
      <c r="A2069" s="2">
        <v>2068.0</v>
      </c>
      <c r="B2069" s="2" t="s">
        <v>4349</v>
      </c>
      <c r="C2069" s="2" t="s">
        <v>23</v>
      </c>
      <c r="N2069" s="6">
        <v>44337.0</v>
      </c>
      <c r="Q2069" s="2" t="s">
        <v>86</v>
      </c>
    </row>
    <row r="2070">
      <c r="A2070" s="2">
        <v>2069.0</v>
      </c>
      <c r="B2070" s="2" t="s">
        <v>4350</v>
      </c>
      <c r="C2070" s="2" t="s">
        <v>23</v>
      </c>
      <c r="K2070" s="2">
        <v>10.0</v>
      </c>
      <c r="N2070" s="6">
        <v>44371.0</v>
      </c>
      <c r="Q2070" s="2" t="s">
        <v>3232</v>
      </c>
    </row>
    <row r="2071">
      <c r="A2071" s="2">
        <v>2070.0</v>
      </c>
      <c r="B2071" s="2" t="s">
        <v>4351</v>
      </c>
      <c r="C2071" s="2" t="s">
        <v>23</v>
      </c>
      <c r="K2071" s="2">
        <v>30.0</v>
      </c>
      <c r="N2071" s="6">
        <v>45788.0</v>
      </c>
      <c r="Q2071" s="2" t="s">
        <v>4352</v>
      </c>
    </row>
    <row r="2072">
      <c r="A2072" s="2">
        <v>2071.0</v>
      </c>
      <c r="B2072" s="2" t="s">
        <v>4353</v>
      </c>
      <c r="C2072" s="2" t="s">
        <v>23</v>
      </c>
      <c r="N2072" s="6">
        <v>45964.0</v>
      </c>
      <c r="Q2072" s="2" t="s">
        <v>4354</v>
      </c>
    </row>
    <row r="2073">
      <c r="A2073" s="2">
        <v>2072.0</v>
      </c>
      <c r="B2073" s="2" t="s">
        <v>4355</v>
      </c>
      <c r="C2073" s="2" t="s">
        <v>23</v>
      </c>
      <c r="K2073" s="2">
        <v>60.0</v>
      </c>
      <c r="N2073" s="6">
        <v>44599.0</v>
      </c>
      <c r="Q2073" s="2" t="s">
        <v>86</v>
      </c>
    </row>
    <row r="2074">
      <c r="A2074" s="2">
        <v>2073.0</v>
      </c>
      <c r="B2074" s="2" t="s">
        <v>4356</v>
      </c>
      <c r="C2074" s="2" t="s">
        <v>23</v>
      </c>
      <c r="K2074" s="2">
        <v>80.0</v>
      </c>
      <c r="N2074" s="6">
        <v>44730.0</v>
      </c>
      <c r="Q2074" s="2" t="s">
        <v>4357</v>
      </c>
    </row>
    <row r="2075">
      <c r="A2075" s="2">
        <v>2074.0</v>
      </c>
      <c r="B2075" s="2" t="s">
        <v>4358</v>
      </c>
      <c r="C2075" s="2" t="s">
        <v>23</v>
      </c>
      <c r="K2075" s="2">
        <v>90.0</v>
      </c>
      <c r="N2075" s="6">
        <v>45778.0</v>
      </c>
      <c r="Q2075" s="2" t="s">
        <v>4359</v>
      </c>
    </row>
    <row r="2076">
      <c r="A2076" s="2">
        <v>2075.0</v>
      </c>
      <c r="B2076" s="2" t="s">
        <v>4360</v>
      </c>
      <c r="C2076" s="2" t="s">
        <v>23</v>
      </c>
      <c r="N2076" s="6">
        <v>45229.0</v>
      </c>
      <c r="Q2076" s="2" t="s">
        <v>4361</v>
      </c>
    </row>
    <row r="2077">
      <c r="A2077" s="2">
        <v>2076.0</v>
      </c>
      <c r="B2077" s="2" t="s">
        <v>4362</v>
      </c>
      <c r="C2077" s="2" t="s">
        <v>23</v>
      </c>
      <c r="K2077" s="2">
        <v>10.0</v>
      </c>
      <c r="N2077" s="6">
        <v>44275.0</v>
      </c>
      <c r="Q2077" s="2" t="s">
        <v>60</v>
      </c>
    </row>
    <row r="2078">
      <c r="A2078" s="2">
        <v>2077.0</v>
      </c>
      <c r="B2078" s="2" t="s">
        <v>4363</v>
      </c>
      <c r="C2078" s="2" t="s">
        <v>23</v>
      </c>
      <c r="N2078" s="6">
        <v>44310.0</v>
      </c>
      <c r="Q2078" s="2" t="s">
        <v>86</v>
      </c>
    </row>
    <row r="2079">
      <c r="A2079" s="2">
        <v>2078.0</v>
      </c>
      <c r="B2079" s="2" t="s">
        <v>4364</v>
      </c>
      <c r="C2079" s="2" t="s">
        <v>23</v>
      </c>
      <c r="N2079" s="6">
        <v>42502.0</v>
      </c>
      <c r="Q2079" s="2" t="s">
        <v>86</v>
      </c>
    </row>
    <row r="2080">
      <c r="A2080" s="2">
        <v>2079.0</v>
      </c>
      <c r="B2080" s="2" t="s">
        <v>4365</v>
      </c>
      <c r="C2080" s="2" t="s">
        <v>23</v>
      </c>
      <c r="K2080" s="2">
        <v>10.0</v>
      </c>
      <c r="N2080" s="6">
        <v>44592.0</v>
      </c>
      <c r="Q2080" s="2" t="s">
        <v>2448</v>
      </c>
    </row>
    <row r="2081">
      <c r="A2081" s="2">
        <v>2080.0</v>
      </c>
      <c r="B2081" s="2" t="s">
        <v>4366</v>
      </c>
      <c r="C2081" s="2" t="s">
        <v>23</v>
      </c>
      <c r="K2081" s="2">
        <v>30.0</v>
      </c>
      <c r="N2081" s="6">
        <v>43070.0</v>
      </c>
      <c r="Q2081" s="2" t="s">
        <v>86</v>
      </c>
    </row>
    <row r="2082">
      <c r="A2082" s="2">
        <v>2081.0</v>
      </c>
      <c r="B2082" s="2" t="s">
        <v>4367</v>
      </c>
      <c r="C2082" s="2" t="s">
        <v>23</v>
      </c>
      <c r="K2082" s="2">
        <v>10.0</v>
      </c>
      <c r="N2082" s="6">
        <v>44027.0</v>
      </c>
      <c r="Q2082" s="2" t="s">
        <v>86</v>
      </c>
    </row>
    <row r="2083">
      <c r="A2083" s="2">
        <v>2082.0</v>
      </c>
      <c r="B2083" s="2" t="s">
        <v>4368</v>
      </c>
      <c r="C2083" s="2" t="s">
        <v>23</v>
      </c>
      <c r="K2083" s="2">
        <v>50.0</v>
      </c>
      <c r="N2083" s="6">
        <v>43865.0</v>
      </c>
      <c r="Q2083" s="2" t="s">
        <v>4369</v>
      </c>
    </row>
    <row r="2084">
      <c r="A2084" s="2">
        <v>2083.0</v>
      </c>
      <c r="B2084" s="2" t="s">
        <v>4370</v>
      </c>
      <c r="C2084" s="2" t="s">
        <v>23</v>
      </c>
      <c r="N2084" s="6">
        <v>44136.0</v>
      </c>
      <c r="Q2084" s="2" t="s">
        <v>4371</v>
      </c>
    </row>
    <row r="2085">
      <c r="A2085" s="2">
        <v>2084.0</v>
      </c>
      <c r="B2085" s="2" t="s">
        <v>4372</v>
      </c>
      <c r="C2085" s="2" t="s">
        <v>23</v>
      </c>
      <c r="K2085" s="2">
        <v>70.0</v>
      </c>
      <c r="N2085" s="6">
        <v>45757.0</v>
      </c>
      <c r="Q2085" s="2" t="s">
        <v>4373</v>
      </c>
    </row>
    <row r="2086">
      <c r="A2086" s="2">
        <v>2085.0</v>
      </c>
      <c r="B2086" s="2" t="s">
        <v>4374</v>
      </c>
      <c r="C2086" s="2" t="s">
        <v>23</v>
      </c>
      <c r="N2086" s="6">
        <v>44781.0</v>
      </c>
      <c r="Q2086" s="2" t="s">
        <v>86</v>
      </c>
    </row>
    <row r="2087">
      <c r="A2087" s="2">
        <v>2086.0</v>
      </c>
      <c r="B2087" s="2" t="s">
        <v>4375</v>
      </c>
      <c r="C2087" s="2" t="s">
        <v>23</v>
      </c>
      <c r="N2087" s="6">
        <v>42912.0</v>
      </c>
      <c r="Q2087" s="2" t="s">
        <v>86</v>
      </c>
    </row>
    <row r="2088">
      <c r="A2088" s="2">
        <v>2087.0</v>
      </c>
      <c r="B2088" s="2" t="s">
        <v>4376</v>
      </c>
      <c r="C2088" s="2" t="s">
        <v>23</v>
      </c>
      <c r="K2088" s="2">
        <v>10.0</v>
      </c>
      <c r="N2088" s="6">
        <v>44971.0</v>
      </c>
      <c r="Q2088" s="2" t="s">
        <v>4377</v>
      </c>
    </row>
    <row r="2089">
      <c r="A2089" s="2">
        <v>2088.0</v>
      </c>
      <c r="B2089" s="2" t="s">
        <v>4378</v>
      </c>
      <c r="C2089" s="2" t="s">
        <v>23</v>
      </c>
      <c r="K2089" s="2">
        <v>250.0</v>
      </c>
      <c r="N2089" s="6">
        <v>45786.0</v>
      </c>
      <c r="Q2089" s="2" t="s">
        <v>4379</v>
      </c>
    </row>
    <row r="2090">
      <c r="A2090" s="2">
        <v>2089.0</v>
      </c>
      <c r="B2090" s="2" t="s">
        <v>4380</v>
      </c>
      <c r="C2090" s="2" t="s">
        <v>23</v>
      </c>
      <c r="K2090" s="2">
        <v>100.0</v>
      </c>
      <c r="N2090" s="6">
        <v>45267.0</v>
      </c>
      <c r="Q2090" s="2" t="s">
        <v>4381</v>
      </c>
    </row>
    <row r="2091">
      <c r="A2091" s="2">
        <v>2090.0</v>
      </c>
      <c r="B2091" s="2" t="s">
        <v>4382</v>
      </c>
      <c r="C2091" s="2" t="s">
        <v>23</v>
      </c>
      <c r="N2091" s="6">
        <v>44421.0</v>
      </c>
      <c r="Q2091" s="2" t="s">
        <v>540</v>
      </c>
    </row>
    <row r="2092">
      <c r="A2092" s="2">
        <v>2091.0</v>
      </c>
      <c r="B2092" s="2" t="s">
        <v>4383</v>
      </c>
      <c r="C2092" s="2" t="s">
        <v>23</v>
      </c>
      <c r="K2092" s="2">
        <v>20.0</v>
      </c>
      <c r="N2092" s="6">
        <v>45099.0</v>
      </c>
      <c r="Q2092" s="2" t="s">
        <v>4384</v>
      </c>
    </row>
    <row r="2093">
      <c r="A2093" s="2">
        <v>2092.0</v>
      </c>
      <c r="B2093" s="2" t="s">
        <v>4385</v>
      </c>
      <c r="C2093" s="2" t="s">
        <v>23</v>
      </c>
      <c r="N2093" s="6">
        <v>44237.0</v>
      </c>
      <c r="Q2093" s="2" t="s">
        <v>4386</v>
      </c>
    </row>
    <row r="2094">
      <c r="A2094" s="2">
        <v>2093.0</v>
      </c>
      <c r="B2094" s="2" t="s">
        <v>4387</v>
      </c>
      <c r="C2094" s="2" t="s">
        <v>23</v>
      </c>
      <c r="K2094" s="2">
        <v>80.0</v>
      </c>
      <c r="N2094" s="6">
        <v>45599.0</v>
      </c>
      <c r="Q2094" s="2" t="s">
        <v>2448</v>
      </c>
    </row>
    <row r="2095">
      <c r="A2095" s="2">
        <v>2094.0</v>
      </c>
      <c r="B2095" s="2" t="s">
        <v>4388</v>
      </c>
      <c r="C2095" s="2" t="s">
        <v>23</v>
      </c>
      <c r="N2095" s="6">
        <v>44262.0</v>
      </c>
      <c r="Q2095" s="2" t="s">
        <v>86</v>
      </c>
    </row>
    <row r="2096">
      <c r="A2096" s="2">
        <v>2095.0</v>
      </c>
      <c r="B2096" s="2" t="s">
        <v>4389</v>
      </c>
      <c r="C2096" s="2" t="s">
        <v>23</v>
      </c>
      <c r="K2096" s="2">
        <v>60.0</v>
      </c>
      <c r="N2096" s="6">
        <v>44742.0</v>
      </c>
      <c r="Q2096" s="2" t="s">
        <v>4390</v>
      </c>
    </row>
    <row r="2097">
      <c r="A2097" s="2">
        <v>2096.0</v>
      </c>
      <c r="B2097" s="2" t="s">
        <v>4391</v>
      </c>
      <c r="C2097" s="2" t="s">
        <v>23</v>
      </c>
      <c r="K2097" s="2">
        <v>20.0</v>
      </c>
      <c r="N2097" s="6">
        <v>45007.0</v>
      </c>
      <c r="Q2097" s="2" t="s">
        <v>4392</v>
      </c>
    </row>
    <row r="2098">
      <c r="A2098" s="2">
        <v>2097.0</v>
      </c>
      <c r="B2098" s="2" t="s">
        <v>4393</v>
      </c>
      <c r="C2098" s="2" t="s">
        <v>23</v>
      </c>
      <c r="K2098" s="2">
        <v>20.0</v>
      </c>
      <c r="N2098" s="6">
        <v>44684.0</v>
      </c>
      <c r="Q2098" s="2" t="s">
        <v>1094</v>
      </c>
    </row>
    <row r="2099">
      <c r="A2099" s="2">
        <v>2098.0</v>
      </c>
      <c r="B2099" s="2" t="s">
        <v>4394</v>
      </c>
      <c r="C2099" s="2" t="s">
        <v>23</v>
      </c>
      <c r="K2099" s="2">
        <v>90.0</v>
      </c>
      <c r="N2099" s="6">
        <v>45436.0</v>
      </c>
      <c r="Q2099" s="2" t="s">
        <v>4395</v>
      </c>
    </row>
    <row r="2100">
      <c r="A2100" s="2">
        <v>2099.0</v>
      </c>
      <c r="B2100" s="2" t="s">
        <v>4396</v>
      </c>
      <c r="C2100" s="2" t="s">
        <v>23</v>
      </c>
      <c r="K2100" s="2">
        <v>150.0</v>
      </c>
      <c r="N2100" s="6">
        <v>43915.0</v>
      </c>
      <c r="Q2100" s="2" t="s">
        <v>4397</v>
      </c>
    </row>
    <row r="2101">
      <c r="A2101" s="2">
        <v>2100.0</v>
      </c>
      <c r="B2101" s="2" t="s">
        <v>4398</v>
      </c>
      <c r="C2101" s="2" t="s">
        <v>23</v>
      </c>
      <c r="K2101" s="2">
        <v>30.0</v>
      </c>
      <c r="N2101" s="6">
        <v>44465.0</v>
      </c>
      <c r="Q2101" s="2" t="s">
        <v>401</v>
      </c>
    </row>
    <row r="2102">
      <c r="A2102" s="2">
        <v>2101.0</v>
      </c>
      <c r="B2102" s="2" t="s">
        <v>4399</v>
      </c>
      <c r="C2102" s="2" t="s">
        <v>23</v>
      </c>
      <c r="N2102" s="6">
        <v>43945.0</v>
      </c>
      <c r="Q2102" s="2" t="s">
        <v>200</v>
      </c>
    </row>
    <row r="2103">
      <c r="A2103" s="2">
        <v>2102.0</v>
      </c>
      <c r="B2103" s="2" t="s">
        <v>4400</v>
      </c>
      <c r="C2103" s="2" t="s">
        <v>23</v>
      </c>
      <c r="N2103" s="6">
        <v>44303.0</v>
      </c>
      <c r="Q2103" s="2" t="s">
        <v>235</v>
      </c>
    </row>
    <row r="2104">
      <c r="A2104" s="2">
        <v>2103.0</v>
      </c>
      <c r="B2104" s="2" t="s">
        <v>4401</v>
      </c>
      <c r="C2104" s="2" t="s">
        <v>23</v>
      </c>
      <c r="K2104" s="2">
        <v>10.0</v>
      </c>
      <c r="N2104" s="6">
        <v>45223.0</v>
      </c>
      <c r="Q2104" s="2" t="s">
        <v>4402</v>
      </c>
    </row>
    <row r="2105">
      <c r="A2105" s="2">
        <v>2104.0</v>
      </c>
      <c r="B2105" s="2" t="s">
        <v>4403</v>
      </c>
      <c r="C2105" s="2" t="s">
        <v>23</v>
      </c>
      <c r="K2105" s="2">
        <v>10.0</v>
      </c>
      <c r="N2105" s="6">
        <v>44171.0</v>
      </c>
      <c r="Q2105" s="2" t="s">
        <v>86</v>
      </c>
    </row>
    <row r="2106">
      <c r="A2106" s="2">
        <v>2105.0</v>
      </c>
      <c r="B2106" s="2" t="s">
        <v>4404</v>
      </c>
      <c r="C2106" s="2" t="s">
        <v>23</v>
      </c>
      <c r="N2106" s="6">
        <v>44407.0</v>
      </c>
      <c r="Q2106" s="2" t="s">
        <v>86</v>
      </c>
    </row>
    <row r="2107">
      <c r="A2107" s="2">
        <v>2106.0</v>
      </c>
      <c r="B2107" s="2" t="s">
        <v>4405</v>
      </c>
      <c r="C2107" s="2" t="s">
        <v>23</v>
      </c>
      <c r="K2107" s="2">
        <v>30.0</v>
      </c>
      <c r="N2107" s="6">
        <v>44852.0</v>
      </c>
      <c r="Q2107" s="2" t="s">
        <v>86</v>
      </c>
    </row>
    <row r="2108">
      <c r="A2108" s="2">
        <v>2107.0</v>
      </c>
      <c r="B2108" s="2" t="s">
        <v>4406</v>
      </c>
      <c r="C2108" s="2" t="s">
        <v>23</v>
      </c>
      <c r="N2108" s="6">
        <v>45627.0</v>
      </c>
      <c r="Q2108" s="2" t="s">
        <v>4407</v>
      </c>
    </row>
    <row r="2109">
      <c r="A2109" s="2">
        <v>2108.0</v>
      </c>
      <c r="B2109" s="2" t="s">
        <v>4408</v>
      </c>
      <c r="C2109" s="2" t="s">
        <v>23</v>
      </c>
      <c r="N2109" s="6">
        <v>44137.0</v>
      </c>
      <c r="Q2109" s="2" t="s">
        <v>86</v>
      </c>
    </row>
    <row r="2110">
      <c r="A2110" s="2">
        <v>2109.0</v>
      </c>
      <c r="B2110" s="2" t="s">
        <v>4409</v>
      </c>
      <c r="C2110" s="2" t="s">
        <v>23</v>
      </c>
      <c r="K2110" s="2">
        <v>30.0</v>
      </c>
      <c r="N2110" s="6">
        <v>44293.0</v>
      </c>
      <c r="Q2110" s="2" t="s">
        <v>4410</v>
      </c>
    </row>
    <row r="2111">
      <c r="A2111" s="2">
        <v>2110.0</v>
      </c>
      <c r="B2111" s="2" t="s">
        <v>4411</v>
      </c>
      <c r="C2111" s="2" t="s">
        <v>23</v>
      </c>
      <c r="K2111" s="2">
        <v>40.0</v>
      </c>
      <c r="N2111" s="6">
        <v>45747.0</v>
      </c>
      <c r="Q2111" s="2" t="s">
        <v>4412</v>
      </c>
    </row>
    <row r="2112">
      <c r="A2112" s="2">
        <v>2111.0</v>
      </c>
      <c r="B2112" s="2" t="s">
        <v>4413</v>
      </c>
      <c r="C2112" s="2" t="s">
        <v>23</v>
      </c>
      <c r="N2112" s="6">
        <v>44500.0</v>
      </c>
      <c r="Q2112" s="2" t="s">
        <v>86</v>
      </c>
    </row>
    <row r="2113">
      <c r="A2113" s="2">
        <v>2112.0</v>
      </c>
      <c r="B2113" s="2" t="s">
        <v>4414</v>
      </c>
      <c r="C2113" s="2" t="s">
        <v>23</v>
      </c>
      <c r="K2113" s="2">
        <v>10.0</v>
      </c>
      <c r="N2113" s="6">
        <v>44657.0</v>
      </c>
      <c r="Q2113" s="2" t="s">
        <v>4415</v>
      </c>
    </row>
    <row r="2114">
      <c r="A2114" s="2">
        <v>2113.0</v>
      </c>
      <c r="B2114" s="2" t="s">
        <v>4416</v>
      </c>
      <c r="C2114" s="2" t="s">
        <v>23</v>
      </c>
      <c r="K2114" s="2">
        <v>60.0</v>
      </c>
      <c r="N2114" s="6">
        <v>43278.0</v>
      </c>
      <c r="Q2114" s="2" t="s">
        <v>4417</v>
      </c>
    </row>
    <row r="2115">
      <c r="A2115" s="2">
        <v>2114.0</v>
      </c>
      <c r="B2115" s="2" t="s">
        <v>4418</v>
      </c>
      <c r="C2115" s="2" t="s">
        <v>23</v>
      </c>
      <c r="N2115" s="6">
        <v>43993.0</v>
      </c>
      <c r="Q2115" s="2" t="s">
        <v>86</v>
      </c>
    </row>
    <row r="2116">
      <c r="A2116" s="2">
        <v>2115.0</v>
      </c>
      <c r="B2116" s="2" t="s">
        <v>4419</v>
      </c>
      <c r="C2116" s="2" t="s">
        <v>23</v>
      </c>
      <c r="K2116" s="2">
        <v>80.0</v>
      </c>
      <c r="N2116" s="6">
        <v>45626.0</v>
      </c>
      <c r="Q2116" s="2" t="s">
        <v>4420</v>
      </c>
    </row>
    <row r="2117">
      <c r="A2117" s="2">
        <v>2116.0</v>
      </c>
      <c r="B2117" s="2" t="s">
        <v>4421</v>
      </c>
      <c r="C2117" s="2" t="s">
        <v>23</v>
      </c>
      <c r="K2117" s="2">
        <v>10.0</v>
      </c>
      <c r="N2117" s="6">
        <v>44431.0</v>
      </c>
      <c r="Q2117" s="2" t="s">
        <v>1249</v>
      </c>
    </row>
    <row r="2118">
      <c r="A2118" s="2">
        <v>2117.0</v>
      </c>
      <c r="B2118" s="2" t="s">
        <v>4422</v>
      </c>
      <c r="C2118" s="2" t="s">
        <v>23</v>
      </c>
      <c r="K2118" s="2">
        <v>10.0</v>
      </c>
      <c r="N2118" s="6">
        <v>44964.0</v>
      </c>
      <c r="Q2118" s="2" t="s">
        <v>4423</v>
      </c>
    </row>
    <row r="2119">
      <c r="A2119" s="2">
        <v>2118.0</v>
      </c>
      <c r="B2119" s="2" t="s">
        <v>4424</v>
      </c>
      <c r="C2119" s="2" t="s">
        <v>23</v>
      </c>
      <c r="N2119" s="6">
        <v>44557.0</v>
      </c>
      <c r="Q2119" s="2" t="s">
        <v>86</v>
      </c>
    </row>
    <row r="2120">
      <c r="A2120" s="2">
        <v>2119.0</v>
      </c>
      <c r="B2120" s="2" t="s">
        <v>4425</v>
      </c>
      <c r="C2120" s="2" t="s">
        <v>23</v>
      </c>
      <c r="N2120" s="6">
        <v>44171.0</v>
      </c>
      <c r="Q2120" s="2" t="s">
        <v>86</v>
      </c>
    </row>
    <row r="2121">
      <c r="A2121" s="2">
        <v>2120.0</v>
      </c>
      <c r="B2121" s="2" t="s">
        <v>4426</v>
      </c>
      <c r="C2121" s="2" t="s">
        <v>23</v>
      </c>
      <c r="K2121" s="2">
        <v>80.0</v>
      </c>
      <c r="N2121" s="6">
        <v>45641.0</v>
      </c>
      <c r="Q2121" s="2" t="s">
        <v>4427</v>
      </c>
    </row>
    <row r="2122">
      <c r="A2122" s="2">
        <v>2121.0</v>
      </c>
      <c r="B2122" s="2" t="s">
        <v>4428</v>
      </c>
      <c r="C2122" s="2" t="s">
        <v>23</v>
      </c>
      <c r="K2122" s="2">
        <v>20.0</v>
      </c>
      <c r="N2122" s="6">
        <v>44488.0</v>
      </c>
      <c r="Q2122" s="2" t="s">
        <v>86</v>
      </c>
    </row>
    <row r="2123">
      <c r="A2123" s="2">
        <v>2122.0</v>
      </c>
      <c r="B2123" s="2" t="s">
        <v>4429</v>
      </c>
      <c r="C2123" s="2" t="s">
        <v>23</v>
      </c>
      <c r="K2123" s="2">
        <v>150.0</v>
      </c>
      <c r="N2123" s="6">
        <v>42712.0</v>
      </c>
      <c r="Q2123" s="2" t="s">
        <v>4430</v>
      </c>
    </row>
    <row r="2124">
      <c r="A2124" s="2">
        <v>2123.0</v>
      </c>
      <c r="B2124" s="2" t="s">
        <v>4431</v>
      </c>
      <c r="C2124" s="2" t="s">
        <v>23</v>
      </c>
      <c r="K2124" s="2">
        <v>10.0</v>
      </c>
      <c r="N2124" s="6">
        <v>44159.0</v>
      </c>
      <c r="Q2124" s="2" t="s">
        <v>401</v>
      </c>
    </row>
    <row r="2125">
      <c r="A2125" s="2">
        <v>2124.0</v>
      </c>
      <c r="B2125" s="2" t="s">
        <v>4432</v>
      </c>
      <c r="C2125" s="2" t="s">
        <v>23</v>
      </c>
      <c r="N2125" s="6">
        <v>44723.0</v>
      </c>
      <c r="Q2125" s="2" t="s">
        <v>401</v>
      </c>
    </row>
    <row r="2126">
      <c r="A2126" s="2">
        <v>2125.0</v>
      </c>
      <c r="B2126" s="2" t="s">
        <v>4433</v>
      </c>
      <c r="C2126" s="2" t="s">
        <v>23</v>
      </c>
      <c r="N2126" s="6">
        <v>45684.0</v>
      </c>
      <c r="Q2126" s="2" t="s">
        <v>4434</v>
      </c>
    </row>
    <row r="2127">
      <c r="A2127" s="2">
        <v>2126.0</v>
      </c>
      <c r="B2127" s="2" t="s">
        <v>4435</v>
      </c>
      <c r="C2127" s="2" t="s">
        <v>23</v>
      </c>
      <c r="N2127" s="6">
        <v>44291.0</v>
      </c>
      <c r="Q2127" s="2" t="s">
        <v>86</v>
      </c>
    </row>
    <row r="2128">
      <c r="A2128" s="2">
        <v>2127.0</v>
      </c>
      <c r="B2128" s="2" t="s">
        <v>4436</v>
      </c>
      <c r="C2128" s="2" t="s">
        <v>23</v>
      </c>
      <c r="K2128" s="2">
        <v>100.0</v>
      </c>
      <c r="N2128" s="6">
        <v>43902.0</v>
      </c>
      <c r="Q2128" s="2" t="s">
        <v>3321</v>
      </c>
    </row>
    <row r="2129">
      <c r="A2129" s="2">
        <v>2128.0</v>
      </c>
      <c r="B2129" s="2" t="s">
        <v>4437</v>
      </c>
      <c r="C2129" s="2" t="s">
        <v>23</v>
      </c>
      <c r="N2129" s="6">
        <v>44084.0</v>
      </c>
      <c r="Q2129" s="2" t="s">
        <v>86</v>
      </c>
    </row>
    <row r="2130">
      <c r="A2130" s="2">
        <v>2129.0</v>
      </c>
      <c r="B2130" s="2" t="s">
        <v>4438</v>
      </c>
      <c r="C2130" s="2" t="s">
        <v>23</v>
      </c>
      <c r="N2130" s="6">
        <v>44382.0</v>
      </c>
      <c r="Q2130" s="2" t="s">
        <v>86</v>
      </c>
    </row>
    <row r="2131">
      <c r="A2131" s="2">
        <v>2130.0</v>
      </c>
      <c r="B2131" s="2" t="s">
        <v>4439</v>
      </c>
      <c r="C2131" s="2" t="s">
        <v>23</v>
      </c>
      <c r="K2131" s="2">
        <v>70.0</v>
      </c>
      <c r="N2131" s="6">
        <v>43953.0</v>
      </c>
      <c r="Q2131" s="2" t="s">
        <v>4440</v>
      </c>
    </row>
    <row r="2132">
      <c r="A2132" s="2">
        <v>2131.0</v>
      </c>
      <c r="B2132" s="2" t="s">
        <v>4441</v>
      </c>
      <c r="C2132" s="2" t="s">
        <v>23</v>
      </c>
      <c r="N2132" s="6">
        <v>44669.0</v>
      </c>
      <c r="Q2132" s="2" t="s">
        <v>86</v>
      </c>
    </row>
    <row r="2133">
      <c r="A2133" s="2">
        <v>2132.0</v>
      </c>
      <c r="B2133" s="2" t="s">
        <v>4442</v>
      </c>
      <c r="C2133" s="2" t="s">
        <v>23</v>
      </c>
      <c r="K2133" s="2">
        <v>10.0</v>
      </c>
      <c r="N2133" s="6">
        <v>44311.0</v>
      </c>
      <c r="Q2133" s="2" t="s">
        <v>86</v>
      </c>
    </row>
    <row r="2134">
      <c r="A2134" s="2">
        <v>2133.0</v>
      </c>
      <c r="B2134" s="2" t="s">
        <v>4443</v>
      </c>
      <c r="C2134" s="2" t="s">
        <v>23</v>
      </c>
      <c r="K2134" s="2">
        <v>40.0</v>
      </c>
      <c r="N2134" s="6">
        <v>43951.0</v>
      </c>
      <c r="Q2134" s="2" t="s">
        <v>4444</v>
      </c>
    </row>
    <row r="2135">
      <c r="A2135" s="2">
        <v>2134.0</v>
      </c>
      <c r="B2135" s="2" t="s">
        <v>4445</v>
      </c>
      <c r="C2135" s="2" t="s">
        <v>23</v>
      </c>
      <c r="N2135" s="6">
        <v>44909.0</v>
      </c>
      <c r="Q2135" s="2" t="s">
        <v>4446</v>
      </c>
    </row>
    <row r="2136">
      <c r="A2136" s="2">
        <v>2135.0</v>
      </c>
      <c r="B2136" s="2" t="s">
        <v>4447</v>
      </c>
      <c r="C2136" s="2" t="s">
        <v>23</v>
      </c>
      <c r="N2136" s="6">
        <v>44680.0</v>
      </c>
      <c r="Q2136" s="2" t="s">
        <v>86</v>
      </c>
    </row>
    <row r="2137">
      <c r="A2137" s="2">
        <v>2136.0</v>
      </c>
      <c r="B2137" s="2" t="s">
        <v>4448</v>
      </c>
      <c r="C2137" s="2" t="s">
        <v>23</v>
      </c>
      <c r="K2137" s="2">
        <v>90.0</v>
      </c>
      <c r="N2137" s="6">
        <v>43998.0</v>
      </c>
      <c r="Q2137" s="2" t="s">
        <v>4449</v>
      </c>
    </row>
    <row r="2138">
      <c r="A2138" s="2">
        <v>2137.0</v>
      </c>
      <c r="B2138" s="2" t="s">
        <v>4450</v>
      </c>
      <c r="C2138" s="2" t="s">
        <v>23</v>
      </c>
      <c r="K2138" s="2">
        <v>10.0</v>
      </c>
      <c r="N2138" s="6">
        <v>44586.0</v>
      </c>
      <c r="Q2138" s="2" t="s">
        <v>1131</v>
      </c>
    </row>
    <row r="2139">
      <c r="A2139" s="2">
        <v>2138.0</v>
      </c>
      <c r="B2139" s="2" t="s">
        <v>4451</v>
      </c>
      <c r="C2139" s="2" t="s">
        <v>23</v>
      </c>
      <c r="N2139" s="6">
        <v>45354.0</v>
      </c>
      <c r="Q2139" s="2" t="s">
        <v>86</v>
      </c>
    </row>
    <row r="2140">
      <c r="A2140" s="2">
        <v>2139.0</v>
      </c>
      <c r="B2140" s="2" t="s">
        <v>4452</v>
      </c>
      <c r="C2140" s="2" t="s">
        <v>23</v>
      </c>
      <c r="K2140" s="2">
        <v>100.0</v>
      </c>
      <c r="N2140" s="6">
        <v>44645.0</v>
      </c>
      <c r="Q2140" s="2" t="s">
        <v>4453</v>
      </c>
    </row>
    <row r="2141">
      <c r="A2141" s="2">
        <v>2140.0</v>
      </c>
      <c r="B2141" s="2" t="s">
        <v>4454</v>
      </c>
      <c r="C2141" s="2" t="s">
        <v>23</v>
      </c>
      <c r="N2141" s="6">
        <v>44872.0</v>
      </c>
      <c r="Q2141" s="2" t="s">
        <v>1156</v>
      </c>
    </row>
    <row r="2142">
      <c r="A2142" s="2">
        <v>2141.0</v>
      </c>
      <c r="B2142" s="2" t="s">
        <v>4455</v>
      </c>
      <c r="C2142" s="2" t="s">
        <v>23</v>
      </c>
      <c r="K2142" s="2">
        <v>50.0</v>
      </c>
      <c r="N2142" s="6">
        <v>44665.0</v>
      </c>
      <c r="Q2142" s="2" t="s">
        <v>4456</v>
      </c>
    </row>
    <row r="2143">
      <c r="A2143" s="2">
        <v>2142.0</v>
      </c>
      <c r="B2143" s="2" t="s">
        <v>4457</v>
      </c>
      <c r="C2143" s="2" t="s">
        <v>23</v>
      </c>
      <c r="K2143" s="2">
        <v>100.0</v>
      </c>
      <c r="N2143" s="6">
        <v>43840.0</v>
      </c>
      <c r="Q2143" s="2" t="s">
        <v>4458</v>
      </c>
    </row>
    <row r="2144">
      <c r="A2144" s="2">
        <v>2143.0</v>
      </c>
      <c r="B2144" s="2" t="s">
        <v>4459</v>
      </c>
      <c r="C2144" s="2" t="s">
        <v>23</v>
      </c>
      <c r="K2144" s="2">
        <v>100.0</v>
      </c>
      <c r="N2144" s="6">
        <v>44976.0</v>
      </c>
      <c r="Q2144" s="2" t="s">
        <v>126</v>
      </c>
    </row>
    <row r="2145">
      <c r="A2145" s="2">
        <v>2144.0</v>
      </c>
      <c r="B2145" s="2" t="s">
        <v>4460</v>
      </c>
      <c r="C2145" s="2" t="s">
        <v>23</v>
      </c>
      <c r="K2145" s="2">
        <v>30.0</v>
      </c>
      <c r="N2145" s="6">
        <v>44333.0</v>
      </c>
      <c r="Q2145" s="2" t="s">
        <v>491</v>
      </c>
    </row>
    <row r="2146">
      <c r="A2146" s="2">
        <v>2145.0</v>
      </c>
      <c r="B2146" s="2" t="s">
        <v>4461</v>
      </c>
      <c r="C2146" s="2" t="s">
        <v>23</v>
      </c>
      <c r="K2146" s="2">
        <v>30.0</v>
      </c>
      <c r="N2146" s="6">
        <v>45586.0</v>
      </c>
      <c r="Q2146" s="2" t="s">
        <v>4462</v>
      </c>
    </row>
    <row r="2147">
      <c r="A2147" s="2">
        <v>2146.0</v>
      </c>
      <c r="B2147" s="2" t="s">
        <v>4463</v>
      </c>
      <c r="C2147" s="2" t="s">
        <v>23</v>
      </c>
      <c r="K2147" s="2">
        <v>30.0</v>
      </c>
      <c r="N2147" s="6">
        <v>44167.0</v>
      </c>
      <c r="Q2147" s="2" t="s">
        <v>4464</v>
      </c>
    </row>
    <row r="2148">
      <c r="A2148" s="2">
        <v>2147.0</v>
      </c>
      <c r="B2148" s="2" t="s">
        <v>4465</v>
      </c>
      <c r="C2148" s="2" t="s">
        <v>23</v>
      </c>
      <c r="K2148" s="2">
        <v>30.0</v>
      </c>
      <c r="N2148" s="6">
        <v>44599.0</v>
      </c>
      <c r="Q2148" s="2" t="s">
        <v>4466</v>
      </c>
    </row>
    <row r="2149">
      <c r="A2149" s="2">
        <v>2148.0</v>
      </c>
      <c r="B2149" s="2" t="s">
        <v>4467</v>
      </c>
      <c r="C2149" s="2" t="s">
        <v>23</v>
      </c>
      <c r="K2149" s="2">
        <v>10.0</v>
      </c>
      <c r="N2149" s="6">
        <v>46154.0</v>
      </c>
      <c r="Q2149" s="2" t="s">
        <v>4468</v>
      </c>
    </row>
    <row r="2150">
      <c r="A2150" s="2">
        <v>2149.0</v>
      </c>
      <c r="B2150" s="2" t="s">
        <v>154</v>
      </c>
      <c r="C2150" s="2" t="s">
        <v>23</v>
      </c>
      <c r="K2150" s="2">
        <v>50.0</v>
      </c>
      <c r="N2150" s="6">
        <v>43396.0</v>
      </c>
      <c r="Q2150" s="2" t="s">
        <v>156</v>
      </c>
    </row>
    <row r="2151">
      <c r="A2151" s="2">
        <v>2150.0</v>
      </c>
      <c r="B2151" s="2" t="s">
        <v>4469</v>
      </c>
      <c r="C2151" s="2" t="s">
        <v>23</v>
      </c>
      <c r="K2151" s="2">
        <v>10.0</v>
      </c>
      <c r="N2151" s="6">
        <v>43907.0</v>
      </c>
      <c r="Q2151" s="2" t="s">
        <v>4470</v>
      </c>
    </row>
    <row r="2152">
      <c r="A2152" s="2">
        <v>2151.0</v>
      </c>
      <c r="B2152" s="2" t="s">
        <v>4471</v>
      </c>
      <c r="C2152" s="2" t="s">
        <v>23</v>
      </c>
      <c r="K2152" s="2">
        <v>30.0</v>
      </c>
      <c r="N2152" s="6">
        <v>44004.0</v>
      </c>
      <c r="Q2152" s="2" t="s">
        <v>4472</v>
      </c>
    </row>
    <row r="2153">
      <c r="A2153" s="2">
        <v>2152.0</v>
      </c>
      <c r="B2153" s="2" t="s">
        <v>4473</v>
      </c>
      <c r="C2153" s="2" t="s">
        <v>23</v>
      </c>
      <c r="N2153" s="6">
        <v>43947.0</v>
      </c>
      <c r="Q2153" s="2" t="s">
        <v>86</v>
      </c>
    </row>
    <row r="2154">
      <c r="A2154" s="2">
        <v>2153.0</v>
      </c>
      <c r="B2154" s="2" t="s">
        <v>4474</v>
      </c>
      <c r="C2154" s="2" t="s">
        <v>23</v>
      </c>
      <c r="K2154" s="2">
        <v>150.0</v>
      </c>
      <c r="N2154" s="6">
        <v>45136.0</v>
      </c>
      <c r="Q2154" s="2" t="s">
        <v>225</v>
      </c>
    </row>
    <row r="2155">
      <c r="A2155" s="2">
        <v>2154.0</v>
      </c>
      <c r="B2155" s="2" t="s">
        <v>4475</v>
      </c>
      <c r="C2155" s="2" t="s">
        <v>23</v>
      </c>
      <c r="N2155" s="6">
        <v>44886.0</v>
      </c>
      <c r="Q2155" s="2" t="s">
        <v>1116</v>
      </c>
    </row>
    <row r="2156">
      <c r="A2156" s="2">
        <v>2155.0</v>
      </c>
      <c r="B2156" s="2" t="s">
        <v>4476</v>
      </c>
      <c r="C2156" s="2" t="s">
        <v>23</v>
      </c>
      <c r="N2156" s="6">
        <v>44270.0</v>
      </c>
      <c r="Q2156" s="2" t="s">
        <v>86</v>
      </c>
    </row>
    <row r="2157">
      <c r="A2157" s="2">
        <v>2156.0</v>
      </c>
      <c r="B2157" s="2" t="s">
        <v>4477</v>
      </c>
      <c r="C2157" s="2" t="s">
        <v>23</v>
      </c>
      <c r="K2157" s="2">
        <v>10.0</v>
      </c>
      <c r="N2157" s="6">
        <v>43998.0</v>
      </c>
      <c r="Q2157" s="2" t="s">
        <v>4478</v>
      </c>
    </row>
    <row r="2158">
      <c r="A2158" s="2">
        <v>2157.0</v>
      </c>
      <c r="B2158" s="2" t="s">
        <v>4479</v>
      </c>
      <c r="C2158" s="2" t="s">
        <v>23</v>
      </c>
      <c r="N2158" s="6">
        <v>44400.0</v>
      </c>
      <c r="Q2158" s="2" t="s">
        <v>86</v>
      </c>
    </row>
    <row r="2159">
      <c r="A2159" s="2">
        <v>2158.0</v>
      </c>
      <c r="B2159" s="2" t="s">
        <v>4480</v>
      </c>
      <c r="C2159" s="2" t="s">
        <v>23</v>
      </c>
      <c r="K2159" s="2">
        <v>20.0</v>
      </c>
      <c r="N2159" s="6">
        <v>44523.0</v>
      </c>
      <c r="Q2159" s="2" t="s">
        <v>401</v>
      </c>
    </row>
    <row r="2160">
      <c r="A2160" s="2">
        <v>2159.0</v>
      </c>
      <c r="B2160" s="2" t="s">
        <v>4481</v>
      </c>
      <c r="C2160" s="2" t="s">
        <v>23</v>
      </c>
      <c r="K2160" s="2">
        <v>20.0</v>
      </c>
      <c r="N2160" s="6">
        <v>44838.0</v>
      </c>
      <c r="Q2160" s="2" t="s">
        <v>4482</v>
      </c>
    </row>
    <row r="2161">
      <c r="A2161" s="2">
        <v>2160.0</v>
      </c>
      <c r="B2161" s="2" t="s">
        <v>4483</v>
      </c>
      <c r="C2161" s="2" t="s">
        <v>23</v>
      </c>
      <c r="K2161" s="2">
        <v>150.0</v>
      </c>
      <c r="N2161" s="6">
        <v>43841.0</v>
      </c>
      <c r="Q2161" s="2" t="s">
        <v>4484</v>
      </c>
    </row>
    <row r="2162">
      <c r="A2162" s="2">
        <v>2161.0</v>
      </c>
      <c r="B2162" s="2" t="s">
        <v>4485</v>
      </c>
      <c r="C2162" s="2" t="s">
        <v>23</v>
      </c>
      <c r="K2162" s="2">
        <v>20.0</v>
      </c>
      <c r="N2162" s="6">
        <v>44361.0</v>
      </c>
      <c r="Q2162" s="2" t="s">
        <v>86</v>
      </c>
    </row>
    <row r="2163">
      <c r="A2163" s="2">
        <v>2162.0</v>
      </c>
      <c r="B2163" s="2" t="s">
        <v>4486</v>
      </c>
      <c r="C2163" s="2" t="s">
        <v>23</v>
      </c>
      <c r="K2163" s="2">
        <v>60.0</v>
      </c>
      <c r="N2163" s="6">
        <v>45725.0</v>
      </c>
      <c r="Q2163" s="2" t="s">
        <v>4487</v>
      </c>
    </row>
    <row r="2164">
      <c r="A2164" s="2">
        <v>2163.0</v>
      </c>
      <c r="B2164" s="2" t="s">
        <v>4488</v>
      </c>
      <c r="C2164" s="2" t="s">
        <v>23</v>
      </c>
      <c r="N2164" s="6">
        <v>44738.0</v>
      </c>
      <c r="Q2164" s="2" t="s">
        <v>86</v>
      </c>
    </row>
    <row r="2165">
      <c r="A2165" s="2">
        <v>2164.0</v>
      </c>
      <c r="B2165" s="2" t="s">
        <v>4489</v>
      </c>
      <c r="C2165" s="2" t="s">
        <v>23</v>
      </c>
      <c r="K2165" s="2">
        <v>10.0</v>
      </c>
      <c r="N2165" s="6">
        <v>44863.0</v>
      </c>
      <c r="Q2165" s="2" t="s">
        <v>4490</v>
      </c>
    </row>
    <row r="2166">
      <c r="A2166" s="2">
        <v>2165.0</v>
      </c>
      <c r="B2166" s="2" t="s">
        <v>4491</v>
      </c>
      <c r="C2166" s="2" t="s">
        <v>23</v>
      </c>
      <c r="N2166" s="6">
        <v>44581.0</v>
      </c>
      <c r="Q2166" s="2" t="s">
        <v>86</v>
      </c>
    </row>
    <row r="2167">
      <c r="A2167" s="2">
        <v>2166.0</v>
      </c>
      <c r="B2167" s="2" t="s">
        <v>4492</v>
      </c>
      <c r="C2167" s="2" t="s">
        <v>23</v>
      </c>
      <c r="K2167" s="2">
        <v>100.0</v>
      </c>
      <c r="N2167" s="6">
        <v>44427.0</v>
      </c>
      <c r="Q2167" s="2" t="s">
        <v>4493</v>
      </c>
    </row>
    <row r="2168">
      <c r="A2168" s="2">
        <v>2167.0</v>
      </c>
      <c r="B2168" s="2" t="s">
        <v>4494</v>
      </c>
      <c r="C2168" s="2" t="s">
        <v>23</v>
      </c>
      <c r="K2168" s="2">
        <v>200.0</v>
      </c>
      <c r="N2168" s="6">
        <v>44261.0</v>
      </c>
      <c r="Q2168" s="2" t="s">
        <v>4495</v>
      </c>
    </row>
    <row r="2169">
      <c r="A2169" s="2">
        <v>2168.0</v>
      </c>
      <c r="B2169" s="2" t="s">
        <v>4496</v>
      </c>
      <c r="C2169" s="2" t="s">
        <v>23</v>
      </c>
      <c r="K2169" s="2">
        <v>200.0</v>
      </c>
      <c r="N2169" s="6">
        <v>44129.0</v>
      </c>
      <c r="Q2169" s="2" t="s">
        <v>4497</v>
      </c>
    </row>
    <row r="2170">
      <c r="A2170" s="2">
        <v>2169.0</v>
      </c>
      <c r="B2170" s="2" t="s">
        <v>4498</v>
      </c>
      <c r="C2170" s="2" t="s">
        <v>23</v>
      </c>
      <c r="K2170" s="2">
        <v>30.0</v>
      </c>
      <c r="N2170" s="6">
        <v>44487.0</v>
      </c>
      <c r="Q2170" s="2" t="s">
        <v>3133</v>
      </c>
    </row>
    <row r="2171">
      <c r="A2171" s="2">
        <v>2170.0</v>
      </c>
      <c r="B2171" s="2" t="s">
        <v>4499</v>
      </c>
      <c r="C2171" s="2" t="s">
        <v>23</v>
      </c>
      <c r="N2171" s="6">
        <v>44655.0</v>
      </c>
      <c r="Q2171" s="2" t="s">
        <v>86</v>
      </c>
    </row>
    <row r="2172">
      <c r="A2172" s="2">
        <v>2171.0</v>
      </c>
      <c r="B2172" s="2" t="s">
        <v>4500</v>
      </c>
      <c r="C2172" s="2" t="s">
        <v>23</v>
      </c>
      <c r="K2172" s="2">
        <v>30.0</v>
      </c>
      <c r="N2172" s="6">
        <v>45241.0</v>
      </c>
      <c r="Q2172" s="2" t="s">
        <v>4501</v>
      </c>
    </row>
    <row r="2173">
      <c r="A2173" s="2">
        <v>2172.0</v>
      </c>
      <c r="B2173" s="2" t="s">
        <v>4502</v>
      </c>
      <c r="C2173" s="2" t="s">
        <v>23</v>
      </c>
      <c r="K2173" s="2">
        <v>200.0</v>
      </c>
      <c r="N2173" s="6">
        <v>44872.0</v>
      </c>
      <c r="Q2173" s="2" t="s">
        <v>4503</v>
      </c>
    </row>
    <row r="2174">
      <c r="A2174" s="2">
        <v>2173.0</v>
      </c>
      <c r="B2174" s="2" t="s">
        <v>4504</v>
      </c>
      <c r="C2174" s="2" t="s">
        <v>23</v>
      </c>
      <c r="N2174" s="6">
        <v>44276.0</v>
      </c>
      <c r="Q2174" s="2" t="s">
        <v>86</v>
      </c>
    </row>
    <row r="2175">
      <c r="A2175" s="2">
        <v>2174.0</v>
      </c>
      <c r="B2175" s="2" t="s">
        <v>4505</v>
      </c>
      <c r="C2175" s="2" t="s">
        <v>23</v>
      </c>
      <c r="N2175" s="6">
        <v>45664.0</v>
      </c>
      <c r="Q2175" s="2" t="s">
        <v>4506</v>
      </c>
    </row>
    <row r="2176">
      <c r="A2176" s="2">
        <v>2175.0</v>
      </c>
      <c r="B2176" s="2" t="s">
        <v>4507</v>
      </c>
      <c r="C2176" s="2" t="s">
        <v>23</v>
      </c>
      <c r="K2176" s="2">
        <v>50.0</v>
      </c>
      <c r="N2176" s="6">
        <v>45286.0</v>
      </c>
      <c r="Q2176" s="2" t="s">
        <v>2672</v>
      </c>
    </row>
    <row r="2177">
      <c r="A2177" s="2">
        <v>2176.0</v>
      </c>
      <c r="B2177" s="2" t="s">
        <v>4508</v>
      </c>
      <c r="C2177" s="2" t="s">
        <v>23</v>
      </c>
      <c r="K2177" s="2">
        <v>30.0</v>
      </c>
      <c r="N2177" s="6">
        <v>44739.0</v>
      </c>
      <c r="Q2177" s="2" t="s">
        <v>3232</v>
      </c>
    </row>
    <row r="2178">
      <c r="A2178" s="2">
        <v>2177.0</v>
      </c>
      <c r="B2178" s="2" t="s">
        <v>4509</v>
      </c>
      <c r="C2178" s="2" t="s">
        <v>23</v>
      </c>
      <c r="N2178" s="6">
        <v>45949.0</v>
      </c>
      <c r="Q2178" s="2" t="s">
        <v>4510</v>
      </c>
    </row>
    <row r="2179">
      <c r="A2179" s="2">
        <v>2178.0</v>
      </c>
      <c r="B2179" s="2" t="s">
        <v>4511</v>
      </c>
      <c r="C2179" s="2" t="s">
        <v>23</v>
      </c>
      <c r="K2179" s="2">
        <v>200.0</v>
      </c>
      <c r="N2179" s="6">
        <v>44002.0</v>
      </c>
      <c r="Q2179" s="2" t="s">
        <v>4512</v>
      </c>
    </row>
    <row r="2180">
      <c r="A2180" s="2">
        <v>2179.0</v>
      </c>
      <c r="B2180" s="2" t="s">
        <v>4513</v>
      </c>
      <c r="C2180" s="2" t="s">
        <v>23</v>
      </c>
      <c r="N2180" s="6">
        <v>45666.0</v>
      </c>
      <c r="Q2180" s="2" t="s">
        <v>4514</v>
      </c>
    </row>
    <row r="2181">
      <c r="A2181" s="2">
        <v>2180.0</v>
      </c>
      <c r="B2181" s="2" t="s">
        <v>4515</v>
      </c>
      <c r="C2181" s="2" t="s">
        <v>23</v>
      </c>
      <c r="K2181" s="2">
        <v>100.0</v>
      </c>
      <c r="N2181" s="6">
        <v>44581.0</v>
      </c>
      <c r="Q2181" s="2" t="s">
        <v>4516</v>
      </c>
    </row>
    <row r="2182">
      <c r="A2182" s="2">
        <v>2181.0</v>
      </c>
      <c r="B2182" s="2" t="s">
        <v>4517</v>
      </c>
      <c r="C2182" s="2" t="s">
        <v>23</v>
      </c>
      <c r="K2182" s="2">
        <v>10.0</v>
      </c>
      <c r="N2182" s="6">
        <v>45307.0</v>
      </c>
      <c r="Q2182" s="2" t="s">
        <v>86</v>
      </c>
    </row>
    <row r="2183">
      <c r="A2183" s="2">
        <v>2182.0</v>
      </c>
      <c r="B2183" s="2" t="s">
        <v>4518</v>
      </c>
      <c r="C2183" s="2" t="s">
        <v>23</v>
      </c>
      <c r="N2183" s="6">
        <v>44274.0</v>
      </c>
      <c r="Q2183" s="2" t="s">
        <v>86</v>
      </c>
    </row>
    <row r="2184">
      <c r="A2184" s="2">
        <v>2183.0</v>
      </c>
      <c r="B2184" s="2" t="s">
        <v>4519</v>
      </c>
      <c r="C2184" s="2" t="s">
        <v>23</v>
      </c>
      <c r="N2184" s="6">
        <v>44689.0</v>
      </c>
      <c r="Q2184" s="2" t="s">
        <v>86</v>
      </c>
    </row>
    <row r="2185">
      <c r="A2185" s="2">
        <v>2184.0</v>
      </c>
      <c r="B2185" s="2" t="s">
        <v>4520</v>
      </c>
      <c r="C2185" s="2" t="s">
        <v>23</v>
      </c>
      <c r="N2185" s="6">
        <v>44667.0</v>
      </c>
      <c r="Q2185" s="2" t="s">
        <v>86</v>
      </c>
    </row>
    <row r="2186">
      <c r="A2186" s="2">
        <v>2185.0</v>
      </c>
      <c r="B2186" s="2" t="s">
        <v>4521</v>
      </c>
      <c r="C2186" s="2" t="s">
        <v>23</v>
      </c>
      <c r="K2186" s="2">
        <v>100.0</v>
      </c>
      <c r="N2186" s="6">
        <v>44602.0</v>
      </c>
      <c r="Q2186" s="2" t="s">
        <v>4522</v>
      </c>
    </row>
    <row r="2187">
      <c r="A2187" s="2">
        <v>2186.0</v>
      </c>
      <c r="B2187" s="2" t="s">
        <v>4523</v>
      </c>
      <c r="C2187" s="2" t="s">
        <v>23</v>
      </c>
      <c r="K2187" s="2">
        <v>10.0</v>
      </c>
      <c r="N2187" s="6">
        <v>45668.0</v>
      </c>
      <c r="Q2187" s="2" t="s">
        <v>1037</v>
      </c>
    </row>
    <row r="2188">
      <c r="A2188" s="2">
        <v>2187.0</v>
      </c>
      <c r="B2188" s="2" t="s">
        <v>4524</v>
      </c>
      <c r="C2188" s="2" t="s">
        <v>23</v>
      </c>
      <c r="K2188" s="2">
        <v>10.0</v>
      </c>
      <c r="N2188" s="6">
        <v>43572.0</v>
      </c>
      <c r="Q2188" s="2" t="s">
        <v>86</v>
      </c>
    </row>
    <row r="2189">
      <c r="A2189" s="2">
        <v>2188.0</v>
      </c>
      <c r="B2189" s="2" t="s">
        <v>4525</v>
      </c>
      <c r="C2189" s="2" t="s">
        <v>23</v>
      </c>
      <c r="K2189" s="2">
        <v>20.0</v>
      </c>
      <c r="N2189" s="6">
        <v>44832.0</v>
      </c>
      <c r="Q2189" s="2" t="s">
        <v>4526</v>
      </c>
    </row>
    <row r="2190">
      <c r="A2190" s="2">
        <v>2189.0</v>
      </c>
      <c r="B2190" s="2" t="s">
        <v>4527</v>
      </c>
      <c r="C2190" s="2" t="s">
        <v>23</v>
      </c>
      <c r="K2190" s="2">
        <v>40.0</v>
      </c>
      <c r="N2190" s="6">
        <v>42922.0</v>
      </c>
      <c r="Q2190" s="2" t="s">
        <v>4528</v>
      </c>
    </row>
    <row r="2191">
      <c r="A2191" s="2">
        <v>2190.0</v>
      </c>
      <c r="B2191" s="2" t="s">
        <v>4529</v>
      </c>
      <c r="C2191" s="2" t="s">
        <v>23</v>
      </c>
      <c r="K2191" s="2">
        <v>40.0</v>
      </c>
      <c r="N2191" s="6">
        <v>43902.0</v>
      </c>
      <c r="Q2191" s="2" t="s">
        <v>4530</v>
      </c>
    </row>
    <row r="2192">
      <c r="A2192" s="2">
        <v>2191.0</v>
      </c>
      <c r="B2192" s="2" t="s">
        <v>4531</v>
      </c>
      <c r="C2192" s="2" t="s">
        <v>23</v>
      </c>
      <c r="N2192" s="6">
        <v>43485.0</v>
      </c>
      <c r="Q2192" s="2" t="s">
        <v>86</v>
      </c>
    </row>
    <row r="2193">
      <c r="A2193" s="2">
        <v>2192.0</v>
      </c>
      <c r="B2193" s="2" t="s">
        <v>4532</v>
      </c>
      <c r="C2193" s="2" t="s">
        <v>23</v>
      </c>
      <c r="K2193" s="2">
        <v>150.0</v>
      </c>
      <c r="N2193" s="6">
        <v>43941.0</v>
      </c>
      <c r="Q2193" s="2" t="s">
        <v>4533</v>
      </c>
    </row>
    <row r="2194">
      <c r="A2194" s="2">
        <v>2193.0</v>
      </c>
      <c r="B2194" s="2" t="s">
        <v>4534</v>
      </c>
      <c r="C2194" s="2" t="s">
        <v>23</v>
      </c>
      <c r="N2194" s="6">
        <v>44700.0</v>
      </c>
      <c r="Q2194" s="2" t="s">
        <v>4535</v>
      </c>
    </row>
    <row r="2195">
      <c r="A2195" s="2">
        <v>2194.0</v>
      </c>
      <c r="B2195" s="2" t="s">
        <v>4536</v>
      </c>
      <c r="C2195" s="2" t="s">
        <v>23</v>
      </c>
      <c r="K2195" s="2">
        <v>30.0</v>
      </c>
      <c r="N2195" s="6">
        <v>45632.0</v>
      </c>
      <c r="Q2195" s="2" t="s">
        <v>4537</v>
      </c>
    </row>
    <row r="2196">
      <c r="A2196" s="2">
        <v>2195.0</v>
      </c>
      <c r="B2196" s="2" t="s">
        <v>4538</v>
      </c>
      <c r="C2196" s="2" t="s">
        <v>23</v>
      </c>
      <c r="K2196" s="2">
        <v>10.0</v>
      </c>
      <c r="N2196" s="6">
        <v>44272.0</v>
      </c>
      <c r="Q2196" s="2" t="s">
        <v>4539</v>
      </c>
    </row>
    <row r="2197">
      <c r="A2197" s="2">
        <v>2196.0</v>
      </c>
      <c r="B2197" s="2" t="s">
        <v>4540</v>
      </c>
      <c r="C2197" s="2" t="s">
        <v>23</v>
      </c>
      <c r="K2197" s="2">
        <v>40.0</v>
      </c>
      <c r="N2197" s="6">
        <v>45152.0</v>
      </c>
      <c r="Q2197" s="2" t="s">
        <v>2583</v>
      </c>
    </row>
    <row r="2198">
      <c r="A2198" s="2">
        <v>2197.0</v>
      </c>
      <c r="B2198" s="2" t="s">
        <v>4541</v>
      </c>
      <c r="C2198" s="2" t="s">
        <v>23</v>
      </c>
      <c r="N2198" s="6">
        <v>44145.0</v>
      </c>
      <c r="Q2198" s="2" t="s">
        <v>86</v>
      </c>
    </row>
    <row r="2199">
      <c r="A2199" s="2">
        <v>2198.0</v>
      </c>
      <c r="B2199" s="2" t="s">
        <v>4542</v>
      </c>
      <c r="C2199" s="2" t="s">
        <v>23</v>
      </c>
      <c r="N2199" s="6">
        <v>44739.0</v>
      </c>
      <c r="Q2199" s="2" t="s">
        <v>86</v>
      </c>
    </row>
    <row r="2200">
      <c r="A2200" s="2">
        <v>2199.0</v>
      </c>
      <c r="B2200" s="2" t="s">
        <v>4543</v>
      </c>
      <c r="C2200" s="2" t="s">
        <v>23</v>
      </c>
      <c r="K2200" s="2">
        <v>30.0</v>
      </c>
      <c r="N2200" s="6">
        <v>44027.0</v>
      </c>
      <c r="Q2200" s="2" t="s">
        <v>86</v>
      </c>
    </row>
    <row r="2201">
      <c r="A2201" s="2">
        <v>2200.0</v>
      </c>
      <c r="B2201" s="2" t="s">
        <v>4544</v>
      </c>
      <c r="C2201" s="2" t="s">
        <v>23</v>
      </c>
      <c r="N2201" s="6">
        <v>44146.0</v>
      </c>
      <c r="Q2201" s="2" t="s">
        <v>86</v>
      </c>
    </row>
    <row r="2202">
      <c r="A2202" s="2">
        <v>2201.0</v>
      </c>
      <c r="B2202" s="2" t="s">
        <v>4545</v>
      </c>
      <c r="C2202" s="2" t="s">
        <v>23</v>
      </c>
      <c r="N2202" s="6">
        <v>44575.0</v>
      </c>
      <c r="Q2202" s="2" t="s">
        <v>491</v>
      </c>
    </row>
    <row r="2203">
      <c r="A2203" s="2">
        <v>2202.0</v>
      </c>
      <c r="B2203" s="2" t="s">
        <v>4546</v>
      </c>
      <c r="C2203" s="2" t="s">
        <v>23</v>
      </c>
      <c r="N2203" s="6">
        <v>44505.0</v>
      </c>
      <c r="Q2203" s="2" t="s">
        <v>86</v>
      </c>
    </row>
    <row r="2204">
      <c r="A2204" s="2">
        <v>2203.0</v>
      </c>
      <c r="B2204" s="2" t="s">
        <v>4547</v>
      </c>
      <c r="C2204" s="2" t="s">
        <v>23</v>
      </c>
      <c r="N2204" s="6">
        <v>44521.0</v>
      </c>
      <c r="Q2204" s="2" t="s">
        <v>86</v>
      </c>
    </row>
    <row r="2205">
      <c r="A2205" s="2">
        <v>2204.0</v>
      </c>
      <c r="B2205" s="2" t="s">
        <v>4548</v>
      </c>
      <c r="C2205" s="2" t="s">
        <v>23</v>
      </c>
      <c r="N2205" s="6">
        <v>44746.0</v>
      </c>
      <c r="Q2205" s="2" t="s">
        <v>4549</v>
      </c>
    </row>
    <row r="2206">
      <c r="A2206" s="2">
        <v>2205.0</v>
      </c>
      <c r="B2206" s="2" t="s">
        <v>4550</v>
      </c>
      <c r="C2206" s="2" t="s">
        <v>23</v>
      </c>
      <c r="K2206" s="2">
        <v>10.0</v>
      </c>
      <c r="N2206" s="6">
        <v>44010.0</v>
      </c>
      <c r="Q2206" s="2" t="s">
        <v>86</v>
      </c>
    </row>
    <row r="2207">
      <c r="A2207" s="2">
        <v>2206.0</v>
      </c>
      <c r="B2207" s="2" t="s">
        <v>4551</v>
      </c>
      <c r="C2207" s="2" t="s">
        <v>23</v>
      </c>
      <c r="N2207" s="6">
        <v>44857.0</v>
      </c>
      <c r="Q2207" s="2" t="s">
        <v>4552</v>
      </c>
    </row>
    <row r="2208">
      <c r="A2208" s="2">
        <v>2207.0</v>
      </c>
      <c r="B2208" s="2" t="s">
        <v>4553</v>
      </c>
      <c r="C2208" s="2" t="s">
        <v>23</v>
      </c>
      <c r="K2208" s="2">
        <v>20.0</v>
      </c>
      <c r="N2208" s="6">
        <v>45612.0</v>
      </c>
      <c r="Q2208" s="2" t="s">
        <v>4554</v>
      </c>
    </row>
    <row r="2209">
      <c r="A2209" s="2">
        <v>2208.0</v>
      </c>
      <c r="B2209" s="2" t="s">
        <v>4555</v>
      </c>
      <c r="C2209" s="2" t="s">
        <v>23</v>
      </c>
      <c r="K2209" s="2">
        <v>70.0</v>
      </c>
      <c r="N2209" s="6">
        <v>44710.0</v>
      </c>
      <c r="Q2209" s="2" t="s">
        <v>4556</v>
      </c>
    </row>
    <row r="2210">
      <c r="A2210" s="2">
        <v>2209.0</v>
      </c>
      <c r="B2210" s="2" t="s">
        <v>4557</v>
      </c>
      <c r="C2210" s="2" t="s">
        <v>23</v>
      </c>
      <c r="K2210" s="2">
        <v>100.0</v>
      </c>
      <c r="N2210" s="6">
        <v>43998.0</v>
      </c>
      <c r="Q2210" s="2" t="s">
        <v>2738</v>
      </c>
    </row>
    <row r="2211">
      <c r="A2211" s="2">
        <v>2210.0</v>
      </c>
      <c r="B2211" s="2" t="s">
        <v>4558</v>
      </c>
      <c r="C2211" s="2" t="s">
        <v>23</v>
      </c>
      <c r="K2211" s="2">
        <v>10.0</v>
      </c>
      <c r="N2211" s="6">
        <v>44651.0</v>
      </c>
      <c r="Q2211" s="2" t="s">
        <v>86</v>
      </c>
    </row>
    <row r="2212">
      <c r="A2212" s="2">
        <v>2211.0</v>
      </c>
      <c r="B2212" s="2" t="s">
        <v>4559</v>
      </c>
      <c r="C2212" s="2" t="s">
        <v>23</v>
      </c>
      <c r="K2212" s="2">
        <v>10.0</v>
      </c>
      <c r="N2212" s="6">
        <v>44132.0</v>
      </c>
      <c r="Q2212" s="2" t="s">
        <v>4560</v>
      </c>
    </row>
    <row r="2213">
      <c r="A2213" s="2">
        <v>2212.0</v>
      </c>
      <c r="B2213" s="2" t="s">
        <v>4561</v>
      </c>
      <c r="C2213" s="2" t="s">
        <v>23</v>
      </c>
      <c r="N2213" s="6">
        <v>44571.0</v>
      </c>
      <c r="Q2213" s="2" t="s">
        <v>86</v>
      </c>
    </row>
    <row r="2214">
      <c r="A2214" s="2">
        <v>2213.0</v>
      </c>
      <c r="B2214" s="2" t="s">
        <v>4562</v>
      </c>
      <c r="C2214" s="2" t="s">
        <v>23</v>
      </c>
      <c r="K2214" s="2">
        <v>20.0</v>
      </c>
      <c r="N2214" s="6">
        <v>44798.0</v>
      </c>
      <c r="Q2214" s="2" t="s">
        <v>86</v>
      </c>
    </row>
    <row r="2215">
      <c r="A2215" s="2">
        <v>2214.0</v>
      </c>
      <c r="B2215" s="2" t="s">
        <v>4563</v>
      </c>
      <c r="C2215" s="2" t="s">
        <v>23</v>
      </c>
      <c r="K2215" s="2">
        <v>600.0</v>
      </c>
      <c r="N2215" s="6">
        <v>44425.0</v>
      </c>
      <c r="Q2215" s="2" t="s">
        <v>4564</v>
      </c>
    </row>
    <row r="2216">
      <c r="A2216" s="2">
        <v>2215.0</v>
      </c>
      <c r="B2216" s="2" t="s">
        <v>4565</v>
      </c>
      <c r="C2216" s="2" t="s">
        <v>23</v>
      </c>
      <c r="K2216" s="2">
        <v>20.0</v>
      </c>
      <c r="N2216" s="6">
        <v>44708.0</v>
      </c>
      <c r="Q2216" s="2" t="s">
        <v>4566</v>
      </c>
    </row>
    <row r="2217">
      <c r="A2217" s="2">
        <v>2216.0</v>
      </c>
      <c r="B2217" s="2" t="s">
        <v>4567</v>
      </c>
      <c r="C2217" s="2" t="s">
        <v>23</v>
      </c>
      <c r="K2217" s="2">
        <v>10.0</v>
      </c>
      <c r="N2217" s="6">
        <v>44856.0</v>
      </c>
      <c r="Q2217" s="2" t="s">
        <v>1116</v>
      </c>
    </row>
    <row r="2218">
      <c r="A2218" s="2">
        <v>2217.0</v>
      </c>
      <c r="B2218" s="2" t="s">
        <v>4568</v>
      </c>
      <c r="C2218" s="2" t="s">
        <v>23</v>
      </c>
      <c r="K2218" s="2">
        <v>100.0</v>
      </c>
      <c r="N2218" s="6">
        <v>44479.0</v>
      </c>
      <c r="Q2218" s="2" t="s">
        <v>4569</v>
      </c>
    </row>
    <row r="2219">
      <c r="A2219" s="2">
        <v>2218.0</v>
      </c>
      <c r="B2219" s="2" t="s">
        <v>4570</v>
      </c>
      <c r="C2219" s="2" t="s">
        <v>23</v>
      </c>
      <c r="K2219" s="2">
        <v>60.0</v>
      </c>
      <c r="N2219" s="6">
        <v>44612.0</v>
      </c>
      <c r="Q2219" s="2" t="s">
        <v>1466</v>
      </c>
    </row>
    <row r="2220">
      <c r="A2220" s="2">
        <v>2219.0</v>
      </c>
      <c r="B2220" s="2" t="s">
        <v>4571</v>
      </c>
      <c r="C2220" s="2" t="s">
        <v>23</v>
      </c>
      <c r="N2220" s="6">
        <v>44027.0</v>
      </c>
      <c r="Q2220" s="2" t="s">
        <v>86</v>
      </c>
    </row>
    <row r="2221">
      <c r="A2221" s="2">
        <v>2220.0</v>
      </c>
      <c r="B2221" s="2" t="s">
        <v>4572</v>
      </c>
      <c r="C2221" s="2" t="s">
        <v>23</v>
      </c>
      <c r="K2221" s="2">
        <v>10.0</v>
      </c>
      <c r="N2221" s="6">
        <v>45565.0</v>
      </c>
      <c r="Q2221" s="2" t="s">
        <v>3751</v>
      </c>
    </row>
    <row r="2222">
      <c r="A2222" s="2">
        <v>2221.0</v>
      </c>
      <c r="B2222" s="2" t="s">
        <v>4573</v>
      </c>
      <c r="C2222" s="2" t="s">
        <v>23</v>
      </c>
      <c r="K2222" s="2">
        <v>20.0</v>
      </c>
      <c r="N2222" s="6">
        <v>43841.0</v>
      </c>
      <c r="Q2222" s="2" t="s">
        <v>86</v>
      </c>
    </row>
    <row r="2223">
      <c r="A2223" s="2">
        <v>2222.0</v>
      </c>
      <c r="B2223" s="2" t="s">
        <v>4574</v>
      </c>
      <c r="C2223" s="2" t="s">
        <v>23</v>
      </c>
      <c r="N2223" s="6">
        <v>45583.0</v>
      </c>
      <c r="Q2223" s="2" t="s">
        <v>2583</v>
      </c>
    </row>
    <row r="2224">
      <c r="A2224" s="2">
        <v>2223.0</v>
      </c>
      <c r="B2224" s="2" t="s">
        <v>4575</v>
      </c>
      <c r="C2224" s="2" t="s">
        <v>23</v>
      </c>
      <c r="N2224" s="6">
        <v>44739.0</v>
      </c>
      <c r="Q2224" s="2" t="s">
        <v>86</v>
      </c>
    </row>
    <row r="2225">
      <c r="A2225" s="2">
        <v>2224.0</v>
      </c>
      <c r="B2225" s="2" t="s">
        <v>4576</v>
      </c>
      <c r="C2225" s="2" t="s">
        <v>23</v>
      </c>
      <c r="N2225" s="6">
        <v>45617.0</v>
      </c>
      <c r="Q2225" s="2" t="s">
        <v>4577</v>
      </c>
    </row>
    <row r="2226">
      <c r="A2226" s="2">
        <v>2225.0</v>
      </c>
      <c r="B2226" s="2" t="s">
        <v>4578</v>
      </c>
      <c r="C2226" s="2" t="s">
        <v>23</v>
      </c>
      <c r="K2226" s="2">
        <v>10.0</v>
      </c>
      <c r="N2226" s="6">
        <v>44350.0</v>
      </c>
      <c r="Q2226" s="2" t="s">
        <v>1437</v>
      </c>
    </row>
    <row r="2227">
      <c r="A2227" s="2">
        <v>2226.0</v>
      </c>
      <c r="B2227" s="2" t="s">
        <v>4579</v>
      </c>
      <c r="C2227" s="2" t="s">
        <v>23</v>
      </c>
      <c r="N2227" s="6">
        <v>44874.0</v>
      </c>
      <c r="Q2227" s="2" t="s">
        <v>86</v>
      </c>
    </row>
    <row r="2228">
      <c r="A2228" s="2">
        <v>2227.0</v>
      </c>
      <c r="B2228" s="2" t="s">
        <v>4580</v>
      </c>
      <c r="C2228" s="2" t="s">
        <v>23</v>
      </c>
      <c r="N2228" s="6">
        <v>44680.0</v>
      </c>
      <c r="Q2228" s="2" t="s">
        <v>86</v>
      </c>
    </row>
    <row r="2229">
      <c r="A2229" s="2">
        <v>2228.0</v>
      </c>
      <c r="B2229" s="2" t="s">
        <v>4581</v>
      </c>
      <c r="C2229" s="2" t="s">
        <v>23</v>
      </c>
      <c r="N2229" s="6">
        <v>44000.0</v>
      </c>
      <c r="Q2229" s="2" t="s">
        <v>86</v>
      </c>
    </row>
    <row r="2230">
      <c r="A2230" s="2">
        <v>2229.0</v>
      </c>
      <c r="B2230" s="2" t="s">
        <v>157</v>
      </c>
      <c r="C2230" s="2" t="s">
        <v>23</v>
      </c>
      <c r="N2230" s="6">
        <v>44370.0</v>
      </c>
      <c r="Q2230" s="2" t="s">
        <v>86</v>
      </c>
    </row>
    <row r="2231">
      <c r="A2231" s="2">
        <v>2230.0</v>
      </c>
      <c r="B2231" s="2" t="s">
        <v>4582</v>
      </c>
      <c r="C2231" s="2" t="s">
        <v>23</v>
      </c>
      <c r="N2231" s="6">
        <v>44121.0</v>
      </c>
      <c r="Q2231" s="2" t="s">
        <v>86</v>
      </c>
    </row>
    <row r="2232">
      <c r="A2232" s="2">
        <v>2231.0</v>
      </c>
      <c r="B2232" s="2" t="s">
        <v>4583</v>
      </c>
      <c r="C2232" s="2" t="s">
        <v>23</v>
      </c>
      <c r="K2232" s="2">
        <v>10.0</v>
      </c>
      <c r="N2232" s="6">
        <v>44106.0</v>
      </c>
      <c r="Q2232" s="2" t="s">
        <v>4584</v>
      </c>
    </row>
    <row r="2233">
      <c r="A2233" s="2">
        <v>2232.0</v>
      </c>
      <c r="B2233" s="2" t="s">
        <v>4585</v>
      </c>
      <c r="C2233" s="2" t="s">
        <v>23</v>
      </c>
      <c r="K2233" s="2">
        <v>90.0</v>
      </c>
      <c r="N2233" s="6">
        <v>44677.0</v>
      </c>
      <c r="Q2233" s="2" t="s">
        <v>89</v>
      </c>
    </row>
    <row r="2234">
      <c r="A2234" s="2">
        <v>2233.0</v>
      </c>
      <c r="B2234" s="2" t="s">
        <v>4586</v>
      </c>
      <c r="C2234" s="2" t="s">
        <v>23</v>
      </c>
      <c r="N2234" s="6">
        <v>44760.0</v>
      </c>
      <c r="Q2234" s="2" t="s">
        <v>86</v>
      </c>
    </row>
    <row r="2235">
      <c r="A2235" s="2">
        <v>2234.0</v>
      </c>
      <c r="B2235" s="2" t="s">
        <v>4587</v>
      </c>
      <c r="C2235" s="2" t="s">
        <v>23</v>
      </c>
      <c r="N2235" s="6">
        <v>44962.0</v>
      </c>
      <c r="Q2235" s="2" t="s">
        <v>86</v>
      </c>
    </row>
    <row r="2236">
      <c r="A2236" s="2">
        <v>2235.0</v>
      </c>
      <c r="B2236" s="2" t="s">
        <v>4588</v>
      </c>
      <c r="C2236" s="2" t="s">
        <v>23</v>
      </c>
      <c r="N2236" s="6">
        <v>45059.0</v>
      </c>
      <c r="Q2236" s="2" t="s">
        <v>4589</v>
      </c>
    </row>
    <row r="2237">
      <c r="A2237" s="2">
        <v>2236.0</v>
      </c>
      <c r="B2237" s="2" t="s">
        <v>4590</v>
      </c>
      <c r="C2237" s="2" t="s">
        <v>23</v>
      </c>
      <c r="K2237" s="2">
        <v>20.0</v>
      </c>
      <c r="N2237" s="6">
        <v>44787.0</v>
      </c>
      <c r="Q2237" s="2" t="s">
        <v>4591</v>
      </c>
    </row>
    <row r="2238">
      <c r="A2238" s="2">
        <v>2237.0</v>
      </c>
      <c r="B2238" s="2" t="s">
        <v>4592</v>
      </c>
      <c r="C2238" s="2" t="s">
        <v>23</v>
      </c>
      <c r="K2238" s="2">
        <v>40.0</v>
      </c>
      <c r="N2238" s="6">
        <v>45243.0</v>
      </c>
      <c r="Q2238" s="2" t="s">
        <v>1249</v>
      </c>
    </row>
    <row r="2239">
      <c r="A2239" s="2">
        <v>2238.0</v>
      </c>
      <c r="B2239" s="2" t="s">
        <v>4593</v>
      </c>
      <c r="C2239" s="2" t="s">
        <v>23</v>
      </c>
      <c r="N2239" s="6">
        <v>45451.0</v>
      </c>
      <c r="Q2239" s="2" t="s">
        <v>3695</v>
      </c>
    </row>
    <row r="2240">
      <c r="A2240" s="2">
        <v>2239.0</v>
      </c>
      <c r="B2240" s="2" t="s">
        <v>4594</v>
      </c>
      <c r="C2240" s="2" t="s">
        <v>23</v>
      </c>
      <c r="N2240" s="6">
        <v>44485.0</v>
      </c>
      <c r="Q2240" s="2" t="s">
        <v>86</v>
      </c>
    </row>
    <row r="2241">
      <c r="A2241" s="2">
        <v>2240.0</v>
      </c>
      <c r="B2241" s="2" t="s">
        <v>4595</v>
      </c>
      <c r="C2241" s="2" t="s">
        <v>23</v>
      </c>
      <c r="N2241" s="6">
        <v>45020.0</v>
      </c>
      <c r="Q2241" s="2" t="s">
        <v>86</v>
      </c>
    </row>
    <row r="2242">
      <c r="A2242" s="2">
        <v>2241.0</v>
      </c>
      <c r="B2242" s="2" t="s">
        <v>4596</v>
      </c>
      <c r="C2242" s="2" t="s">
        <v>23</v>
      </c>
      <c r="K2242" s="2">
        <v>20.0</v>
      </c>
      <c r="N2242" s="6">
        <v>44101.0</v>
      </c>
      <c r="Q2242" s="2" t="s">
        <v>86</v>
      </c>
    </row>
    <row r="2243">
      <c r="A2243" s="2">
        <v>2242.0</v>
      </c>
      <c r="B2243" s="2" t="s">
        <v>4597</v>
      </c>
      <c r="C2243" s="2" t="s">
        <v>23</v>
      </c>
      <c r="N2243" s="6">
        <v>42286.0</v>
      </c>
      <c r="Q2243" s="2" t="s">
        <v>86</v>
      </c>
    </row>
    <row r="2244">
      <c r="A2244" s="2">
        <v>2243.0</v>
      </c>
      <c r="B2244" s="2" t="s">
        <v>4598</v>
      </c>
      <c r="C2244" s="2" t="s">
        <v>23</v>
      </c>
      <c r="K2244" s="2">
        <v>100.0</v>
      </c>
      <c r="N2244" s="6">
        <v>45728.0</v>
      </c>
      <c r="Q2244" s="2" t="s">
        <v>4599</v>
      </c>
    </row>
    <row r="2245">
      <c r="A2245" s="2">
        <v>2244.0</v>
      </c>
      <c r="B2245" s="2" t="s">
        <v>4600</v>
      </c>
      <c r="C2245" s="2" t="s">
        <v>23</v>
      </c>
      <c r="K2245" s="2">
        <v>50.0</v>
      </c>
      <c r="N2245" s="6">
        <v>45584.0</v>
      </c>
      <c r="Q2245" s="2" t="s">
        <v>4601</v>
      </c>
    </row>
    <row r="2246">
      <c r="A2246" s="2">
        <v>2245.0</v>
      </c>
      <c r="B2246" s="2" t="s">
        <v>4602</v>
      </c>
      <c r="C2246" s="2" t="s">
        <v>23</v>
      </c>
      <c r="N2246" s="6">
        <v>44373.0</v>
      </c>
      <c r="Q2246" s="2" t="s">
        <v>86</v>
      </c>
    </row>
    <row r="2247">
      <c r="A2247" s="2">
        <v>2246.0</v>
      </c>
      <c r="B2247" s="2" t="s">
        <v>4603</v>
      </c>
      <c r="C2247" s="2" t="s">
        <v>23</v>
      </c>
      <c r="N2247" s="6">
        <v>44143.0</v>
      </c>
      <c r="Q2247" s="2" t="s">
        <v>86</v>
      </c>
    </row>
    <row r="2248">
      <c r="A2248" s="2">
        <v>2247.0</v>
      </c>
      <c r="B2248" s="2" t="s">
        <v>4604</v>
      </c>
      <c r="C2248" s="2" t="s">
        <v>23</v>
      </c>
      <c r="K2248" s="2">
        <v>20.0</v>
      </c>
      <c r="N2248" s="6">
        <v>43601.0</v>
      </c>
      <c r="Q2248" s="2" t="s">
        <v>1249</v>
      </c>
    </row>
    <row r="2249">
      <c r="A2249" s="2">
        <v>2248.0</v>
      </c>
      <c r="B2249" s="2" t="s">
        <v>4605</v>
      </c>
      <c r="C2249" s="2" t="s">
        <v>23</v>
      </c>
      <c r="N2249" s="6">
        <v>44424.0</v>
      </c>
      <c r="Q2249" s="2" t="s">
        <v>86</v>
      </c>
    </row>
    <row r="2250">
      <c r="A2250" s="2">
        <v>2249.0</v>
      </c>
      <c r="B2250" s="2" t="s">
        <v>4606</v>
      </c>
      <c r="C2250" s="2" t="s">
        <v>23</v>
      </c>
      <c r="N2250" s="6">
        <v>44548.0</v>
      </c>
      <c r="Q2250" s="2" t="s">
        <v>86</v>
      </c>
    </row>
    <row r="2251">
      <c r="A2251" s="2">
        <v>2250.0</v>
      </c>
      <c r="B2251" s="2" t="s">
        <v>4607</v>
      </c>
      <c r="C2251" s="2" t="s">
        <v>23</v>
      </c>
      <c r="K2251" s="2">
        <v>50.0</v>
      </c>
      <c r="N2251" s="6">
        <v>43942.0</v>
      </c>
      <c r="Q2251" s="2" t="s">
        <v>2573</v>
      </c>
    </row>
    <row r="2252">
      <c r="A2252" s="2">
        <v>2251.0</v>
      </c>
      <c r="B2252" s="2" t="s">
        <v>4608</v>
      </c>
      <c r="C2252" s="2" t="s">
        <v>23</v>
      </c>
      <c r="K2252" s="2">
        <v>100.0</v>
      </c>
      <c r="N2252" s="6">
        <v>43956.0</v>
      </c>
      <c r="Q2252" s="2" t="s">
        <v>4609</v>
      </c>
    </row>
    <row r="2253">
      <c r="A2253" s="2">
        <v>2252.0</v>
      </c>
      <c r="B2253" s="2" t="s">
        <v>4610</v>
      </c>
      <c r="C2253" s="2" t="s">
        <v>23</v>
      </c>
      <c r="K2253" s="2">
        <v>30.0</v>
      </c>
      <c r="N2253" s="6">
        <v>45845.0</v>
      </c>
      <c r="Q2253" s="2" t="s">
        <v>4611</v>
      </c>
    </row>
    <row r="2254">
      <c r="A2254" s="2">
        <v>2253.0</v>
      </c>
      <c r="B2254" s="2" t="s">
        <v>4612</v>
      </c>
      <c r="C2254" s="2" t="s">
        <v>23</v>
      </c>
      <c r="K2254" s="2">
        <v>30.0</v>
      </c>
      <c r="N2254" s="6">
        <v>43955.0</v>
      </c>
      <c r="Q2254" s="2" t="s">
        <v>4613</v>
      </c>
    </row>
    <row r="2255">
      <c r="A2255" s="2">
        <v>2254.0</v>
      </c>
      <c r="B2255" s="2" t="s">
        <v>4614</v>
      </c>
      <c r="C2255" s="2" t="s">
        <v>23</v>
      </c>
      <c r="K2255" s="2">
        <v>350.0</v>
      </c>
      <c r="N2255" s="6">
        <v>43970.0</v>
      </c>
      <c r="Q2255" s="2" t="s">
        <v>4615</v>
      </c>
    </row>
    <row r="2256">
      <c r="A2256" s="2">
        <v>2255.0</v>
      </c>
      <c r="B2256" s="2" t="s">
        <v>4616</v>
      </c>
      <c r="C2256" s="2" t="s">
        <v>23</v>
      </c>
      <c r="K2256" s="2">
        <v>80.0</v>
      </c>
      <c r="N2256" s="6">
        <v>42432.0</v>
      </c>
      <c r="Q2256" s="2" t="s">
        <v>4617</v>
      </c>
    </row>
    <row r="2257">
      <c r="A2257" s="2">
        <v>2256.0</v>
      </c>
      <c r="B2257" s="2" t="s">
        <v>4618</v>
      </c>
      <c r="C2257" s="2" t="s">
        <v>23</v>
      </c>
      <c r="N2257" s="6">
        <v>44573.0</v>
      </c>
      <c r="Q2257" s="2" t="s">
        <v>86</v>
      </c>
    </row>
    <row r="2258">
      <c r="A2258" s="2">
        <v>2257.0</v>
      </c>
      <c r="B2258" s="2" t="s">
        <v>4619</v>
      </c>
      <c r="C2258" s="2" t="s">
        <v>23</v>
      </c>
      <c r="N2258" s="6">
        <v>42823.0</v>
      </c>
      <c r="Q2258" s="2" t="s">
        <v>86</v>
      </c>
    </row>
    <row r="2259">
      <c r="A2259" s="2">
        <v>2258.0</v>
      </c>
      <c r="B2259" s="2" t="s">
        <v>4620</v>
      </c>
      <c r="C2259" s="2" t="s">
        <v>23</v>
      </c>
      <c r="K2259" s="2">
        <v>50.0</v>
      </c>
      <c r="N2259" s="6">
        <v>44638.0</v>
      </c>
      <c r="Q2259" s="2" t="s">
        <v>1123</v>
      </c>
    </row>
    <row r="2260">
      <c r="A2260" s="2">
        <v>2259.0</v>
      </c>
      <c r="B2260" s="2" t="s">
        <v>4621</v>
      </c>
      <c r="C2260" s="2" t="s">
        <v>23</v>
      </c>
      <c r="N2260" s="6">
        <v>44419.0</v>
      </c>
      <c r="Q2260" s="2" t="s">
        <v>86</v>
      </c>
    </row>
    <row r="2261">
      <c r="A2261" s="2">
        <v>2260.0</v>
      </c>
      <c r="B2261" s="2" t="s">
        <v>4622</v>
      </c>
      <c r="C2261" s="2" t="s">
        <v>23</v>
      </c>
      <c r="K2261" s="2">
        <v>50.0</v>
      </c>
      <c r="N2261" s="6">
        <v>44689.0</v>
      </c>
      <c r="Q2261" s="2" t="s">
        <v>4623</v>
      </c>
    </row>
    <row r="2262">
      <c r="A2262" s="2">
        <v>2261.0</v>
      </c>
      <c r="B2262" s="2" t="s">
        <v>4624</v>
      </c>
      <c r="C2262" s="2" t="s">
        <v>23</v>
      </c>
      <c r="K2262" s="2">
        <v>100.0</v>
      </c>
      <c r="N2262" s="6">
        <v>45782.0</v>
      </c>
      <c r="Q2262" s="2" t="s">
        <v>4625</v>
      </c>
    </row>
    <row r="2263">
      <c r="A2263" s="2">
        <v>2262.0</v>
      </c>
      <c r="B2263" s="2" t="s">
        <v>4626</v>
      </c>
      <c r="C2263" s="2" t="s">
        <v>23</v>
      </c>
      <c r="N2263" s="6">
        <v>44997.0</v>
      </c>
      <c r="Q2263" s="2" t="s">
        <v>86</v>
      </c>
    </row>
    <row r="2264">
      <c r="A2264" s="2">
        <v>2263.0</v>
      </c>
      <c r="B2264" s="2" t="s">
        <v>4627</v>
      </c>
      <c r="C2264" s="2" t="s">
        <v>23</v>
      </c>
      <c r="K2264" s="2">
        <v>40.0</v>
      </c>
      <c r="N2264" s="6">
        <v>45584.0</v>
      </c>
      <c r="Q2264" s="2" t="s">
        <v>4628</v>
      </c>
    </row>
    <row r="2265">
      <c r="A2265" s="2">
        <v>2264.0</v>
      </c>
      <c r="B2265" s="2" t="s">
        <v>4629</v>
      </c>
      <c r="C2265" s="2" t="s">
        <v>23</v>
      </c>
      <c r="K2265" s="2">
        <v>250.0</v>
      </c>
      <c r="N2265" s="6">
        <v>43354.0</v>
      </c>
      <c r="Q2265" s="2" t="s">
        <v>4630</v>
      </c>
    </row>
    <row r="2266">
      <c r="A2266" s="2">
        <v>2265.0</v>
      </c>
      <c r="B2266" s="2" t="s">
        <v>162</v>
      </c>
      <c r="C2266" s="2" t="s">
        <v>23</v>
      </c>
      <c r="K2266" s="2">
        <v>60.0</v>
      </c>
      <c r="N2266" s="6">
        <v>44395.0</v>
      </c>
      <c r="Q2266" s="2" t="s">
        <v>164</v>
      </c>
    </row>
    <row r="2267">
      <c r="A2267" s="2">
        <v>2266.0</v>
      </c>
      <c r="B2267" s="2" t="s">
        <v>4631</v>
      </c>
      <c r="C2267" s="2" t="s">
        <v>23</v>
      </c>
      <c r="N2267" s="6">
        <v>44471.0</v>
      </c>
      <c r="Q2267" s="2" t="s">
        <v>86</v>
      </c>
    </row>
    <row r="2268">
      <c r="A2268" s="2">
        <v>2267.0</v>
      </c>
      <c r="B2268" s="2" t="s">
        <v>4632</v>
      </c>
      <c r="C2268" s="2" t="s">
        <v>23</v>
      </c>
      <c r="K2268" s="2">
        <v>150.0</v>
      </c>
      <c r="N2268" s="6">
        <v>44025.0</v>
      </c>
      <c r="Q2268" s="2" t="s">
        <v>3133</v>
      </c>
    </row>
    <row r="2269">
      <c r="A2269" s="2">
        <v>2268.0</v>
      </c>
      <c r="B2269" s="2" t="s">
        <v>4633</v>
      </c>
      <c r="C2269" s="2" t="s">
        <v>23</v>
      </c>
      <c r="K2269" s="2">
        <v>10.0</v>
      </c>
      <c r="N2269" s="6">
        <v>45226.0</v>
      </c>
      <c r="Q2269" s="2" t="s">
        <v>4634</v>
      </c>
    </row>
    <row r="2270">
      <c r="A2270" s="2">
        <v>2269.0</v>
      </c>
      <c r="B2270" s="2" t="s">
        <v>4635</v>
      </c>
      <c r="C2270" s="2" t="s">
        <v>23</v>
      </c>
      <c r="N2270" s="6">
        <v>44074.0</v>
      </c>
      <c r="Q2270" s="2" t="s">
        <v>86</v>
      </c>
    </row>
    <row r="2271">
      <c r="A2271" s="2">
        <v>2270.0</v>
      </c>
      <c r="B2271" s="2" t="s">
        <v>4636</v>
      </c>
      <c r="C2271" s="2" t="s">
        <v>23</v>
      </c>
      <c r="K2271" s="2">
        <v>100.0</v>
      </c>
      <c r="N2271" s="6">
        <v>44064.0</v>
      </c>
      <c r="Q2271" s="2" t="s">
        <v>4637</v>
      </c>
    </row>
    <row r="2272">
      <c r="A2272" s="2">
        <v>2271.0</v>
      </c>
      <c r="B2272" s="2" t="s">
        <v>4638</v>
      </c>
      <c r="C2272" s="2" t="s">
        <v>23</v>
      </c>
      <c r="N2272" s="6">
        <v>45318.0</v>
      </c>
      <c r="Q2272" s="2" t="s">
        <v>1116</v>
      </c>
    </row>
    <row r="2273">
      <c r="A2273" s="2">
        <v>2272.0</v>
      </c>
      <c r="B2273" s="2" t="s">
        <v>4639</v>
      </c>
      <c r="C2273" s="2" t="s">
        <v>23</v>
      </c>
      <c r="K2273" s="2">
        <v>150.0</v>
      </c>
      <c r="N2273" s="6">
        <v>45065.0</v>
      </c>
      <c r="Q2273" s="2" t="s">
        <v>4640</v>
      </c>
    </row>
    <row r="2274">
      <c r="A2274" s="2">
        <v>2273.0</v>
      </c>
      <c r="B2274" s="2" t="s">
        <v>4641</v>
      </c>
      <c r="C2274" s="2" t="s">
        <v>23</v>
      </c>
      <c r="K2274" s="2">
        <v>200.0</v>
      </c>
      <c r="N2274" s="6">
        <v>44345.0</v>
      </c>
      <c r="Q2274" s="2" t="s">
        <v>4642</v>
      </c>
    </row>
    <row r="2275">
      <c r="A2275" s="2">
        <v>2274.0</v>
      </c>
      <c r="B2275" s="2" t="s">
        <v>4643</v>
      </c>
      <c r="C2275" s="2" t="s">
        <v>23</v>
      </c>
      <c r="N2275" s="6">
        <v>44998.0</v>
      </c>
      <c r="Q2275" s="2" t="s">
        <v>4644</v>
      </c>
    </row>
    <row r="2276">
      <c r="A2276" s="2">
        <v>2275.0</v>
      </c>
      <c r="B2276" s="2" t="s">
        <v>4645</v>
      </c>
      <c r="C2276" s="2" t="s">
        <v>23</v>
      </c>
      <c r="K2276" s="2">
        <v>70.0</v>
      </c>
      <c r="N2276" s="6">
        <v>43908.0</v>
      </c>
      <c r="Q2276" s="2" t="s">
        <v>2794</v>
      </c>
    </row>
    <row r="2277">
      <c r="A2277" s="2">
        <v>2276.0</v>
      </c>
      <c r="B2277" s="2" t="s">
        <v>4646</v>
      </c>
      <c r="C2277" s="2" t="s">
        <v>23</v>
      </c>
      <c r="K2277" s="2">
        <v>100.0</v>
      </c>
      <c r="N2277" s="6">
        <v>44387.0</v>
      </c>
      <c r="Q2277" s="2" t="s">
        <v>4647</v>
      </c>
    </row>
    <row r="2278">
      <c r="A2278" s="2">
        <v>2277.0</v>
      </c>
      <c r="B2278" s="2" t="s">
        <v>4648</v>
      </c>
      <c r="C2278" s="2" t="s">
        <v>23</v>
      </c>
      <c r="K2278" s="2">
        <v>10.0</v>
      </c>
      <c r="N2278" s="6">
        <v>44379.0</v>
      </c>
      <c r="Q2278" s="2" t="s">
        <v>401</v>
      </c>
    </row>
    <row r="2279">
      <c r="A2279" s="2">
        <v>2278.0</v>
      </c>
      <c r="B2279" s="2" t="s">
        <v>166</v>
      </c>
      <c r="C2279" s="2" t="s">
        <v>23</v>
      </c>
      <c r="N2279" s="6">
        <v>45239.0</v>
      </c>
      <c r="Q2279" s="2" t="s">
        <v>86</v>
      </c>
    </row>
    <row r="2280">
      <c r="A2280" s="2">
        <v>2279.0</v>
      </c>
      <c r="B2280" s="2" t="s">
        <v>4649</v>
      </c>
      <c r="C2280" s="2" t="s">
        <v>23</v>
      </c>
      <c r="N2280" s="6">
        <v>42566.0</v>
      </c>
      <c r="Q2280" s="2" t="s">
        <v>86</v>
      </c>
    </row>
    <row r="2281">
      <c r="A2281" s="2">
        <v>2280.0</v>
      </c>
      <c r="B2281" s="2" t="s">
        <v>4650</v>
      </c>
      <c r="C2281" s="2" t="s">
        <v>23</v>
      </c>
      <c r="K2281" s="2">
        <v>50.0</v>
      </c>
      <c r="N2281" s="6">
        <v>45331.0</v>
      </c>
      <c r="Q2281" s="2" t="s">
        <v>4651</v>
      </c>
    </row>
    <row r="2282">
      <c r="A2282" s="2">
        <v>2281.0</v>
      </c>
      <c r="B2282" s="2" t="s">
        <v>4652</v>
      </c>
      <c r="C2282" s="2" t="s">
        <v>23</v>
      </c>
      <c r="K2282" s="2">
        <v>30.0</v>
      </c>
      <c r="N2282" s="6">
        <v>45519.0</v>
      </c>
      <c r="Q2282" s="2" t="s">
        <v>4653</v>
      </c>
    </row>
    <row r="2283">
      <c r="A2283" s="2">
        <v>2282.0</v>
      </c>
      <c r="B2283" s="2" t="s">
        <v>4654</v>
      </c>
      <c r="C2283" s="2" t="s">
        <v>23</v>
      </c>
      <c r="K2283" s="2">
        <v>40.0</v>
      </c>
      <c r="N2283" s="6">
        <v>45628.0</v>
      </c>
      <c r="Q2283" s="2" t="s">
        <v>4655</v>
      </c>
    </row>
    <row r="2284">
      <c r="A2284" s="2">
        <v>2283.0</v>
      </c>
      <c r="B2284" s="2" t="s">
        <v>4656</v>
      </c>
      <c r="C2284" s="2" t="s">
        <v>23</v>
      </c>
      <c r="K2284" s="2">
        <v>20.0</v>
      </c>
      <c r="N2284" s="6">
        <v>44455.0</v>
      </c>
      <c r="Q2284" s="2" t="s">
        <v>200</v>
      </c>
    </row>
    <row r="2285">
      <c r="A2285" s="2">
        <v>2284.0</v>
      </c>
      <c r="B2285" s="2" t="s">
        <v>4657</v>
      </c>
      <c r="C2285" s="2" t="s">
        <v>23</v>
      </c>
      <c r="N2285" s="6">
        <v>44460.0</v>
      </c>
      <c r="Q2285" s="2" t="s">
        <v>86</v>
      </c>
    </row>
    <row r="2286">
      <c r="A2286" s="2">
        <v>2285.0</v>
      </c>
      <c r="B2286" s="2" t="s">
        <v>4658</v>
      </c>
      <c r="C2286" s="2" t="s">
        <v>23</v>
      </c>
      <c r="K2286" s="2">
        <v>60.0</v>
      </c>
      <c r="N2286" s="6">
        <v>42360.0</v>
      </c>
      <c r="Q2286" s="2" t="s">
        <v>4659</v>
      </c>
    </row>
    <row r="2287">
      <c r="A2287" s="2">
        <v>2286.0</v>
      </c>
      <c r="B2287" s="2" t="s">
        <v>4660</v>
      </c>
      <c r="C2287" s="2" t="s">
        <v>23</v>
      </c>
      <c r="K2287" s="2">
        <v>30.0</v>
      </c>
      <c r="N2287" s="6">
        <v>44658.0</v>
      </c>
      <c r="Q2287" s="2" t="s">
        <v>1466</v>
      </c>
    </row>
    <row r="2288">
      <c r="A2288" s="2">
        <v>2287.0</v>
      </c>
      <c r="B2288" s="2" t="s">
        <v>4661</v>
      </c>
      <c r="C2288" s="2" t="s">
        <v>23</v>
      </c>
      <c r="N2288" s="6">
        <v>44426.0</v>
      </c>
      <c r="Q2288" s="2" t="s">
        <v>86</v>
      </c>
    </row>
    <row r="2289">
      <c r="A2289" s="2">
        <v>2288.0</v>
      </c>
      <c r="B2289" s="2" t="s">
        <v>4662</v>
      </c>
      <c r="C2289" s="2" t="s">
        <v>23</v>
      </c>
      <c r="K2289" s="2">
        <v>40.0</v>
      </c>
      <c r="N2289" s="6">
        <v>44233.0</v>
      </c>
      <c r="Q2289" s="2" t="s">
        <v>3751</v>
      </c>
    </row>
    <row r="2290">
      <c r="A2290" s="2">
        <v>2289.0</v>
      </c>
      <c r="B2290" s="2" t="s">
        <v>4663</v>
      </c>
      <c r="C2290" s="2" t="s">
        <v>23</v>
      </c>
      <c r="N2290" s="6">
        <v>44239.0</v>
      </c>
      <c r="Q2290" s="2" t="s">
        <v>86</v>
      </c>
    </row>
    <row r="2291">
      <c r="A2291" s="2">
        <v>2290.0</v>
      </c>
      <c r="B2291" s="2" t="s">
        <v>4664</v>
      </c>
      <c r="C2291" s="2" t="s">
        <v>23</v>
      </c>
      <c r="N2291" s="6">
        <v>45235.0</v>
      </c>
      <c r="Q2291" s="2" t="s">
        <v>1711</v>
      </c>
    </row>
    <row r="2292">
      <c r="A2292" s="2">
        <v>2291.0</v>
      </c>
      <c r="B2292" s="2" t="s">
        <v>4665</v>
      </c>
      <c r="C2292" s="2" t="s">
        <v>23</v>
      </c>
      <c r="K2292" s="2">
        <v>10.0</v>
      </c>
      <c r="N2292" s="6">
        <v>44058.0</v>
      </c>
      <c r="Q2292" s="2" t="s">
        <v>4666</v>
      </c>
    </row>
    <row r="2293">
      <c r="A2293" s="2">
        <v>2292.0</v>
      </c>
      <c r="B2293" s="2" t="s">
        <v>4667</v>
      </c>
      <c r="C2293" s="2" t="s">
        <v>23</v>
      </c>
      <c r="K2293" s="2">
        <v>150.0</v>
      </c>
      <c r="N2293" s="6">
        <v>43841.0</v>
      </c>
      <c r="Q2293" s="2" t="s">
        <v>4668</v>
      </c>
    </row>
    <row r="2294">
      <c r="A2294" s="2">
        <v>2293.0</v>
      </c>
      <c r="B2294" s="2" t="s">
        <v>4669</v>
      </c>
      <c r="C2294" s="2" t="s">
        <v>23</v>
      </c>
      <c r="K2294" s="2">
        <v>30.0</v>
      </c>
      <c r="N2294" s="6">
        <v>44557.0</v>
      </c>
      <c r="Q2294" s="2" t="s">
        <v>2794</v>
      </c>
    </row>
    <row r="2295">
      <c r="A2295" s="2">
        <v>2294.0</v>
      </c>
      <c r="B2295" s="2" t="s">
        <v>4670</v>
      </c>
      <c r="C2295" s="2" t="s">
        <v>23</v>
      </c>
      <c r="N2295" s="6">
        <v>44620.0</v>
      </c>
      <c r="Q2295" s="2" t="s">
        <v>86</v>
      </c>
    </row>
    <row r="2296">
      <c r="A2296" s="2">
        <v>2295.0</v>
      </c>
      <c r="B2296" s="2" t="s">
        <v>4671</v>
      </c>
      <c r="C2296" s="2" t="s">
        <v>23</v>
      </c>
      <c r="K2296" s="2">
        <v>20.0</v>
      </c>
      <c r="N2296" s="6">
        <v>44442.0</v>
      </c>
      <c r="Q2296" s="2" t="s">
        <v>4672</v>
      </c>
    </row>
    <row r="2297">
      <c r="A2297" s="2">
        <v>2296.0</v>
      </c>
      <c r="B2297" s="2" t="s">
        <v>4673</v>
      </c>
      <c r="C2297" s="2" t="s">
        <v>23</v>
      </c>
      <c r="N2297" s="6">
        <v>44650.0</v>
      </c>
      <c r="Q2297" s="2" t="s">
        <v>86</v>
      </c>
    </row>
    <row r="2298">
      <c r="A2298" s="2">
        <v>2297.0</v>
      </c>
      <c r="B2298" s="2" t="s">
        <v>4674</v>
      </c>
      <c r="C2298" s="2" t="s">
        <v>23</v>
      </c>
      <c r="N2298" s="6">
        <v>44629.0</v>
      </c>
      <c r="Q2298" s="2" t="s">
        <v>86</v>
      </c>
    </row>
    <row r="2299">
      <c r="A2299" s="2">
        <v>2298.0</v>
      </c>
      <c r="B2299" s="2" t="s">
        <v>4675</v>
      </c>
      <c r="C2299" s="2" t="s">
        <v>23</v>
      </c>
      <c r="K2299" s="2">
        <v>200.0</v>
      </c>
      <c r="N2299" s="6">
        <v>44257.0</v>
      </c>
      <c r="Q2299" s="2" t="s">
        <v>4676</v>
      </c>
    </row>
    <row r="2300">
      <c r="A2300" s="2">
        <v>2299.0</v>
      </c>
      <c r="B2300" s="2" t="s">
        <v>4677</v>
      </c>
      <c r="C2300" s="2" t="s">
        <v>23</v>
      </c>
      <c r="K2300" s="2">
        <v>30.0</v>
      </c>
      <c r="N2300" s="6">
        <v>45676.0</v>
      </c>
      <c r="Q2300" s="2" t="s">
        <v>4678</v>
      </c>
    </row>
    <row r="2301">
      <c r="A2301" s="2">
        <v>2300.0</v>
      </c>
      <c r="B2301" s="2" t="s">
        <v>4679</v>
      </c>
      <c r="C2301" s="2" t="s">
        <v>23</v>
      </c>
      <c r="K2301" s="2">
        <v>30.0</v>
      </c>
      <c r="N2301" s="6">
        <v>44468.0</v>
      </c>
      <c r="Q2301" s="2" t="s">
        <v>4680</v>
      </c>
    </row>
    <row r="2302">
      <c r="A2302" s="2">
        <v>2301.0</v>
      </c>
      <c r="B2302" s="2" t="s">
        <v>4681</v>
      </c>
      <c r="C2302" s="2" t="s">
        <v>23</v>
      </c>
      <c r="K2302" s="2">
        <v>20.0</v>
      </c>
      <c r="N2302" s="6">
        <v>44219.0</v>
      </c>
      <c r="Q2302" s="2" t="s">
        <v>4682</v>
      </c>
    </row>
    <row r="2303">
      <c r="A2303" s="2">
        <v>2302.0</v>
      </c>
      <c r="B2303" s="2" t="s">
        <v>4683</v>
      </c>
      <c r="C2303" s="2" t="s">
        <v>23</v>
      </c>
      <c r="K2303" s="2">
        <v>10.0</v>
      </c>
      <c r="N2303" s="6">
        <v>45375.0</v>
      </c>
      <c r="Q2303" s="2" t="s">
        <v>4684</v>
      </c>
    </row>
    <row r="2304">
      <c r="A2304" s="2">
        <v>2303.0</v>
      </c>
      <c r="B2304" s="2" t="s">
        <v>4685</v>
      </c>
      <c r="C2304" s="2" t="s">
        <v>23</v>
      </c>
      <c r="K2304" s="2">
        <v>70.0</v>
      </c>
      <c r="N2304" s="6">
        <v>44447.0</v>
      </c>
      <c r="Q2304" s="2" t="s">
        <v>2686</v>
      </c>
    </row>
    <row r="2305">
      <c r="A2305" s="2">
        <v>2304.0</v>
      </c>
      <c r="B2305" s="2" t="s">
        <v>4686</v>
      </c>
      <c r="C2305" s="2" t="s">
        <v>23</v>
      </c>
      <c r="K2305" s="2">
        <v>90.0</v>
      </c>
      <c r="N2305" s="6">
        <v>45716.0</v>
      </c>
      <c r="Q2305" s="2" t="s">
        <v>4687</v>
      </c>
    </row>
    <row r="2306">
      <c r="A2306" s="2">
        <v>2305.0</v>
      </c>
      <c r="B2306" s="2" t="s">
        <v>4688</v>
      </c>
      <c r="C2306" s="2" t="s">
        <v>23</v>
      </c>
      <c r="N2306" s="6">
        <v>44703.0</v>
      </c>
      <c r="Q2306" s="2" t="s">
        <v>86</v>
      </c>
    </row>
    <row r="2307">
      <c r="A2307" s="2">
        <v>2306.0</v>
      </c>
      <c r="B2307" s="2" t="s">
        <v>4689</v>
      </c>
      <c r="C2307" s="2" t="s">
        <v>23</v>
      </c>
      <c r="K2307" s="2">
        <v>10.0</v>
      </c>
      <c r="N2307" s="6">
        <v>44002.0</v>
      </c>
      <c r="Q2307" s="2" t="s">
        <v>1437</v>
      </c>
    </row>
    <row r="2308">
      <c r="A2308" s="2">
        <v>2307.0</v>
      </c>
      <c r="B2308" s="2" t="s">
        <v>4690</v>
      </c>
      <c r="C2308" s="2" t="s">
        <v>23</v>
      </c>
      <c r="N2308" s="6">
        <v>44384.0</v>
      </c>
      <c r="Q2308" s="2" t="s">
        <v>86</v>
      </c>
    </row>
    <row r="2309">
      <c r="A2309" s="2">
        <v>2308.0</v>
      </c>
      <c r="B2309" s="2" t="s">
        <v>4691</v>
      </c>
      <c r="C2309" s="2" t="s">
        <v>23</v>
      </c>
      <c r="N2309" s="6">
        <v>44746.0</v>
      </c>
      <c r="Q2309" s="2" t="s">
        <v>86</v>
      </c>
    </row>
    <row r="2310">
      <c r="A2310" s="2">
        <v>2309.0</v>
      </c>
      <c r="B2310" s="2" t="s">
        <v>4692</v>
      </c>
      <c r="C2310" s="2" t="s">
        <v>23</v>
      </c>
      <c r="K2310" s="2">
        <v>100.0</v>
      </c>
      <c r="N2310" s="6">
        <v>44347.0</v>
      </c>
      <c r="Q2310" s="2" t="s">
        <v>4693</v>
      </c>
    </row>
    <row r="2311">
      <c r="A2311" s="2">
        <v>2310.0</v>
      </c>
      <c r="B2311" s="2" t="s">
        <v>4694</v>
      </c>
      <c r="C2311" s="2" t="s">
        <v>23</v>
      </c>
      <c r="K2311" s="2">
        <v>90.0</v>
      </c>
      <c r="N2311" s="6">
        <v>45378.0</v>
      </c>
      <c r="Q2311" s="2" t="s">
        <v>4695</v>
      </c>
    </row>
    <row r="2312">
      <c r="A2312" s="2">
        <v>2311.0</v>
      </c>
      <c r="B2312" s="2" t="s">
        <v>4696</v>
      </c>
      <c r="C2312" s="2" t="s">
        <v>23</v>
      </c>
      <c r="K2312" s="2">
        <v>80.0</v>
      </c>
      <c r="N2312" s="6">
        <v>44636.0</v>
      </c>
      <c r="Q2312" s="2" t="s">
        <v>4697</v>
      </c>
    </row>
    <row r="2313">
      <c r="A2313" s="2">
        <v>2312.0</v>
      </c>
      <c r="B2313" s="2" t="s">
        <v>4698</v>
      </c>
      <c r="C2313" s="2" t="s">
        <v>23</v>
      </c>
      <c r="N2313" s="6">
        <v>43409.0</v>
      </c>
      <c r="Q2313" s="2" t="s">
        <v>86</v>
      </c>
    </row>
    <row r="2314">
      <c r="A2314" s="2">
        <v>2313.0</v>
      </c>
      <c r="B2314" s="2" t="s">
        <v>4699</v>
      </c>
      <c r="C2314" s="2" t="s">
        <v>23</v>
      </c>
      <c r="K2314" s="2">
        <v>30.0</v>
      </c>
      <c r="N2314" s="6">
        <v>44829.0</v>
      </c>
      <c r="Q2314" s="2" t="s">
        <v>1814</v>
      </c>
    </row>
    <row r="2315">
      <c r="A2315" s="2">
        <v>2314.0</v>
      </c>
      <c r="B2315" s="2" t="s">
        <v>4700</v>
      </c>
      <c r="C2315" s="2" t="s">
        <v>23</v>
      </c>
      <c r="N2315" s="6">
        <v>45008.0</v>
      </c>
      <c r="Q2315" s="2" t="s">
        <v>86</v>
      </c>
    </row>
    <row r="2316">
      <c r="A2316" s="2">
        <v>2315.0</v>
      </c>
      <c r="B2316" s="2" t="s">
        <v>4701</v>
      </c>
      <c r="C2316" s="2" t="s">
        <v>23</v>
      </c>
      <c r="N2316" s="6">
        <v>44276.0</v>
      </c>
      <c r="Q2316" s="2" t="s">
        <v>86</v>
      </c>
    </row>
    <row r="2317">
      <c r="A2317" s="2">
        <v>2316.0</v>
      </c>
      <c r="B2317" s="2" t="s">
        <v>4702</v>
      </c>
      <c r="C2317" s="2" t="s">
        <v>23</v>
      </c>
      <c r="K2317" s="2">
        <v>100.0</v>
      </c>
      <c r="N2317" s="6">
        <v>43943.0</v>
      </c>
      <c r="Q2317" s="2" t="s">
        <v>86</v>
      </c>
    </row>
    <row r="2318">
      <c r="A2318" s="2">
        <v>2317.0</v>
      </c>
      <c r="B2318" s="2" t="s">
        <v>4703</v>
      </c>
      <c r="C2318" s="2" t="s">
        <v>23</v>
      </c>
      <c r="K2318" s="2">
        <v>20.0</v>
      </c>
      <c r="N2318" s="6">
        <v>45641.0</v>
      </c>
      <c r="Q2318" s="2" t="s">
        <v>2738</v>
      </c>
    </row>
    <row r="2319">
      <c r="A2319" s="2">
        <v>2318.0</v>
      </c>
      <c r="B2319" s="2" t="s">
        <v>4704</v>
      </c>
      <c r="C2319" s="2" t="s">
        <v>23</v>
      </c>
      <c r="K2319" s="2">
        <v>80.0</v>
      </c>
      <c r="N2319" s="6">
        <v>45776.0</v>
      </c>
      <c r="Q2319" s="2" t="s">
        <v>4705</v>
      </c>
    </row>
    <row r="2320">
      <c r="A2320" s="2">
        <v>2319.0</v>
      </c>
      <c r="B2320" s="2" t="s">
        <v>4706</v>
      </c>
      <c r="C2320" s="2" t="s">
        <v>23</v>
      </c>
      <c r="K2320" s="2">
        <v>60.0</v>
      </c>
      <c r="N2320" s="6">
        <v>43945.0</v>
      </c>
      <c r="Q2320" s="2" t="s">
        <v>4707</v>
      </c>
    </row>
    <row r="2321">
      <c r="A2321" s="2">
        <v>2320.0</v>
      </c>
      <c r="B2321" s="2" t="s">
        <v>4708</v>
      </c>
      <c r="C2321" s="2" t="s">
        <v>23</v>
      </c>
      <c r="N2321" s="6">
        <v>45067.0</v>
      </c>
      <c r="Q2321" s="2" t="s">
        <v>2948</v>
      </c>
    </row>
    <row r="2322">
      <c r="A2322" s="2">
        <v>2321.0</v>
      </c>
      <c r="B2322" s="2" t="s">
        <v>4709</v>
      </c>
      <c r="C2322" s="2" t="s">
        <v>23</v>
      </c>
      <c r="K2322" s="2">
        <v>30.0</v>
      </c>
      <c r="N2322" s="6">
        <v>45742.0</v>
      </c>
      <c r="Q2322" s="2" t="s">
        <v>4710</v>
      </c>
    </row>
    <row r="2323">
      <c r="A2323" s="2">
        <v>2322.0</v>
      </c>
      <c r="B2323" s="2" t="s">
        <v>4711</v>
      </c>
      <c r="C2323" s="2" t="s">
        <v>23</v>
      </c>
      <c r="K2323" s="2">
        <v>80.0</v>
      </c>
      <c r="N2323" s="6">
        <v>44759.0</v>
      </c>
      <c r="Q2323" s="2" t="s">
        <v>1116</v>
      </c>
    </row>
    <row r="2324">
      <c r="A2324" s="2">
        <v>2323.0</v>
      </c>
      <c r="B2324" s="2" t="s">
        <v>4712</v>
      </c>
      <c r="C2324" s="2" t="s">
        <v>23</v>
      </c>
      <c r="K2324" s="2">
        <v>40.0</v>
      </c>
      <c r="N2324" s="6">
        <v>44356.0</v>
      </c>
      <c r="Q2324" s="2" t="s">
        <v>4713</v>
      </c>
    </row>
    <row r="2325">
      <c r="A2325" s="2">
        <v>2324.0</v>
      </c>
      <c r="B2325" s="2" t="s">
        <v>170</v>
      </c>
      <c r="C2325" s="2" t="s">
        <v>23</v>
      </c>
      <c r="N2325" s="6">
        <v>44118.0</v>
      </c>
      <c r="Q2325" s="2" t="s">
        <v>86</v>
      </c>
    </row>
    <row r="2326">
      <c r="A2326" s="2">
        <v>2325.0</v>
      </c>
      <c r="B2326" s="2" t="s">
        <v>4714</v>
      </c>
      <c r="C2326" s="2" t="s">
        <v>23</v>
      </c>
      <c r="K2326" s="2">
        <v>50.0</v>
      </c>
      <c r="N2326" s="6">
        <v>44541.0</v>
      </c>
      <c r="Q2326" s="2" t="s">
        <v>2731</v>
      </c>
    </row>
    <row r="2327">
      <c r="A2327" s="2">
        <v>2326.0</v>
      </c>
      <c r="B2327" s="2" t="s">
        <v>4715</v>
      </c>
      <c r="C2327" s="2" t="s">
        <v>23</v>
      </c>
      <c r="N2327" s="6">
        <v>45578.0</v>
      </c>
      <c r="Q2327" s="2" t="s">
        <v>4716</v>
      </c>
    </row>
    <row r="2328">
      <c r="A2328" s="2">
        <v>2327.0</v>
      </c>
      <c r="B2328" s="2" t="s">
        <v>4717</v>
      </c>
      <c r="C2328" s="2" t="s">
        <v>23</v>
      </c>
      <c r="K2328" s="2">
        <v>400.0</v>
      </c>
      <c r="N2328" s="6">
        <v>43890.0</v>
      </c>
      <c r="Q2328" s="2" t="s">
        <v>4718</v>
      </c>
    </row>
    <row r="2329">
      <c r="A2329" s="2">
        <v>2328.0</v>
      </c>
      <c r="B2329" s="2" t="s">
        <v>4719</v>
      </c>
      <c r="C2329" s="2" t="s">
        <v>23</v>
      </c>
      <c r="N2329" s="6">
        <v>44607.0</v>
      </c>
      <c r="Q2329" s="2" t="s">
        <v>86</v>
      </c>
    </row>
    <row r="2330">
      <c r="A2330" s="2">
        <v>2329.0</v>
      </c>
      <c r="B2330" s="2" t="s">
        <v>4720</v>
      </c>
      <c r="C2330" s="2" t="s">
        <v>23</v>
      </c>
      <c r="K2330" s="2">
        <v>150.0</v>
      </c>
      <c r="N2330" s="6">
        <v>43272.0</v>
      </c>
      <c r="Q2330" s="2" t="s">
        <v>4721</v>
      </c>
    </row>
    <row r="2331">
      <c r="A2331" s="2">
        <v>2330.0</v>
      </c>
      <c r="B2331" s="2" t="s">
        <v>4722</v>
      </c>
      <c r="C2331" s="2" t="s">
        <v>23</v>
      </c>
      <c r="N2331" s="6">
        <v>43854.0</v>
      </c>
      <c r="Q2331" s="2" t="s">
        <v>86</v>
      </c>
    </row>
    <row r="2332">
      <c r="A2332" s="2">
        <v>2331.0</v>
      </c>
      <c r="B2332" s="2" t="s">
        <v>4723</v>
      </c>
      <c r="C2332" s="2" t="s">
        <v>23</v>
      </c>
      <c r="K2332" s="2">
        <v>150.0</v>
      </c>
      <c r="N2332" s="6">
        <v>45246.0</v>
      </c>
      <c r="Q2332" s="2" t="s">
        <v>4724</v>
      </c>
    </row>
    <row r="2333">
      <c r="A2333" s="2">
        <v>2332.0</v>
      </c>
      <c r="B2333" s="2" t="s">
        <v>4725</v>
      </c>
      <c r="C2333" s="2" t="s">
        <v>23</v>
      </c>
      <c r="K2333" s="2">
        <v>40.0</v>
      </c>
      <c r="N2333" s="6">
        <v>44898.0</v>
      </c>
      <c r="Q2333" s="2" t="s">
        <v>118</v>
      </c>
    </row>
    <row r="2334">
      <c r="A2334" s="2">
        <v>2333.0</v>
      </c>
      <c r="B2334" s="2" t="s">
        <v>4726</v>
      </c>
      <c r="C2334" s="2" t="s">
        <v>23</v>
      </c>
      <c r="K2334" s="2">
        <v>20.0</v>
      </c>
      <c r="N2334" s="6">
        <v>44044.0</v>
      </c>
      <c r="Q2334" s="2" t="s">
        <v>4727</v>
      </c>
    </row>
    <row r="2335">
      <c r="A2335" s="2">
        <v>2334.0</v>
      </c>
      <c r="B2335" s="2" t="s">
        <v>4728</v>
      </c>
      <c r="C2335" s="2" t="s">
        <v>23</v>
      </c>
      <c r="N2335" s="6">
        <v>44397.0</v>
      </c>
      <c r="Q2335" s="2" t="s">
        <v>86</v>
      </c>
    </row>
    <row r="2336">
      <c r="A2336" s="2">
        <v>2335.0</v>
      </c>
      <c r="B2336" s="2" t="s">
        <v>4729</v>
      </c>
      <c r="C2336" s="2" t="s">
        <v>23</v>
      </c>
      <c r="N2336" s="6">
        <v>43882.0</v>
      </c>
      <c r="Q2336" s="2" t="s">
        <v>86</v>
      </c>
    </row>
    <row r="2337">
      <c r="A2337" s="2">
        <v>2336.0</v>
      </c>
      <c r="B2337" s="2" t="s">
        <v>4730</v>
      </c>
      <c r="C2337" s="2" t="s">
        <v>23</v>
      </c>
      <c r="K2337" s="2">
        <v>40.0</v>
      </c>
      <c r="N2337" s="6">
        <v>44331.0</v>
      </c>
      <c r="Q2337" s="2" t="s">
        <v>4731</v>
      </c>
    </row>
    <row r="2338">
      <c r="A2338" s="2">
        <v>2337.0</v>
      </c>
      <c r="B2338" s="2" t="s">
        <v>4732</v>
      </c>
      <c r="C2338" s="2" t="s">
        <v>23</v>
      </c>
      <c r="K2338" s="2">
        <v>300.0</v>
      </c>
      <c r="N2338" s="6">
        <v>43787.0</v>
      </c>
      <c r="Q2338" s="2" t="s">
        <v>4733</v>
      </c>
    </row>
    <row r="2339">
      <c r="A2339" s="2">
        <v>2338.0</v>
      </c>
      <c r="B2339" s="2" t="s">
        <v>4734</v>
      </c>
      <c r="C2339" s="2" t="s">
        <v>23</v>
      </c>
      <c r="N2339" s="6">
        <v>43106.0</v>
      </c>
      <c r="Q2339" s="2" t="s">
        <v>86</v>
      </c>
    </row>
    <row r="2340">
      <c r="A2340" s="2">
        <v>2339.0</v>
      </c>
      <c r="B2340" s="2" t="s">
        <v>4735</v>
      </c>
      <c r="C2340" s="2" t="s">
        <v>23</v>
      </c>
      <c r="N2340" s="6">
        <v>44718.0</v>
      </c>
      <c r="Q2340" s="2" t="s">
        <v>86</v>
      </c>
    </row>
    <row r="2341">
      <c r="A2341" s="2">
        <v>2340.0</v>
      </c>
      <c r="B2341" s="2" t="s">
        <v>4736</v>
      </c>
      <c r="C2341" s="2" t="s">
        <v>23</v>
      </c>
      <c r="N2341" s="6">
        <v>44170.0</v>
      </c>
      <c r="Q2341" s="2" t="s">
        <v>86</v>
      </c>
    </row>
    <row r="2342">
      <c r="A2342" s="2">
        <v>2341.0</v>
      </c>
      <c r="B2342" s="2" t="s">
        <v>4737</v>
      </c>
      <c r="C2342" s="2" t="s">
        <v>23</v>
      </c>
      <c r="N2342" s="6">
        <v>44816.0</v>
      </c>
      <c r="Q2342" s="2" t="s">
        <v>86</v>
      </c>
    </row>
    <row r="2343">
      <c r="A2343" s="2">
        <v>2342.0</v>
      </c>
      <c r="B2343" s="2" t="s">
        <v>4738</v>
      </c>
      <c r="C2343" s="2" t="s">
        <v>23</v>
      </c>
      <c r="N2343" s="6">
        <v>44290.0</v>
      </c>
      <c r="Q2343" s="2" t="s">
        <v>86</v>
      </c>
    </row>
    <row r="2344">
      <c r="A2344" s="2">
        <v>2343.0</v>
      </c>
      <c r="B2344" s="2" t="s">
        <v>4739</v>
      </c>
      <c r="C2344" s="2" t="s">
        <v>23</v>
      </c>
      <c r="K2344" s="2">
        <v>80.0</v>
      </c>
      <c r="N2344" s="6">
        <v>44043.0</v>
      </c>
      <c r="Q2344" s="2" t="s">
        <v>4740</v>
      </c>
    </row>
    <row r="2345">
      <c r="A2345" s="2">
        <v>2344.0</v>
      </c>
      <c r="B2345" s="2" t="s">
        <v>4741</v>
      </c>
      <c r="C2345" s="2" t="s">
        <v>23</v>
      </c>
      <c r="K2345" s="2">
        <v>10.0</v>
      </c>
      <c r="N2345" s="6">
        <v>44418.0</v>
      </c>
      <c r="Q2345" s="2" t="s">
        <v>86</v>
      </c>
    </row>
    <row r="2346">
      <c r="A2346" s="2">
        <v>2345.0</v>
      </c>
      <c r="B2346" s="2" t="s">
        <v>4742</v>
      </c>
      <c r="C2346" s="2" t="s">
        <v>23</v>
      </c>
      <c r="K2346" s="2">
        <v>200.0</v>
      </c>
      <c r="N2346" s="6">
        <v>45349.0</v>
      </c>
      <c r="Q2346" s="2" t="s">
        <v>86</v>
      </c>
    </row>
    <row r="2347">
      <c r="A2347" s="2">
        <v>2346.0</v>
      </c>
      <c r="B2347" s="2" t="s">
        <v>4743</v>
      </c>
      <c r="C2347" s="2" t="s">
        <v>23</v>
      </c>
      <c r="N2347" s="6">
        <v>44118.0</v>
      </c>
      <c r="Q2347" s="2" t="s">
        <v>86</v>
      </c>
    </row>
    <row r="2348">
      <c r="A2348" s="2">
        <v>2347.0</v>
      </c>
      <c r="B2348" s="2" t="s">
        <v>4744</v>
      </c>
      <c r="C2348" s="2" t="s">
        <v>23</v>
      </c>
      <c r="N2348" s="6">
        <v>44263.0</v>
      </c>
      <c r="Q2348" s="2" t="s">
        <v>86</v>
      </c>
    </row>
    <row r="2349">
      <c r="A2349" s="2">
        <v>2348.0</v>
      </c>
      <c r="B2349" s="2" t="s">
        <v>4745</v>
      </c>
      <c r="C2349" s="2" t="s">
        <v>23</v>
      </c>
      <c r="N2349" s="6">
        <v>45970.0</v>
      </c>
      <c r="Q2349" s="2" t="s">
        <v>4746</v>
      </c>
    </row>
    <row r="2350">
      <c r="A2350" s="2">
        <v>2349.0</v>
      </c>
      <c r="B2350" s="2" t="s">
        <v>4747</v>
      </c>
      <c r="C2350" s="2" t="s">
        <v>23</v>
      </c>
      <c r="N2350" s="6">
        <v>44298.0</v>
      </c>
      <c r="Q2350" s="2" t="s">
        <v>86</v>
      </c>
    </row>
    <row r="2351">
      <c r="A2351" s="2">
        <v>2350.0</v>
      </c>
      <c r="B2351" s="2" t="s">
        <v>4748</v>
      </c>
      <c r="C2351" s="2" t="s">
        <v>23</v>
      </c>
      <c r="N2351" s="6">
        <v>42475.0</v>
      </c>
      <c r="O2351" s="2" t="s">
        <v>49</v>
      </c>
      <c r="P2351" s="2" t="s">
        <v>36</v>
      </c>
      <c r="Q2351" s="2" t="s">
        <v>4749</v>
      </c>
      <c r="S2351" s="2" t="s">
        <v>52</v>
      </c>
    </row>
    <row r="2352">
      <c r="A2352" s="2">
        <v>2351.0</v>
      </c>
      <c r="B2352" s="2" t="s">
        <v>4750</v>
      </c>
      <c r="C2352" s="2" t="s">
        <v>23</v>
      </c>
      <c r="K2352" s="2">
        <v>30.0</v>
      </c>
      <c r="N2352" s="6">
        <v>44055.0</v>
      </c>
      <c r="Q2352" s="2" t="s">
        <v>118</v>
      </c>
    </row>
    <row r="2353">
      <c r="A2353" s="2">
        <v>2352.0</v>
      </c>
      <c r="B2353" s="2" t="s">
        <v>4751</v>
      </c>
      <c r="C2353" s="2" t="s">
        <v>23</v>
      </c>
      <c r="K2353" s="2">
        <v>10.0</v>
      </c>
      <c r="N2353" s="6">
        <v>45555.0</v>
      </c>
      <c r="Q2353" s="2" t="s">
        <v>4752</v>
      </c>
    </row>
    <row r="2354">
      <c r="A2354" s="2">
        <v>2353.0</v>
      </c>
      <c r="B2354" s="2" t="s">
        <v>4753</v>
      </c>
      <c r="C2354" s="2" t="s">
        <v>23</v>
      </c>
      <c r="K2354" s="2">
        <v>10.0</v>
      </c>
      <c r="N2354" s="6">
        <v>43909.0</v>
      </c>
      <c r="Q2354" s="2" t="s">
        <v>86</v>
      </c>
    </row>
    <row r="2355">
      <c r="A2355" s="2">
        <v>2354.0</v>
      </c>
      <c r="B2355" s="2" t="s">
        <v>4754</v>
      </c>
      <c r="C2355" s="2" t="s">
        <v>23</v>
      </c>
      <c r="K2355" s="2">
        <v>70.0</v>
      </c>
      <c r="N2355" s="6">
        <v>45608.0</v>
      </c>
      <c r="Q2355" s="2" t="s">
        <v>4755</v>
      </c>
    </row>
    <row r="2356">
      <c r="A2356" s="2">
        <v>2355.0</v>
      </c>
      <c r="B2356" s="2" t="s">
        <v>4756</v>
      </c>
      <c r="C2356" s="2" t="s">
        <v>23</v>
      </c>
      <c r="K2356" s="2">
        <v>200.0</v>
      </c>
      <c r="N2356" s="6">
        <v>42388.0</v>
      </c>
      <c r="Q2356" s="2" t="s">
        <v>4757</v>
      </c>
    </row>
    <row r="2357">
      <c r="A2357" s="2">
        <v>2356.0</v>
      </c>
      <c r="B2357" s="2" t="s">
        <v>4758</v>
      </c>
      <c r="C2357" s="2" t="s">
        <v>23</v>
      </c>
      <c r="K2357" s="2">
        <v>10.0</v>
      </c>
      <c r="N2357" s="6">
        <v>44574.0</v>
      </c>
      <c r="Q2357" s="2" t="s">
        <v>4759</v>
      </c>
    </row>
    <row r="2358">
      <c r="A2358" s="2">
        <v>2357.0</v>
      </c>
      <c r="B2358" s="2" t="s">
        <v>4760</v>
      </c>
      <c r="C2358" s="2" t="s">
        <v>23</v>
      </c>
      <c r="K2358" s="2">
        <v>80.0</v>
      </c>
      <c r="N2358" s="6">
        <v>45261.0</v>
      </c>
      <c r="Q2358" s="2" t="s">
        <v>3321</v>
      </c>
    </row>
    <row r="2359">
      <c r="A2359" s="2">
        <v>2358.0</v>
      </c>
      <c r="B2359" s="2" t="s">
        <v>4761</v>
      </c>
      <c r="C2359" s="2" t="s">
        <v>23</v>
      </c>
      <c r="K2359" s="2">
        <v>10.0</v>
      </c>
      <c r="N2359" s="6">
        <v>44121.0</v>
      </c>
      <c r="Q2359" s="2" t="s">
        <v>1123</v>
      </c>
    </row>
    <row r="2360">
      <c r="A2360" s="2">
        <v>2359.0</v>
      </c>
      <c r="B2360" s="2" t="s">
        <v>4762</v>
      </c>
      <c r="C2360" s="2" t="s">
        <v>23</v>
      </c>
      <c r="N2360" s="6">
        <v>44788.0</v>
      </c>
      <c r="Q2360" s="2" t="s">
        <v>86</v>
      </c>
    </row>
    <row r="2361">
      <c r="A2361" s="2">
        <v>2360.0</v>
      </c>
      <c r="B2361" s="2" t="s">
        <v>4763</v>
      </c>
      <c r="C2361" s="2" t="s">
        <v>23</v>
      </c>
      <c r="K2361" s="2">
        <v>10.0</v>
      </c>
      <c r="N2361" s="6">
        <v>45351.0</v>
      </c>
      <c r="Q2361" s="2" t="s">
        <v>4764</v>
      </c>
    </row>
    <row r="2362">
      <c r="A2362" s="2">
        <v>2361.0</v>
      </c>
      <c r="B2362" s="2" t="s">
        <v>4765</v>
      </c>
      <c r="C2362" s="2" t="s">
        <v>23</v>
      </c>
      <c r="K2362" s="2">
        <v>10.0</v>
      </c>
      <c r="N2362" s="6">
        <v>44149.0</v>
      </c>
      <c r="Q2362" s="2" t="s">
        <v>1249</v>
      </c>
    </row>
    <row r="2363">
      <c r="A2363" s="2">
        <v>2362.0</v>
      </c>
      <c r="B2363" s="2" t="s">
        <v>4766</v>
      </c>
      <c r="C2363" s="2" t="s">
        <v>23</v>
      </c>
      <c r="K2363" s="2">
        <v>40.0</v>
      </c>
      <c r="N2363" s="6">
        <v>43879.0</v>
      </c>
      <c r="Q2363" s="2" t="s">
        <v>4767</v>
      </c>
    </row>
    <row r="2364">
      <c r="A2364" s="2">
        <v>2363.0</v>
      </c>
      <c r="B2364" s="2" t="s">
        <v>4768</v>
      </c>
      <c r="C2364" s="2" t="s">
        <v>23</v>
      </c>
      <c r="N2364" s="6">
        <v>44543.0</v>
      </c>
      <c r="Q2364" s="2" t="s">
        <v>86</v>
      </c>
    </row>
    <row r="2365">
      <c r="A2365" s="2">
        <v>2364.0</v>
      </c>
      <c r="B2365" s="2" t="s">
        <v>4769</v>
      </c>
      <c r="C2365" s="2" t="s">
        <v>23</v>
      </c>
      <c r="K2365" s="2">
        <v>60.0</v>
      </c>
      <c r="N2365" s="6">
        <v>44346.0</v>
      </c>
      <c r="Q2365" s="2" t="s">
        <v>4770</v>
      </c>
    </row>
    <row r="2366">
      <c r="A2366" s="2">
        <v>2365.0</v>
      </c>
      <c r="B2366" s="2" t="s">
        <v>4771</v>
      </c>
      <c r="C2366" s="2" t="s">
        <v>23</v>
      </c>
      <c r="N2366" s="6">
        <v>44674.0</v>
      </c>
      <c r="Q2366" s="2" t="s">
        <v>86</v>
      </c>
    </row>
    <row r="2367">
      <c r="A2367" s="2">
        <v>2366.0</v>
      </c>
      <c r="B2367" s="2" t="s">
        <v>4772</v>
      </c>
      <c r="C2367" s="2" t="s">
        <v>23</v>
      </c>
      <c r="K2367" s="2">
        <v>60.0</v>
      </c>
      <c r="N2367" s="6">
        <v>45188.0</v>
      </c>
      <c r="Q2367" s="2" t="s">
        <v>4773</v>
      </c>
    </row>
    <row r="2368">
      <c r="A2368" s="2">
        <v>2367.0</v>
      </c>
      <c r="B2368" s="2" t="s">
        <v>4774</v>
      </c>
      <c r="C2368" s="2" t="s">
        <v>23</v>
      </c>
      <c r="N2368" s="6">
        <v>45337.0</v>
      </c>
      <c r="Q2368" s="2" t="s">
        <v>86</v>
      </c>
    </row>
    <row r="2369">
      <c r="A2369" s="2">
        <v>2368.0</v>
      </c>
      <c r="B2369" s="2" t="s">
        <v>173</v>
      </c>
      <c r="C2369" s="2" t="s">
        <v>23</v>
      </c>
      <c r="K2369" s="2">
        <v>10.0</v>
      </c>
      <c r="N2369" s="6">
        <v>45115.0</v>
      </c>
      <c r="Q2369" s="2" t="s">
        <v>175</v>
      </c>
    </row>
    <row r="2370">
      <c r="A2370" s="2">
        <v>2369.0</v>
      </c>
      <c r="B2370" s="2" t="s">
        <v>4775</v>
      </c>
      <c r="C2370" s="2" t="s">
        <v>23</v>
      </c>
      <c r="K2370" s="2">
        <v>10.0</v>
      </c>
      <c r="N2370" s="6">
        <v>44166.0</v>
      </c>
      <c r="Q2370" s="2" t="s">
        <v>86</v>
      </c>
    </row>
    <row r="2371">
      <c r="A2371" s="2">
        <v>2370.0</v>
      </c>
      <c r="B2371" s="2" t="s">
        <v>4776</v>
      </c>
      <c r="C2371" s="2" t="s">
        <v>23</v>
      </c>
      <c r="N2371" s="6">
        <v>44154.0</v>
      </c>
      <c r="Q2371" s="2" t="s">
        <v>86</v>
      </c>
    </row>
    <row r="2372">
      <c r="A2372" s="2">
        <v>2371.0</v>
      </c>
      <c r="B2372" s="2" t="s">
        <v>4777</v>
      </c>
      <c r="C2372" s="2" t="s">
        <v>23</v>
      </c>
      <c r="K2372" s="2">
        <v>10.0</v>
      </c>
      <c r="N2372" s="6">
        <v>45727.0</v>
      </c>
      <c r="Q2372" s="2" t="s">
        <v>4778</v>
      </c>
    </row>
    <row r="2373">
      <c r="A2373" s="2">
        <v>2372.0</v>
      </c>
      <c r="B2373" s="2" t="s">
        <v>4779</v>
      </c>
      <c r="C2373" s="2" t="s">
        <v>23</v>
      </c>
      <c r="K2373" s="2">
        <v>50.0</v>
      </c>
      <c r="N2373" s="6">
        <v>45085.0</v>
      </c>
      <c r="Q2373" s="2" t="s">
        <v>4780</v>
      </c>
    </row>
    <row r="2374">
      <c r="A2374" s="2">
        <v>2373.0</v>
      </c>
      <c r="B2374" s="2" t="s">
        <v>4781</v>
      </c>
      <c r="C2374" s="2" t="s">
        <v>23</v>
      </c>
      <c r="K2374" s="2">
        <v>20.0</v>
      </c>
      <c r="N2374" s="6">
        <v>45364.0</v>
      </c>
      <c r="Q2374" s="2" t="s">
        <v>4782</v>
      </c>
    </row>
    <row r="2375">
      <c r="A2375" s="2">
        <v>2374.0</v>
      </c>
      <c r="B2375" s="2" t="s">
        <v>4783</v>
      </c>
      <c r="C2375" s="2" t="s">
        <v>23</v>
      </c>
      <c r="N2375" s="6">
        <v>44760.0</v>
      </c>
      <c r="Q2375" s="2" t="s">
        <v>86</v>
      </c>
    </row>
    <row r="2376">
      <c r="A2376" s="2">
        <v>2375.0</v>
      </c>
      <c r="B2376" s="2" t="s">
        <v>4784</v>
      </c>
      <c r="C2376" s="2" t="s">
        <v>23</v>
      </c>
      <c r="K2376" s="2">
        <v>10.0</v>
      </c>
      <c r="N2376" s="6">
        <v>44049.0</v>
      </c>
      <c r="Q2376" s="2" t="s">
        <v>4785</v>
      </c>
    </row>
    <row r="2377">
      <c r="A2377" s="2">
        <v>2376.0</v>
      </c>
      <c r="B2377" s="2" t="s">
        <v>4786</v>
      </c>
      <c r="C2377" s="2" t="s">
        <v>23</v>
      </c>
      <c r="N2377" s="6">
        <v>45504.0</v>
      </c>
      <c r="Q2377" s="2" t="s">
        <v>4713</v>
      </c>
    </row>
    <row r="2378">
      <c r="A2378" s="2">
        <v>2377.0</v>
      </c>
      <c r="B2378" s="2" t="s">
        <v>4787</v>
      </c>
      <c r="C2378" s="2" t="s">
        <v>23</v>
      </c>
      <c r="K2378" s="2">
        <v>30.0</v>
      </c>
      <c r="N2378" s="6">
        <v>45422.0</v>
      </c>
      <c r="Q2378" s="2" t="s">
        <v>3129</v>
      </c>
    </row>
    <row r="2379">
      <c r="A2379" s="2">
        <v>2378.0</v>
      </c>
      <c r="B2379" s="2" t="s">
        <v>4788</v>
      </c>
      <c r="C2379" s="2" t="s">
        <v>23</v>
      </c>
      <c r="N2379" s="6">
        <v>44625.0</v>
      </c>
      <c r="Q2379" s="2" t="s">
        <v>86</v>
      </c>
    </row>
    <row r="2380">
      <c r="A2380" s="2">
        <v>2379.0</v>
      </c>
      <c r="B2380" s="2" t="s">
        <v>4789</v>
      </c>
      <c r="C2380" s="2" t="s">
        <v>23</v>
      </c>
      <c r="N2380" s="6">
        <v>44630.0</v>
      </c>
      <c r="Q2380" s="2" t="s">
        <v>86</v>
      </c>
    </row>
    <row r="2381">
      <c r="A2381" s="2">
        <v>2380.0</v>
      </c>
      <c r="B2381" s="2" t="s">
        <v>4790</v>
      </c>
      <c r="C2381" s="2" t="s">
        <v>23</v>
      </c>
      <c r="K2381" s="2">
        <v>10.0</v>
      </c>
      <c r="N2381" s="6">
        <v>45609.0</v>
      </c>
      <c r="Q2381" s="2" t="s">
        <v>4791</v>
      </c>
    </row>
    <row r="2382">
      <c r="A2382" s="2">
        <v>2381.0</v>
      </c>
      <c r="B2382" s="2" t="s">
        <v>4792</v>
      </c>
      <c r="C2382" s="2" t="s">
        <v>23</v>
      </c>
      <c r="K2382" s="2">
        <v>10.0</v>
      </c>
      <c r="N2382" s="6">
        <v>44450.0</v>
      </c>
      <c r="Q2382" s="2" t="s">
        <v>4589</v>
      </c>
    </row>
    <row r="2383">
      <c r="A2383" s="2">
        <v>2382.0</v>
      </c>
      <c r="B2383" s="2" t="s">
        <v>4793</v>
      </c>
      <c r="C2383" s="2" t="s">
        <v>23</v>
      </c>
      <c r="K2383" s="2">
        <v>60.0</v>
      </c>
      <c r="N2383" s="6">
        <v>44060.0</v>
      </c>
      <c r="Q2383" s="2" t="s">
        <v>1116</v>
      </c>
    </row>
    <row r="2384">
      <c r="A2384" s="2">
        <v>2383.0</v>
      </c>
      <c r="B2384" s="2" t="s">
        <v>4794</v>
      </c>
      <c r="C2384" s="2" t="s">
        <v>23</v>
      </c>
      <c r="K2384" s="2">
        <v>20.0</v>
      </c>
      <c r="N2384" s="6">
        <v>46085.0</v>
      </c>
      <c r="Q2384" s="2" t="s">
        <v>4795</v>
      </c>
    </row>
    <row r="2385">
      <c r="A2385" s="2">
        <v>2384.0</v>
      </c>
      <c r="B2385" s="2" t="s">
        <v>4796</v>
      </c>
      <c r="C2385" s="2" t="s">
        <v>23</v>
      </c>
      <c r="K2385" s="2">
        <v>10.0</v>
      </c>
      <c r="N2385" s="6">
        <v>44299.0</v>
      </c>
      <c r="Q2385" s="2" t="s">
        <v>86</v>
      </c>
    </row>
    <row r="2386">
      <c r="A2386" s="2">
        <v>2385.0</v>
      </c>
      <c r="B2386" s="2" t="s">
        <v>4797</v>
      </c>
      <c r="C2386" s="2" t="s">
        <v>23</v>
      </c>
      <c r="N2386" s="6">
        <v>42593.0</v>
      </c>
      <c r="Q2386" s="2" t="s">
        <v>4798</v>
      </c>
    </row>
    <row r="2387">
      <c r="A2387" s="2">
        <v>2386.0</v>
      </c>
      <c r="B2387" s="2" t="s">
        <v>4799</v>
      </c>
      <c r="C2387" s="2" t="s">
        <v>23</v>
      </c>
      <c r="K2387" s="2">
        <v>10.0</v>
      </c>
      <c r="N2387" s="6">
        <v>43892.0</v>
      </c>
      <c r="Q2387" s="2" t="s">
        <v>86</v>
      </c>
    </row>
    <row r="2388">
      <c r="A2388" s="2">
        <v>2387.0</v>
      </c>
      <c r="B2388" s="2" t="s">
        <v>4800</v>
      </c>
      <c r="C2388" s="2" t="s">
        <v>23</v>
      </c>
      <c r="K2388" s="2">
        <v>250.0</v>
      </c>
      <c r="N2388" s="6">
        <v>43866.0</v>
      </c>
      <c r="Q2388" s="2" t="s">
        <v>4801</v>
      </c>
    </row>
    <row r="2389">
      <c r="A2389" s="2">
        <v>2388.0</v>
      </c>
      <c r="B2389" s="2" t="s">
        <v>4802</v>
      </c>
      <c r="C2389" s="2" t="s">
        <v>23</v>
      </c>
      <c r="F2389" s="2">
        <v>0.8</v>
      </c>
      <c r="K2389" s="2">
        <v>10.0</v>
      </c>
      <c r="N2389" s="6">
        <v>44999.0</v>
      </c>
      <c r="Q2389" s="2" t="s">
        <v>86</v>
      </c>
    </row>
    <row r="2390">
      <c r="A2390" s="2">
        <v>2389.0</v>
      </c>
      <c r="B2390" s="2" t="s">
        <v>4803</v>
      </c>
      <c r="C2390" s="2" t="s">
        <v>23</v>
      </c>
      <c r="N2390" s="6">
        <v>43937.0</v>
      </c>
      <c r="Q2390" s="2" t="s">
        <v>86</v>
      </c>
    </row>
    <row r="2391">
      <c r="A2391" s="2">
        <v>2390.0</v>
      </c>
      <c r="B2391" s="2" t="s">
        <v>4804</v>
      </c>
      <c r="C2391" s="2" t="s">
        <v>23</v>
      </c>
      <c r="K2391" s="2">
        <v>90.0</v>
      </c>
      <c r="N2391" s="6">
        <v>44068.0</v>
      </c>
      <c r="Q2391" s="2" t="s">
        <v>200</v>
      </c>
    </row>
    <row r="2392">
      <c r="A2392" s="2">
        <v>2391.0</v>
      </c>
      <c r="B2392" s="2" t="s">
        <v>4805</v>
      </c>
      <c r="C2392" s="2" t="s">
        <v>23</v>
      </c>
      <c r="N2392" s="6">
        <v>42576.0</v>
      </c>
      <c r="Q2392" s="2" t="s">
        <v>86</v>
      </c>
    </row>
    <row r="2393">
      <c r="A2393" s="2">
        <v>2392.0</v>
      </c>
      <c r="B2393" s="2" t="s">
        <v>4806</v>
      </c>
      <c r="C2393" s="2" t="s">
        <v>23</v>
      </c>
      <c r="K2393" s="2">
        <v>40.0</v>
      </c>
      <c r="N2393" s="6">
        <v>44734.0</v>
      </c>
      <c r="Q2393" s="2" t="s">
        <v>86</v>
      </c>
    </row>
    <row r="2394">
      <c r="A2394" s="2">
        <v>2393.0</v>
      </c>
      <c r="B2394" s="2" t="s">
        <v>4807</v>
      </c>
      <c r="C2394" s="2" t="s">
        <v>23</v>
      </c>
      <c r="K2394" s="2">
        <v>30.0</v>
      </c>
      <c r="N2394" s="6">
        <v>44840.0</v>
      </c>
      <c r="Q2394" s="2" t="s">
        <v>86</v>
      </c>
    </row>
    <row r="2395">
      <c r="A2395" s="2">
        <v>2394.0</v>
      </c>
      <c r="B2395" s="2" t="s">
        <v>4808</v>
      </c>
      <c r="C2395" s="2" t="s">
        <v>23</v>
      </c>
      <c r="N2395" s="6">
        <v>45076.0</v>
      </c>
      <c r="Q2395" s="2" t="s">
        <v>86</v>
      </c>
    </row>
    <row r="2396">
      <c r="A2396" s="2">
        <v>2395.0</v>
      </c>
      <c r="B2396" s="2" t="s">
        <v>4809</v>
      </c>
      <c r="C2396" s="2" t="s">
        <v>23</v>
      </c>
      <c r="K2396" s="2">
        <v>10.0</v>
      </c>
      <c r="N2396" s="6">
        <v>45751.0</v>
      </c>
      <c r="Q2396" s="2" t="s">
        <v>4810</v>
      </c>
    </row>
    <row r="2397">
      <c r="A2397" s="2">
        <v>2396.0</v>
      </c>
      <c r="B2397" s="2" t="s">
        <v>4811</v>
      </c>
      <c r="C2397" s="2" t="s">
        <v>23</v>
      </c>
      <c r="N2397" s="6">
        <v>44420.0</v>
      </c>
      <c r="Q2397" s="2" t="s">
        <v>86</v>
      </c>
    </row>
    <row r="2398">
      <c r="A2398" s="2">
        <v>2397.0</v>
      </c>
      <c r="B2398" s="2" t="s">
        <v>4812</v>
      </c>
      <c r="C2398" s="2" t="s">
        <v>23</v>
      </c>
      <c r="N2398" s="6">
        <v>44318.0</v>
      </c>
      <c r="Q2398" s="2" t="s">
        <v>86</v>
      </c>
    </row>
    <row r="2399">
      <c r="A2399" s="2">
        <v>2398.0</v>
      </c>
      <c r="B2399" s="2" t="s">
        <v>4813</v>
      </c>
      <c r="C2399" s="2" t="s">
        <v>23</v>
      </c>
      <c r="K2399" s="2">
        <v>10.0</v>
      </c>
      <c r="N2399" s="6">
        <v>45651.0</v>
      </c>
      <c r="Q2399" s="2" t="s">
        <v>4814</v>
      </c>
    </row>
    <row r="2400">
      <c r="A2400" s="2">
        <v>2399.0</v>
      </c>
      <c r="B2400" s="2" t="s">
        <v>4815</v>
      </c>
      <c r="C2400" s="2" t="s">
        <v>23</v>
      </c>
      <c r="K2400" s="2">
        <v>10.0</v>
      </c>
      <c r="N2400" s="6">
        <v>42926.0</v>
      </c>
      <c r="Q2400" s="2" t="s">
        <v>491</v>
      </c>
    </row>
    <row r="2401">
      <c r="A2401" s="2">
        <v>2400.0</v>
      </c>
      <c r="B2401" s="2" t="s">
        <v>4816</v>
      </c>
      <c r="C2401" s="2" t="s">
        <v>23</v>
      </c>
      <c r="N2401" s="6">
        <v>42342.0</v>
      </c>
      <c r="Q2401" s="2" t="s">
        <v>86</v>
      </c>
    </row>
    <row r="2402">
      <c r="A2402" s="2">
        <v>2401.0</v>
      </c>
      <c r="B2402" s="2" t="s">
        <v>4817</v>
      </c>
      <c r="C2402" s="2" t="s">
        <v>23</v>
      </c>
      <c r="K2402" s="2">
        <v>30.0</v>
      </c>
      <c r="N2402" s="6">
        <v>44533.0</v>
      </c>
      <c r="Q2402" s="2" t="s">
        <v>86</v>
      </c>
    </row>
    <row r="2403">
      <c r="A2403" s="2">
        <v>2402.0</v>
      </c>
      <c r="B2403" s="2" t="s">
        <v>4818</v>
      </c>
      <c r="C2403" s="2" t="s">
        <v>23</v>
      </c>
      <c r="K2403" s="2">
        <v>100.0</v>
      </c>
      <c r="N2403" s="6">
        <v>44054.0</v>
      </c>
      <c r="Q2403" s="2" t="s">
        <v>4819</v>
      </c>
    </row>
    <row r="2404">
      <c r="A2404" s="2">
        <v>2403.0</v>
      </c>
      <c r="B2404" s="2" t="s">
        <v>4820</v>
      </c>
      <c r="C2404" s="2" t="s">
        <v>23</v>
      </c>
      <c r="N2404" s="6">
        <v>45004.0</v>
      </c>
      <c r="Q2404" s="2" t="s">
        <v>86</v>
      </c>
    </row>
    <row r="2405">
      <c r="A2405" s="2">
        <v>2404.0</v>
      </c>
      <c r="B2405" s="2" t="s">
        <v>4821</v>
      </c>
      <c r="C2405" s="2" t="s">
        <v>23</v>
      </c>
      <c r="N2405" s="6">
        <v>43865.0</v>
      </c>
      <c r="Q2405" s="2" t="s">
        <v>86</v>
      </c>
    </row>
    <row r="2406">
      <c r="A2406" s="2">
        <v>2405.0</v>
      </c>
      <c r="B2406" s="2" t="s">
        <v>4822</v>
      </c>
      <c r="C2406" s="2" t="s">
        <v>23</v>
      </c>
      <c r="K2406" s="2">
        <v>20.0</v>
      </c>
      <c r="N2406" s="6">
        <v>44885.0</v>
      </c>
      <c r="Q2406" s="2" t="s">
        <v>4823</v>
      </c>
    </row>
    <row r="2407">
      <c r="A2407" s="2">
        <v>2406.0</v>
      </c>
      <c r="B2407" s="2" t="s">
        <v>4824</v>
      </c>
      <c r="C2407" s="2" t="s">
        <v>23</v>
      </c>
      <c r="K2407" s="2">
        <v>20.0</v>
      </c>
      <c r="N2407" s="6">
        <v>44374.0</v>
      </c>
      <c r="Q2407" s="2" t="s">
        <v>86</v>
      </c>
    </row>
    <row r="2408">
      <c r="A2408" s="2">
        <v>2407.0</v>
      </c>
      <c r="B2408" s="2" t="s">
        <v>4825</v>
      </c>
      <c r="C2408" s="2" t="s">
        <v>23</v>
      </c>
      <c r="K2408" s="2">
        <v>50.0</v>
      </c>
      <c r="N2408" s="6">
        <v>45510.0</v>
      </c>
      <c r="Q2408" s="2" t="s">
        <v>4826</v>
      </c>
    </row>
    <row r="2409">
      <c r="A2409" s="2">
        <v>2408.0</v>
      </c>
      <c r="B2409" s="2" t="s">
        <v>4827</v>
      </c>
      <c r="C2409" s="2" t="s">
        <v>23</v>
      </c>
      <c r="K2409" s="2">
        <v>150.0</v>
      </c>
      <c r="N2409" s="6">
        <v>44524.0</v>
      </c>
      <c r="Q2409" s="2" t="s">
        <v>4828</v>
      </c>
    </row>
    <row r="2410">
      <c r="A2410" s="2">
        <v>2409.0</v>
      </c>
      <c r="B2410" s="2" t="s">
        <v>177</v>
      </c>
      <c r="C2410" s="2" t="s">
        <v>23</v>
      </c>
      <c r="N2410" s="6">
        <v>44600.0</v>
      </c>
      <c r="Q2410" s="2" t="s">
        <v>86</v>
      </c>
    </row>
    <row r="2411">
      <c r="A2411" s="2">
        <v>2410.0</v>
      </c>
      <c r="B2411" s="2" t="s">
        <v>4829</v>
      </c>
      <c r="C2411" s="2" t="s">
        <v>23</v>
      </c>
      <c r="K2411" s="2">
        <v>200.0</v>
      </c>
      <c r="N2411" s="6">
        <v>43963.0</v>
      </c>
      <c r="Q2411" s="2" t="s">
        <v>4830</v>
      </c>
    </row>
    <row r="2412">
      <c r="A2412" s="2">
        <v>2411.0</v>
      </c>
      <c r="B2412" s="2" t="s">
        <v>4831</v>
      </c>
      <c r="C2412" s="2" t="s">
        <v>23</v>
      </c>
      <c r="N2412" s="6">
        <v>45995.0</v>
      </c>
      <c r="Q2412" s="2" t="s">
        <v>4832</v>
      </c>
    </row>
    <row r="2413">
      <c r="A2413" s="2">
        <v>2412.0</v>
      </c>
      <c r="B2413" s="2" t="s">
        <v>4833</v>
      </c>
      <c r="C2413" s="2" t="s">
        <v>23</v>
      </c>
      <c r="K2413" s="2">
        <v>40.0</v>
      </c>
      <c r="N2413" s="6">
        <v>44634.0</v>
      </c>
      <c r="Q2413" s="2" t="s">
        <v>4834</v>
      </c>
    </row>
    <row r="2414">
      <c r="A2414" s="2">
        <v>2413.0</v>
      </c>
      <c r="B2414" s="2" t="s">
        <v>4835</v>
      </c>
      <c r="C2414" s="2" t="s">
        <v>23</v>
      </c>
      <c r="N2414" s="6">
        <v>44133.0</v>
      </c>
      <c r="Q2414" s="2" t="s">
        <v>86</v>
      </c>
    </row>
    <row r="2415">
      <c r="A2415" s="2">
        <v>2414.0</v>
      </c>
      <c r="B2415" s="2" t="s">
        <v>4836</v>
      </c>
      <c r="C2415" s="2" t="s">
        <v>23</v>
      </c>
      <c r="K2415" s="2">
        <v>150.0</v>
      </c>
      <c r="N2415" s="6">
        <v>43856.0</v>
      </c>
      <c r="Q2415" s="2" t="s">
        <v>1070</v>
      </c>
    </row>
    <row r="2416">
      <c r="A2416" s="2">
        <v>2415.0</v>
      </c>
      <c r="B2416" s="2" t="s">
        <v>4837</v>
      </c>
      <c r="C2416" s="2" t="s">
        <v>23</v>
      </c>
      <c r="N2416" s="6">
        <v>45580.0</v>
      </c>
      <c r="Q2416" s="2" t="s">
        <v>3242</v>
      </c>
    </row>
    <row r="2417">
      <c r="A2417" s="2">
        <v>2416.0</v>
      </c>
      <c r="B2417" s="2" t="s">
        <v>4838</v>
      </c>
      <c r="C2417" s="2" t="s">
        <v>23</v>
      </c>
      <c r="K2417" s="2">
        <v>20.0</v>
      </c>
      <c r="N2417" s="6">
        <v>43283.0</v>
      </c>
      <c r="Q2417" s="2" t="s">
        <v>1790</v>
      </c>
    </row>
    <row r="2418">
      <c r="A2418" s="2">
        <v>2417.0</v>
      </c>
      <c r="B2418" s="2" t="s">
        <v>4839</v>
      </c>
      <c r="C2418" s="2" t="s">
        <v>23</v>
      </c>
      <c r="K2418" s="2">
        <v>150.0</v>
      </c>
      <c r="N2418" s="6">
        <v>45570.0</v>
      </c>
      <c r="Q2418" s="2" t="s">
        <v>4840</v>
      </c>
    </row>
    <row r="2419">
      <c r="A2419" s="2">
        <v>2418.0</v>
      </c>
      <c r="B2419" s="2" t="s">
        <v>4841</v>
      </c>
      <c r="C2419" s="2" t="s">
        <v>23</v>
      </c>
      <c r="N2419" s="6">
        <v>44668.0</v>
      </c>
      <c r="Q2419" s="2" t="s">
        <v>86</v>
      </c>
    </row>
    <row r="2420">
      <c r="A2420" s="2">
        <v>2419.0</v>
      </c>
      <c r="B2420" s="2" t="s">
        <v>4842</v>
      </c>
      <c r="C2420" s="2" t="s">
        <v>23</v>
      </c>
      <c r="K2420" s="2">
        <v>10.0</v>
      </c>
      <c r="N2420" s="6">
        <v>44146.0</v>
      </c>
      <c r="Q2420" s="2" t="s">
        <v>4843</v>
      </c>
    </row>
    <row r="2421">
      <c r="A2421" s="2">
        <v>2420.0</v>
      </c>
      <c r="B2421" s="2" t="s">
        <v>4844</v>
      </c>
      <c r="C2421" s="2" t="s">
        <v>23</v>
      </c>
      <c r="K2421" s="2">
        <v>60.0</v>
      </c>
      <c r="N2421" s="6">
        <v>44485.0</v>
      </c>
      <c r="Q2421" s="2" t="s">
        <v>1472</v>
      </c>
    </row>
    <row r="2422">
      <c r="A2422" s="2">
        <v>2421.0</v>
      </c>
      <c r="B2422" s="2" t="s">
        <v>4845</v>
      </c>
      <c r="C2422" s="2" t="s">
        <v>23</v>
      </c>
      <c r="K2422" s="2">
        <v>30.0</v>
      </c>
      <c r="N2422" s="6">
        <v>45217.0</v>
      </c>
      <c r="Q2422" s="2" t="s">
        <v>4846</v>
      </c>
    </row>
    <row r="2423">
      <c r="A2423" s="2">
        <v>2422.0</v>
      </c>
      <c r="B2423" s="2" t="s">
        <v>4847</v>
      </c>
      <c r="C2423" s="2" t="s">
        <v>23</v>
      </c>
      <c r="K2423" s="2">
        <v>30.0</v>
      </c>
      <c r="N2423" s="6">
        <v>44365.0</v>
      </c>
      <c r="Q2423" s="2" t="s">
        <v>1790</v>
      </c>
    </row>
    <row r="2424">
      <c r="A2424" s="2">
        <v>2423.0</v>
      </c>
      <c r="B2424" s="2" t="s">
        <v>4848</v>
      </c>
      <c r="C2424" s="2" t="s">
        <v>23</v>
      </c>
      <c r="K2424" s="2">
        <v>70.0</v>
      </c>
      <c r="N2424" s="6">
        <v>45312.0</v>
      </c>
      <c r="Q2424" s="2" t="s">
        <v>1070</v>
      </c>
    </row>
    <row r="2425">
      <c r="A2425" s="2">
        <v>2424.0</v>
      </c>
      <c r="B2425" s="2" t="s">
        <v>4849</v>
      </c>
      <c r="C2425" s="2" t="s">
        <v>23</v>
      </c>
      <c r="N2425" s="6">
        <v>43294.0</v>
      </c>
      <c r="Q2425" s="2" t="s">
        <v>86</v>
      </c>
    </row>
    <row r="2426">
      <c r="A2426" s="2">
        <v>2425.0</v>
      </c>
      <c r="B2426" s="2" t="s">
        <v>4850</v>
      </c>
      <c r="C2426" s="2" t="s">
        <v>23</v>
      </c>
      <c r="K2426" s="2">
        <v>60.0</v>
      </c>
      <c r="N2426" s="6">
        <v>44820.0</v>
      </c>
      <c r="Q2426" s="2" t="s">
        <v>86</v>
      </c>
    </row>
    <row r="2427">
      <c r="A2427" s="2">
        <v>2426.0</v>
      </c>
      <c r="B2427" s="2" t="s">
        <v>4851</v>
      </c>
      <c r="C2427" s="2" t="s">
        <v>23</v>
      </c>
      <c r="K2427" s="2">
        <v>30.0</v>
      </c>
      <c r="N2427" s="6">
        <v>45255.0</v>
      </c>
      <c r="Q2427" s="2" t="s">
        <v>3232</v>
      </c>
    </row>
    <row r="2428">
      <c r="A2428" s="2">
        <v>2427.0</v>
      </c>
      <c r="B2428" s="2" t="s">
        <v>4852</v>
      </c>
      <c r="C2428" s="2" t="s">
        <v>23</v>
      </c>
      <c r="K2428" s="2">
        <v>80.0</v>
      </c>
      <c r="N2428" s="6">
        <v>45298.0</v>
      </c>
      <c r="Q2428" s="2" t="s">
        <v>2009</v>
      </c>
    </row>
    <row r="2429">
      <c r="A2429" s="2">
        <v>2428.0</v>
      </c>
      <c r="B2429" s="2" t="s">
        <v>4853</v>
      </c>
      <c r="C2429" s="2" t="s">
        <v>23</v>
      </c>
      <c r="K2429" s="2">
        <v>250.0</v>
      </c>
      <c r="N2429" s="6">
        <v>43841.0</v>
      </c>
      <c r="Q2429" s="2" t="s">
        <v>4854</v>
      </c>
    </row>
    <row r="2430">
      <c r="A2430" s="2">
        <v>2429.0</v>
      </c>
      <c r="B2430" s="2" t="s">
        <v>4855</v>
      </c>
      <c r="C2430" s="2" t="s">
        <v>23</v>
      </c>
      <c r="N2430" s="6">
        <v>45986.0</v>
      </c>
      <c r="Q2430" s="2" t="s">
        <v>4856</v>
      </c>
    </row>
    <row r="2431">
      <c r="A2431" s="2">
        <v>2430.0</v>
      </c>
      <c r="B2431" s="2" t="s">
        <v>4857</v>
      </c>
      <c r="C2431" s="2" t="s">
        <v>23</v>
      </c>
      <c r="N2431" s="6">
        <v>44324.0</v>
      </c>
      <c r="Q2431" s="2" t="s">
        <v>86</v>
      </c>
    </row>
    <row r="2432">
      <c r="A2432" s="2">
        <v>2431.0</v>
      </c>
      <c r="B2432" s="2" t="s">
        <v>4858</v>
      </c>
      <c r="C2432" s="2" t="s">
        <v>23</v>
      </c>
      <c r="K2432" s="2">
        <v>40.0</v>
      </c>
      <c r="N2432" s="6">
        <v>45656.0</v>
      </c>
      <c r="Q2432" s="2" t="s">
        <v>2421</v>
      </c>
    </row>
    <row r="2433">
      <c r="A2433" s="2">
        <v>2432.0</v>
      </c>
      <c r="B2433" s="2" t="s">
        <v>4859</v>
      </c>
      <c r="C2433" s="2" t="s">
        <v>23</v>
      </c>
      <c r="K2433" s="2">
        <v>60.0</v>
      </c>
      <c r="N2433" s="6">
        <v>44219.0</v>
      </c>
      <c r="Q2433" s="2" t="s">
        <v>4860</v>
      </c>
    </row>
    <row r="2434">
      <c r="A2434" s="2">
        <v>2433.0</v>
      </c>
      <c r="B2434" s="2" t="s">
        <v>4861</v>
      </c>
      <c r="C2434" s="2" t="s">
        <v>23</v>
      </c>
      <c r="N2434" s="6">
        <v>44706.0</v>
      </c>
      <c r="Q2434" s="2" t="s">
        <v>86</v>
      </c>
    </row>
    <row r="2435">
      <c r="A2435" s="2">
        <v>2434.0</v>
      </c>
      <c r="B2435" s="2" t="s">
        <v>4862</v>
      </c>
      <c r="C2435" s="2" t="s">
        <v>23</v>
      </c>
      <c r="N2435" s="6">
        <v>43920.0</v>
      </c>
      <c r="Q2435" s="2" t="s">
        <v>86</v>
      </c>
    </row>
    <row r="2436">
      <c r="A2436" s="2">
        <v>2435.0</v>
      </c>
      <c r="B2436" s="2" t="s">
        <v>4863</v>
      </c>
      <c r="C2436" s="2" t="s">
        <v>23</v>
      </c>
      <c r="N2436" s="6">
        <v>45362.0</v>
      </c>
      <c r="Q2436" s="2" t="s">
        <v>2492</v>
      </c>
    </row>
    <row r="2437">
      <c r="A2437" s="2">
        <v>2436.0</v>
      </c>
      <c r="B2437" s="2" t="s">
        <v>4864</v>
      </c>
      <c r="C2437" s="2" t="s">
        <v>23</v>
      </c>
      <c r="N2437" s="6">
        <v>44322.0</v>
      </c>
      <c r="Q2437" s="2" t="s">
        <v>86</v>
      </c>
    </row>
    <row r="2438">
      <c r="A2438" s="2">
        <v>2437.0</v>
      </c>
      <c r="B2438" s="2" t="s">
        <v>181</v>
      </c>
      <c r="C2438" s="2" t="s">
        <v>23</v>
      </c>
      <c r="K2438" s="2">
        <v>20.0</v>
      </c>
      <c r="N2438" s="6">
        <v>44273.0</v>
      </c>
      <c r="Q2438" s="2" t="s">
        <v>184</v>
      </c>
    </row>
    <row r="2439">
      <c r="A2439" s="2">
        <v>2438.0</v>
      </c>
      <c r="B2439" s="2" t="s">
        <v>4865</v>
      </c>
      <c r="C2439" s="2" t="s">
        <v>23</v>
      </c>
      <c r="K2439" s="2">
        <v>30.0</v>
      </c>
      <c r="N2439" s="6">
        <v>45160.0</v>
      </c>
      <c r="Q2439" s="2" t="s">
        <v>86</v>
      </c>
    </row>
    <row r="2440">
      <c r="A2440" s="2">
        <v>2439.0</v>
      </c>
      <c r="B2440" s="2" t="s">
        <v>4866</v>
      </c>
      <c r="C2440" s="2" t="s">
        <v>23</v>
      </c>
      <c r="K2440" s="2">
        <v>30.0</v>
      </c>
      <c r="N2440" s="6">
        <v>45775.0</v>
      </c>
      <c r="Q2440" s="2" t="s">
        <v>2424</v>
      </c>
    </row>
    <row r="2441">
      <c r="A2441" s="2">
        <v>2440.0</v>
      </c>
      <c r="B2441" s="2" t="s">
        <v>4867</v>
      </c>
      <c r="C2441" s="2" t="s">
        <v>23</v>
      </c>
      <c r="N2441" s="6">
        <v>44564.0</v>
      </c>
      <c r="Q2441" s="2" t="s">
        <v>86</v>
      </c>
    </row>
    <row r="2442">
      <c r="A2442" s="2">
        <v>2441.0</v>
      </c>
      <c r="B2442" s="2" t="s">
        <v>187</v>
      </c>
      <c r="C2442" s="2" t="s">
        <v>23</v>
      </c>
      <c r="K2442" s="2">
        <v>20.0</v>
      </c>
      <c r="N2442" s="6">
        <v>44871.0</v>
      </c>
      <c r="Q2442" s="2" t="s">
        <v>189</v>
      </c>
    </row>
    <row r="2443">
      <c r="A2443" s="2">
        <v>2442.0</v>
      </c>
      <c r="B2443" s="2" t="s">
        <v>4868</v>
      </c>
      <c r="C2443" s="2" t="s">
        <v>23</v>
      </c>
      <c r="K2443" s="2">
        <v>150.0</v>
      </c>
      <c r="N2443" s="6">
        <v>44125.0</v>
      </c>
      <c r="Q2443" s="2" t="s">
        <v>401</v>
      </c>
    </row>
    <row r="2444">
      <c r="A2444" s="2">
        <v>2443.0</v>
      </c>
      <c r="B2444" s="2" t="s">
        <v>4869</v>
      </c>
      <c r="C2444" s="2" t="s">
        <v>23</v>
      </c>
      <c r="N2444" s="6">
        <v>43871.0</v>
      </c>
      <c r="Q2444" s="2" t="s">
        <v>86</v>
      </c>
    </row>
    <row r="2445">
      <c r="A2445" s="2">
        <v>2444.0</v>
      </c>
      <c r="B2445" s="2" t="s">
        <v>4870</v>
      </c>
      <c r="C2445" s="2" t="s">
        <v>23</v>
      </c>
      <c r="N2445" s="6">
        <v>45617.0</v>
      </c>
      <c r="Q2445" s="2" t="s">
        <v>3290</v>
      </c>
    </row>
    <row r="2446">
      <c r="A2446" s="2">
        <v>2445.0</v>
      </c>
      <c r="B2446" s="2" t="s">
        <v>4871</v>
      </c>
      <c r="C2446" s="2" t="s">
        <v>23</v>
      </c>
      <c r="K2446" s="2">
        <v>20.0</v>
      </c>
      <c r="N2446" s="6">
        <v>45766.0</v>
      </c>
      <c r="Q2446" s="2" t="s">
        <v>4872</v>
      </c>
    </row>
    <row r="2447">
      <c r="A2447" s="2">
        <v>2446.0</v>
      </c>
      <c r="B2447" s="2" t="s">
        <v>4873</v>
      </c>
      <c r="C2447" s="2" t="s">
        <v>23</v>
      </c>
      <c r="K2447" s="2">
        <v>100.0</v>
      </c>
      <c r="N2447" s="6">
        <v>44287.0</v>
      </c>
      <c r="Q2447" s="2" t="s">
        <v>4874</v>
      </c>
    </row>
    <row r="2448">
      <c r="A2448" s="2">
        <v>2447.0</v>
      </c>
      <c r="B2448" s="2" t="s">
        <v>4875</v>
      </c>
      <c r="C2448" s="2" t="s">
        <v>23</v>
      </c>
      <c r="N2448" s="6">
        <v>45011.0</v>
      </c>
      <c r="Q2448" s="2" t="s">
        <v>546</v>
      </c>
    </row>
    <row r="2449">
      <c r="A2449" s="2">
        <v>2448.0</v>
      </c>
      <c r="B2449" s="2" t="s">
        <v>4876</v>
      </c>
      <c r="C2449" s="2" t="s">
        <v>23</v>
      </c>
      <c r="N2449" s="6">
        <v>44599.0</v>
      </c>
      <c r="Q2449" s="2" t="s">
        <v>86</v>
      </c>
    </row>
    <row r="2450">
      <c r="A2450" s="2">
        <v>2449.0</v>
      </c>
      <c r="B2450" s="2" t="s">
        <v>4877</v>
      </c>
      <c r="C2450" s="2" t="s">
        <v>23</v>
      </c>
      <c r="K2450" s="2">
        <v>30.0</v>
      </c>
      <c r="N2450" s="6">
        <v>44913.0</v>
      </c>
      <c r="Q2450" s="2" t="s">
        <v>2948</v>
      </c>
    </row>
    <row r="2451">
      <c r="A2451" s="2">
        <v>2450.0</v>
      </c>
      <c r="B2451" s="2" t="s">
        <v>4878</v>
      </c>
      <c r="C2451" s="2" t="s">
        <v>23</v>
      </c>
      <c r="K2451" s="2">
        <v>40.0</v>
      </c>
      <c r="N2451" s="6">
        <v>44245.0</v>
      </c>
      <c r="Q2451" s="2" t="s">
        <v>4879</v>
      </c>
    </row>
    <row r="2452">
      <c r="A2452" s="2">
        <v>2451.0</v>
      </c>
      <c r="B2452" s="2" t="s">
        <v>4880</v>
      </c>
      <c r="C2452" s="2" t="s">
        <v>23</v>
      </c>
      <c r="K2452" s="2">
        <v>30.0</v>
      </c>
      <c r="N2452" s="6">
        <v>44804.0</v>
      </c>
      <c r="Q2452" s="2" t="s">
        <v>3447</v>
      </c>
    </row>
    <row r="2453">
      <c r="A2453" s="2">
        <v>2452.0</v>
      </c>
      <c r="B2453" s="2" t="s">
        <v>4881</v>
      </c>
      <c r="C2453" s="2" t="s">
        <v>23</v>
      </c>
      <c r="K2453" s="2">
        <v>40.0</v>
      </c>
      <c r="N2453" s="6">
        <v>45351.0</v>
      </c>
      <c r="Q2453" s="2" t="s">
        <v>3080</v>
      </c>
    </row>
    <row r="2454">
      <c r="A2454" s="2">
        <v>2453.0</v>
      </c>
      <c r="B2454" s="2" t="s">
        <v>4882</v>
      </c>
      <c r="C2454" s="2" t="s">
        <v>23</v>
      </c>
      <c r="K2454" s="2">
        <v>20.0</v>
      </c>
      <c r="N2454" s="6">
        <v>44544.0</v>
      </c>
      <c r="Q2454" s="2" t="s">
        <v>401</v>
      </c>
    </row>
    <row r="2455">
      <c r="A2455" s="2">
        <v>2454.0</v>
      </c>
      <c r="B2455" s="2" t="s">
        <v>4883</v>
      </c>
      <c r="C2455" s="2" t="s">
        <v>23</v>
      </c>
      <c r="K2455" s="2">
        <v>50.0</v>
      </c>
      <c r="N2455" s="6">
        <v>45645.0</v>
      </c>
      <c r="Q2455" s="2" t="s">
        <v>3770</v>
      </c>
    </row>
    <row r="2456">
      <c r="A2456" s="2">
        <v>2455.0</v>
      </c>
      <c r="B2456" s="2" t="s">
        <v>4884</v>
      </c>
      <c r="C2456" s="2" t="s">
        <v>23</v>
      </c>
      <c r="K2456" s="2">
        <v>100.0</v>
      </c>
      <c r="N2456" s="6">
        <v>43872.0</v>
      </c>
      <c r="Q2456" s="2" t="s">
        <v>4885</v>
      </c>
    </row>
    <row r="2457">
      <c r="A2457" s="2">
        <v>2456.0</v>
      </c>
      <c r="B2457" s="2" t="s">
        <v>4886</v>
      </c>
      <c r="C2457" s="2" t="s">
        <v>23</v>
      </c>
      <c r="N2457" s="6">
        <v>43969.0</v>
      </c>
      <c r="Q2457" s="2" t="s">
        <v>86</v>
      </c>
    </row>
    <row r="2458">
      <c r="A2458" s="2">
        <v>2457.0</v>
      </c>
      <c r="B2458" s="2" t="s">
        <v>4887</v>
      </c>
      <c r="C2458" s="2" t="s">
        <v>23</v>
      </c>
      <c r="K2458" s="2">
        <v>150.0</v>
      </c>
      <c r="N2458" s="6">
        <v>42289.0</v>
      </c>
      <c r="Q2458" s="2" t="s">
        <v>4888</v>
      </c>
    </row>
    <row r="2459">
      <c r="A2459" s="2">
        <v>2458.0</v>
      </c>
      <c r="B2459" s="2" t="s">
        <v>4889</v>
      </c>
      <c r="C2459" s="2" t="s">
        <v>23</v>
      </c>
      <c r="K2459" s="2">
        <v>80.0</v>
      </c>
      <c r="N2459" s="6">
        <v>43943.0</v>
      </c>
      <c r="Q2459" s="2" t="s">
        <v>200</v>
      </c>
    </row>
    <row r="2460">
      <c r="A2460" s="2">
        <v>2459.0</v>
      </c>
      <c r="B2460" s="2" t="s">
        <v>4890</v>
      </c>
      <c r="C2460" s="2" t="s">
        <v>23</v>
      </c>
      <c r="N2460" s="6">
        <v>44765.0</v>
      </c>
      <c r="Q2460" s="2" t="s">
        <v>86</v>
      </c>
    </row>
    <row r="2461">
      <c r="A2461" s="2">
        <v>2460.0</v>
      </c>
      <c r="B2461" s="2" t="s">
        <v>4891</v>
      </c>
      <c r="C2461" s="2" t="s">
        <v>23</v>
      </c>
      <c r="N2461" s="6">
        <v>43851.0</v>
      </c>
      <c r="Q2461" s="2" t="s">
        <v>4892</v>
      </c>
    </row>
    <row r="2462">
      <c r="A2462" s="2">
        <v>2461.0</v>
      </c>
      <c r="B2462" s="2" t="s">
        <v>4893</v>
      </c>
      <c r="C2462" s="2" t="s">
        <v>23</v>
      </c>
      <c r="N2462" s="6">
        <v>44936.0</v>
      </c>
      <c r="Q2462" s="2" t="s">
        <v>86</v>
      </c>
    </row>
    <row r="2463">
      <c r="A2463" s="2">
        <v>2462.0</v>
      </c>
      <c r="B2463" s="2" t="s">
        <v>4894</v>
      </c>
      <c r="C2463" s="2" t="s">
        <v>23</v>
      </c>
      <c r="N2463" s="6">
        <v>42590.0</v>
      </c>
      <c r="Q2463" s="2" t="s">
        <v>86</v>
      </c>
    </row>
    <row r="2464">
      <c r="A2464" s="2">
        <v>2463.0</v>
      </c>
      <c r="B2464" s="2" t="s">
        <v>4895</v>
      </c>
      <c r="C2464" s="2" t="s">
        <v>23</v>
      </c>
      <c r="K2464" s="2">
        <v>100.0</v>
      </c>
      <c r="N2464" s="6">
        <v>45258.0</v>
      </c>
      <c r="Q2464" s="2" t="s">
        <v>4896</v>
      </c>
    </row>
    <row r="2465">
      <c r="A2465" s="2">
        <v>2464.0</v>
      </c>
      <c r="B2465" s="2" t="s">
        <v>4897</v>
      </c>
      <c r="C2465" s="2" t="s">
        <v>23</v>
      </c>
      <c r="K2465" s="2">
        <v>50.0</v>
      </c>
      <c r="N2465" s="6">
        <v>44584.0</v>
      </c>
      <c r="Q2465" s="2" t="s">
        <v>4898</v>
      </c>
    </row>
    <row r="2466">
      <c r="A2466" s="2">
        <v>2465.0</v>
      </c>
      <c r="B2466" s="2" t="s">
        <v>4899</v>
      </c>
      <c r="C2466" s="2" t="s">
        <v>23</v>
      </c>
      <c r="K2466" s="2">
        <v>10.0</v>
      </c>
      <c r="N2466" s="6">
        <v>43858.0</v>
      </c>
      <c r="Q2466" s="2" t="s">
        <v>3934</v>
      </c>
    </row>
    <row r="2467">
      <c r="A2467" s="2">
        <v>2466.0</v>
      </c>
      <c r="B2467" s="2" t="s">
        <v>4900</v>
      </c>
      <c r="C2467" s="2" t="s">
        <v>23</v>
      </c>
      <c r="K2467" s="2">
        <v>70.0</v>
      </c>
      <c r="N2467" s="6">
        <v>45723.0</v>
      </c>
      <c r="Q2467" s="2" t="s">
        <v>4901</v>
      </c>
    </row>
    <row r="2468">
      <c r="A2468" s="2">
        <v>2467.0</v>
      </c>
      <c r="B2468" s="2" t="s">
        <v>4902</v>
      </c>
      <c r="C2468" s="2" t="s">
        <v>23</v>
      </c>
      <c r="K2468" s="2">
        <v>80.0</v>
      </c>
      <c r="N2468" s="6">
        <v>44509.0</v>
      </c>
      <c r="Q2468" s="2" t="s">
        <v>89</v>
      </c>
    </row>
    <row r="2469">
      <c r="A2469" s="2">
        <v>2468.0</v>
      </c>
      <c r="B2469" s="2" t="s">
        <v>4903</v>
      </c>
      <c r="C2469" s="2" t="s">
        <v>23</v>
      </c>
      <c r="K2469" s="2">
        <v>30.0</v>
      </c>
      <c r="N2469" s="6">
        <v>44581.0</v>
      </c>
      <c r="Q2469" s="2" t="s">
        <v>1632</v>
      </c>
    </row>
    <row r="2470">
      <c r="A2470" s="2">
        <v>2469.0</v>
      </c>
      <c r="B2470" s="2" t="s">
        <v>4904</v>
      </c>
      <c r="C2470" s="2" t="s">
        <v>23</v>
      </c>
      <c r="K2470" s="2">
        <v>60.0</v>
      </c>
      <c r="N2470" s="6">
        <v>45611.0</v>
      </c>
      <c r="Q2470" s="2" t="s">
        <v>4905</v>
      </c>
    </row>
    <row r="2471">
      <c r="A2471" s="2">
        <v>2470.0</v>
      </c>
      <c r="B2471" s="2" t="s">
        <v>4906</v>
      </c>
      <c r="C2471" s="2" t="s">
        <v>23</v>
      </c>
      <c r="N2471" s="6">
        <v>45169.0</v>
      </c>
      <c r="Q2471" s="2" t="s">
        <v>86</v>
      </c>
    </row>
    <row r="2472">
      <c r="A2472" s="2">
        <v>2471.0</v>
      </c>
      <c r="B2472" s="2" t="s">
        <v>4907</v>
      </c>
      <c r="C2472" s="2" t="s">
        <v>23</v>
      </c>
      <c r="K2472" s="2">
        <v>200.0</v>
      </c>
      <c r="N2472" s="6">
        <v>43894.0</v>
      </c>
      <c r="Q2472" s="2" t="s">
        <v>4908</v>
      </c>
    </row>
    <row r="2473">
      <c r="A2473" s="2">
        <v>2472.0</v>
      </c>
      <c r="B2473" s="2" t="s">
        <v>4909</v>
      </c>
      <c r="C2473" s="2" t="s">
        <v>23</v>
      </c>
      <c r="K2473" s="2">
        <v>20.0</v>
      </c>
      <c r="N2473" s="6">
        <v>45858.0</v>
      </c>
      <c r="Q2473" s="2" t="s">
        <v>4910</v>
      </c>
    </row>
    <row r="2474">
      <c r="A2474" s="2">
        <v>2473.0</v>
      </c>
      <c r="B2474" s="2" t="s">
        <v>4911</v>
      </c>
      <c r="C2474" s="2" t="s">
        <v>23</v>
      </c>
      <c r="K2474" s="2">
        <v>40.0</v>
      </c>
      <c r="N2474" s="6">
        <v>45176.0</v>
      </c>
      <c r="Q2474" s="2" t="s">
        <v>4041</v>
      </c>
    </row>
    <row r="2475">
      <c r="A2475" s="2">
        <v>2474.0</v>
      </c>
      <c r="B2475" s="2" t="s">
        <v>4912</v>
      </c>
      <c r="C2475" s="2" t="s">
        <v>23</v>
      </c>
      <c r="K2475" s="2">
        <v>10.0</v>
      </c>
      <c r="N2475" s="6">
        <v>43981.0</v>
      </c>
      <c r="Q2475" s="2" t="s">
        <v>4913</v>
      </c>
    </row>
    <row r="2476">
      <c r="A2476" s="2">
        <v>2475.0</v>
      </c>
      <c r="B2476" s="2" t="s">
        <v>4914</v>
      </c>
      <c r="C2476" s="2" t="s">
        <v>23</v>
      </c>
      <c r="N2476" s="6">
        <v>45499.0</v>
      </c>
      <c r="Q2476" s="2" t="s">
        <v>4915</v>
      </c>
    </row>
    <row r="2477">
      <c r="A2477" s="2">
        <v>2476.0</v>
      </c>
      <c r="B2477" s="2" t="s">
        <v>4916</v>
      </c>
      <c r="C2477" s="2" t="s">
        <v>23</v>
      </c>
      <c r="K2477" s="2">
        <v>30.0</v>
      </c>
      <c r="N2477" s="6">
        <v>45609.0</v>
      </c>
      <c r="Q2477" s="2" t="s">
        <v>1711</v>
      </c>
    </row>
    <row r="2478">
      <c r="A2478" s="2">
        <v>2477.0</v>
      </c>
      <c r="B2478" s="2" t="s">
        <v>4917</v>
      </c>
      <c r="C2478" s="2" t="s">
        <v>23</v>
      </c>
      <c r="K2478" s="2">
        <v>20.0</v>
      </c>
      <c r="N2478" s="6">
        <v>45042.0</v>
      </c>
      <c r="Q2478" s="2" t="s">
        <v>1437</v>
      </c>
    </row>
    <row r="2479">
      <c r="A2479" s="2">
        <v>2478.0</v>
      </c>
      <c r="B2479" s="2" t="s">
        <v>4918</v>
      </c>
      <c r="C2479" s="2" t="s">
        <v>23</v>
      </c>
      <c r="K2479" s="2">
        <v>60.0</v>
      </c>
      <c r="N2479" s="6">
        <v>45568.0</v>
      </c>
      <c r="Q2479" s="2" t="s">
        <v>4919</v>
      </c>
    </row>
    <row r="2480">
      <c r="A2480" s="2">
        <v>2479.0</v>
      </c>
      <c r="B2480" s="2" t="s">
        <v>4920</v>
      </c>
      <c r="C2480" s="2" t="s">
        <v>23</v>
      </c>
      <c r="K2480" s="2">
        <v>150.0</v>
      </c>
      <c r="N2480" s="6">
        <v>43938.0</v>
      </c>
      <c r="Q2480" s="2" t="s">
        <v>4921</v>
      </c>
    </row>
    <row r="2481">
      <c r="A2481" s="2">
        <v>2480.0</v>
      </c>
      <c r="B2481" s="2" t="s">
        <v>4922</v>
      </c>
      <c r="C2481" s="2" t="s">
        <v>23</v>
      </c>
      <c r="N2481" s="6">
        <v>44219.0</v>
      </c>
      <c r="Q2481" s="2" t="s">
        <v>86</v>
      </c>
    </row>
    <row r="2482">
      <c r="A2482" s="2">
        <v>2481.0</v>
      </c>
      <c r="B2482" s="2" t="s">
        <v>4923</v>
      </c>
      <c r="C2482" s="2" t="s">
        <v>23</v>
      </c>
      <c r="K2482" s="2">
        <v>30.0</v>
      </c>
      <c r="N2482" s="6">
        <v>45266.0</v>
      </c>
      <c r="Q2482" s="2" t="s">
        <v>4924</v>
      </c>
    </row>
    <row r="2483">
      <c r="A2483" s="2">
        <v>2482.0</v>
      </c>
      <c r="B2483" s="2" t="s">
        <v>4925</v>
      </c>
      <c r="C2483" s="2" t="s">
        <v>23</v>
      </c>
      <c r="K2483" s="2">
        <v>30.0</v>
      </c>
      <c r="N2483" s="6">
        <v>45995.0</v>
      </c>
      <c r="Q2483" s="2" t="s">
        <v>4926</v>
      </c>
    </row>
    <row r="2484">
      <c r="A2484" s="2">
        <v>2483.0</v>
      </c>
      <c r="B2484" s="2" t="s">
        <v>4927</v>
      </c>
      <c r="C2484" s="2" t="s">
        <v>23</v>
      </c>
      <c r="N2484" s="6">
        <v>44452.0</v>
      </c>
      <c r="Q2484" s="2" t="s">
        <v>1156</v>
      </c>
    </row>
    <row r="2485">
      <c r="A2485" s="2">
        <v>2484.0</v>
      </c>
      <c r="B2485" s="2" t="s">
        <v>4928</v>
      </c>
      <c r="C2485" s="2" t="s">
        <v>23</v>
      </c>
      <c r="K2485" s="2">
        <v>50.0</v>
      </c>
      <c r="N2485" s="6">
        <v>44465.0</v>
      </c>
      <c r="Q2485" s="2" t="s">
        <v>4929</v>
      </c>
    </row>
    <row r="2486">
      <c r="A2486" s="2">
        <v>2485.0</v>
      </c>
      <c r="B2486" s="2" t="s">
        <v>4930</v>
      </c>
      <c r="C2486" s="2" t="s">
        <v>23</v>
      </c>
      <c r="K2486" s="2">
        <v>20.0</v>
      </c>
      <c r="N2486" s="6">
        <v>45787.0</v>
      </c>
      <c r="Q2486" s="2" t="s">
        <v>4931</v>
      </c>
    </row>
    <row r="2487">
      <c r="A2487" s="2">
        <v>2486.0</v>
      </c>
      <c r="B2487" s="2" t="s">
        <v>4932</v>
      </c>
      <c r="C2487" s="2" t="s">
        <v>23</v>
      </c>
      <c r="N2487" s="6">
        <v>44301.0</v>
      </c>
      <c r="Q2487" s="2" t="s">
        <v>86</v>
      </c>
    </row>
    <row r="2488">
      <c r="A2488" s="2">
        <v>2487.0</v>
      </c>
      <c r="B2488" s="2" t="s">
        <v>4933</v>
      </c>
      <c r="C2488" s="2" t="s">
        <v>23</v>
      </c>
      <c r="N2488" s="6">
        <v>42403.0</v>
      </c>
      <c r="Q2488" s="2" t="s">
        <v>4934</v>
      </c>
    </row>
    <row r="2489">
      <c r="A2489" s="2">
        <v>2488.0</v>
      </c>
      <c r="B2489" s="2" t="s">
        <v>4935</v>
      </c>
      <c r="C2489" s="2" t="s">
        <v>23</v>
      </c>
      <c r="K2489" s="2">
        <v>10.0</v>
      </c>
      <c r="N2489" s="6">
        <v>44109.0</v>
      </c>
      <c r="Q2489" s="2" t="s">
        <v>86</v>
      </c>
    </row>
    <row r="2490">
      <c r="A2490" s="2">
        <v>2489.0</v>
      </c>
      <c r="B2490" s="2" t="s">
        <v>4936</v>
      </c>
      <c r="C2490" s="2" t="s">
        <v>23</v>
      </c>
      <c r="N2490" s="6">
        <v>44585.0</v>
      </c>
      <c r="Q2490" s="2" t="s">
        <v>86</v>
      </c>
    </row>
    <row r="2491">
      <c r="A2491" s="2">
        <v>2490.0</v>
      </c>
      <c r="B2491" s="2" t="s">
        <v>4937</v>
      </c>
      <c r="C2491" s="2" t="s">
        <v>23</v>
      </c>
      <c r="N2491" s="6">
        <v>44602.0</v>
      </c>
      <c r="Q2491" s="2" t="s">
        <v>86</v>
      </c>
    </row>
    <row r="2492">
      <c r="A2492" s="2">
        <v>2491.0</v>
      </c>
      <c r="B2492" s="2" t="s">
        <v>4938</v>
      </c>
      <c r="C2492" s="2" t="s">
        <v>23</v>
      </c>
      <c r="N2492" s="6">
        <v>44648.0</v>
      </c>
      <c r="Q2492" s="2" t="s">
        <v>4939</v>
      </c>
    </row>
    <row r="2493">
      <c r="A2493" s="2">
        <v>2492.0</v>
      </c>
      <c r="B2493" s="2" t="s">
        <v>4940</v>
      </c>
      <c r="C2493" s="2" t="s">
        <v>23</v>
      </c>
      <c r="K2493" s="2">
        <v>20.0</v>
      </c>
      <c r="N2493" s="6">
        <v>44824.0</v>
      </c>
      <c r="Q2493" s="2" t="s">
        <v>4941</v>
      </c>
    </row>
    <row r="2494">
      <c r="A2494" s="2">
        <v>2493.0</v>
      </c>
      <c r="B2494" s="2" t="s">
        <v>4942</v>
      </c>
      <c r="C2494" s="2" t="s">
        <v>23</v>
      </c>
      <c r="K2494" s="2">
        <v>30.0</v>
      </c>
      <c r="N2494" s="6">
        <v>44657.0</v>
      </c>
      <c r="Q2494" s="2" t="s">
        <v>1131</v>
      </c>
    </row>
    <row r="2495">
      <c r="A2495" s="2">
        <v>2494.0</v>
      </c>
      <c r="B2495" s="2" t="s">
        <v>4943</v>
      </c>
      <c r="C2495" s="2" t="s">
        <v>23</v>
      </c>
      <c r="K2495" s="2">
        <v>50.0</v>
      </c>
      <c r="N2495" s="6">
        <v>44171.0</v>
      </c>
      <c r="Q2495" s="2" t="s">
        <v>3075</v>
      </c>
    </row>
    <row r="2496">
      <c r="A2496" s="2">
        <v>2495.0</v>
      </c>
      <c r="B2496" s="2" t="s">
        <v>4944</v>
      </c>
      <c r="C2496" s="2" t="s">
        <v>23</v>
      </c>
      <c r="K2496" s="2">
        <v>10.0</v>
      </c>
      <c r="N2496" s="6">
        <v>44054.0</v>
      </c>
      <c r="Q2496" s="2" t="s">
        <v>60</v>
      </c>
    </row>
    <row r="2497">
      <c r="A2497" s="2">
        <v>2496.0</v>
      </c>
      <c r="B2497" s="2" t="s">
        <v>4945</v>
      </c>
      <c r="C2497" s="2" t="s">
        <v>23</v>
      </c>
      <c r="N2497" s="6">
        <v>44271.0</v>
      </c>
      <c r="Q2497" s="2" t="s">
        <v>546</v>
      </c>
    </row>
    <row r="2498">
      <c r="A2498" s="2">
        <v>2497.0</v>
      </c>
      <c r="B2498" s="2" t="s">
        <v>4946</v>
      </c>
      <c r="C2498" s="2" t="s">
        <v>23</v>
      </c>
      <c r="K2498" s="2">
        <v>20.0</v>
      </c>
      <c r="N2498" s="6">
        <v>44323.0</v>
      </c>
      <c r="Q2498" s="2" t="s">
        <v>86</v>
      </c>
    </row>
    <row r="2499">
      <c r="A2499" s="2">
        <v>2498.0</v>
      </c>
      <c r="B2499" s="2" t="s">
        <v>4947</v>
      </c>
      <c r="C2499" s="2" t="s">
        <v>23</v>
      </c>
      <c r="K2499" s="2">
        <v>20.0</v>
      </c>
      <c r="N2499" s="6">
        <v>44264.0</v>
      </c>
      <c r="Q2499" s="2" t="s">
        <v>4948</v>
      </c>
    </row>
    <row r="2500">
      <c r="A2500" s="2">
        <v>2499.0</v>
      </c>
      <c r="B2500" s="2" t="s">
        <v>4949</v>
      </c>
      <c r="C2500" s="2" t="s">
        <v>23</v>
      </c>
      <c r="N2500" s="6">
        <v>44743.0</v>
      </c>
      <c r="Q2500" s="2" t="s">
        <v>86</v>
      </c>
    </row>
    <row r="2501">
      <c r="A2501" s="2">
        <v>2500.0</v>
      </c>
      <c r="B2501" s="2" t="s">
        <v>4950</v>
      </c>
      <c r="C2501" s="2" t="s">
        <v>23</v>
      </c>
      <c r="K2501" s="2">
        <v>20.0</v>
      </c>
      <c r="N2501" s="6">
        <v>45223.0</v>
      </c>
      <c r="Q2501" s="2" t="s">
        <v>94</v>
      </c>
    </row>
    <row r="2502">
      <c r="A2502" s="2">
        <v>2501.0</v>
      </c>
      <c r="B2502" s="2" t="s">
        <v>4951</v>
      </c>
      <c r="C2502" s="2" t="s">
        <v>23</v>
      </c>
      <c r="K2502" s="2">
        <v>40.0</v>
      </c>
      <c r="N2502" s="6">
        <v>44476.0</v>
      </c>
      <c r="Q2502" s="2" t="s">
        <v>86</v>
      </c>
    </row>
    <row r="2503">
      <c r="A2503" s="2">
        <v>2502.0</v>
      </c>
      <c r="B2503" s="2" t="s">
        <v>4952</v>
      </c>
      <c r="C2503" s="2" t="s">
        <v>23</v>
      </c>
      <c r="N2503" s="6">
        <v>45958.0</v>
      </c>
      <c r="Q2503" s="2" t="s">
        <v>4953</v>
      </c>
    </row>
    <row r="2504">
      <c r="A2504" s="2">
        <v>2503.0</v>
      </c>
      <c r="B2504" s="2" t="s">
        <v>4954</v>
      </c>
      <c r="C2504" s="2" t="s">
        <v>23</v>
      </c>
      <c r="K2504" s="2">
        <v>10.0</v>
      </c>
      <c r="N2504" s="6">
        <v>42282.0</v>
      </c>
      <c r="Q2504" s="2" t="s">
        <v>4955</v>
      </c>
    </row>
    <row r="2505">
      <c r="A2505" s="2">
        <v>2504.0</v>
      </c>
      <c r="B2505" s="2" t="s">
        <v>4956</v>
      </c>
      <c r="C2505" s="2" t="s">
        <v>23</v>
      </c>
      <c r="N2505" s="6">
        <v>44130.0</v>
      </c>
      <c r="Q2505" s="2" t="s">
        <v>86</v>
      </c>
    </row>
    <row r="2506">
      <c r="A2506" s="2">
        <v>2505.0</v>
      </c>
      <c r="B2506" s="2" t="s">
        <v>4957</v>
      </c>
      <c r="C2506" s="2" t="s">
        <v>23</v>
      </c>
      <c r="K2506" s="2">
        <v>80.0</v>
      </c>
      <c r="N2506" s="6">
        <v>44360.0</v>
      </c>
      <c r="Q2506" s="2" t="s">
        <v>4958</v>
      </c>
    </row>
    <row r="2507">
      <c r="A2507" s="2">
        <v>2506.0</v>
      </c>
      <c r="B2507" s="2" t="s">
        <v>4959</v>
      </c>
      <c r="C2507" s="2" t="s">
        <v>23</v>
      </c>
      <c r="K2507" s="2">
        <v>50.0</v>
      </c>
      <c r="N2507" s="6">
        <v>45029.0</v>
      </c>
      <c r="Q2507" s="2" t="s">
        <v>86</v>
      </c>
    </row>
    <row r="2508">
      <c r="A2508" s="2">
        <v>2507.0</v>
      </c>
      <c r="B2508" s="2" t="s">
        <v>4960</v>
      </c>
      <c r="C2508" s="2" t="s">
        <v>23</v>
      </c>
      <c r="K2508" s="2">
        <v>100.0</v>
      </c>
      <c r="N2508" s="6">
        <v>44594.0</v>
      </c>
      <c r="Q2508" s="2" t="s">
        <v>4961</v>
      </c>
    </row>
    <row r="2509">
      <c r="A2509" s="2">
        <v>2508.0</v>
      </c>
      <c r="B2509" s="2" t="s">
        <v>4962</v>
      </c>
      <c r="C2509" s="2" t="s">
        <v>23</v>
      </c>
      <c r="K2509" s="2">
        <v>100.0</v>
      </c>
      <c r="N2509" s="6">
        <v>43926.0</v>
      </c>
      <c r="Q2509" s="2" t="s">
        <v>295</v>
      </c>
    </row>
    <row r="2510">
      <c r="A2510" s="2">
        <v>2509.0</v>
      </c>
      <c r="B2510" s="2" t="s">
        <v>4963</v>
      </c>
      <c r="C2510" s="2" t="s">
        <v>23</v>
      </c>
      <c r="K2510" s="2">
        <v>30.0</v>
      </c>
      <c r="N2510" s="6">
        <v>43857.0</v>
      </c>
      <c r="Q2510" s="2" t="s">
        <v>1562</v>
      </c>
    </row>
    <row r="2511">
      <c r="A2511" s="2">
        <v>2510.0</v>
      </c>
      <c r="B2511" s="2" t="s">
        <v>4964</v>
      </c>
      <c r="C2511" s="2" t="s">
        <v>23</v>
      </c>
      <c r="K2511" s="2">
        <v>20.0</v>
      </c>
      <c r="N2511" s="6">
        <v>44775.0</v>
      </c>
      <c r="Q2511" s="2" t="s">
        <v>86</v>
      </c>
    </row>
    <row r="2512">
      <c r="A2512" s="2">
        <v>2511.0</v>
      </c>
      <c r="B2512" s="2" t="s">
        <v>4965</v>
      </c>
      <c r="C2512" s="2" t="s">
        <v>23</v>
      </c>
      <c r="N2512" s="6">
        <v>44532.0</v>
      </c>
      <c r="Q2512" s="2" t="s">
        <v>86</v>
      </c>
    </row>
    <row r="2513">
      <c r="A2513" s="2">
        <v>2512.0</v>
      </c>
      <c r="B2513" s="2" t="s">
        <v>4966</v>
      </c>
      <c r="C2513" s="2" t="s">
        <v>23</v>
      </c>
      <c r="K2513" s="2">
        <v>10.0</v>
      </c>
      <c r="N2513" s="6">
        <v>44743.0</v>
      </c>
      <c r="Q2513" s="2" t="s">
        <v>1466</v>
      </c>
    </row>
    <row r="2514">
      <c r="A2514" s="2">
        <v>2513.0</v>
      </c>
      <c r="B2514" s="2" t="s">
        <v>4967</v>
      </c>
      <c r="C2514" s="2" t="s">
        <v>23</v>
      </c>
      <c r="N2514" s="6">
        <v>42461.0</v>
      </c>
      <c r="Q2514" s="2" t="s">
        <v>86</v>
      </c>
    </row>
    <row r="2515">
      <c r="A2515" s="2">
        <v>2514.0</v>
      </c>
      <c r="B2515" s="2" t="s">
        <v>4968</v>
      </c>
      <c r="C2515" s="2" t="s">
        <v>23</v>
      </c>
      <c r="K2515" s="2">
        <v>500.0</v>
      </c>
      <c r="N2515" s="6">
        <v>44030.0</v>
      </c>
      <c r="Q2515" s="2" t="s">
        <v>4969</v>
      </c>
    </row>
    <row r="2516">
      <c r="A2516" s="2">
        <v>2515.0</v>
      </c>
      <c r="B2516" s="2" t="s">
        <v>4970</v>
      </c>
      <c r="C2516" s="2" t="s">
        <v>23</v>
      </c>
      <c r="K2516" s="2">
        <v>200.0</v>
      </c>
      <c r="N2516" s="6">
        <v>45440.0</v>
      </c>
      <c r="Q2516" s="2" t="s">
        <v>4971</v>
      </c>
    </row>
    <row r="2517">
      <c r="A2517" s="2">
        <v>2516.0</v>
      </c>
      <c r="B2517" s="2" t="s">
        <v>4972</v>
      </c>
      <c r="C2517" s="2" t="s">
        <v>23</v>
      </c>
      <c r="K2517" s="2">
        <v>10.0</v>
      </c>
      <c r="N2517" s="6">
        <v>42678.0</v>
      </c>
      <c r="Q2517" s="2" t="s">
        <v>4973</v>
      </c>
    </row>
    <row r="2518">
      <c r="A2518" s="2">
        <v>2517.0</v>
      </c>
      <c r="B2518" s="2" t="s">
        <v>4974</v>
      </c>
      <c r="C2518" s="2" t="s">
        <v>23</v>
      </c>
      <c r="N2518" s="6">
        <v>45159.0</v>
      </c>
      <c r="Q2518" s="2" t="s">
        <v>1156</v>
      </c>
    </row>
    <row r="2519">
      <c r="A2519" s="2">
        <v>2518.0</v>
      </c>
      <c r="B2519" s="2" t="s">
        <v>4975</v>
      </c>
      <c r="C2519" s="2" t="s">
        <v>23</v>
      </c>
      <c r="K2519" s="2">
        <v>100.0</v>
      </c>
      <c r="N2519" s="6">
        <v>44854.0</v>
      </c>
      <c r="Q2519" s="2" t="s">
        <v>1576</v>
      </c>
    </row>
    <row r="2520">
      <c r="A2520" s="2">
        <v>2519.0</v>
      </c>
      <c r="B2520" s="2" t="s">
        <v>4976</v>
      </c>
      <c r="C2520" s="2" t="s">
        <v>23</v>
      </c>
      <c r="K2520" s="2">
        <v>40.0</v>
      </c>
      <c r="N2520" s="6">
        <v>45705.0</v>
      </c>
      <c r="Q2520" s="2" t="s">
        <v>4977</v>
      </c>
    </row>
    <row r="2521">
      <c r="A2521" s="2">
        <v>2520.0</v>
      </c>
      <c r="B2521" s="2" t="s">
        <v>4978</v>
      </c>
      <c r="C2521" s="2" t="s">
        <v>23</v>
      </c>
      <c r="K2521" s="2">
        <v>60.0</v>
      </c>
      <c r="N2521" s="6">
        <v>45415.0</v>
      </c>
      <c r="Q2521" s="2" t="s">
        <v>2318</v>
      </c>
    </row>
    <row r="2522">
      <c r="A2522" s="2">
        <v>2521.0</v>
      </c>
      <c r="B2522" s="2" t="s">
        <v>4979</v>
      </c>
      <c r="C2522" s="2" t="s">
        <v>23</v>
      </c>
      <c r="K2522" s="2">
        <v>900.0</v>
      </c>
      <c r="N2522" s="6">
        <v>43541.0</v>
      </c>
      <c r="Q2522" s="2" t="s">
        <v>4980</v>
      </c>
    </row>
    <row r="2523">
      <c r="A2523" s="2">
        <v>2522.0</v>
      </c>
      <c r="B2523" s="2" t="s">
        <v>4981</v>
      </c>
      <c r="C2523" s="2" t="s">
        <v>23</v>
      </c>
      <c r="K2523" s="2">
        <v>10.0</v>
      </c>
      <c r="N2523" s="6">
        <v>44811.0</v>
      </c>
      <c r="Q2523" s="2" t="s">
        <v>86</v>
      </c>
    </row>
    <row r="2524">
      <c r="A2524" s="2">
        <v>2523.0</v>
      </c>
      <c r="B2524" s="2" t="s">
        <v>4982</v>
      </c>
      <c r="C2524" s="2" t="s">
        <v>23</v>
      </c>
      <c r="F2524" s="2">
        <v>0.1</v>
      </c>
      <c r="K2524" s="2">
        <v>30.0</v>
      </c>
      <c r="N2524" s="6">
        <v>42286.0</v>
      </c>
      <c r="Q2524" s="2" t="s">
        <v>4983</v>
      </c>
    </row>
    <row r="2525">
      <c r="A2525" s="2">
        <v>2524.0</v>
      </c>
      <c r="B2525" s="2" t="s">
        <v>4984</v>
      </c>
      <c r="C2525" s="2" t="s">
        <v>23</v>
      </c>
      <c r="K2525" s="2">
        <v>30.0</v>
      </c>
      <c r="N2525" s="6">
        <v>44458.0</v>
      </c>
      <c r="Q2525" s="2" t="s">
        <v>86</v>
      </c>
    </row>
    <row r="2526">
      <c r="A2526" s="2">
        <v>2525.0</v>
      </c>
      <c r="B2526" s="2" t="s">
        <v>191</v>
      </c>
      <c r="C2526" s="2" t="s">
        <v>23</v>
      </c>
      <c r="N2526" s="6">
        <v>45380.0</v>
      </c>
      <c r="Q2526" s="2" t="s">
        <v>194</v>
      </c>
    </row>
    <row r="2527">
      <c r="A2527" s="2">
        <v>2526.0</v>
      </c>
      <c r="B2527" s="2" t="s">
        <v>4985</v>
      </c>
      <c r="C2527" s="2" t="s">
        <v>23</v>
      </c>
      <c r="K2527" s="2">
        <v>10.0</v>
      </c>
      <c r="N2527" s="6">
        <v>44740.0</v>
      </c>
      <c r="Q2527" s="2" t="s">
        <v>4986</v>
      </c>
    </row>
    <row r="2528">
      <c r="A2528" s="2">
        <v>2527.0</v>
      </c>
      <c r="B2528" s="2" t="s">
        <v>4987</v>
      </c>
      <c r="C2528" s="2" t="s">
        <v>23</v>
      </c>
      <c r="K2528" s="2">
        <v>10.0</v>
      </c>
      <c r="N2528" s="6">
        <v>44626.0</v>
      </c>
      <c r="Q2528" s="2" t="s">
        <v>86</v>
      </c>
    </row>
    <row r="2529">
      <c r="A2529" s="2">
        <v>2528.0</v>
      </c>
      <c r="B2529" s="2" t="s">
        <v>4988</v>
      </c>
      <c r="C2529" s="2" t="s">
        <v>23</v>
      </c>
      <c r="K2529" s="2">
        <v>60.0</v>
      </c>
      <c r="N2529" s="6">
        <v>43895.0</v>
      </c>
      <c r="Q2529" s="2" t="s">
        <v>1070</v>
      </c>
    </row>
    <row r="2530">
      <c r="A2530" s="2">
        <v>2529.0</v>
      </c>
      <c r="B2530" s="2" t="s">
        <v>4989</v>
      </c>
      <c r="C2530" s="2" t="s">
        <v>23</v>
      </c>
      <c r="N2530" s="6">
        <v>45102.0</v>
      </c>
      <c r="Q2530" s="2" t="s">
        <v>4990</v>
      </c>
    </row>
    <row r="2531">
      <c r="A2531" s="2">
        <v>2530.0</v>
      </c>
      <c r="B2531" s="2" t="s">
        <v>4991</v>
      </c>
      <c r="C2531" s="2" t="s">
        <v>23</v>
      </c>
      <c r="K2531" s="2">
        <v>30.0</v>
      </c>
      <c r="N2531" s="6">
        <v>43024.0</v>
      </c>
      <c r="Q2531" s="2" t="s">
        <v>4992</v>
      </c>
    </row>
    <row r="2532">
      <c r="A2532" s="2">
        <v>2531.0</v>
      </c>
      <c r="B2532" s="2" t="s">
        <v>4993</v>
      </c>
      <c r="C2532" s="2" t="s">
        <v>23</v>
      </c>
      <c r="N2532" s="6">
        <v>44627.0</v>
      </c>
      <c r="Q2532" s="2" t="s">
        <v>86</v>
      </c>
    </row>
    <row r="2533">
      <c r="A2533" s="2">
        <v>2532.0</v>
      </c>
      <c r="B2533" s="2" t="s">
        <v>4994</v>
      </c>
      <c r="C2533" s="2" t="s">
        <v>23</v>
      </c>
      <c r="K2533" s="2">
        <v>10.0</v>
      </c>
      <c r="N2533" s="6">
        <v>44539.0</v>
      </c>
      <c r="Q2533" s="2" t="s">
        <v>4995</v>
      </c>
    </row>
    <row r="2534">
      <c r="A2534" s="2">
        <v>2533.0</v>
      </c>
      <c r="B2534" s="2" t="s">
        <v>4996</v>
      </c>
      <c r="C2534" s="2" t="s">
        <v>23</v>
      </c>
      <c r="K2534" s="2">
        <v>20.0</v>
      </c>
      <c r="N2534" s="6">
        <v>44651.0</v>
      </c>
      <c r="Q2534" s="2" t="s">
        <v>546</v>
      </c>
    </row>
    <row r="2535">
      <c r="A2535" s="2">
        <v>2534.0</v>
      </c>
      <c r="B2535" s="2" t="s">
        <v>4997</v>
      </c>
      <c r="C2535" s="2" t="s">
        <v>23</v>
      </c>
      <c r="K2535" s="2">
        <v>450.0</v>
      </c>
      <c r="N2535" s="6">
        <v>43847.0</v>
      </c>
      <c r="Q2535" s="2" t="s">
        <v>4998</v>
      </c>
    </row>
    <row r="2536">
      <c r="A2536" s="2">
        <v>2535.0</v>
      </c>
      <c r="B2536" s="2" t="s">
        <v>4999</v>
      </c>
      <c r="C2536" s="2" t="s">
        <v>23</v>
      </c>
      <c r="K2536" s="2">
        <v>30.0</v>
      </c>
      <c r="N2536" s="6">
        <v>44955.0</v>
      </c>
      <c r="Q2536" s="2" t="s">
        <v>5000</v>
      </c>
    </row>
    <row r="2537">
      <c r="A2537" s="2">
        <v>2536.0</v>
      </c>
      <c r="B2537" s="2" t="s">
        <v>5001</v>
      </c>
      <c r="C2537" s="2" t="s">
        <v>23</v>
      </c>
      <c r="N2537" s="6">
        <v>44033.0</v>
      </c>
      <c r="Q2537" s="2" t="s">
        <v>86</v>
      </c>
    </row>
    <row r="2538">
      <c r="A2538" s="2">
        <v>2537.0</v>
      </c>
      <c r="B2538" s="2" t="s">
        <v>5002</v>
      </c>
      <c r="C2538" s="2" t="s">
        <v>23</v>
      </c>
      <c r="N2538" s="6">
        <v>42339.0</v>
      </c>
      <c r="Q2538" s="2" t="s">
        <v>86</v>
      </c>
    </row>
    <row r="2539">
      <c r="A2539" s="2">
        <v>2538.0</v>
      </c>
      <c r="B2539" s="2" t="s">
        <v>5003</v>
      </c>
      <c r="C2539" s="2" t="s">
        <v>23</v>
      </c>
      <c r="N2539" s="6">
        <v>46003.0</v>
      </c>
      <c r="Q2539" s="2" t="s">
        <v>5004</v>
      </c>
    </row>
    <row r="2540">
      <c r="A2540" s="2">
        <v>2539.0</v>
      </c>
      <c r="B2540" s="2" t="s">
        <v>5005</v>
      </c>
      <c r="C2540" s="2" t="s">
        <v>23</v>
      </c>
      <c r="K2540" s="2">
        <v>30.0</v>
      </c>
      <c r="N2540" s="6">
        <v>45295.0</v>
      </c>
      <c r="Q2540" s="2" t="s">
        <v>5006</v>
      </c>
    </row>
    <row r="2541">
      <c r="A2541" s="2">
        <v>2540.0</v>
      </c>
      <c r="B2541" s="2" t="s">
        <v>5007</v>
      </c>
      <c r="C2541" s="2" t="s">
        <v>23</v>
      </c>
      <c r="K2541" s="2">
        <v>50.0</v>
      </c>
      <c r="N2541" s="6">
        <v>44109.0</v>
      </c>
      <c r="Q2541" s="2" t="s">
        <v>86</v>
      </c>
    </row>
    <row r="2542">
      <c r="A2542" s="2">
        <v>2541.0</v>
      </c>
      <c r="B2542" s="2" t="s">
        <v>5008</v>
      </c>
      <c r="C2542" s="2" t="s">
        <v>23</v>
      </c>
      <c r="N2542" s="6">
        <v>44718.0</v>
      </c>
      <c r="Q2542" s="2" t="s">
        <v>86</v>
      </c>
    </row>
    <row r="2543">
      <c r="A2543" s="2">
        <v>2542.0</v>
      </c>
      <c r="B2543" s="2" t="s">
        <v>5009</v>
      </c>
      <c r="C2543" s="2" t="s">
        <v>23</v>
      </c>
      <c r="K2543" s="2">
        <v>20.0</v>
      </c>
      <c r="N2543" s="6">
        <v>43548.0</v>
      </c>
      <c r="Q2543" s="2" t="s">
        <v>5010</v>
      </c>
    </row>
    <row r="2544">
      <c r="A2544" s="2">
        <v>2543.0</v>
      </c>
      <c r="B2544" s="2" t="s">
        <v>5011</v>
      </c>
      <c r="C2544" s="2" t="s">
        <v>23</v>
      </c>
      <c r="N2544" s="6">
        <v>44115.0</v>
      </c>
      <c r="Q2544" s="2" t="s">
        <v>86</v>
      </c>
    </row>
    <row r="2545">
      <c r="A2545" s="2">
        <v>2544.0</v>
      </c>
      <c r="B2545" s="2" t="s">
        <v>5012</v>
      </c>
      <c r="C2545" s="2" t="s">
        <v>23</v>
      </c>
      <c r="N2545" s="6">
        <v>45536.0</v>
      </c>
      <c r="Q2545" s="2" t="s">
        <v>2782</v>
      </c>
    </row>
    <row r="2546">
      <c r="A2546" s="2">
        <v>2545.0</v>
      </c>
      <c r="B2546" s="2" t="s">
        <v>5013</v>
      </c>
      <c r="C2546" s="2" t="s">
        <v>23</v>
      </c>
      <c r="N2546" s="6">
        <v>45014.0</v>
      </c>
      <c r="Q2546" s="2" t="s">
        <v>5014</v>
      </c>
    </row>
    <row r="2547">
      <c r="A2547" s="2">
        <v>2546.0</v>
      </c>
      <c r="B2547" s="2" t="s">
        <v>5015</v>
      </c>
      <c r="C2547" s="2" t="s">
        <v>23</v>
      </c>
      <c r="N2547" s="6">
        <v>44553.0</v>
      </c>
      <c r="Q2547" s="2" t="s">
        <v>86</v>
      </c>
    </row>
    <row r="2548">
      <c r="A2548" s="2">
        <v>2547.0</v>
      </c>
      <c r="B2548" s="2" t="s">
        <v>5016</v>
      </c>
      <c r="C2548" s="2" t="s">
        <v>23</v>
      </c>
      <c r="K2548" s="2">
        <v>30.0</v>
      </c>
      <c r="N2548" s="6">
        <v>45757.0</v>
      </c>
      <c r="Q2548" s="2" t="s">
        <v>5017</v>
      </c>
    </row>
    <row r="2549">
      <c r="A2549" s="2">
        <v>2548.0</v>
      </c>
      <c r="B2549" s="2" t="s">
        <v>5018</v>
      </c>
      <c r="C2549" s="2" t="s">
        <v>23</v>
      </c>
      <c r="N2549" s="6">
        <v>44575.0</v>
      </c>
      <c r="Q2549" s="2" t="s">
        <v>86</v>
      </c>
    </row>
    <row r="2550">
      <c r="A2550" s="2">
        <v>2549.0</v>
      </c>
      <c r="B2550" s="2" t="s">
        <v>5019</v>
      </c>
      <c r="C2550" s="2" t="s">
        <v>23</v>
      </c>
      <c r="N2550" s="6">
        <v>45015.0</v>
      </c>
      <c r="Q2550" s="2" t="s">
        <v>86</v>
      </c>
    </row>
    <row r="2551">
      <c r="A2551" s="2">
        <v>2550.0</v>
      </c>
      <c r="B2551" s="2" t="s">
        <v>5020</v>
      </c>
      <c r="C2551" s="2" t="s">
        <v>23</v>
      </c>
      <c r="N2551" s="6">
        <v>42436.0</v>
      </c>
      <c r="Q2551" s="2" t="s">
        <v>86</v>
      </c>
    </row>
    <row r="2552">
      <c r="A2552" s="2">
        <v>2551.0</v>
      </c>
      <c r="B2552" s="2" t="s">
        <v>5021</v>
      </c>
      <c r="C2552" s="2" t="s">
        <v>23</v>
      </c>
      <c r="K2552" s="2">
        <v>10.0</v>
      </c>
      <c r="N2552" s="6">
        <v>45686.0</v>
      </c>
      <c r="Q2552" s="2" t="s">
        <v>5022</v>
      </c>
    </row>
    <row r="2553">
      <c r="A2553" s="2">
        <v>2552.0</v>
      </c>
      <c r="B2553" s="2" t="s">
        <v>5023</v>
      </c>
      <c r="C2553" s="2" t="s">
        <v>23</v>
      </c>
      <c r="K2553" s="2">
        <v>70.0</v>
      </c>
      <c r="N2553" s="6">
        <v>42451.0</v>
      </c>
      <c r="Q2553" s="2" t="s">
        <v>5024</v>
      </c>
    </row>
    <row r="2554">
      <c r="A2554" s="2">
        <v>2553.0</v>
      </c>
      <c r="B2554" s="2" t="s">
        <v>5025</v>
      </c>
      <c r="C2554" s="2" t="s">
        <v>23</v>
      </c>
      <c r="N2554" s="6">
        <v>45609.0</v>
      </c>
      <c r="Q2554" s="2" t="s">
        <v>2876</v>
      </c>
    </row>
    <row r="2555">
      <c r="A2555" s="2">
        <v>2554.0</v>
      </c>
      <c r="B2555" s="2" t="s">
        <v>5026</v>
      </c>
      <c r="C2555" s="2" t="s">
        <v>23</v>
      </c>
      <c r="N2555" s="6">
        <v>45365.0</v>
      </c>
      <c r="Q2555" s="2" t="s">
        <v>94</v>
      </c>
    </row>
    <row r="2556">
      <c r="A2556" s="2">
        <v>2555.0</v>
      </c>
      <c r="B2556" s="2" t="s">
        <v>5027</v>
      </c>
      <c r="C2556" s="2" t="s">
        <v>23</v>
      </c>
      <c r="K2556" s="2">
        <v>30.0</v>
      </c>
      <c r="N2556" s="6">
        <v>45304.0</v>
      </c>
      <c r="Q2556" s="2" t="s">
        <v>5028</v>
      </c>
    </row>
    <row r="2557">
      <c r="A2557" s="2">
        <v>2556.0</v>
      </c>
      <c r="B2557" s="2" t="s">
        <v>5029</v>
      </c>
      <c r="C2557" s="2" t="s">
        <v>23</v>
      </c>
      <c r="K2557" s="2">
        <v>20.0</v>
      </c>
      <c r="N2557" s="6">
        <v>45560.0</v>
      </c>
      <c r="Q2557" s="2" t="s">
        <v>5030</v>
      </c>
    </row>
    <row r="2558">
      <c r="A2558" s="2">
        <v>2557.0</v>
      </c>
      <c r="B2558" s="2" t="s">
        <v>5031</v>
      </c>
      <c r="C2558" s="2" t="s">
        <v>23</v>
      </c>
      <c r="K2558" s="2">
        <v>250.0</v>
      </c>
      <c r="N2558" s="6">
        <v>44611.0</v>
      </c>
      <c r="Q2558" s="2" t="s">
        <v>5032</v>
      </c>
    </row>
    <row r="2559">
      <c r="A2559" s="2">
        <v>2558.0</v>
      </c>
      <c r="B2559" s="2" t="s">
        <v>5033</v>
      </c>
      <c r="C2559" s="2" t="s">
        <v>23</v>
      </c>
      <c r="K2559" s="2">
        <v>40.0</v>
      </c>
      <c r="N2559" s="6">
        <v>45636.0</v>
      </c>
      <c r="Q2559" s="2" t="s">
        <v>5034</v>
      </c>
    </row>
    <row r="2560">
      <c r="A2560" s="2">
        <v>2559.0</v>
      </c>
      <c r="B2560" s="2" t="s">
        <v>5035</v>
      </c>
      <c r="C2560" s="2" t="s">
        <v>23</v>
      </c>
      <c r="N2560" s="6">
        <v>44770.0</v>
      </c>
      <c r="Q2560" s="2" t="s">
        <v>86</v>
      </c>
    </row>
    <row r="2561">
      <c r="A2561" s="2">
        <v>2560.0</v>
      </c>
      <c r="B2561" s="2" t="s">
        <v>5036</v>
      </c>
      <c r="C2561" s="2" t="s">
        <v>23</v>
      </c>
      <c r="K2561" s="2">
        <v>10.0</v>
      </c>
      <c r="N2561" s="6">
        <v>45152.0</v>
      </c>
      <c r="Q2561" s="2" t="s">
        <v>3062</v>
      </c>
    </row>
    <row r="2562">
      <c r="A2562" s="2">
        <v>2561.0</v>
      </c>
      <c r="B2562" s="2" t="s">
        <v>5037</v>
      </c>
      <c r="C2562" s="2" t="s">
        <v>23</v>
      </c>
      <c r="N2562" s="6">
        <v>44685.0</v>
      </c>
      <c r="Q2562" s="2" t="s">
        <v>86</v>
      </c>
    </row>
    <row r="2563">
      <c r="A2563" s="2">
        <v>2562.0</v>
      </c>
      <c r="B2563" s="2" t="s">
        <v>5038</v>
      </c>
      <c r="C2563" s="2" t="s">
        <v>23</v>
      </c>
      <c r="K2563" s="2">
        <v>80.0</v>
      </c>
      <c r="N2563" s="6">
        <v>43848.0</v>
      </c>
      <c r="Q2563" s="2" t="s">
        <v>5039</v>
      </c>
    </row>
    <row r="2564">
      <c r="A2564" s="2">
        <v>2563.0</v>
      </c>
      <c r="B2564" s="2" t="s">
        <v>5040</v>
      </c>
      <c r="C2564" s="2" t="s">
        <v>23</v>
      </c>
      <c r="K2564" s="2">
        <v>300.0</v>
      </c>
      <c r="N2564" s="6">
        <v>44790.0</v>
      </c>
      <c r="Q2564" s="2" t="s">
        <v>5041</v>
      </c>
    </row>
    <row r="2565">
      <c r="A2565" s="2">
        <v>2564.0</v>
      </c>
      <c r="B2565" s="2" t="s">
        <v>5042</v>
      </c>
      <c r="C2565" s="2" t="s">
        <v>23</v>
      </c>
      <c r="K2565" s="2">
        <v>10.0</v>
      </c>
      <c r="N2565" s="6">
        <v>42611.0</v>
      </c>
      <c r="Q2565" s="2" t="s">
        <v>5043</v>
      </c>
    </row>
    <row r="2566">
      <c r="A2566" s="2">
        <v>2565.0</v>
      </c>
      <c r="B2566" s="2" t="s">
        <v>5044</v>
      </c>
      <c r="C2566" s="2" t="s">
        <v>23</v>
      </c>
      <c r="N2566" s="6">
        <v>45697.0</v>
      </c>
      <c r="Q2566" s="2" t="s">
        <v>5045</v>
      </c>
    </row>
    <row r="2567">
      <c r="A2567" s="2">
        <v>2566.0</v>
      </c>
      <c r="B2567" s="2" t="s">
        <v>5046</v>
      </c>
      <c r="C2567" s="2" t="s">
        <v>23</v>
      </c>
      <c r="K2567" s="2">
        <v>40.0</v>
      </c>
      <c r="N2567" s="6">
        <v>43910.0</v>
      </c>
      <c r="Q2567" s="2" t="s">
        <v>5047</v>
      </c>
    </row>
    <row r="2568">
      <c r="A2568" s="2">
        <v>2567.0</v>
      </c>
      <c r="B2568" s="2" t="s">
        <v>5048</v>
      </c>
      <c r="C2568" s="2" t="s">
        <v>23</v>
      </c>
      <c r="K2568" s="2">
        <v>50.0</v>
      </c>
      <c r="N2568" s="6">
        <v>46108.0</v>
      </c>
      <c r="Q2568" s="2" t="s">
        <v>5049</v>
      </c>
    </row>
    <row r="2569">
      <c r="A2569" s="2">
        <v>2568.0</v>
      </c>
      <c r="B2569" s="2" t="s">
        <v>5050</v>
      </c>
      <c r="C2569" s="2" t="s">
        <v>23</v>
      </c>
      <c r="K2569" s="2">
        <v>10.0</v>
      </c>
      <c r="N2569" s="6">
        <v>43949.0</v>
      </c>
      <c r="Q2569" s="2" t="s">
        <v>86</v>
      </c>
    </row>
    <row r="2570">
      <c r="A2570" s="2">
        <v>2569.0</v>
      </c>
      <c r="B2570" s="2" t="s">
        <v>5051</v>
      </c>
      <c r="C2570" s="2" t="s">
        <v>23</v>
      </c>
      <c r="K2570" s="2">
        <v>90.0</v>
      </c>
      <c r="N2570" s="6">
        <v>43970.0</v>
      </c>
      <c r="Q2570" s="2" t="s">
        <v>5052</v>
      </c>
    </row>
    <row r="2571">
      <c r="A2571" s="2">
        <v>2570.0</v>
      </c>
      <c r="B2571" s="2" t="s">
        <v>5053</v>
      </c>
      <c r="C2571" s="2" t="s">
        <v>23</v>
      </c>
      <c r="K2571" s="2">
        <v>80.0</v>
      </c>
      <c r="N2571" s="6">
        <v>45350.0</v>
      </c>
      <c r="Q2571" s="2" t="s">
        <v>5054</v>
      </c>
    </row>
    <row r="2572">
      <c r="A2572" s="2">
        <v>2571.0</v>
      </c>
      <c r="B2572" s="2" t="s">
        <v>5055</v>
      </c>
      <c r="C2572" s="2" t="s">
        <v>23</v>
      </c>
      <c r="N2572" s="6">
        <v>43592.0</v>
      </c>
      <c r="Q2572" s="2" t="s">
        <v>86</v>
      </c>
    </row>
    <row r="2573">
      <c r="A2573" s="2">
        <v>2572.0</v>
      </c>
      <c r="B2573" s="2" t="s">
        <v>5056</v>
      </c>
      <c r="C2573" s="2" t="s">
        <v>23</v>
      </c>
      <c r="K2573" s="2">
        <v>450.0</v>
      </c>
      <c r="N2573" s="6">
        <v>44138.0</v>
      </c>
      <c r="Q2573" s="2" t="s">
        <v>5057</v>
      </c>
    </row>
    <row r="2574">
      <c r="A2574" s="2">
        <v>2573.0</v>
      </c>
      <c r="B2574" s="2" t="s">
        <v>5058</v>
      </c>
      <c r="C2574" s="2" t="s">
        <v>23</v>
      </c>
      <c r="K2574" s="2">
        <v>40.0</v>
      </c>
      <c r="N2574" s="6">
        <v>45063.0</v>
      </c>
      <c r="Q2574" s="2" t="s">
        <v>3075</v>
      </c>
    </row>
    <row r="2575">
      <c r="A2575" s="2">
        <v>2574.0</v>
      </c>
      <c r="B2575" s="2" t="s">
        <v>5059</v>
      </c>
      <c r="C2575" s="2" t="s">
        <v>23</v>
      </c>
      <c r="N2575" s="6">
        <v>44693.0</v>
      </c>
      <c r="Q2575" s="2" t="s">
        <v>1229</v>
      </c>
    </row>
    <row r="2576">
      <c r="A2576" s="2">
        <v>2575.0</v>
      </c>
      <c r="B2576" s="2" t="s">
        <v>5060</v>
      </c>
      <c r="C2576" s="2" t="s">
        <v>23</v>
      </c>
      <c r="K2576" s="2">
        <v>70.0</v>
      </c>
      <c r="N2576" s="6">
        <v>44492.0</v>
      </c>
      <c r="Q2576" s="2" t="s">
        <v>86</v>
      </c>
    </row>
    <row r="2577">
      <c r="A2577" s="2">
        <v>2576.0</v>
      </c>
      <c r="B2577" s="2" t="s">
        <v>5061</v>
      </c>
      <c r="C2577" s="2" t="s">
        <v>23</v>
      </c>
      <c r="K2577" s="2">
        <v>150.0</v>
      </c>
      <c r="N2577" s="6">
        <v>43898.0</v>
      </c>
      <c r="Q2577" s="2" t="s">
        <v>5062</v>
      </c>
    </row>
    <row r="2578">
      <c r="A2578" s="2">
        <v>2577.0</v>
      </c>
      <c r="B2578" s="2" t="s">
        <v>5063</v>
      </c>
      <c r="C2578" s="2" t="s">
        <v>23</v>
      </c>
      <c r="K2578" s="2">
        <v>200.0</v>
      </c>
      <c r="N2578" s="6">
        <v>45603.0</v>
      </c>
      <c r="Q2578" s="2" t="s">
        <v>5064</v>
      </c>
    </row>
    <row r="2579">
      <c r="A2579" s="2">
        <v>2578.0</v>
      </c>
      <c r="B2579" s="2" t="s">
        <v>5065</v>
      </c>
      <c r="C2579" s="2" t="s">
        <v>23</v>
      </c>
      <c r="N2579" s="6">
        <v>44285.0</v>
      </c>
      <c r="Q2579" s="2" t="s">
        <v>86</v>
      </c>
    </row>
    <row r="2580">
      <c r="A2580" s="2">
        <v>2579.0</v>
      </c>
      <c r="B2580" s="2" t="s">
        <v>5066</v>
      </c>
      <c r="C2580" s="2" t="s">
        <v>23</v>
      </c>
      <c r="K2580" s="2">
        <v>30.0</v>
      </c>
      <c r="N2580" s="6">
        <v>45521.0</v>
      </c>
      <c r="Q2580" s="2" t="s">
        <v>5067</v>
      </c>
    </row>
    <row r="2581">
      <c r="A2581" s="2">
        <v>2580.0</v>
      </c>
      <c r="B2581" s="2" t="s">
        <v>5068</v>
      </c>
      <c r="C2581" s="2" t="s">
        <v>23</v>
      </c>
      <c r="K2581" s="2">
        <v>20.0</v>
      </c>
      <c r="N2581" s="6">
        <v>45676.0</v>
      </c>
      <c r="Q2581" s="2" t="s">
        <v>5069</v>
      </c>
    </row>
    <row r="2582">
      <c r="A2582" s="2">
        <v>2581.0</v>
      </c>
      <c r="B2582" s="2" t="s">
        <v>5070</v>
      </c>
      <c r="C2582" s="2" t="s">
        <v>23</v>
      </c>
      <c r="K2582" s="2">
        <v>20.0</v>
      </c>
      <c r="N2582" s="6">
        <v>43967.0</v>
      </c>
      <c r="Q2582" s="2" t="s">
        <v>86</v>
      </c>
    </row>
    <row r="2583">
      <c r="A2583" s="2">
        <v>2582.0</v>
      </c>
      <c r="B2583" s="2" t="s">
        <v>5071</v>
      </c>
      <c r="C2583" s="2" t="s">
        <v>23</v>
      </c>
      <c r="N2583" s="6">
        <v>45572.0</v>
      </c>
      <c r="Q2583" s="2" t="s">
        <v>5072</v>
      </c>
    </row>
    <row r="2584">
      <c r="A2584" s="2">
        <v>2583.0</v>
      </c>
      <c r="B2584" s="2" t="s">
        <v>5073</v>
      </c>
      <c r="C2584" s="2" t="s">
        <v>23</v>
      </c>
      <c r="K2584" s="2">
        <v>20.0</v>
      </c>
      <c r="N2584" s="6">
        <v>44605.0</v>
      </c>
      <c r="Q2584" s="2" t="s">
        <v>5074</v>
      </c>
    </row>
    <row r="2585">
      <c r="A2585" s="2">
        <v>2584.0</v>
      </c>
      <c r="B2585" s="2" t="s">
        <v>5075</v>
      </c>
      <c r="C2585" s="2" t="s">
        <v>23</v>
      </c>
      <c r="K2585" s="2">
        <v>10.0</v>
      </c>
      <c r="N2585" s="6">
        <v>44563.0</v>
      </c>
      <c r="Q2585" s="2" t="s">
        <v>1562</v>
      </c>
    </row>
    <row r="2586">
      <c r="A2586" s="2">
        <v>2585.0</v>
      </c>
      <c r="B2586" s="2" t="s">
        <v>5076</v>
      </c>
      <c r="C2586" s="2" t="s">
        <v>23</v>
      </c>
      <c r="N2586" s="6">
        <v>45432.0</v>
      </c>
      <c r="Q2586" s="2" t="s">
        <v>5077</v>
      </c>
    </row>
    <row r="2587">
      <c r="A2587" s="2">
        <v>2586.0</v>
      </c>
      <c r="B2587" s="2" t="s">
        <v>5078</v>
      </c>
      <c r="C2587" s="2" t="s">
        <v>23</v>
      </c>
      <c r="K2587" s="2">
        <v>30.0</v>
      </c>
      <c r="N2587" s="6">
        <v>45642.0</v>
      </c>
      <c r="Q2587" s="2" t="s">
        <v>2790</v>
      </c>
    </row>
    <row r="2588">
      <c r="A2588" s="2">
        <v>2587.0</v>
      </c>
      <c r="B2588" s="2" t="s">
        <v>5079</v>
      </c>
      <c r="C2588" s="2" t="s">
        <v>23</v>
      </c>
      <c r="K2588" s="2">
        <v>30.0</v>
      </c>
      <c r="N2588" s="6">
        <v>44032.0</v>
      </c>
      <c r="Q2588" s="2" t="s">
        <v>1466</v>
      </c>
    </row>
    <row r="2589">
      <c r="A2589" s="2">
        <v>2588.0</v>
      </c>
      <c r="B2589" s="2" t="s">
        <v>5080</v>
      </c>
      <c r="C2589" s="2" t="s">
        <v>23</v>
      </c>
      <c r="K2589" s="2">
        <v>10.0</v>
      </c>
      <c r="N2589" s="6">
        <v>44516.0</v>
      </c>
      <c r="Q2589" s="2" t="s">
        <v>3934</v>
      </c>
    </row>
    <row r="2590">
      <c r="A2590" s="2">
        <v>2589.0</v>
      </c>
      <c r="B2590" s="2" t="s">
        <v>5081</v>
      </c>
      <c r="C2590" s="2" t="s">
        <v>23</v>
      </c>
      <c r="K2590" s="2">
        <v>10.0</v>
      </c>
      <c r="N2590" s="6">
        <v>44846.0</v>
      </c>
      <c r="Q2590" s="2" t="s">
        <v>5082</v>
      </c>
    </row>
    <row r="2591">
      <c r="A2591" s="2">
        <v>2590.0</v>
      </c>
      <c r="B2591" s="2" t="s">
        <v>5083</v>
      </c>
      <c r="C2591" s="2" t="s">
        <v>23</v>
      </c>
      <c r="K2591" s="2">
        <v>30.0</v>
      </c>
      <c r="N2591" s="6">
        <v>44689.0</v>
      </c>
      <c r="Q2591" s="2" t="s">
        <v>5084</v>
      </c>
    </row>
    <row r="2592">
      <c r="A2592" s="2">
        <v>2591.0</v>
      </c>
      <c r="B2592" s="2" t="s">
        <v>5085</v>
      </c>
      <c r="C2592" s="2" t="s">
        <v>23</v>
      </c>
      <c r="K2592" s="2">
        <v>10.0</v>
      </c>
      <c r="N2592" s="6">
        <v>45279.0</v>
      </c>
      <c r="Q2592" s="2" t="s">
        <v>2448</v>
      </c>
    </row>
    <row r="2593">
      <c r="A2593" s="2">
        <v>2592.0</v>
      </c>
      <c r="B2593" s="2" t="s">
        <v>5086</v>
      </c>
      <c r="C2593" s="2" t="s">
        <v>23</v>
      </c>
      <c r="N2593" s="6">
        <v>44500.0</v>
      </c>
      <c r="Q2593" s="2" t="s">
        <v>86</v>
      </c>
    </row>
    <row r="2594">
      <c r="A2594" s="2">
        <v>2593.0</v>
      </c>
      <c r="B2594" s="2" t="s">
        <v>5087</v>
      </c>
      <c r="C2594" s="2" t="s">
        <v>23</v>
      </c>
      <c r="N2594" s="6">
        <v>43877.0</v>
      </c>
      <c r="Q2594" s="2" t="s">
        <v>86</v>
      </c>
    </row>
    <row r="2595">
      <c r="A2595" s="2">
        <v>2594.0</v>
      </c>
      <c r="B2595" s="2" t="s">
        <v>5088</v>
      </c>
      <c r="C2595" s="2" t="s">
        <v>23</v>
      </c>
      <c r="N2595" s="6">
        <v>44010.0</v>
      </c>
      <c r="Q2595" s="2" t="s">
        <v>1249</v>
      </c>
    </row>
    <row r="2596">
      <c r="A2596" s="2">
        <v>2595.0</v>
      </c>
      <c r="B2596" s="2" t="s">
        <v>5089</v>
      </c>
      <c r="C2596" s="2" t="s">
        <v>23</v>
      </c>
      <c r="N2596" s="6">
        <v>44320.0</v>
      </c>
      <c r="Q2596" s="2" t="s">
        <v>5090</v>
      </c>
    </row>
    <row r="2597">
      <c r="A2597" s="2">
        <v>2596.0</v>
      </c>
      <c r="B2597" s="2" t="s">
        <v>5091</v>
      </c>
      <c r="C2597" s="2" t="s">
        <v>23</v>
      </c>
      <c r="K2597" s="2">
        <v>150.0</v>
      </c>
      <c r="N2597" s="6">
        <v>43971.0</v>
      </c>
      <c r="Q2597" s="2" t="s">
        <v>5092</v>
      </c>
    </row>
    <row r="2598">
      <c r="A2598" s="2">
        <v>2597.0</v>
      </c>
      <c r="B2598" s="2" t="s">
        <v>5093</v>
      </c>
      <c r="C2598" s="2" t="s">
        <v>23</v>
      </c>
      <c r="K2598" s="2">
        <v>30.0</v>
      </c>
      <c r="N2598" s="6">
        <v>43907.0</v>
      </c>
      <c r="Q2598" s="2" t="s">
        <v>5094</v>
      </c>
    </row>
    <row r="2599">
      <c r="A2599" s="2">
        <v>2598.0</v>
      </c>
      <c r="B2599" s="2" t="s">
        <v>5095</v>
      </c>
      <c r="C2599" s="2" t="s">
        <v>23</v>
      </c>
      <c r="N2599" s="6">
        <v>43977.0</v>
      </c>
      <c r="Q2599" s="2" t="s">
        <v>546</v>
      </c>
    </row>
    <row r="2600">
      <c r="A2600" s="2">
        <v>2599.0</v>
      </c>
      <c r="B2600" s="2" t="s">
        <v>5096</v>
      </c>
      <c r="C2600" s="2" t="s">
        <v>23</v>
      </c>
      <c r="K2600" s="2">
        <v>10.0</v>
      </c>
      <c r="N2600" s="6">
        <v>45104.0</v>
      </c>
      <c r="Q2600" s="2" t="s">
        <v>5097</v>
      </c>
    </row>
    <row r="2601">
      <c r="A2601" s="2">
        <v>2600.0</v>
      </c>
      <c r="B2601" s="2" t="s">
        <v>5098</v>
      </c>
      <c r="C2601" s="2" t="s">
        <v>23</v>
      </c>
      <c r="N2601" s="6">
        <v>44655.0</v>
      </c>
      <c r="Q2601" s="2" t="s">
        <v>86</v>
      </c>
    </row>
    <row r="2602">
      <c r="A2602" s="2">
        <v>2601.0</v>
      </c>
      <c r="B2602" s="2" t="s">
        <v>5099</v>
      </c>
      <c r="C2602" s="2" t="s">
        <v>23</v>
      </c>
      <c r="K2602" s="2">
        <v>10.0</v>
      </c>
      <c r="N2602" s="6">
        <v>43949.0</v>
      </c>
      <c r="Q2602" s="2" t="s">
        <v>86</v>
      </c>
    </row>
    <row r="2603">
      <c r="A2603" s="2">
        <v>2602.0</v>
      </c>
      <c r="B2603" s="2" t="s">
        <v>5100</v>
      </c>
      <c r="C2603" s="2" t="s">
        <v>23</v>
      </c>
      <c r="K2603" s="2">
        <v>10.0</v>
      </c>
      <c r="N2603" s="6">
        <v>45726.0</v>
      </c>
      <c r="Q2603" s="2" t="s">
        <v>5101</v>
      </c>
    </row>
    <row r="2604">
      <c r="A2604" s="2">
        <v>2603.0</v>
      </c>
      <c r="B2604" s="2" t="s">
        <v>5102</v>
      </c>
      <c r="C2604" s="2" t="s">
        <v>23</v>
      </c>
      <c r="K2604" s="2">
        <v>10.0</v>
      </c>
      <c r="N2604" s="6">
        <v>45572.0</v>
      </c>
      <c r="Q2604" s="2" t="s">
        <v>2994</v>
      </c>
    </row>
    <row r="2605">
      <c r="A2605" s="2">
        <v>2604.0</v>
      </c>
      <c r="B2605" s="2" t="s">
        <v>5103</v>
      </c>
      <c r="C2605" s="2" t="s">
        <v>23</v>
      </c>
      <c r="K2605" s="2">
        <v>40.0</v>
      </c>
      <c r="N2605" s="6">
        <v>43931.0</v>
      </c>
      <c r="Q2605" s="2" t="s">
        <v>5104</v>
      </c>
    </row>
    <row r="2606">
      <c r="A2606" s="2">
        <v>2605.0</v>
      </c>
      <c r="B2606" s="2" t="s">
        <v>5105</v>
      </c>
      <c r="C2606" s="2" t="s">
        <v>23</v>
      </c>
      <c r="N2606" s="6">
        <v>44782.0</v>
      </c>
      <c r="Q2606" s="2" t="s">
        <v>86</v>
      </c>
    </row>
    <row r="2607">
      <c r="A2607" s="2">
        <v>2606.0</v>
      </c>
      <c r="B2607" s="2" t="s">
        <v>5106</v>
      </c>
      <c r="C2607" s="2" t="s">
        <v>23</v>
      </c>
      <c r="N2607" s="6">
        <v>44150.0</v>
      </c>
      <c r="Q2607" s="2" t="s">
        <v>86</v>
      </c>
    </row>
    <row r="2608">
      <c r="A2608" s="2">
        <v>2607.0</v>
      </c>
      <c r="B2608" s="2" t="s">
        <v>5107</v>
      </c>
      <c r="C2608" s="2" t="s">
        <v>23</v>
      </c>
      <c r="K2608" s="2">
        <v>50.0</v>
      </c>
      <c r="N2608" s="6">
        <v>44479.0</v>
      </c>
      <c r="Q2608" s="2" t="s">
        <v>5108</v>
      </c>
    </row>
    <row r="2609">
      <c r="A2609" s="2">
        <v>2608.0</v>
      </c>
      <c r="B2609" s="2" t="s">
        <v>5109</v>
      </c>
      <c r="C2609" s="2" t="s">
        <v>23</v>
      </c>
      <c r="K2609" s="2">
        <v>40.0</v>
      </c>
      <c r="N2609" s="6">
        <v>42927.0</v>
      </c>
      <c r="Q2609" s="2" t="s">
        <v>3001</v>
      </c>
    </row>
    <row r="2610">
      <c r="A2610" s="2">
        <v>2609.0</v>
      </c>
      <c r="B2610" s="2" t="s">
        <v>5110</v>
      </c>
      <c r="C2610" s="2" t="s">
        <v>23</v>
      </c>
      <c r="N2610" s="6">
        <v>44031.0</v>
      </c>
      <c r="Q2610" s="2" t="s">
        <v>86</v>
      </c>
    </row>
    <row r="2611">
      <c r="A2611" s="2">
        <v>2610.0</v>
      </c>
      <c r="B2611" s="2" t="s">
        <v>5111</v>
      </c>
      <c r="C2611" s="2" t="s">
        <v>23</v>
      </c>
      <c r="N2611" s="6">
        <v>44201.0</v>
      </c>
      <c r="Q2611" s="2" t="s">
        <v>200</v>
      </c>
    </row>
    <row r="2612">
      <c r="A2612" s="2">
        <v>2611.0</v>
      </c>
      <c r="B2612" s="2" t="s">
        <v>5112</v>
      </c>
      <c r="C2612" s="2" t="s">
        <v>23</v>
      </c>
      <c r="K2612" s="2">
        <v>20.0</v>
      </c>
      <c r="N2612" s="6">
        <v>44709.0</v>
      </c>
      <c r="Q2612" s="2" t="s">
        <v>86</v>
      </c>
    </row>
    <row r="2613">
      <c r="A2613" s="2">
        <v>2612.0</v>
      </c>
      <c r="B2613" s="2" t="s">
        <v>5113</v>
      </c>
      <c r="C2613" s="2" t="s">
        <v>23</v>
      </c>
      <c r="N2613" s="6">
        <v>45441.0</v>
      </c>
      <c r="Q2613" s="2" t="s">
        <v>1065</v>
      </c>
    </row>
    <row r="2614">
      <c r="A2614" s="2">
        <v>2613.0</v>
      </c>
      <c r="B2614" s="2" t="s">
        <v>5114</v>
      </c>
      <c r="C2614" s="2" t="s">
        <v>23</v>
      </c>
      <c r="N2614" s="6">
        <v>44027.0</v>
      </c>
      <c r="Q2614" s="2" t="s">
        <v>86</v>
      </c>
    </row>
    <row r="2615">
      <c r="A2615" s="2">
        <v>2614.0</v>
      </c>
      <c r="B2615" s="2" t="s">
        <v>5115</v>
      </c>
      <c r="C2615" s="2" t="s">
        <v>23</v>
      </c>
      <c r="K2615" s="2">
        <v>20.0</v>
      </c>
      <c r="N2615" s="6">
        <v>45069.0</v>
      </c>
      <c r="Q2615" s="2" t="s">
        <v>5116</v>
      </c>
    </row>
    <row r="2616">
      <c r="A2616" s="2">
        <v>2615.0</v>
      </c>
      <c r="B2616" s="2" t="s">
        <v>5117</v>
      </c>
      <c r="C2616" s="2" t="s">
        <v>23</v>
      </c>
      <c r="N2616" s="6">
        <v>45267.0</v>
      </c>
      <c r="Q2616" s="2" t="s">
        <v>86</v>
      </c>
    </row>
    <row r="2617">
      <c r="A2617" s="2">
        <v>2616.0</v>
      </c>
      <c r="B2617" s="2" t="s">
        <v>5118</v>
      </c>
      <c r="C2617" s="2" t="s">
        <v>23</v>
      </c>
      <c r="K2617" s="2">
        <v>20.0</v>
      </c>
      <c r="N2617" s="6">
        <v>44437.0</v>
      </c>
      <c r="Q2617" s="2" t="s">
        <v>1437</v>
      </c>
    </row>
    <row r="2618">
      <c r="A2618" s="2">
        <v>2617.0</v>
      </c>
      <c r="B2618" s="2" t="s">
        <v>5119</v>
      </c>
      <c r="C2618" s="2" t="s">
        <v>23</v>
      </c>
      <c r="K2618" s="2">
        <v>70.0</v>
      </c>
      <c r="N2618" s="6">
        <v>42349.0</v>
      </c>
      <c r="Q2618" s="2" t="s">
        <v>5120</v>
      </c>
    </row>
    <row r="2619">
      <c r="A2619" s="2">
        <v>2618.0</v>
      </c>
      <c r="B2619" s="2" t="s">
        <v>5121</v>
      </c>
      <c r="C2619" s="2" t="s">
        <v>23</v>
      </c>
      <c r="K2619" s="2">
        <v>100.0</v>
      </c>
      <c r="N2619" s="6">
        <v>44706.0</v>
      </c>
      <c r="Q2619" s="2" t="s">
        <v>5122</v>
      </c>
    </row>
    <row r="2620">
      <c r="A2620" s="2">
        <v>2619.0</v>
      </c>
      <c r="B2620" s="2" t="s">
        <v>5123</v>
      </c>
      <c r="C2620" s="2" t="s">
        <v>23</v>
      </c>
      <c r="N2620" s="6">
        <v>43887.0</v>
      </c>
      <c r="Q2620" s="2" t="s">
        <v>86</v>
      </c>
    </row>
    <row r="2621">
      <c r="A2621" s="2">
        <v>2620.0</v>
      </c>
      <c r="B2621" s="2" t="s">
        <v>5124</v>
      </c>
      <c r="C2621" s="2" t="s">
        <v>23</v>
      </c>
      <c r="K2621" s="2">
        <v>20.0</v>
      </c>
      <c r="N2621" s="6">
        <v>43476.0</v>
      </c>
      <c r="Q2621" s="2" t="s">
        <v>5125</v>
      </c>
    </row>
    <row r="2622">
      <c r="A2622" s="2">
        <v>2621.0</v>
      </c>
      <c r="B2622" s="2" t="s">
        <v>5126</v>
      </c>
      <c r="C2622" s="2" t="s">
        <v>23</v>
      </c>
      <c r="N2622" s="6">
        <v>44166.0</v>
      </c>
      <c r="Q2622" s="2" t="s">
        <v>5127</v>
      </c>
    </row>
    <row r="2623">
      <c r="A2623" s="2">
        <v>2622.0</v>
      </c>
      <c r="B2623" s="2" t="s">
        <v>5128</v>
      </c>
      <c r="C2623" s="2" t="s">
        <v>23</v>
      </c>
      <c r="N2623" s="6">
        <v>45587.0</v>
      </c>
      <c r="Q2623" s="2" t="s">
        <v>5129</v>
      </c>
    </row>
    <row r="2624">
      <c r="A2624" s="2">
        <v>2623.0</v>
      </c>
      <c r="B2624" s="2" t="s">
        <v>5130</v>
      </c>
      <c r="C2624" s="2" t="s">
        <v>23</v>
      </c>
      <c r="K2624" s="2">
        <v>50.0</v>
      </c>
      <c r="N2624" s="6">
        <v>45724.0</v>
      </c>
      <c r="Q2624" s="2" t="s">
        <v>5131</v>
      </c>
    </row>
    <row r="2625">
      <c r="A2625" s="2">
        <v>2624.0</v>
      </c>
      <c r="B2625" s="2" t="s">
        <v>5132</v>
      </c>
      <c r="C2625" s="2" t="s">
        <v>23</v>
      </c>
      <c r="K2625" s="2">
        <v>10.0</v>
      </c>
      <c r="N2625" s="6">
        <v>44418.0</v>
      </c>
      <c r="Q2625" s="2" t="s">
        <v>5133</v>
      </c>
    </row>
    <row r="2626">
      <c r="A2626" s="2">
        <v>2625.0</v>
      </c>
      <c r="B2626" s="2" t="s">
        <v>5134</v>
      </c>
      <c r="C2626" s="2" t="s">
        <v>23</v>
      </c>
      <c r="N2626" s="6">
        <v>42622.0</v>
      </c>
      <c r="Q2626" s="2" t="s">
        <v>86</v>
      </c>
    </row>
    <row r="2627">
      <c r="A2627" s="2">
        <v>2626.0</v>
      </c>
      <c r="B2627" s="2" t="s">
        <v>5135</v>
      </c>
      <c r="C2627" s="2" t="s">
        <v>23</v>
      </c>
      <c r="K2627" s="2">
        <v>40.0</v>
      </c>
      <c r="N2627" s="6">
        <v>45737.0</v>
      </c>
      <c r="Q2627" s="2" t="s">
        <v>5136</v>
      </c>
    </row>
    <row r="2628">
      <c r="A2628" s="2">
        <v>2627.0</v>
      </c>
      <c r="B2628" s="2" t="s">
        <v>5137</v>
      </c>
      <c r="C2628" s="2" t="s">
        <v>23</v>
      </c>
      <c r="K2628" s="2">
        <v>10.0</v>
      </c>
      <c r="N2628" s="6">
        <v>44441.0</v>
      </c>
      <c r="Q2628" s="2" t="s">
        <v>5138</v>
      </c>
    </row>
    <row r="2629">
      <c r="A2629" s="2">
        <v>2628.0</v>
      </c>
      <c r="B2629" s="2" t="s">
        <v>5139</v>
      </c>
      <c r="C2629" s="2" t="s">
        <v>23</v>
      </c>
      <c r="K2629" s="2">
        <v>20.0</v>
      </c>
      <c r="N2629" s="6">
        <v>44833.0</v>
      </c>
      <c r="Q2629" s="2" t="s">
        <v>1094</v>
      </c>
    </row>
    <row r="2630">
      <c r="A2630" s="2">
        <v>2629.0</v>
      </c>
      <c r="B2630" s="2" t="s">
        <v>5140</v>
      </c>
      <c r="C2630" s="2" t="s">
        <v>23</v>
      </c>
      <c r="N2630" s="6">
        <v>45642.0</v>
      </c>
      <c r="Q2630" s="2" t="s">
        <v>2738</v>
      </c>
    </row>
    <row r="2631">
      <c r="A2631" s="2">
        <v>2630.0</v>
      </c>
      <c r="B2631" s="2" t="s">
        <v>5141</v>
      </c>
      <c r="C2631" s="2" t="s">
        <v>23</v>
      </c>
      <c r="K2631" s="2">
        <v>10.0</v>
      </c>
      <c r="N2631" s="6">
        <v>44255.0</v>
      </c>
      <c r="Q2631" s="2" t="s">
        <v>60</v>
      </c>
    </row>
    <row r="2632">
      <c r="A2632" s="2">
        <v>2631.0</v>
      </c>
      <c r="B2632" s="2" t="s">
        <v>5142</v>
      </c>
      <c r="C2632" s="2" t="s">
        <v>23</v>
      </c>
      <c r="K2632" s="2">
        <v>30.0</v>
      </c>
      <c r="N2632" s="6">
        <v>45549.0</v>
      </c>
      <c r="Q2632" s="2" t="s">
        <v>5143</v>
      </c>
    </row>
    <row r="2633">
      <c r="A2633" s="2">
        <v>2632.0</v>
      </c>
      <c r="B2633" s="2" t="s">
        <v>5144</v>
      </c>
      <c r="C2633" s="2" t="s">
        <v>23</v>
      </c>
      <c r="K2633" s="2">
        <v>10.0</v>
      </c>
      <c r="N2633" s="6">
        <v>43960.0</v>
      </c>
      <c r="Q2633" s="2" t="s">
        <v>86</v>
      </c>
    </row>
    <row r="2634">
      <c r="A2634" s="2">
        <v>2633.0</v>
      </c>
      <c r="B2634" s="2" t="s">
        <v>5145</v>
      </c>
      <c r="C2634" s="2" t="s">
        <v>23</v>
      </c>
      <c r="N2634" s="6">
        <v>43088.0</v>
      </c>
      <c r="Q2634" s="2" t="s">
        <v>86</v>
      </c>
    </row>
    <row r="2635">
      <c r="A2635" s="2">
        <v>2634.0</v>
      </c>
      <c r="B2635" s="2" t="s">
        <v>5146</v>
      </c>
      <c r="C2635" s="2" t="s">
        <v>23</v>
      </c>
      <c r="K2635" s="2">
        <v>30.0</v>
      </c>
      <c r="N2635" s="6">
        <v>44888.0</v>
      </c>
      <c r="Q2635" s="2" t="s">
        <v>5147</v>
      </c>
    </row>
    <row r="2636">
      <c r="A2636" s="2">
        <v>2635.0</v>
      </c>
      <c r="B2636" s="2" t="s">
        <v>5148</v>
      </c>
      <c r="C2636" s="2" t="s">
        <v>23</v>
      </c>
      <c r="K2636" s="2">
        <v>60.0</v>
      </c>
      <c r="N2636" s="6">
        <v>45086.0</v>
      </c>
      <c r="Q2636" s="2" t="s">
        <v>3514</v>
      </c>
    </row>
    <row r="2637">
      <c r="A2637" s="2">
        <v>2636.0</v>
      </c>
      <c r="B2637" s="2" t="s">
        <v>5149</v>
      </c>
      <c r="C2637" s="2" t="s">
        <v>23</v>
      </c>
      <c r="K2637" s="2">
        <v>20.0</v>
      </c>
      <c r="N2637" s="6">
        <v>44058.0</v>
      </c>
      <c r="Q2637" s="2" t="s">
        <v>5150</v>
      </c>
    </row>
    <row r="2638">
      <c r="A2638" s="2">
        <v>2637.0</v>
      </c>
      <c r="B2638" s="2" t="s">
        <v>5151</v>
      </c>
      <c r="C2638" s="2" t="s">
        <v>23</v>
      </c>
      <c r="K2638" s="2">
        <v>150.0</v>
      </c>
      <c r="N2638" s="6">
        <v>45678.0</v>
      </c>
      <c r="Q2638" s="2" t="s">
        <v>5152</v>
      </c>
    </row>
    <row r="2639">
      <c r="A2639" s="2">
        <v>2638.0</v>
      </c>
      <c r="B2639" s="2" t="s">
        <v>5153</v>
      </c>
      <c r="C2639" s="2" t="s">
        <v>23</v>
      </c>
      <c r="N2639" s="6">
        <v>42802.0</v>
      </c>
      <c r="Q2639" s="2" t="s">
        <v>86</v>
      </c>
    </row>
    <row r="2640">
      <c r="A2640" s="2">
        <v>2639.0</v>
      </c>
      <c r="B2640" s="2" t="s">
        <v>5154</v>
      </c>
      <c r="C2640" s="2" t="s">
        <v>23</v>
      </c>
      <c r="K2640" s="2">
        <v>40.0</v>
      </c>
      <c r="N2640" s="6">
        <v>44691.0</v>
      </c>
      <c r="Q2640" s="2" t="s">
        <v>60</v>
      </c>
    </row>
    <row r="2641">
      <c r="A2641" s="2">
        <v>2640.0</v>
      </c>
      <c r="B2641" s="2" t="s">
        <v>5155</v>
      </c>
      <c r="C2641" s="2" t="s">
        <v>23</v>
      </c>
      <c r="K2641" s="2">
        <v>10.0</v>
      </c>
      <c r="N2641" s="6">
        <v>44712.0</v>
      </c>
      <c r="Q2641" s="2" t="s">
        <v>3882</v>
      </c>
    </row>
    <row r="2642">
      <c r="A2642" s="2">
        <v>2641.0</v>
      </c>
      <c r="B2642" s="2" t="s">
        <v>5156</v>
      </c>
      <c r="C2642" s="2" t="s">
        <v>23</v>
      </c>
      <c r="K2642" s="2">
        <v>150.0</v>
      </c>
      <c r="N2642" s="6">
        <v>44318.0</v>
      </c>
      <c r="Q2642" s="2" t="s">
        <v>5157</v>
      </c>
    </row>
    <row r="2643">
      <c r="A2643" s="2">
        <v>2642.0</v>
      </c>
      <c r="B2643" s="2" t="s">
        <v>5158</v>
      </c>
      <c r="C2643" s="2" t="s">
        <v>23</v>
      </c>
      <c r="N2643" s="6">
        <v>44675.0</v>
      </c>
      <c r="Q2643" s="2" t="s">
        <v>86</v>
      </c>
    </row>
    <row r="2644">
      <c r="A2644" s="2">
        <v>2643.0</v>
      </c>
      <c r="B2644" s="2" t="s">
        <v>5159</v>
      </c>
      <c r="C2644" s="2" t="s">
        <v>23</v>
      </c>
      <c r="K2644" s="2">
        <v>90.0</v>
      </c>
      <c r="N2644" s="6">
        <v>44685.0</v>
      </c>
      <c r="Q2644" s="2" t="s">
        <v>5160</v>
      </c>
    </row>
    <row r="2645">
      <c r="A2645" s="2">
        <v>2644.0</v>
      </c>
      <c r="B2645" s="2" t="s">
        <v>5161</v>
      </c>
      <c r="C2645" s="2" t="s">
        <v>23</v>
      </c>
      <c r="K2645" s="2">
        <v>40.0</v>
      </c>
      <c r="N2645" s="6">
        <v>44335.0</v>
      </c>
      <c r="Q2645" s="2" t="s">
        <v>5162</v>
      </c>
    </row>
    <row r="2646">
      <c r="A2646" s="2">
        <v>2645.0</v>
      </c>
      <c r="B2646" s="2" t="s">
        <v>5163</v>
      </c>
      <c r="C2646" s="2" t="s">
        <v>23</v>
      </c>
      <c r="K2646" s="2">
        <v>10.0</v>
      </c>
      <c r="N2646" s="6">
        <v>44427.0</v>
      </c>
      <c r="Q2646" s="2" t="s">
        <v>60</v>
      </c>
    </row>
    <row r="2647">
      <c r="A2647" s="2">
        <v>2646.0</v>
      </c>
      <c r="B2647" s="2" t="s">
        <v>5164</v>
      </c>
      <c r="C2647" s="2" t="s">
        <v>23</v>
      </c>
      <c r="K2647" s="2">
        <v>20.0</v>
      </c>
      <c r="N2647" s="6">
        <v>44945.0</v>
      </c>
      <c r="Q2647" s="2" t="s">
        <v>5165</v>
      </c>
    </row>
    <row r="2648">
      <c r="A2648" s="2">
        <v>2647.0</v>
      </c>
      <c r="B2648" s="2" t="s">
        <v>5166</v>
      </c>
      <c r="C2648" s="2" t="s">
        <v>23</v>
      </c>
      <c r="K2648" s="2">
        <v>30.0</v>
      </c>
      <c r="N2648" s="6">
        <v>43999.0</v>
      </c>
      <c r="Q2648" s="2" t="s">
        <v>5167</v>
      </c>
    </row>
    <row r="2649">
      <c r="A2649" s="2">
        <v>2648.0</v>
      </c>
      <c r="B2649" s="2" t="s">
        <v>5168</v>
      </c>
      <c r="C2649" s="2" t="s">
        <v>23</v>
      </c>
      <c r="K2649" s="2">
        <v>20.0</v>
      </c>
      <c r="N2649" s="6">
        <v>45150.0</v>
      </c>
      <c r="Q2649" s="2" t="s">
        <v>5169</v>
      </c>
    </row>
    <row r="2650">
      <c r="A2650" s="2">
        <v>2649.0</v>
      </c>
      <c r="B2650" s="2" t="s">
        <v>5170</v>
      </c>
      <c r="C2650" s="2" t="s">
        <v>23</v>
      </c>
      <c r="K2650" s="2">
        <v>10.0</v>
      </c>
      <c r="N2650" s="6">
        <v>44704.0</v>
      </c>
      <c r="Q2650" s="2" t="s">
        <v>86</v>
      </c>
    </row>
    <row r="2651">
      <c r="A2651" s="2">
        <v>2650.0</v>
      </c>
      <c r="B2651" s="2" t="s">
        <v>5171</v>
      </c>
      <c r="C2651" s="2" t="s">
        <v>23</v>
      </c>
      <c r="K2651" s="2">
        <v>50.0</v>
      </c>
      <c r="N2651" s="6">
        <v>44019.0</v>
      </c>
      <c r="Q2651" s="2" t="s">
        <v>5172</v>
      </c>
    </row>
    <row r="2652">
      <c r="A2652" s="2">
        <v>2651.0</v>
      </c>
      <c r="B2652" s="2" t="s">
        <v>5173</v>
      </c>
      <c r="C2652" s="2" t="s">
        <v>23</v>
      </c>
      <c r="N2652" s="6">
        <v>45355.0</v>
      </c>
      <c r="Q2652" s="2" t="s">
        <v>1116</v>
      </c>
    </row>
    <row r="2653">
      <c r="A2653" s="2">
        <v>2652.0</v>
      </c>
      <c r="B2653" s="2" t="s">
        <v>5174</v>
      </c>
      <c r="C2653" s="2" t="s">
        <v>23</v>
      </c>
      <c r="N2653" s="6">
        <v>44109.0</v>
      </c>
      <c r="Q2653" s="2" t="s">
        <v>86</v>
      </c>
    </row>
    <row r="2654">
      <c r="A2654" s="2">
        <v>2653.0</v>
      </c>
      <c r="B2654" s="2" t="s">
        <v>5175</v>
      </c>
      <c r="C2654" s="2" t="s">
        <v>23</v>
      </c>
      <c r="K2654" s="2">
        <v>200.0</v>
      </c>
      <c r="N2654" s="6">
        <v>43851.0</v>
      </c>
      <c r="Q2654" s="2" t="s">
        <v>5176</v>
      </c>
    </row>
    <row r="2655">
      <c r="A2655" s="2">
        <v>2654.0</v>
      </c>
      <c r="B2655" s="2" t="s">
        <v>5177</v>
      </c>
      <c r="C2655" s="2" t="s">
        <v>23</v>
      </c>
      <c r="K2655" s="2">
        <v>10.0</v>
      </c>
      <c r="N2655" s="6">
        <v>44695.0</v>
      </c>
      <c r="Q2655" s="2" t="s">
        <v>2573</v>
      </c>
    </row>
    <row r="2656">
      <c r="A2656" s="2">
        <v>2655.0</v>
      </c>
      <c r="B2656" s="2" t="s">
        <v>5178</v>
      </c>
      <c r="C2656" s="2" t="s">
        <v>23</v>
      </c>
      <c r="K2656" s="2">
        <v>30.0</v>
      </c>
      <c r="N2656" s="6">
        <v>43975.0</v>
      </c>
      <c r="Q2656" s="2" t="s">
        <v>5179</v>
      </c>
    </row>
    <row r="2657">
      <c r="A2657" s="2">
        <v>2656.0</v>
      </c>
      <c r="B2657" s="2" t="s">
        <v>5180</v>
      </c>
      <c r="C2657" s="2" t="s">
        <v>23</v>
      </c>
      <c r="N2657" s="6">
        <v>45527.0</v>
      </c>
      <c r="Q2657" s="2" t="s">
        <v>5181</v>
      </c>
    </row>
    <row r="2658">
      <c r="A2658" s="2">
        <v>2657.0</v>
      </c>
      <c r="B2658" s="2" t="s">
        <v>5182</v>
      </c>
      <c r="C2658" s="2" t="s">
        <v>23</v>
      </c>
      <c r="K2658" s="2">
        <v>20.0</v>
      </c>
      <c r="N2658" s="6">
        <v>45739.0</v>
      </c>
      <c r="Q2658" s="2" t="s">
        <v>5183</v>
      </c>
    </row>
    <row r="2659">
      <c r="A2659" s="2">
        <v>2658.0</v>
      </c>
      <c r="B2659" s="2" t="s">
        <v>5184</v>
      </c>
      <c r="C2659" s="2" t="s">
        <v>23</v>
      </c>
      <c r="N2659" s="6">
        <v>44251.0</v>
      </c>
      <c r="Q2659" s="2" t="s">
        <v>94</v>
      </c>
    </row>
    <row r="2660">
      <c r="A2660" s="2">
        <v>2659.0</v>
      </c>
      <c r="B2660" s="2" t="s">
        <v>5185</v>
      </c>
      <c r="C2660" s="2" t="s">
        <v>23</v>
      </c>
      <c r="K2660" s="2">
        <v>300.0</v>
      </c>
      <c r="N2660" s="6">
        <v>43890.0</v>
      </c>
      <c r="Q2660" s="2" t="s">
        <v>5186</v>
      </c>
    </row>
    <row r="2661">
      <c r="A2661" s="2">
        <v>2660.0</v>
      </c>
      <c r="B2661" s="2" t="s">
        <v>5187</v>
      </c>
      <c r="C2661" s="2" t="s">
        <v>23</v>
      </c>
      <c r="K2661" s="2">
        <v>20.0</v>
      </c>
      <c r="N2661" s="6">
        <v>44758.0</v>
      </c>
      <c r="Q2661" s="2" t="s">
        <v>86</v>
      </c>
    </row>
    <row r="2662">
      <c r="A2662" s="2">
        <v>2661.0</v>
      </c>
      <c r="B2662" s="2" t="s">
        <v>5188</v>
      </c>
      <c r="C2662" s="2" t="s">
        <v>23</v>
      </c>
      <c r="K2662" s="2">
        <v>20.0</v>
      </c>
      <c r="N2662" s="6">
        <v>44885.0</v>
      </c>
      <c r="Q2662" s="2" t="s">
        <v>5189</v>
      </c>
    </row>
    <row r="2663">
      <c r="A2663" s="2">
        <v>2662.0</v>
      </c>
      <c r="B2663" s="2" t="s">
        <v>5190</v>
      </c>
      <c r="C2663" s="2" t="s">
        <v>23</v>
      </c>
      <c r="K2663" s="2">
        <v>150.0</v>
      </c>
      <c r="N2663" s="6">
        <v>44397.0</v>
      </c>
      <c r="Q2663" s="2" t="s">
        <v>60</v>
      </c>
    </row>
    <row r="2664">
      <c r="A2664" s="2">
        <v>2663.0</v>
      </c>
      <c r="B2664" s="2" t="s">
        <v>5191</v>
      </c>
      <c r="C2664" s="2" t="s">
        <v>23</v>
      </c>
      <c r="K2664" s="2">
        <v>50.0</v>
      </c>
      <c r="N2664" s="6">
        <v>45704.0</v>
      </c>
      <c r="Q2664" s="2" t="s">
        <v>5192</v>
      </c>
    </row>
    <row r="2665">
      <c r="A2665" s="2">
        <v>2664.0</v>
      </c>
      <c r="B2665" s="2" t="s">
        <v>5193</v>
      </c>
      <c r="C2665" s="2" t="s">
        <v>23</v>
      </c>
      <c r="N2665" s="6">
        <v>44982.0</v>
      </c>
      <c r="Q2665" s="2" t="s">
        <v>401</v>
      </c>
    </row>
    <row r="2666">
      <c r="A2666" s="2">
        <v>2665.0</v>
      </c>
      <c r="B2666" s="2" t="s">
        <v>5194</v>
      </c>
      <c r="C2666" s="2" t="s">
        <v>23</v>
      </c>
      <c r="N2666" s="6">
        <v>45407.0</v>
      </c>
      <c r="Q2666" s="2" t="s">
        <v>86</v>
      </c>
    </row>
    <row r="2667">
      <c r="A2667" s="2">
        <v>2666.0</v>
      </c>
      <c r="B2667" s="2" t="s">
        <v>5195</v>
      </c>
      <c r="C2667" s="2" t="s">
        <v>23</v>
      </c>
      <c r="K2667" s="2">
        <v>20.0</v>
      </c>
      <c r="N2667" s="6">
        <v>44080.0</v>
      </c>
      <c r="Q2667" s="2" t="s">
        <v>86</v>
      </c>
    </row>
    <row r="2668">
      <c r="A2668" s="2">
        <v>2667.0</v>
      </c>
      <c r="B2668" s="2" t="s">
        <v>5196</v>
      </c>
      <c r="C2668" s="2" t="s">
        <v>23</v>
      </c>
      <c r="N2668" s="6">
        <v>45452.0</v>
      </c>
      <c r="Q2668" s="2" t="s">
        <v>86</v>
      </c>
    </row>
    <row r="2669">
      <c r="A2669" s="2">
        <v>2668.0</v>
      </c>
      <c r="B2669" s="2" t="s">
        <v>5197</v>
      </c>
      <c r="C2669" s="2" t="s">
        <v>23</v>
      </c>
      <c r="N2669" s="6">
        <v>44511.0</v>
      </c>
      <c r="Q2669" s="2" t="s">
        <v>5198</v>
      </c>
    </row>
    <row r="2670">
      <c r="A2670" s="2">
        <v>2669.0</v>
      </c>
      <c r="B2670" s="2" t="s">
        <v>5199</v>
      </c>
      <c r="C2670" s="2" t="s">
        <v>23</v>
      </c>
      <c r="N2670" s="6">
        <v>43941.0</v>
      </c>
      <c r="Q2670" s="2" t="s">
        <v>5200</v>
      </c>
    </row>
    <row r="2671">
      <c r="A2671" s="2">
        <v>2670.0</v>
      </c>
      <c r="B2671" s="2" t="s">
        <v>5201</v>
      </c>
      <c r="C2671" s="2" t="s">
        <v>23</v>
      </c>
      <c r="N2671" s="6">
        <v>44792.0</v>
      </c>
      <c r="Q2671" s="2" t="s">
        <v>5202</v>
      </c>
    </row>
    <row r="2672">
      <c r="A2672" s="2">
        <v>2671.0</v>
      </c>
      <c r="B2672" s="2" t="s">
        <v>5203</v>
      </c>
      <c r="C2672" s="2" t="s">
        <v>23</v>
      </c>
      <c r="N2672" s="6">
        <v>44864.0</v>
      </c>
      <c r="Q2672" s="2" t="s">
        <v>86</v>
      </c>
    </row>
    <row r="2673">
      <c r="A2673" s="2">
        <v>2672.0</v>
      </c>
      <c r="B2673" s="2" t="s">
        <v>5204</v>
      </c>
      <c r="C2673" s="2" t="s">
        <v>23</v>
      </c>
      <c r="K2673" s="2">
        <v>200.0</v>
      </c>
      <c r="N2673" s="6">
        <v>42509.0</v>
      </c>
      <c r="Q2673" s="2" t="s">
        <v>5205</v>
      </c>
    </row>
    <row r="2674">
      <c r="A2674" s="2">
        <v>2673.0</v>
      </c>
      <c r="B2674" s="2" t="s">
        <v>5206</v>
      </c>
      <c r="C2674" s="2" t="s">
        <v>23</v>
      </c>
      <c r="N2674" s="6">
        <v>43918.0</v>
      </c>
      <c r="Q2674" s="2" t="s">
        <v>86</v>
      </c>
    </row>
    <row r="2675">
      <c r="A2675" s="2">
        <v>2674.0</v>
      </c>
      <c r="B2675" s="2" t="s">
        <v>5207</v>
      </c>
      <c r="C2675" s="2" t="s">
        <v>23</v>
      </c>
      <c r="K2675" s="2">
        <v>60.0</v>
      </c>
      <c r="N2675" s="6">
        <v>45413.0</v>
      </c>
      <c r="Q2675" s="2" t="s">
        <v>5208</v>
      </c>
    </row>
    <row r="2676">
      <c r="A2676" s="2">
        <v>2675.0</v>
      </c>
      <c r="B2676" s="2" t="s">
        <v>5209</v>
      </c>
      <c r="C2676" s="2" t="s">
        <v>23</v>
      </c>
      <c r="N2676" s="6">
        <v>46007.0</v>
      </c>
      <c r="Q2676" s="2" t="s">
        <v>5210</v>
      </c>
    </row>
    <row r="2677">
      <c r="A2677" s="2">
        <v>2676.0</v>
      </c>
      <c r="B2677" s="2" t="s">
        <v>5211</v>
      </c>
      <c r="C2677" s="2" t="s">
        <v>23</v>
      </c>
      <c r="K2677" s="2">
        <v>30.0</v>
      </c>
      <c r="N2677" s="6">
        <v>44115.0</v>
      </c>
      <c r="Q2677" s="2" t="s">
        <v>89</v>
      </c>
    </row>
    <row r="2678">
      <c r="A2678" s="2">
        <v>2677.0</v>
      </c>
      <c r="B2678" s="2" t="s">
        <v>5212</v>
      </c>
      <c r="C2678" s="2" t="s">
        <v>23</v>
      </c>
      <c r="N2678" s="6">
        <v>44578.0</v>
      </c>
      <c r="Q2678" s="2" t="s">
        <v>86</v>
      </c>
    </row>
    <row r="2679">
      <c r="A2679" s="2">
        <v>2678.0</v>
      </c>
      <c r="B2679" s="2" t="s">
        <v>5213</v>
      </c>
      <c r="C2679" s="2" t="s">
        <v>23</v>
      </c>
      <c r="K2679" s="2">
        <v>200.0</v>
      </c>
      <c r="N2679" s="6">
        <v>44995.0</v>
      </c>
      <c r="Q2679" s="2" t="s">
        <v>5214</v>
      </c>
    </row>
    <row r="2680">
      <c r="A2680" s="2">
        <v>2679.0</v>
      </c>
      <c r="B2680" s="2" t="s">
        <v>5215</v>
      </c>
      <c r="C2680" s="2" t="s">
        <v>23</v>
      </c>
      <c r="K2680" s="2">
        <v>20.0</v>
      </c>
      <c r="N2680" s="6">
        <v>44087.0</v>
      </c>
      <c r="Q2680" s="2" t="s">
        <v>86</v>
      </c>
    </row>
    <row r="2681">
      <c r="A2681" s="2">
        <v>2680.0</v>
      </c>
      <c r="B2681" s="2" t="s">
        <v>5216</v>
      </c>
      <c r="C2681" s="2" t="s">
        <v>23</v>
      </c>
      <c r="N2681" s="6">
        <v>44445.0</v>
      </c>
      <c r="Q2681" s="2" t="s">
        <v>86</v>
      </c>
    </row>
    <row r="2682">
      <c r="A2682" s="2">
        <v>2681.0</v>
      </c>
      <c r="B2682" s="2" t="s">
        <v>5217</v>
      </c>
      <c r="C2682" s="2" t="s">
        <v>23</v>
      </c>
      <c r="N2682" s="6">
        <v>44049.0</v>
      </c>
      <c r="Q2682" s="2" t="s">
        <v>86</v>
      </c>
    </row>
    <row r="2683">
      <c r="A2683" s="2">
        <v>2682.0</v>
      </c>
      <c r="B2683" s="2" t="s">
        <v>5218</v>
      </c>
      <c r="C2683" s="2" t="s">
        <v>23</v>
      </c>
      <c r="K2683" s="2">
        <v>60.0</v>
      </c>
      <c r="N2683" s="6">
        <v>44127.0</v>
      </c>
      <c r="Q2683" s="2" t="s">
        <v>1277</v>
      </c>
    </row>
    <row r="2684">
      <c r="A2684" s="2">
        <v>2683.0</v>
      </c>
      <c r="B2684" s="2" t="s">
        <v>5219</v>
      </c>
      <c r="C2684" s="2" t="s">
        <v>23</v>
      </c>
      <c r="N2684" s="6">
        <v>44662.0</v>
      </c>
      <c r="Q2684" s="2" t="s">
        <v>86</v>
      </c>
    </row>
    <row r="2685">
      <c r="A2685" s="2">
        <v>2684.0</v>
      </c>
      <c r="B2685" s="2" t="s">
        <v>5220</v>
      </c>
      <c r="C2685" s="2" t="s">
        <v>23</v>
      </c>
      <c r="K2685" s="2">
        <v>80.0</v>
      </c>
      <c r="N2685" s="6">
        <v>45090.0</v>
      </c>
      <c r="Q2685" s="2" t="s">
        <v>86</v>
      </c>
    </row>
    <row r="2686">
      <c r="A2686" s="2">
        <v>2685.0</v>
      </c>
      <c r="B2686" s="2" t="s">
        <v>5221</v>
      </c>
      <c r="C2686" s="2" t="s">
        <v>23</v>
      </c>
      <c r="K2686" s="2">
        <v>10.0</v>
      </c>
      <c r="N2686" s="6">
        <v>43906.0</v>
      </c>
      <c r="Q2686" s="2" t="s">
        <v>1466</v>
      </c>
    </row>
    <row r="2687">
      <c r="A2687" s="2">
        <v>2686.0</v>
      </c>
      <c r="B2687" s="2" t="s">
        <v>5222</v>
      </c>
      <c r="C2687" s="2" t="s">
        <v>23</v>
      </c>
      <c r="K2687" s="2">
        <v>50.0</v>
      </c>
      <c r="N2687" s="6">
        <v>45755.0</v>
      </c>
      <c r="Q2687" s="2" t="s">
        <v>5223</v>
      </c>
    </row>
    <row r="2688">
      <c r="A2688" s="2">
        <v>2687.0</v>
      </c>
      <c r="B2688" s="2" t="s">
        <v>5224</v>
      </c>
      <c r="C2688" s="2" t="s">
        <v>23</v>
      </c>
      <c r="K2688" s="2">
        <v>70.0</v>
      </c>
      <c r="N2688" s="6">
        <v>44914.0</v>
      </c>
      <c r="Q2688" s="2" t="s">
        <v>2794</v>
      </c>
    </row>
    <row r="2689">
      <c r="A2689" s="2">
        <v>2688.0</v>
      </c>
      <c r="B2689" s="2" t="s">
        <v>5225</v>
      </c>
      <c r="C2689" s="2" t="s">
        <v>23</v>
      </c>
      <c r="K2689" s="2">
        <v>10.0</v>
      </c>
      <c r="N2689" s="6">
        <v>45961.0</v>
      </c>
      <c r="Q2689" s="2" t="s">
        <v>1763</v>
      </c>
    </row>
    <row r="2690">
      <c r="A2690" s="2">
        <v>2689.0</v>
      </c>
      <c r="B2690" s="2" t="s">
        <v>5226</v>
      </c>
      <c r="C2690" s="2" t="s">
        <v>23</v>
      </c>
      <c r="K2690" s="2">
        <v>10.0</v>
      </c>
      <c r="N2690" s="6">
        <v>45593.0</v>
      </c>
      <c r="Q2690" s="2" t="s">
        <v>5227</v>
      </c>
    </row>
    <row r="2691">
      <c r="A2691" s="2">
        <v>2690.0</v>
      </c>
      <c r="B2691" s="2" t="s">
        <v>5228</v>
      </c>
      <c r="C2691" s="2" t="s">
        <v>23</v>
      </c>
      <c r="K2691" s="2">
        <v>150.0</v>
      </c>
      <c r="N2691" s="6">
        <v>43860.0</v>
      </c>
      <c r="Q2691" s="2" t="s">
        <v>5229</v>
      </c>
    </row>
    <row r="2692">
      <c r="A2692" s="2">
        <v>2691.0</v>
      </c>
      <c r="B2692" s="2" t="s">
        <v>5230</v>
      </c>
      <c r="C2692" s="2" t="s">
        <v>23</v>
      </c>
      <c r="N2692" s="6">
        <v>44215.0</v>
      </c>
      <c r="Q2692" s="2" t="s">
        <v>89</v>
      </c>
    </row>
    <row r="2693">
      <c r="A2693" s="2">
        <v>2692.0</v>
      </c>
      <c r="B2693" s="2" t="s">
        <v>5231</v>
      </c>
      <c r="C2693" s="2" t="s">
        <v>23</v>
      </c>
      <c r="K2693" s="2">
        <v>20.0</v>
      </c>
      <c r="N2693" s="6">
        <v>45169.0</v>
      </c>
      <c r="Q2693" s="2" t="s">
        <v>86</v>
      </c>
    </row>
    <row r="2694">
      <c r="A2694" s="2">
        <v>2693.0</v>
      </c>
      <c r="B2694" s="2" t="s">
        <v>5232</v>
      </c>
      <c r="C2694" s="2" t="s">
        <v>23</v>
      </c>
      <c r="K2694" s="2">
        <v>300.0</v>
      </c>
      <c r="N2694" s="6">
        <v>42319.0</v>
      </c>
      <c r="Q2694" s="2" t="s">
        <v>5233</v>
      </c>
    </row>
    <row r="2695">
      <c r="A2695" s="2">
        <v>2694.0</v>
      </c>
      <c r="B2695" s="2" t="s">
        <v>5234</v>
      </c>
      <c r="C2695" s="2" t="s">
        <v>23</v>
      </c>
      <c r="K2695" s="2">
        <v>90.0</v>
      </c>
      <c r="N2695" s="6">
        <v>44275.0</v>
      </c>
      <c r="Q2695" s="2" t="s">
        <v>5235</v>
      </c>
    </row>
    <row r="2696">
      <c r="A2696" s="2">
        <v>2695.0</v>
      </c>
      <c r="B2696" s="2" t="s">
        <v>5236</v>
      </c>
      <c r="C2696" s="2" t="s">
        <v>23</v>
      </c>
      <c r="K2696" s="2">
        <v>50.0</v>
      </c>
      <c r="N2696" s="6">
        <v>45638.0</v>
      </c>
      <c r="Q2696" s="2" t="s">
        <v>5237</v>
      </c>
    </row>
    <row r="2697">
      <c r="A2697" s="2">
        <v>2696.0</v>
      </c>
      <c r="B2697" s="2" t="s">
        <v>5238</v>
      </c>
      <c r="C2697" s="2" t="s">
        <v>23</v>
      </c>
      <c r="N2697" s="6">
        <v>45180.0</v>
      </c>
      <c r="Q2697" s="2" t="s">
        <v>86</v>
      </c>
    </row>
    <row r="2698">
      <c r="A2698" s="2">
        <v>2697.0</v>
      </c>
      <c r="B2698" s="2" t="s">
        <v>5239</v>
      </c>
      <c r="C2698" s="2" t="s">
        <v>23</v>
      </c>
      <c r="N2698" s="6">
        <v>42300.0</v>
      </c>
      <c r="Q2698" s="2" t="s">
        <v>86</v>
      </c>
    </row>
    <row r="2699">
      <c r="A2699" s="2">
        <v>2698.0</v>
      </c>
      <c r="B2699" s="2" t="s">
        <v>5240</v>
      </c>
      <c r="C2699" s="2" t="s">
        <v>23</v>
      </c>
      <c r="N2699" s="6">
        <v>44138.0</v>
      </c>
      <c r="Q2699" s="2" t="s">
        <v>126</v>
      </c>
    </row>
    <row r="2700">
      <c r="A2700" s="2">
        <v>2699.0</v>
      </c>
      <c r="B2700" s="2" t="s">
        <v>5241</v>
      </c>
      <c r="C2700" s="2" t="s">
        <v>23</v>
      </c>
      <c r="K2700" s="2">
        <v>10.0</v>
      </c>
      <c r="N2700" s="6">
        <v>44293.0</v>
      </c>
      <c r="Q2700" s="2" t="s">
        <v>86</v>
      </c>
    </row>
    <row r="2701">
      <c r="A2701" s="2">
        <v>2700.0</v>
      </c>
      <c r="B2701" s="2" t="s">
        <v>5242</v>
      </c>
      <c r="C2701" s="2" t="s">
        <v>23</v>
      </c>
      <c r="K2701" s="2">
        <v>150.0</v>
      </c>
      <c r="N2701" s="6">
        <v>44003.0</v>
      </c>
      <c r="Q2701" s="2" t="s">
        <v>5243</v>
      </c>
    </row>
    <row r="2702">
      <c r="A2702" s="2">
        <v>2701.0</v>
      </c>
      <c r="B2702" s="2" t="s">
        <v>5244</v>
      </c>
      <c r="C2702" s="2" t="s">
        <v>23</v>
      </c>
      <c r="K2702" s="2">
        <v>50.0</v>
      </c>
      <c r="N2702" s="6">
        <v>44658.0</v>
      </c>
      <c r="Q2702" s="2" t="s">
        <v>5245</v>
      </c>
    </row>
    <row r="2703">
      <c r="A2703" s="2">
        <v>2702.0</v>
      </c>
      <c r="B2703" s="2" t="s">
        <v>5246</v>
      </c>
      <c r="C2703" s="2" t="s">
        <v>23</v>
      </c>
      <c r="K2703" s="2">
        <v>300.0</v>
      </c>
      <c r="N2703" s="6">
        <v>44416.0</v>
      </c>
      <c r="Q2703" s="2" t="s">
        <v>5247</v>
      </c>
    </row>
    <row r="2704">
      <c r="A2704" s="2">
        <v>2703.0</v>
      </c>
      <c r="B2704" s="2" t="s">
        <v>5248</v>
      </c>
      <c r="C2704" s="2" t="s">
        <v>23</v>
      </c>
      <c r="N2704" s="6">
        <v>43944.0</v>
      </c>
      <c r="Q2704" s="2" t="s">
        <v>86</v>
      </c>
    </row>
    <row r="2705">
      <c r="A2705" s="2">
        <v>2704.0</v>
      </c>
      <c r="B2705" s="2" t="s">
        <v>5249</v>
      </c>
      <c r="C2705" s="2" t="s">
        <v>23</v>
      </c>
      <c r="K2705" s="2">
        <v>20.0</v>
      </c>
      <c r="N2705" s="6">
        <v>44744.0</v>
      </c>
      <c r="Q2705" s="2" t="s">
        <v>126</v>
      </c>
    </row>
    <row r="2706">
      <c r="A2706" s="2">
        <v>2705.0</v>
      </c>
      <c r="B2706" s="2" t="s">
        <v>5250</v>
      </c>
      <c r="C2706" s="2" t="s">
        <v>23</v>
      </c>
      <c r="N2706" s="6">
        <v>44711.0</v>
      </c>
      <c r="Q2706" s="2" t="s">
        <v>5251</v>
      </c>
    </row>
    <row r="2707">
      <c r="A2707" s="2">
        <v>2706.0</v>
      </c>
      <c r="B2707" s="2" t="s">
        <v>5252</v>
      </c>
      <c r="C2707" s="2" t="s">
        <v>23</v>
      </c>
      <c r="K2707" s="2">
        <v>40.0</v>
      </c>
      <c r="N2707" s="6">
        <v>45659.0</v>
      </c>
      <c r="Q2707" s="2" t="s">
        <v>5253</v>
      </c>
    </row>
    <row r="2708">
      <c r="A2708" s="2">
        <v>2707.0</v>
      </c>
      <c r="B2708" s="2" t="s">
        <v>5254</v>
      </c>
      <c r="C2708" s="2" t="s">
        <v>23</v>
      </c>
      <c r="K2708" s="2">
        <v>70.0</v>
      </c>
      <c r="N2708" s="6">
        <v>44184.0</v>
      </c>
      <c r="Q2708" s="2" t="s">
        <v>401</v>
      </c>
    </row>
    <row r="2709">
      <c r="A2709" s="2">
        <v>2708.0</v>
      </c>
      <c r="B2709" s="2" t="s">
        <v>5255</v>
      </c>
      <c r="C2709" s="2" t="s">
        <v>23</v>
      </c>
      <c r="K2709" s="2">
        <v>80.0</v>
      </c>
      <c r="N2709" s="6">
        <v>43942.0</v>
      </c>
      <c r="Q2709" s="2" t="s">
        <v>5256</v>
      </c>
    </row>
    <row r="2710">
      <c r="A2710" s="2">
        <v>2709.0</v>
      </c>
      <c r="B2710" s="2" t="s">
        <v>5257</v>
      </c>
      <c r="C2710" s="2" t="s">
        <v>23</v>
      </c>
      <c r="K2710" s="2">
        <v>40.0</v>
      </c>
      <c r="N2710" s="6">
        <v>45293.0</v>
      </c>
      <c r="Q2710" s="2" t="s">
        <v>3075</v>
      </c>
    </row>
    <row r="2711">
      <c r="A2711" s="2">
        <v>2710.0</v>
      </c>
      <c r="B2711" s="2" t="s">
        <v>5258</v>
      </c>
      <c r="C2711" s="2" t="s">
        <v>23</v>
      </c>
      <c r="K2711" s="2">
        <v>40.0</v>
      </c>
      <c r="N2711" s="6">
        <v>44063.0</v>
      </c>
      <c r="Q2711" s="2" t="s">
        <v>3282</v>
      </c>
    </row>
    <row r="2712">
      <c r="A2712" s="2">
        <v>2711.0</v>
      </c>
      <c r="B2712" s="2" t="s">
        <v>5259</v>
      </c>
      <c r="C2712" s="2" t="s">
        <v>23</v>
      </c>
      <c r="K2712" s="2">
        <v>10.0</v>
      </c>
      <c r="N2712" s="6">
        <v>44682.0</v>
      </c>
      <c r="Q2712" s="2" t="s">
        <v>401</v>
      </c>
    </row>
    <row r="2713">
      <c r="A2713" s="2">
        <v>2712.0</v>
      </c>
      <c r="B2713" s="2" t="s">
        <v>5260</v>
      </c>
      <c r="C2713" s="2" t="s">
        <v>23</v>
      </c>
      <c r="K2713" s="2">
        <v>90.0</v>
      </c>
      <c r="N2713" s="6">
        <v>44654.0</v>
      </c>
      <c r="Q2713" s="2" t="s">
        <v>5261</v>
      </c>
    </row>
    <row r="2714">
      <c r="A2714" s="2">
        <v>2713.0</v>
      </c>
      <c r="B2714" s="2" t="s">
        <v>5262</v>
      </c>
      <c r="C2714" s="2" t="s">
        <v>23</v>
      </c>
      <c r="N2714" s="6">
        <v>45171.0</v>
      </c>
      <c r="Q2714" s="2" t="s">
        <v>86</v>
      </c>
    </row>
    <row r="2715">
      <c r="A2715" s="2">
        <v>2714.0</v>
      </c>
      <c r="B2715" s="2" t="s">
        <v>5263</v>
      </c>
      <c r="C2715" s="2" t="s">
        <v>23</v>
      </c>
      <c r="K2715" s="2">
        <v>100.0</v>
      </c>
      <c r="N2715" s="6">
        <v>43921.0</v>
      </c>
      <c r="Q2715" s="2" t="s">
        <v>5264</v>
      </c>
    </row>
    <row r="2716">
      <c r="A2716" s="2">
        <v>2715.0</v>
      </c>
      <c r="B2716" s="2" t="s">
        <v>232</v>
      </c>
      <c r="C2716" s="2" t="s">
        <v>23</v>
      </c>
      <c r="F2716" s="2">
        <v>0.25</v>
      </c>
      <c r="K2716" s="2">
        <v>2200.0</v>
      </c>
      <c r="N2716" s="6">
        <v>43900.0</v>
      </c>
      <c r="Q2716" s="2" t="s">
        <v>234</v>
      </c>
    </row>
    <row r="2717">
      <c r="A2717" s="2">
        <v>2716.0</v>
      </c>
      <c r="B2717" s="2" t="s">
        <v>5265</v>
      </c>
      <c r="C2717" s="2" t="s">
        <v>23</v>
      </c>
      <c r="K2717" s="2">
        <v>20.0</v>
      </c>
      <c r="N2717" s="6">
        <v>43911.0</v>
      </c>
      <c r="Q2717" s="2" t="s">
        <v>5266</v>
      </c>
    </row>
    <row r="2718">
      <c r="A2718" s="2">
        <v>2717.0</v>
      </c>
      <c r="B2718" s="2" t="s">
        <v>5267</v>
      </c>
      <c r="C2718" s="2" t="s">
        <v>23</v>
      </c>
      <c r="K2718" s="2">
        <v>200.0</v>
      </c>
      <c r="N2718" s="6">
        <v>44310.0</v>
      </c>
      <c r="Q2718" s="2" t="s">
        <v>5268</v>
      </c>
    </row>
    <row r="2719">
      <c r="A2719" s="2">
        <v>2718.0</v>
      </c>
      <c r="B2719" s="2" t="s">
        <v>5269</v>
      </c>
      <c r="C2719" s="2" t="s">
        <v>23</v>
      </c>
      <c r="K2719" s="2">
        <v>80.0</v>
      </c>
      <c r="N2719" s="6">
        <v>45457.0</v>
      </c>
      <c r="Q2719" s="2" t="s">
        <v>4755</v>
      </c>
    </row>
    <row r="2720">
      <c r="A2720" s="2">
        <v>2719.0</v>
      </c>
      <c r="B2720" s="2" t="s">
        <v>5270</v>
      </c>
      <c r="C2720" s="2" t="s">
        <v>23</v>
      </c>
      <c r="K2720" s="2">
        <v>10.0</v>
      </c>
      <c r="N2720" s="6">
        <v>43841.0</v>
      </c>
      <c r="Q2720" s="2" t="s">
        <v>86</v>
      </c>
    </row>
    <row r="2721">
      <c r="A2721" s="2">
        <v>2720.0</v>
      </c>
      <c r="B2721" s="2" t="s">
        <v>5271</v>
      </c>
      <c r="C2721" s="2" t="s">
        <v>23</v>
      </c>
      <c r="N2721" s="6">
        <v>44499.0</v>
      </c>
      <c r="Q2721" s="2" t="s">
        <v>86</v>
      </c>
    </row>
    <row r="2722">
      <c r="A2722" s="2">
        <v>2721.0</v>
      </c>
      <c r="B2722" s="2" t="s">
        <v>5272</v>
      </c>
      <c r="C2722" s="2" t="s">
        <v>23</v>
      </c>
      <c r="N2722" s="6">
        <v>44151.0</v>
      </c>
      <c r="Q2722" s="2" t="s">
        <v>5273</v>
      </c>
    </row>
    <row r="2723">
      <c r="A2723" s="2">
        <v>2722.0</v>
      </c>
      <c r="B2723" s="2" t="s">
        <v>5274</v>
      </c>
      <c r="C2723" s="2" t="s">
        <v>23</v>
      </c>
      <c r="K2723" s="2">
        <v>200.0</v>
      </c>
      <c r="N2723" s="6">
        <v>43951.0</v>
      </c>
      <c r="Q2723" s="2" t="s">
        <v>5275</v>
      </c>
    </row>
    <row r="2724">
      <c r="A2724" s="2">
        <v>2723.0</v>
      </c>
      <c r="B2724" s="2" t="s">
        <v>5276</v>
      </c>
      <c r="C2724" s="2" t="s">
        <v>23</v>
      </c>
      <c r="N2724" s="6">
        <v>43863.0</v>
      </c>
      <c r="Q2724" s="2" t="s">
        <v>86</v>
      </c>
    </row>
    <row r="2725">
      <c r="A2725" s="2">
        <v>2724.0</v>
      </c>
      <c r="B2725" s="2" t="s">
        <v>5277</v>
      </c>
      <c r="C2725" s="2" t="s">
        <v>23</v>
      </c>
      <c r="K2725" s="2">
        <v>90.0</v>
      </c>
      <c r="N2725" s="6">
        <v>44286.0</v>
      </c>
      <c r="Q2725" s="2" t="s">
        <v>5278</v>
      </c>
    </row>
    <row r="2726">
      <c r="A2726" s="2">
        <v>2725.0</v>
      </c>
      <c r="B2726" s="2" t="s">
        <v>5279</v>
      </c>
      <c r="C2726" s="2" t="s">
        <v>23</v>
      </c>
      <c r="N2726" s="6">
        <v>45112.0</v>
      </c>
      <c r="Q2726" s="2" t="s">
        <v>86</v>
      </c>
    </row>
    <row r="2727">
      <c r="A2727" s="2">
        <v>2726.0</v>
      </c>
      <c r="B2727" s="2" t="s">
        <v>5280</v>
      </c>
      <c r="C2727" s="2" t="s">
        <v>23</v>
      </c>
      <c r="K2727" s="2">
        <v>90.0</v>
      </c>
      <c r="N2727" s="6">
        <v>44569.0</v>
      </c>
      <c r="Q2727" s="2" t="s">
        <v>5281</v>
      </c>
    </row>
    <row r="2728">
      <c r="A2728" s="2">
        <v>2727.0</v>
      </c>
      <c r="B2728" s="2" t="s">
        <v>5282</v>
      </c>
      <c r="C2728" s="2" t="s">
        <v>23</v>
      </c>
      <c r="N2728" s="6">
        <v>45542.0</v>
      </c>
      <c r="Q2728" s="2" t="s">
        <v>5283</v>
      </c>
    </row>
    <row r="2729">
      <c r="A2729" s="2">
        <v>2728.0</v>
      </c>
      <c r="B2729" s="2" t="s">
        <v>5284</v>
      </c>
      <c r="C2729" s="2" t="s">
        <v>23</v>
      </c>
      <c r="N2729" s="6">
        <v>44683.0</v>
      </c>
      <c r="Q2729" s="2" t="s">
        <v>86</v>
      </c>
    </row>
    <row r="2730">
      <c r="A2730" s="2">
        <v>2729.0</v>
      </c>
      <c r="B2730" s="2" t="s">
        <v>5285</v>
      </c>
      <c r="C2730" s="2" t="s">
        <v>23</v>
      </c>
      <c r="N2730" s="6">
        <v>42439.0</v>
      </c>
      <c r="O2730" s="2" t="s">
        <v>49</v>
      </c>
      <c r="P2730" s="2" t="s">
        <v>36</v>
      </c>
      <c r="Q2730" s="2" t="s">
        <v>5286</v>
      </c>
      <c r="S2730" s="2" t="s">
        <v>3958</v>
      </c>
    </row>
    <row r="2731">
      <c r="A2731" s="2">
        <v>2730.0</v>
      </c>
      <c r="B2731" s="2" t="s">
        <v>5287</v>
      </c>
      <c r="C2731" s="2" t="s">
        <v>23</v>
      </c>
      <c r="K2731" s="2">
        <v>200.0</v>
      </c>
      <c r="N2731" s="6">
        <v>44245.0</v>
      </c>
      <c r="Q2731" s="2" t="s">
        <v>5288</v>
      </c>
    </row>
    <row r="2732">
      <c r="A2732" s="2">
        <v>2731.0</v>
      </c>
      <c r="B2732" s="2" t="s">
        <v>5289</v>
      </c>
      <c r="C2732" s="2" t="s">
        <v>23</v>
      </c>
      <c r="K2732" s="2">
        <v>200.0</v>
      </c>
      <c r="N2732" s="6">
        <v>44036.0</v>
      </c>
      <c r="Q2732" s="2" t="s">
        <v>5290</v>
      </c>
    </row>
    <row r="2733">
      <c r="A2733" s="2">
        <v>2732.0</v>
      </c>
      <c r="B2733" s="2" t="s">
        <v>5291</v>
      </c>
      <c r="C2733" s="2" t="s">
        <v>23</v>
      </c>
      <c r="K2733" s="2">
        <v>20.0</v>
      </c>
      <c r="N2733" s="6">
        <v>45055.0</v>
      </c>
      <c r="Q2733" s="2" t="s">
        <v>3012</v>
      </c>
    </row>
    <row r="2734">
      <c r="A2734" s="2">
        <v>2733.0</v>
      </c>
      <c r="B2734" s="2" t="s">
        <v>5292</v>
      </c>
      <c r="C2734" s="2" t="s">
        <v>23</v>
      </c>
      <c r="N2734" s="6">
        <v>45536.0</v>
      </c>
      <c r="Q2734" s="2" t="s">
        <v>3225</v>
      </c>
    </row>
    <row r="2735">
      <c r="A2735" s="2">
        <v>2734.0</v>
      </c>
      <c r="B2735" s="2" t="s">
        <v>5293</v>
      </c>
      <c r="C2735" s="2" t="s">
        <v>23</v>
      </c>
      <c r="K2735" s="2">
        <v>50.0</v>
      </c>
      <c r="N2735" s="6">
        <v>44418.0</v>
      </c>
      <c r="Q2735" s="2" t="s">
        <v>5165</v>
      </c>
    </row>
    <row r="2736">
      <c r="A2736" s="2">
        <v>2735.0</v>
      </c>
      <c r="B2736" s="2" t="s">
        <v>5294</v>
      </c>
      <c r="C2736" s="2" t="s">
        <v>23</v>
      </c>
      <c r="K2736" s="2">
        <v>40.0</v>
      </c>
      <c r="N2736" s="6">
        <v>44470.0</v>
      </c>
      <c r="Q2736" s="2" t="s">
        <v>86</v>
      </c>
    </row>
    <row r="2737">
      <c r="A2737" s="2">
        <v>2736.0</v>
      </c>
      <c r="B2737" s="2" t="s">
        <v>5295</v>
      </c>
      <c r="C2737" s="2" t="s">
        <v>23</v>
      </c>
      <c r="K2737" s="2">
        <v>40.0</v>
      </c>
      <c r="N2737" s="6">
        <v>44484.0</v>
      </c>
      <c r="Q2737" s="2" t="s">
        <v>86</v>
      </c>
    </row>
    <row r="2738">
      <c r="A2738" s="2">
        <v>2737.0</v>
      </c>
      <c r="B2738" s="2" t="s">
        <v>5296</v>
      </c>
      <c r="C2738" s="2" t="s">
        <v>23</v>
      </c>
      <c r="K2738" s="2">
        <v>10.0</v>
      </c>
      <c r="N2738" s="6">
        <v>44511.0</v>
      </c>
      <c r="Q2738" s="2" t="s">
        <v>2318</v>
      </c>
    </row>
    <row r="2739">
      <c r="A2739" s="2">
        <v>2738.0</v>
      </c>
      <c r="B2739" s="2" t="s">
        <v>5297</v>
      </c>
      <c r="C2739" s="2" t="s">
        <v>23</v>
      </c>
      <c r="N2739" s="6">
        <v>43878.0</v>
      </c>
      <c r="Q2739" s="2" t="s">
        <v>86</v>
      </c>
    </row>
    <row r="2740">
      <c r="A2740" s="2">
        <v>2739.0</v>
      </c>
      <c r="B2740" s="2" t="s">
        <v>5298</v>
      </c>
      <c r="C2740" s="2" t="s">
        <v>23</v>
      </c>
      <c r="K2740" s="2">
        <v>10.0</v>
      </c>
      <c r="N2740" s="6">
        <v>45430.0</v>
      </c>
      <c r="Q2740" s="2" t="s">
        <v>5299</v>
      </c>
    </row>
    <row r="2741">
      <c r="A2741" s="2">
        <v>2740.0</v>
      </c>
      <c r="B2741" s="2" t="s">
        <v>5300</v>
      </c>
      <c r="C2741" s="2" t="s">
        <v>23</v>
      </c>
      <c r="K2741" s="2">
        <v>300.0</v>
      </c>
      <c r="N2741" s="6">
        <v>42936.0</v>
      </c>
      <c r="Q2741" s="2" t="s">
        <v>5301</v>
      </c>
    </row>
    <row r="2742">
      <c r="A2742" s="2">
        <v>2741.0</v>
      </c>
      <c r="B2742" s="2" t="s">
        <v>5302</v>
      </c>
      <c r="C2742" s="2" t="s">
        <v>23</v>
      </c>
      <c r="K2742" s="2">
        <v>10.0</v>
      </c>
      <c r="N2742" s="6">
        <v>44620.0</v>
      </c>
      <c r="Q2742" s="2" t="s">
        <v>1116</v>
      </c>
    </row>
    <row r="2743">
      <c r="A2743" s="2">
        <v>2742.0</v>
      </c>
      <c r="B2743" s="2" t="s">
        <v>5303</v>
      </c>
      <c r="C2743" s="2" t="s">
        <v>23</v>
      </c>
      <c r="N2743" s="6">
        <v>44583.0</v>
      </c>
      <c r="Q2743" s="2" t="s">
        <v>86</v>
      </c>
    </row>
    <row r="2744">
      <c r="A2744" s="2">
        <v>2743.0</v>
      </c>
      <c r="B2744" s="2" t="s">
        <v>5304</v>
      </c>
      <c r="C2744" s="2" t="s">
        <v>23</v>
      </c>
      <c r="K2744" s="2">
        <v>200.0</v>
      </c>
      <c r="N2744" s="6">
        <v>42688.0</v>
      </c>
      <c r="O2744" s="2" t="s">
        <v>560</v>
      </c>
      <c r="P2744" s="2" t="s">
        <v>36</v>
      </c>
      <c r="Q2744" s="2" t="s">
        <v>5305</v>
      </c>
      <c r="S2744" s="2" t="s">
        <v>159</v>
      </c>
    </row>
    <row r="2745">
      <c r="A2745" s="2">
        <v>2744.0</v>
      </c>
      <c r="B2745" s="2" t="s">
        <v>5306</v>
      </c>
      <c r="C2745" s="2" t="s">
        <v>23</v>
      </c>
      <c r="K2745" s="2">
        <v>60.0</v>
      </c>
      <c r="N2745" s="6">
        <v>45754.0</v>
      </c>
      <c r="Q2745" s="2" t="s">
        <v>5307</v>
      </c>
    </row>
    <row r="2746">
      <c r="A2746" s="2">
        <v>2745.0</v>
      </c>
      <c r="B2746" s="2" t="s">
        <v>5308</v>
      </c>
      <c r="C2746" s="2" t="s">
        <v>23</v>
      </c>
      <c r="K2746" s="2">
        <v>30.0</v>
      </c>
      <c r="N2746" s="6">
        <v>44191.0</v>
      </c>
      <c r="Q2746" s="2" t="s">
        <v>2827</v>
      </c>
    </row>
    <row r="2747">
      <c r="A2747" s="2">
        <v>2746.0</v>
      </c>
      <c r="B2747" s="2" t="s">
        <v>5309</v>
      </c>
      <c r="C2747" s="2" t="s">
        <v>23</v>
      </c>
      <c r="K2747" s="2">
        <v>50.0</v>
      </c>
      <c r="N2747" s="6">
        <v>45648.0</v>
      </c>
      <c r="Q2747" s="2" t="s">
        <v>5310</v>
      </c>
    </row>
    <row r="2748">
      <c r="A2748" s="2">
        <v>2747.0</v>
      </c>
      <c r="B2748" s="2" t="s">
        <v>5311</v>
      </c>
      <c r="C2748" s="2" t="s">
        <v>23</v>
      </c>
      <c r="K2748" s="2">
        <v>70.0</v>
      </c>
      <c r="N2748" s="6">
        <v>44755.0</v>
      </c>
      <c r="Q2748" s="2" t="s">
        <v>5312</v>
      </c>
    </row>
    <row r="2749">
      <c r="A2749" s="2">
        <v>2748.0</v>
      </c>
      <c r="B2749" s="2" t="s">
        <v>5313</v>
      </c>
      <c r="C2749" s="2" t="s">
        <v>23</v>
      </c>
      <c r="K2749" s="2">
        <v>40.0</v>
      </c>
      <c r="N2749" s="6">
        <v>45615.0</v>
      </c>
      <c r="Q2749" s="2" t="s">
        <v>5314</v>
      </c>
    </row>
    <row r="2750">
      <c r="A2750" s="2">
        <v>2749.0</v>
      </c>
      <c r="B2750" s="2" t="s">
        <v>5315</v>
      </c>
      <c r="C2750" s="2" t="s">
        <v>23</v>
      </c>
      <c r="K2750" s="2">
        <v>20.0</v>
      </c>
      <c r="N2750" s="6">
        <v>43844.0</v>
      </c>
      <c r="Q2750" s="2" t="s">
        <v>5316</v>
      </c>
    </row>
    <row r="2751">
      <c r="A2751" s="2">
        <v>2750.0</v>
      </c>
      <c r="B2751" s="2" t="s">
        <v>5317</v>
      </c>
      <c r="C2751" s="2" t="s">
        <v>23</v>
      </c>
      <c r="K2751" s="2">
        <v>40.0</v>
      </c>
      <c r="N2751" s="6">
        <v>45636.0</v>
      </c>
      <c r="Q2751" s="2" t="s">
        <v>5318</v>
      </c>
    </row>
    <row r="2752">
      <c r="A2752" s="2">
        <v>2751.0</v>
      </c>
      <c r="B2752" s="2" t="s">
        <v>5319</v>
      </c>
      <c r="C2752" s="2" t="s">
        <v>23</v>
      </c>
      <c r="K2752" s="2">
        <v>30.0</v>
      </c>
      <c r="N2752" s="6">
        <v>44551.0</v>
      </c>
      <c r="Q2752" s="2" t="s">
        <v>4589</v>
      </c>
    </row>
    <row r="2753">
      <c r="A2753" s="2">
        <v>2752.0</v>
      </c>
      <c r="B2753" s="2" t="s">
        <v>5320</v>
      </c>
      <c r="C2753" s="2" t="s">
        <v>23</v>
      </c>
      <c r="N2753" s="6">
        <v>43924.0</v>
      </c>
      <c r="Q2753" s="2" t="s">
        <v>86</v>
      </c>
    </row>
    <row r="2754">
      <c r="A2754" s="2">
        <v>2753.0</v>
      </c>
      <c r="B2754" s="2" t="s">
        <v>5321</v>
      </c>
      <c r="C2754" s="2" t="s">
        <v>23</v>
      </c>
      <c r="K2754" s="2">
        <v>20.0</v>
      </c>
      <c r="N2754" s="6">
        <v>44525.0</v>
      </c>
      <c r="Q2754" s="2" t="s">
        <v>86</v>
      </c>
    </row>
    <row r="2755">
      <c r="A2755" s="2">
        <v>2754.0</v>
      </c>
      <c r="B2755" s="2" t="s">
        <v>5322</v>
      </c>
      <c r="C2755" s="2" t="s">
        <v>23</v>
      </c>
      <c r="N2755" s="6">
        <v>45078.0</v>
      </c>
      <c r="Q2755" s="2" t="s">
        <v>5323</v>
      </c>
    </row>
    <row r="2756">
      <c r="A2756" s="2">
        <v>2755.0</v>
      </c>
      <c r="B2756" s="2" t="s">
        <v>5324</v>
      </c>
      <c r="C2756" s="2" t="s">
        <v>23</v>
      </c>
      <c r="K2756" s="2">
        <v>10.0</v>
      </c>
      <c r="N2756" s="6">
        <v>44218.0</v>
      </c>
      <c r="Q2756" s="2" t="s">
        <v>86</v>
      </c>
    </row>
    <row r="2757">
      <c r="A2757" s="2">
        <v>2756.0</v>
      </c>
      <c r="B2757" s="2" t="s">
        <v>5325</v>
      </c>
      <c r="C2757" s="2" t="s">
        <v>23</v>
      </c>
      <c r="K2757" s="2">
        <v>100.0</v>
      </c>
      <c r="N2757" s="6">
        <v>44313.0</v>
      </c>
      <c r="Q2757" s="2" t="s">
        <v>5326</v>
      </c>
    </row>
    <row r="2758">
      <c r="A2758" s="2">
        <v>2757.0</v>
      </c>
      <c r="B2758" s="2" t="s">
        <v>5327</v>
      </c>
      <c r="C2758" s="2" t="s">
        <v>23</v>
      </c>
      <c r="K2758" s="2">
        <v>150.0</v>
      </c>
      <c r="N2758" s="6">
        <v>45632.0</v>
      </c>
      <c r="Q2758" s="2" t="s">
        <v>5328</v>
      </c>
    </row>
    <row r="2759">
      <c r="A2759" s="2">
        <v>2758.0</v>
      </c>
      <c r="B2759" s="2" t="s">
        <v>5329</v>
      </c>
      <c r="C2759" s="2" t="s">
        <v>23</v>
      </c>
      <c r="K2759" s="2">
        <v>20.0</v>
      </c>
      <c r="N2759" s="6">
        <v>44543.0</v>
      </c>
      <c r="Q2759" s="2" t="s">
        <v>5330</v>
      </c>
    </row>
    <row r="2760">
      <c r="A2760" s="2">
        <v>2759.0</v>
      </c>
      <c r="B2760" s="2" t="s">
        <v>5331</v>
      </c>
      <c r="C2760" s="2" t="s">
        <v>23</v>
      </c>
      <c r="N2760" s="6">
        <v>44067.0</v>
      </c>
      <c r="Q2760" s="2" t="s">
        <v>86</v>
      </c>
    </row>
    <row r="2761">
      <c r="A2761" s="2">
        <v>2760.0</v>
      </c>
      <c r="B2761" s="2" t="s">
        <v>5332</v>
      </c>
      <c r="C2761" s="2" t="s">
        <v>23</v>
      </c>
      <c r="K2761" s="2">
        <v>60.0</v>
      </c>
      <c r="N2761" s="6">
        <v>44037.0</v>
      </c>
      <c r="Q2761" s="2" t="s">
        <v>5333</v>
      </c>
    </row>
    <row r="2762">
      <c r="A2762" s="2">
        <v>2761.0</v>
      </c>
      <c r="B2762" s="2" t="s">
        <v>5334</v>
      </c>
      <c r="C2762" s="2" t="s">
        <v>23</v>
      </c>
      <c r="N2762" s="6">
        <v>43933.0</v>
      </c>
      <c r="Q2762" s="2" t="s">
        <v>86</v>
      </c>
    </row>
    <row r="2763">
      <c r="A2763" s="2">
        <v>2762.0</v>
      </c>
      <c r="B2763" s="2" t="s">
        <v>5335</v>
      </c>
      <c r="C2763" s="2" t="s">
        <v>23</v>
      </c>
      <c r="K2763" s="2">
        <v>200.0</v>
      </c>
      <c r="N2763" s="6">
        <v>44254.0</v>
      </c>
      <c r="Q2763" s="2" t="s">
        <v>5336</v>
      </c>
    </row>
    <row r="2764">
      <c r="A2764" s="2">
        <v>2763.0</v>
      </c>
      <c r="B2764" s="2" t="s">
        <v>5337</v>
      </c>
      <c r="C2764" s="2" t="s">
        <v>23</v>
      </c>
      <c r="N2764" s="6">
        <v>44673.0</v>
      </c>
      <c r="Q2764" s="2" t="s">
        <v>86</v>
      </c>
    </row>
    <row r="2765">
      <c r="A2765" s="2">
        <v>2764.0</v>
      </c>
      <c r="B2765" s="2" t="s">
        <v>5338</v>
      </c>
      <c r="C2765" s="2" t="s">
        <v>23</v>
      </c>
      <c r="K2765" s="2">
        <v>80.0</v>
      </c>
      <c r="N2765" s="6">
        <v>43847.0</v>
      </c>
      <c r="Q2765" s="2" t="s">
        <v>1466</v>
      </c>
    </row>
    <row r="2766">
      <c r="A2766" s="2">
        <v>2765.0</v>
      </c>
      <c r="B2766" s="2" t="s">
        <v>5339</v>
      </c>
      <c r="C2766" s="2" t="s">
        <v>23</v>
      </c>
      <c r="K2766" s="2">
        <v>70.0</v>
      </c>
      <c r="N2766" s="6">
        <v>44280.0</v>
      </c>
      <c r="Q2766" s="2" t="s">
        <v>200</v>
      </c>
    </row>
    <row r="2767">
      <c r="A2767" s="2">
        <v>2766.0</v>
      </c>
      <c r="B2767" s="2" t="s">
        <v>5340</v>
      </c>
      <c r="C2767" s="2" t="s">
        <v>23</v>
      </c>
      <c r="K2767" s="2">
        <v>40.0</v>
      </c>
      <c r="N2767" s="6">
        <v>44374.0</v>
      </c>
      <c r="Q2767" s="2" t="s">
        <v>5341</v>
      </c>
    </row>
    <row r="2768">
      <c r="A2768" s="2">
        <v>2767.0</v>
      </c>
      <c r="B2768" s="2" t="s">
        <v>5342</v>
      </c>
      <c r="C2768" s="2" t="s">
        <v>23</v>
      </c>
      <c r="N2768" s="6">
        <v>44401.0</v>
      </c>
      <c r="Q2768" s="2" t="s">
        <v>401</v>
      </c>
    </row>
    <row r="2769">
      <c r="A2769" s="2">
        <v>2768.0</v>
      </c>
      <c r="B2769" s="2" t="s">
        <v>5343</v>
      </c>
      <c r="C2769" s="2" t="s">
        <v>23</v>
      </c>
      <c r="K2769" s="2">
        <v>20.0</v>
      </c>
      <c r="N2769" s="6">
        <v>44231.0</v>
      </c>
      <c r="Q2769" s="2" t="s">
        <v>401</v>
      </c>
    </row>
    <row r="2770">
      <c r="A2770" s="2">
        <v>2769.0</v>
      </c>
      <c r="B2770" s="2" t="s">
        <v>5344</v>
      </c>
      <c r="C2770" s="2" t="s">
        <v>23</v>
      </c>
      <c r="K2770" s="2">
        <v>30.0</v>
      </c>
      <c r="N2770" s="6">
        <v>44757.0</v>
      </c>
      <c r="Q2770" s="2" t="s">
        <v>5345</v>
      </c>
    </row>
    <row r="2771">
      <c r="A2771" s="2">
        <v>2770.0</v>
      </c>
      <c r="B2771" s="2" t="s">
        <v>5346</v>
      </c>
      <c r="C2771" s="2" t="s">
        <v>23</v>
      </c>
      <c r="K2771" s="2">
        <v>30.0</v>
      </c>
      <c r="N2771" s="6">
        <v>44357.0</v>
      </c>
      <c r="Q2771" s="2" t="s">
        <v>3208</v>
      </c>
    </row>
    <row r="2772">
      <c r="A2772" s="2">
        <v>2771.0</v>
      </c>
      <c r="B2772" s="2" t="s">
        <v>5347</v>
      </c>
      <c r="C2772" s="2" t="s">
        <v>23</v>
      </c>
      <c r="K2772" s="2">
        <v>40.0</v>
      </c>
      <c r="N2772" s="6">
        <v>45637.0</v>
      </c>
      <c r="Q2772" s="2" t="s">
        <v>5348</v>
      </c>
    </row>
    <row r="2773">
      <c r="A2773" s="2">
        <v>2772.0</v>
      </c>
      <c r="B2773" s="2" t="s">
        <v>5349</v>
      </c>
      <c r="C2773" s="2" t="s">
        <v>23</v>
      </c>
      <c r="K2773" s="2">
        <v>20.0</v>
      </c>
      <c r="N2773" s="6">
        <v>45392.0</v>
      </c>
      <c r="Q2773" s="2" t="s">
        <v>5350</v>
      </c>
    </row>
    <row r="2774">
      <c r="A2774" s="2">
        <v>2773.0</v>
      </c>
      <c r="B2774" s="2" t="s">
        <v>5351</v>
      </c>
      <c r="C2774" s="2" t="s">
        <v>23</v>
      </c>
      <c r="K2774" s="2">
        <v>100.0</v>
      </c>
      <c r="N2774" s="6">
        <v>44645.0</v>
      </c>
      <c r="Q2774" s="2" t="s">
        <v>2001</v>
      </c>
    </row>
    <row r="2775">
      <c r="A2775" s="2">
        <v>2774.0</v>
      </c>
      <c r="B2775" s="2" t="s">
        <v>5352</v>
      </c>
      <c r="C2775" s="2" t="s">
        <v>23</v>
      </c>
      <c r="K2775" s="2">
        <v>40.0</v>
      </c>
      <c r="N2775" s="6">
        <v>43850.0</v>
      </c>
      <c r="Q2775" s="2" t="s">
        <v>5353</v>
      </c>
    </row>
    <row r="2776">
      <c r="A2776" s="2">
        <v>2775.0</v>
      </c>
      <c r="B2776" s="2" t="s">
        <v>5354</v>
      </c>
      <c r="C2776" s="2" t="s">
        <v>23</v>
      </c>
      <c r="N2776" s="6">
        <v>45150.0</v>
      </c>
      <c r="Q2776" s="2" t="s">
        <v>86</v>
      </c>
    </row>
    <row r="2777">
      <c r="A2777" s="2">
        <v>2776.0</v>
      </c>
      <c r="B2777" s="2" t="s">
        <v>5355</v>
      </c>
      <c r="C2777" s="2" t="s">
        <v>23</v>
      </c>
      <c r="K2777" s="2">
        <v>50.0</v>
      </c>
      <c r="N2777" s="6">
        <v>44441.0</v>
      </c>
      <c r="Q2777" s="2" t="s">
        <v>1116</v>
      </c>
    </row>
    <row r="2778">
      <c r="A2778" s="2">
        <v>2777.0</v>
      </c>
      <c r="B2778" s="2" t="s">
        <v>5356</v>
      </c>
      <c r="C2778" s="2" t="s">
        <v>23</v>
      </c>
      <c r="N2778" s="6">
        <v>42290.0</v>
      </c>
      <c r="Q2778" s="2" t="s">
        <v>86</v>
      </c>
    </row>
    <row r="2779">
      <c r="A2779" s="2">
        <v>2778.0</v>
      </c>
      <c r="B2779" s="2" t="s">
        <v>5357</v>
      </c>
      <c r="C2779" s="2" t="s">
        <v>23</v>
      </c>
      <c r="K2779" s="2">
        <v>60.0</v>
      </c>
      <c r="N2779" s="6">
        <v>44196.0</v>
      </c>
      <c r="Q2779" s="2" t="s">
        <v>5358</v>
      </c>
    </row>
    <row r="2780">
      <c r="A2780" s="2">
        <v>2779.0</v>
      </c>
      <c r="B2780" s="2" t="s">
        <v>5359</v>
      </c>
      <c r="C2780" s="2" t="s">
        <v>23</v>
      </c>
      <c r="N2780" s="6">
        <v>43914.0</v>
      </c>
      <c r="Q2780" s="2" t="s">
        <v>3129</v>
      </c>
    </row>
    <row r="2781">
      <c r="A2781" s="2">
        <v>2780.0</v>
      </c>
      <c r="B2781" s="2" t="s">
        <v>5360</v>
      </c>
      <c r="C2781" s="2" t="s">
        <v>23</v>
      </c>
      <c r="N2781" s="6">
        <v>44755.0</v>
      </c>
      <c r="Q2781" s="2" t="s">
        <v>86</v>
      </c>
    </row>
    <row r="2782">
      <c r="A2782" s="2">
        <v>2781.0</v>
      </c>
      <c r="B2782" s="2" t="s">
        <v>5361</v>
      </c>
      <c r="C2782" s="2" t="s">
        <v>23</v>
      </c>
      <c r="K2782" s="2">
        <v>200.0</v>
      </c>
      <c r="N2782" s="6">
        <v>44310.0</v>
      </c>
      <c r="Q2782" s="2" t="s">
        <v>5362</v>
      </c>
    </row>
    <row r="2783">
      <c r="A2783" s="2">
        <v>2782.0</v>
      </c>
      <c r="B2783" s="2" t="s">
        <v>5363</v>
      </c>
      <c r="C2783" s="2" t="s">
        <v>23</v>
      </c>
      <c r="K2783" s="2">
        <v>10.0</v>
      </c>
      <c r="N2783" s="6">
        <v>44202.0</v>
      </c>
      <c r="Q2783" s="2" t="s">
        <v>94</v>
      </c>
    </row>
    <row r="2784">
      <c r="A2784" s="2">
        <v>2783.0</v>
      </c>
      <c r="B2784" s="2" t="s">
        <v>5364</v>
      </c>
      <c r="C2784" s="2" t="s">
        <v>23</v>
      </c>
      <c r="N2784" s="6">
        <v>42494.0</v>
      </c>
      <c r="O2784" s="2" t="s">
        <v>35</v>
      </c>
      <c r="P2784" s="2" t="s">
        <v>36</v>
      </c>
      <c r="Q2784" s="2" t="s">
        <v>86</v>
      </c>
      <c r="S2784" s="2" t="s">
        <v>131</v>
      </c>
    </row>
    <row r="2785">
      <c r="A2785" s="2">
        <v>2784.0</v>
      </c>
      <c r="B2785" s="2" t="s">
        <v>5365</v>
      </c>
      <c r="C2785" s="2" t="s">
        <v>23</v>
      </c>
      <c r="K2785" s="2">
        <v>20.0</v>
      </c>
      <c r="N2785" s="6">
        <v>45675.0</v>
      </c>
      <c r="Q2785" s="2" t="s">
        <v>2738</v>
      </c>
    </row>
    <row r="2786">
      <c r="A2786" s="2">
        <v>2785.0</v>
      </c>
      <c r="B2786" s="2" t="s">
        <v>5366</v>
      </c>
      <c r="C2786" s="2" t="s">
        <v>23</v>
      </c>
      <c r="N2786" s="6">
        <v>45067.0</v>
      </c>
      <c r="Q2786" s="2" t="s">
        <v>5367</v>
      </c>
    </row>
    <row r="2787">
      <c r="A2787" s="2">
        <v>2786.0</v>
      </c>
      <c r="B2787" s="2" t="s">
        <v>5368</v>
      </c>
      <c r="C2787" s="2" t="s">
        <v>23</v>
      </c>
      <c r="N2787" s="6">
        <v>45548.0</v>
      </c>
      <c r="Q2787" s="2" t="s">
        <v>5369</v>
      </c>
    </row>
    <row r="2788">
      <c r="A2788" s="2">
        <v>2787.0</v>
      </c>
      <c r="B2788" s="2" t="s">
        <v>5370</v>
      </c>
      <c r="C2788" s="2" t="s">
        <v>23</v>
      </c>
      <c r="K2788" s="2">
        <v>250.0</v>
      </c>
      <c r="N2788" s="6">
        <v>44862.0</v>
      </c>
      <c r="Q2788" s="2" t="s">
        <v>5371</v>
      </c>
    </row>
    <row r="2789">
      <c r="A2789" s="2">
        <v>2788.0</v>
      </c>
      <c r="B2789" s="2" t="s">
        <v>5372</v>
      </c>
      <c r="C2789" s="2" t="s">
        <v>23</v>
      </c>
      <c r="N2789" s="6">
        <v>43588.0</v>
      </c>
      <c r="Q2789" s="2" t="s">
        <v>5122</v>
      </c>
    </row>
    <row r="2790">
      <c r="A2790" s="2">
        <v>2789.0</v>
      </c>
      <c r="B2790" s="2" t="s">
        <v>5373</v>
      </c>
      <c r="C2790" s="2" t="s">
        <v>23</v>
      </c>
      <c r="K2790" s="2">
        <v>50.0</v>
      </c>
      <c r="N2790" s="6">
        <v>43926.0</v>
      </c>
      <c r="Q2790" s="2" t="s">
        <v>5374</v>
      </c>
    </row>
    <row r="2791">
      <c r="A2791" s="2">
        <v>2790.0</v>
      </c>
      <c r="B2791" s="2" t="s">
        <v>5375</v>
      </c>
      <c r="C2791" s="2" t="s">
        <v>23</v>
      </c>
      <c r="K2791" s="2">
        <v>10.0</v>
      </c>
      <c r="N2791" s="6">
        <v>44483.0</v>
      </c>
      <c r="Q2791" s="2" t="s">
        <v>86</v>
      </c>
    </row>
    <row r="2792">
      <c r="A2792" s="2">
        <v>2791.0</v>
      </c>
      <c r="B2792" s="2" t="s">
        <v>5376</v>
      </c>
      <c r="C2792" s="2" t="s">
        <v>23</v>
      </c>
      <c r="N2792" s="6">
        <v>44592.0</v>
      </c>
      <c r="Q2792" s="2" t="s">
        <v>86</v>
      </c>
    </row>
    <row r="2793">
      <c r="A2793" s="2">
        <v>2792.0</v>
      </c>
      <c r="B2793" s="2" t="s">
        <v>5377</v>
      </c>
      <c r="C2793" s="2" t="s">
        <v>23</v>
      </c>
      <c r="K2793" s="2">
        <v>10.0</v>
      </c>
      <c r="N2793" s="6">
        <v>44147.0</v>
      </c>
      <c r="Q2793" s="2" t="s">
        <v>86</v>
      </c>
    </row>
    <row r="2794">
      <c r="A2794" s="2">
        <v>2793.0</v>
      </c>
      <c r="B2794" s="2" t="s">
        <v>5378</v>
      </c>
      <c r="C2794" s="2" t="s">
        <v>23</v>
      </c>
      <c r="K2794" s="2">
        <v>40.0</v>
      </c>
      <c r="N2794" s="6">
        <v>44881.0</v>
      </c>
      <c r="Q2794" s="2" t="s">
        <v>5379</v>
      </c>
    </row>
    <row r="2795">
      <c r="A2795" s="2">
        <v>2794.0</v>
      </c>
      <c r="B2795" s="2" t="s">
        <v>5380</v>
      </c>
      <c r="C2795" s="2" t="s">
        <v>23</v>
      </c>
      <c r="K2795" s="2">
        <v>80.0</v>
      </c>
      <c r="N2795" s="6">
        <v>44442.0</v>
      </c>
      <c r="Q2795" s="2" t="s">
        <v>5381</v>
      </c>
    </row>
    <row r="2796">
      <c r="A2796" s="2">
        <v>2795.0</v>
      </c>
      <c r="B2796" s="2" t="s">
        <v>5382</v>
      </c>
      <c r="C2796" s="2" t="s">
        <v>23</v>
      </c>
      <c r="N2796" s="6">
        <v>44102.0</v>
      </c>
      <c r="Q2796" s="2" t="s">
        <v>86</v>
      </c>
    </row>
    <row r="2797">
      <c r="A2797" s="2">
        <v>2796.0</v>
      </c>
      <c r="B2797" s="2" t="s">
        <v>5383</v>
      </c>
      <c r="C2797" s="2" t="s">
        <v>23</v>
      </c>
      <c r="K2797" s="2">
        <v>450.0</v>
      </c>
      <c r="N2797" s="6">
        <v>43925.0</v>
      </c>
      <c r="Q2797" s="2" t="s">
        <v>5384</v>
      </c>
    </row>
    <row r="2798">
      <c r="A2798" s="2">
        <v>2797.0</v>
      </c>
      <c r="B2798" s="2" t="s">
        <v>5385</v>
      </c>
      <c r="C2798" s="2" t="s">
        <v>23</v>
      </c>
      <c r="N2798" s="6">
        <v>44024.0</v>
      </c>
      <c r="Q2798" s="2" t="s">
        <v>86</v>
      </c>
    </row>
    <row r="2799">
      <c r="A2799" s="2">
        <v>2798.0</v>
      </c>
      <c r="B2799" s="2" t="s">
        <v>5386</v>
      </c>
      <c r="C2799" s="2" t="s">
        <v>23</v>
      </c>
      <c r="K2799" s="2">
        <v>30.0</v>
      </c>
      <c r="N2799" s="6">
        <v>45616.0</v>
      </c>
      <c r="Q2799" s="2" t="s">
        <v>5387</v>
      </c>
    </row>
    <row r="2800">
      <c r="A2800" s="2">
        <v>2799.0</v>
      </c>
      <c r="B2800" s="2" t="s">
        <v>5388</v>
      </c>
      <c r="C2800" s="2" t="s">
        <v>23</v>
      </c>
      <c r="K2800" s="2">
        <v>40.0</v>
      </c>
      <c r="N2800" s="6">
        <v>44679.0</v>
      </c>
      <c r="Q2800" s="2" t="s">
        <v>1466</v>
      </c>
    </row>
    <row r="2801">
      <c r="A2801" s="2">
        <v>2800.0</v>
      </c>
      <c r="B2801" s="2" t="s">
        <v>5389</v>
      </c>
      <c r="C2801" s="2" t="s">
        <v>23</v>
      </c>
      <c r="N2801" s="6">
        <v>44640.0</v>
      </c>
      <c r="Q2801" s="2" t="s">
        <v>86</v>
      </c>
    </row>
    <row r="2802">
      <c r="A2802" s="2">
        <v>2801.0</v>
      </c>
      <c r="B2802" s="2" t="s">
        <v>5390</v>
      </c>
      <c r="C2802" s="2" t="s">
        <v>23</v>
      </c>
      <c r="K2802" s="2">
        <v>100.0</v>
      </c>
      <c r="N2802" s="6">
        <v>43888.0</v>
      </c>
      <c r="Q2802" s="2" t="s">
        <v>5391</v>
      </c>
    </row>
    <row r="2803">
      <c r="A2803" s="2">
        <v>2802.0</v>
      </c>
      <c r="B2803" s="2" t="s">
        <v>5392</v>
      </c>
      <c r="C2803" s="2" t="s">
        <v>23</v>
      </c>
      <c r="K2803" s="2">
        <v>50.0</v>
      </c>
      <c r="N2803" s="6">
        <v>44349.0</v>
      </c>
      <c r="Q2803" s="2" t="s">
        <v>5393</v>
      </c>
    </row>
    <row r="2804">
      <c r="A2804" s="2">
        <v>2803.0</v>
      </c>
      <c r="B2804" s="2" t="s">
        <v>5394</v>
      </c>
      <c r="C2804" s="2" t="s">
        <v>23</v>
      </c>
      <c r="K2804" s="2">
        <v>100.0</v>
      </c>
      <c r="N2804" s="6">
        <v>45373.0</v>
      </c>
      <c r="Q2804" s="2" t="s">
        <v>5395</v>
      </c>
    </row>
    <row r="2805">
      <c r="A2805" s="2">
        <v>2804.0</v>
      </c>
      <c r="B2805" s="2" t="s">
        <v>5396</v>
      </c>
      <c r="C2805" s="2" t="s">
        <v>23</v>
      </c>
      <c r="K2805" s="2">
        <v>60.0</v>
      </c>
      <c r="N2805" s="6">
        <v>44993.0</v>
      </c>
      <c r="Q2805" s="2" t="s">
        <v>200</v>
      </c>
    </row>
    <row r="2806">
      <c r="A2806" s="2">
        <v>2805.0</v>
      </c>
      <c r="B2806" s="2" t="s">
        <v>5397</v>
      </c>
      <c r="C2806" s="2" t="s">
        <v>23</v>
      </c>
      <c r="K2806" s="2">
        <v>10.0</v>
      </c>
      <c r="N2806" s="6">
        <v>44954.0</v>
      </c>
      <c r="Q2806" s="2" t="s">
        <v>86</v>
      </c>
    </row>
    <row r="2807">
      <c r="A2807" s="2">
        <v>2806.0</v>
      </c>
      <c r="B2807" s="2" t="s">
        <v>5398</v>
      </c>
      <c r="C2807" s="2" t="s">
        <v>23</v>
      </c>
      <c r="K2807" s="2">
        <v>30.0</v>
      </c>
      <c r="N2807" s="6">
        <v>45825.0</v>
      </c>
      <c r="Q2807" s="2" t="s">
        <v>5399</v>
      </c>
    </row>
    <row r="2808">
      <c r="A2808" s="2">
        <v>2807.0</v>
      </c>
      <c r="B2808" s="2" t="s">
        <v>5400</v>
      </c>
      <c r="C2808" s="2" t="s">
        <v>23</v>
      </c>
      <c r="K2808" s="2">
        <v>30.0</v>
      </c>
      <c r="N2808" s="6">
        <v>43939.0</v>
      </c>
      <c r="Q2808" s="2" t="s">
        <v>5401</v>
      </c>
    </row>
    <row r="2809">
      <c r="A2809" s="2">
        <v>2808.0</v>
      </c>
      <c r="B2809" s="2" t="s">
        <v>5402</v>
      </c>
      <c r="C2809" s="2" t="s">
        <v>23</v>
      </c>
      <c r="K2809" s="2">
        <v>40.0</v>
      </c>
      <c r="N2809" s="6">
        <v>44434.0</v>
      </c>
      <c r="Q2809" s="2" t="s">
        <v>2448</v>
      </c>
    </row>
    <row r="2810">
      <c r="A2810" s="2">
        <v>2809.0</v>
      </c>
      <c r="B2810" s="2" t="s">
        <v>5403</v>
      </c>
      <c r="C2810" s="2" t="s">
        <v>23</v>
      </c>
      <c r="K2810" s="2">
        <v>20.0</v>
      </c>
      <c r="N2810" s="6">
        <v>44256.0</v>
      </c>
      <c r="Q2810" s="2" t="s">
        <v>5404</v>
      </c>
    </row>
    <row r="2811">
      <c r="A2811" s="2">
        <v>2810.0</v>
      </c>
      <c r="B2811" s="2" t="s">
        <v>5405</v>
      </c>
      <c r="C2811" s="2" t="s">
        <v>23</v>
      </c>
      <c r="K2811" s="2">
        <v>40.0</v>
      </c>
      <c r="N2811" s="6">
        <v>44882.0</v>
      </c>
      <c r="Q2811" s="2" t="s">
        <v>5406</v>
      </c>
    </row>
    <row r="2812">
      <c r="A2812" s="2">
        <v>2811.0</v>
      </c>
      <c r="B2812" s="2" t="s">
        <v>5407</v>
      </c>
      <c r="C2812" s="2" t="s">
        <v>23</v>
      </c>
      <c r="N2812" s="6">
        <v>45644.0</v>
      </c>
      <c r="Q2812" s="2" t="s">
        <v>3724</v>
      </c>
    </row>
    <row r="2813">
      <c r="A2813" s="2">
        <v>2812.0</v>
      </c>
      <c r="B2813" s="2" t="s">
        <v>5408</v>
      </c>
      <c r="C2813" s="2" t="s">
        <v>23</v>
      </c>
      <c r="K2813" s="2">
        <v>10.0</v>
      </c>
      <c r="N2813" s="6">
        <v>45605.0</v>
      </c>
      <c r="Q2813" s="2" t="s">
        <v>4846</v>
      </c>
    </row>
    <row r="2814">
      <c r="A2814" s="2">
        <v>2813.0</v>
      </c>
      <c r="B2814" s="2" t="s">
        <v>5409</v>
      </c>
      <c r="C2814" s="2" t="s">
        <v>23</v>
      </c>
      <c r="N2814" s="6">
        <v>43965.0</v>
      </c>
      <c r="Q2814" s="2" t="s">
        <v>86</v>
      </c>
    </row>
    <row r="2815">
      <c r="A2815" s="2">
        <v>2814.0</v>
      </c>
      <c r="B2815" s="2" t="s">
        <v>5410</v>
      </c>
      <c r="C2815" s="2" t="s">
        <v>23</v>
      </c>
      <c r="K2815" s="2">
        <v>90.0</v>
      </c>
      <c r="N2815" s="6">
        <v>44814.0</v>
      </c>
      <c r="Q2815" s="2" t="s">
        <v>5411</v>
      </c>
    </row>
    <row r="2816">
      <c r="A2816" s="2">
        <v>2815.0</v>
      </c>
      <c r="B2816" s="2" t="s">
        <v>5412</v>
      </c>
      <c r="C2816" s="2" t="s">
        <v>23</v>
      </c>
      <c r="K2816" s="2">
        <v>50.0</v>
      </c>
      <c r="N2816" s="6">
        <v>45109.0</v>
      </c>
      <c r="Q2816" s="2" t="s">
        <v>2583</v>
      </c>
    </row>
    <row r="2817">
      <c r="A2817" s="2">
        <v>2816.0</v>
      </c>
      <c r="B2817" s="2" t="s">
        <v>5413</v>
      </c>
      <c r="C2817" s="2" t="s">
        <v>23</v>
      </c>
      <c r="N2817" s="6">
        <v>43957.0</v>
      </c>
      <c r="Q2817" s="2" t="s">
        <v>86</v>
      </c>
    </row>
    <row r="2818">
      <c r="A2818" s="2">
        <v>2817.0</v>
      </c>
      <c r="B2818" s="2" t="s">
        <v>5414</v>
      </c>
      <c r="C2818" s="2" t="s">
        <v>23</v>
      </c>
      <c r="K2818" s="2">
        <v>30.0</v>
      </c>
      <c r="N2818" s="6">
        <v>45700.0</v>
      </c>
      <c r="Q2818" s="2" t="s">
        <v>5415</v>
      </c>
    </row>
    <row r="2819">
      <c r="A2819" s="2">
        <v>2818.0</v>
      </c>
      <c r="B2819" s="2" t="s">
        <v>5416</v>
      </c>
      <c r="C2819" s="2" t="s">
        <v>23</v>
      </c>
      <c r="N2819" s="6">
        <v>45398.0</v>
      </c>
      <c r="Q2819" s="2" t="s">
        <v>5417</v>
      </c>
    </row>
    <row r="2820">
      <c r="A2820" s="2">
        <v>2819.0</v>
      </c>
      <c r="B2820" s="2" t="s">
        <v>5418</v>
      </c>
      <c r="C2820" s="2" t="s">
        <v>23</v>
      </c>
      <c r="N2820" s="6">
        <v>44417.0</v>
      </c>
      <c r="Q2820" s="2" t="s">
        <v>86</v>
      </c>
    </row>
    <row r="2821">
      <c r="A2821" s="2">
        <v>2820.0</v>
      </c>
      <c r="B2821" s="2" t="s">
        <v>5419</v>
      </c>
      <c r="C2821" s="2" t="s">
        <v>23</v>
      </c>
      <c r="K2821" s="2">
        <v>100.0</v>
      </c>
      <c r="N2821" s="6">
        <v>44041.0</v>
      </c>
      <c r="Q2821" s="2" t="s">
        <v>5420</v>
      </c>
    </row>
    <row r="2822">
      <c r="A2822" s="2">
        <v>2821.0</v>
      </c>
      <c r="B2822" s="2" t="s">
        <v>5421</v>
      </c>
      <c r="C2822" s="2" t="s">
        <v>23</v>
      </c>
      <c r="K2822" s="2">
        <v>50.0</v>
      </c>
      <c r="N2822" s="6">
        <v>45672.0</v>
      </c>
      <c r="Q2822" s="2" t="s">
        <v>5422</v>
      </c>
    </row>
    <row r="2823">
      <c r="A2823" s="2">
        <v>2822.0</v>
      </c>
      <c r="B2823" s="2" t="s">
        <v>5423</v>
      </c>
      <c r="C2823" s="2" t="s">
        <v>23</v>
      </c>
      <c r="K2823" s="2">
        <v>50.0</v>
      </c>
      <c r="N2823" s="6">
        <v>45539.0</v>
      </c>
      <c r="Q2823" s="2" t="s">
        <v>5424</v>
      </c>
    </row>
    <row r="2824">
      <c r="A2824" s="2">
        <v>2823.0</v>
      </c>
      <c r="B2824" s="2" t="s">
        <v>5425</v>
      </c>
      <c r="C2824" s="2" t="s">
        <v>23</v>
      </c>
      <c r="N2824" s="6">
        <v>45079.0</v>
      </c>
      <c r="Q2824" s="2" t="s">
        <v>86</v>
      </c>
    </row>
    <row r="2825">
      <c r="A2825" s="2">
        <v>2824.0</v>
      </c>
      <c r="B2825" s="2" t="s">
        <v>5426</v>
      </c>
      <c r="C2825" s="2" t="s">
        <v>23</v>
      </c>
      <c r="N2825" s="6">
        <v>44947.0</v>
      </c>
      <c r="Q2825" s="2" t="s">
        <v>86</v>
      </c>
    </row>
    <row r="2826">
      <c r="A2826" s="2">
        <v>2825.0</v>
      </c>
      <c r="B2826" s="2" t="s">
        <v>5427</v>
      </c>
      <c r="C2826" s="2" t="s">
        <v>23</v>
      </c>
      <c r="N2826" s="6">
        <v>44715.0</v>
      </c>
      <c r="Q2826" s="2" t="s">
        <v>86</v>
      </c>
    </row>
    <row r="2827">
      <c r="A2827" s="2">
        <v>2826.0</v>
      </c>
      <c r="B2827" s="2" t="s">
        <v>5428</v>
      </c>
      <c r="C2827" s="2" t="s">
        <v>23</v>
      </c>
      <c r="K2827" s="2">
        <v>50.0</v>
      </c>
      <c r="N2827" s="6">
        <v>45152.0</v>
      </c>
      <c r="Q2827" s="2" t="s">
        <v>5429</v>
      </c>
    </row>
    <row r="2828">
      <c r="A2828" s="2">
        <v>2827.0</v>
      </c>
      <c r="B2828" s="2" t="s">
        <v>5430</v>
      </c>
      <c r="C2828" s="2" t="s">
        <v>23</v>
      </c>
      <c r="K2828" s="2">
        <v>20.0</v>
      </c>
      <c r="N2828" s="6">
        <v>44084.0</v>
      </c>
      <c r="Q2828" s="2" t="s">
        <v>2372</v>
      </c>
    </row>
    <row r="2829">
      <c r="A2829" s="2">
        <v>2828.0</v>
      </c>
      <c r="B2829" s="2" t="s">
        <v>5431</v>
      </c>
      <c r="C2829" s="2" t="s">
        <v>23</v>
      </c>
      <c r="K2829" s="2">
        <v>10.0</v>
      </c>
      <c r="N2829" s="6">
        <v>42529.0</v>
      </c>
      <c r="Q2829" s="2" t="s">
        <v>5432</v>
      </c>
    </row>
    <row r="2830">
      <c r="A2830" s="2">
        <v>2829.0</v>
      </c>
      <c r="B2830" s="2" t="s">
        <v>5433</v>
      </c>
      <c r="C2830" s="2" t="s">
        <v>23</v>
      </c>
      <c r="N2830" s="6">
        <v>43122.0</v>
      </c>
      <c r="Q2830" s="2" t="s">
        <v>86</v>
      </c>
    </row>
    <row r="2831">
      <c r="A2831" s="2">
        <v>2830.0</v>
      </c>
      <c r="B2831" s="2" t="s">
        <v>5434</v>
      </c>
      <c r="C2831" s="2" t="s">
        <v>23</v>
      </c>
      <c r="N2831" s="6">
        <v>45587.0</v>
      </c>
      <c r="Q2831" s="2" t="s">
        <v>5435</v>
      </c>
    </row>
    <row r="2832">
      <c r="A2832" s="2">
        <v>2831.0</v>
      </c>
      <c r="B2832" s="2" t="s">
        <v>5436</v>
      </c>
      <c r="C2832" s="2" t="s">
        <v>23</v>
      </c>
      <c r="K2832" s="2">
        <v>3300.0</v>
      </c>
      <c r="N2832" s="6">
        <v>43115.0</v>
      </c>
      <c r="Q2832" s="2" t="s">
        <v>5437</v>
      </c>
    </row>
    <row r="2833">
      <c r="A2833" s="2">
        <v>2832.0</v>
      </c>
      <c r="B2833" s="2" t="s">
        <v>5438</v>
      </c>
      <c r="C2833" s="2" t="s">
        <v>23</v>
      </c>
      <c r="N2833" s="6">
        <v>44543.0</v>
      </c>
      <c r="Q2833" s="2" t="s">
        <v>86</v>
      </c>
    </row>
    <row r="2834">
      <c r="A2834" s="2">
        <v>2833.0</v>
      </c>
      <c r="B2834" s="2" t="s">
        <v>5439</v>
      </c>
      <c r="C2834" s="2" t="s">
        <v>23</v>
      </c>
      <c r="K2834" s="2">
        <v>30.0</v>
      </c>
      <c r="N2834" s="6">
        <v>43919.0</v>
      </c>
      <c r="Q2834" s="2" t="s">
        <v>86</v>
      </c>
    </row>
    <row r="2835">
      <c r="A2835" s="2">
        <v>2834.0</v>
      </c>
      <c r="B2835" s="2" t="s">
        <v>5440</v>
      </c>
      <c r="C2835" s="2" t="s">
        <v>23</v>
      </c>
      <c r="K2835" s="2">
        <v>10.0</v>
      </c>
      <c r="N2835" s="6">
        <v>43237.0</v>
      </c>
      <c r="Q2835" s="2" t="s">
        <v>5441</v>
      </c>
    </row>
    <row r="2836">
      <c r="A2836" s="2">
        <v>2835.0</v>
      </c>
      <c r="B2836" s="2" t="s">
        <v>5442</v>
      </c>
      <c r="C2836" s="2" t="s">
        <v>23</v>
      </c>
      <c r="K2836" s="2">
        <v>100.0</v>
      </c>
      <c r="N2836" s="6">
        <v>43994.0</v>
      </c>
      <c r="Q2836" s="2" t="s">
        <v>5443</v>
      </c>
    </row>
    <row r="2837">
      <c r="A2837" s="2">
        <v>2836.0</v>
      </c>
      <c r="B2837" s="2" t="s">
        <v>5444</v>
      </c>
      <c r="C2837" s="2" t="s">
        <v>23</v>
      </c>
      <c r="N2837" s="6">
        <v>42500.0</v>
      </c>
      <c r="Q2837" s="2" t="s">
        <v>5445</v>
      </c>
    </row>
    <row r="2838">
      <c r="A2838" s="2">
        <v>2837.0</v>
      </c>
      <c r="B2838" s="2" t="s">
        <v>5446</v>
      </c>
      <c r="C2838" s="2" t="s">
        <v>23</v>
      </c>
      <c r="N2838" s="6">
        <v>44124.0</v>
      </c>
      <c r="Q2838" s="2" t="s">
        <v>86</v>
      </c>
    </row>
    <row r="2839">
      <c r="A2839" s="2">
        <v>2838.0</v>
      </c>
      <c r="B2839" s="2" t="s">
        <v>5447</v>
      </c>
      <c r="C2839" s="2" t="s">
        <v>23</v>
      </c>
      <c r="K2839" s="2">
        <v>30.0</v>
      </c>
      <c r="N2839" s="6">
        <v>44419.0</v>
      </c>
      <c r="Q2839" s="2" t="s">
        <v>426</v>
      </c>
    </row>
    <row r="2840">
      <c r="A2840" s="2">
        <v>2839.0</v>
      </c>
      <c r="B2840" s="2" t="s">
        <v>5448</v>
      </c>
      <c r="C2840" s="2" t="s">
        <v>23</v>
      </c>
      <c r="K2840" s="2">
        <v>10.0</v>
      </c>
      <c r="N2840" s="6">
        <v>42303.0</v>
      </c>
      <c r="Q2840" s="2" t="s">
        <v>5449</v>
      </c>
    </row>
    <row r="2841">
      <c r="A2841" s="2">
        <v>2840.0</v>
      </c>
      <c r="B2841" s="2" t="s">
        <v>5450</v>
      </c>
      <c r="C2841" s="2" t="s">
        <v>23</v>
      </c>
      <c r="K2841" s="2">
        <v>20.0</v>
      </c>
      <c r="N2841" s="6">
        <v>44691.0</v>
      </c>
      <c r="Q2841" s="2" t="s">
        <v>5451</v>
      </c>
    </row>
    <row r="2842">
      <c r="A2842" s="2">
        <v>2841.0</v>
      </c>
      <c r="B2842" s="2" t="s">
        <v>5452</v>
      </c>
      <c r="C2842" s="2" t="s">
        <v>23</v>
      </c>
      <c r="K2842" s="2">
        <v>1900.0</v>
      </c>
      <c r="N2842" s="6">
        <v>43847.0</v>
      </c>
      <c r="Q2842" s="2" t="s">
        <v>5453</v>
      </c>
    </row>
    <row r="2843">
      <c r="A2843" s="2">
        <v>2842.0</v>
      </c>
      <c r="B2843" s="2" t="s">
        <v>5454</v>
      </c>
      <c r="C2843" s="2" t="s">
        <v>23</v>
      </c>
      <c r="K2843" s="2">
        <v>50.0</v>
      </c>
      <c r="N2843" s="6">
        <v>45294.0</v>
      </c>
      <c r="Q2843" s="2" t="s">
        <v>86</v>
      </c>
    </row>
    <row r="2844">
      <c r="A2844" s="2">
        <v>2843.0</v>
      </c>
      <c r="B2844" s="2" t="s">
        <v>5455</v>
      </c>
      <c r="C2844" s="2" t="s">
        <v>23</v>
      </c>
      <c r="K2844" s="2">
        <v>100.0</v>
      </c>
      <c r="N2844" s="6">
        <v>43787.0</v>
      </c>
      <c r="Q2844" s="2" t="s">
        <v>5456</v>
      </c>
    </row>
    <row r="2845">
      <c r="A2845" s="2">
        <v>2844.0</v>
      </c>
      <c r="B2845" s="2" t="s">
        <v>5457</v>
      </c>
      <c r="C2845" s="2" t="s">
        <v>23</v>
      </c>
      <c r="K2845" s="2">
        <v>30.0</v>
      </c>
      <c r="N2845" s="6">
        <v>45636.0</v>
      </c>
      <c r="Q2845" s="2" t="s">
        <v>5458</v>
      </c>
    </row>
    <row r="2846">
      <c r="A2846" s="2">
        <v>2845.0</v>
      </c>
      <c r="B2846" s="2" t="s">
        <v>5459</v>
      </c>
      <c r="C2846" s="2" t="s">
        <v>23</v>
      </c>
      <c r="N2846" s="6">
        <v>44553.0</v>
      </c>
      <c r="Q2846" s="2" t="s">
        <v>86</v>
      </c>
    </row>
    <row r="2847">
      <c r="A2847" s="2">
        <v>2846.0</v>
      </c>
      <c r="B2847" s="2" t="s">
        <v>5460</v>
      </c>
      <c r="C2847" s="2" t="s">
        <v>23</v>
      </c>
      <c r="N2847" s="6">
        <v>44140.0</v>
      </c>
      <c r="Q2847" s="2" t="s">
        <v>86</v>
      </c>
    </row>
    <row r="2848">
      <c r="A2848" s="2">
        <v>2847.0</v>
      </c>
      <c r="B2848" s="2" t="s">
        <v>5461</v>
      </c>
      <c r="C2848" s="2" t="s">
        <v>23</v>
      </c>
      <c r="K2848" s="2">
        <v>40.0</v>
      </c>
      <c r="N2848" s="6">
        <v>43891.0</v>
      </c>
      <c r="Q2848" s="2" t="s">
        <v>5462</v>
      </c>
    </row>
    <row r="2849">
      <c r="A2849" s="2">
        <v>2848.0</v>
      </c>
      <c r="B2849" s="2" t="s">
        <v>5463</v>
      </c>
      <c r="C2849" s="2" t="s">
        <v>23</v>
      </c>
      <c r="K2849" s="2">
        <v>30.0</v>
      </c>
      <c r="N2849" s="6">
        <v>45472.0</v>
      </c>
      <c r="Q2849" s="2" t="s">
        <v>2838</v>
      </c>
    </row>
    <row r="2850">
      <c r="A2850" s="2">
        <v>2849.0</v>
      </c>
      <c r="B2850" s="2" t="s">
        <v>5464</v>
      </c>
      <c r="C2850" s="2" t="s">
        <v>23</v>
      </c>
      <c r="N2850" s="6">
        <v>44019.0</v>
      </c>
      <c r="Q2850" s="2" t="s">
        <v>86</v>
      </c>
    </row>
    <row r="2851">
      <c r="A2851" s="2">
        <v>2850.0</v>
      </c>
      <c r="B2851" s="2" t="s">
        <v>5465</v>
      </c>
      <c r="C2851" s="2" t="s">
        <v>23</v>
      </c>
      <c r="K2851" s="2">
        <v>10.0</v>
      </c>
      <c r="N2851" s="6">
        <v>44142.0</v>
      </c>
      <c r="Q2851" s="2" t="s">
        <v>5466</v>
      </c>
    </row>
    <row r="2852">
      <c r="A2852" s="2">
        <v>2851.0</v>
      </c>
      <c r="B2852" s="2" t="s">
        <v>5467</v>
      </c>
      <c r="C2852" s="2" t="s">
        <v>23</v>
      </c>
      <c r="K2852" s="2">
        <v>1000.0</v>
      </c>
      <c r="N2852" s="6">
        <v>44115.0</v>
      </c>
      <c r="Q2852" s="2" t="s">
        <v>5468</v>
      </c>
    </row>
    <row r="2853">
      <c r="A2853" s="2">
        <v>2852.0</v>
      </c>
      <c r="B2853" s="2" t="s">
        <v>5469</v>
      </c>
      <c r="C2853" s="2" t="s">
        <v>23</v>
      </c>
      <c r="N2853" s="6">
        <v>45287.0</v>
      </c>
      <c r="Q2853" s="2" t="s">
        <v>5470</v>
      </c>
    </row>
    <row r="2854">
      <c r="A2854" s="2">
        <v>2853.0</v>
      </c>
      <c r="B2854" s="2" t="s">
        <v>5471</v>
      </c>
      <c r="C2854" s="2" t="s">
        <v>23</v>
      </c>
      <c r="N2854" s="6">
        <v>44356.0</v>
      </c>
      <c r="Q2854" s="2" t="s">
        <v>5472</v>
      </c>
    </row>
    <row r="2855">
      <c r="A2855" s="2">
        <v>2854.0</v>
      </c>
      <c r="B2855" s="2" t="s">
        <v>5473</v>
      </c>
      <c r="C2855" s="2" t="s">
        <v>23</v>
      </c>
      <c r="N2855" s="6">
        <v>45299.0</v>
      </c>
      <c r="Q2855" s="2" t="s">
        <v>86</v>
      </c>
    </row>
    <row r="2856">
      <c r="A2856" s="2">
        <v>2855.0</v>
      </c>
      <c r="B2856" s="2" t="s">
        <v>5474</v>
      </c>
      <c r="C2856" s="2" t="s">
        <v>23</v>
      </c>
      <c r="K2856" s="2">
        <v>90.0</v>
      </c>
      <c r="N2856" s="6">
        <v>44758.0</v>
      </c>
      <c r="Q2856" s="2" t="s">
        <v>5475</v>
      </c>
    </row>
    <row r="2857">
      <c r="A2857" s="2">
        <v>2856.0</v>
      </c>
      <c r="B2857" s="2" t="s">
        <v>5476</v>
      </c>
      <c r="C2857" s="2" t="s">
        <v>23</v>
      </c>
      <c r="K2857" s="2">
        <v>30.0</v>
      </c>
      <c r="N2857" s="6">
        <v>45455.0</v>
      </c>
      <c r="Q2857" s="2" t="s">
        <v>60</v>
      </c>
    </row>
    <row r="2858">
      <c r="A2858" s="2">
        <v>2857.0</v>
      </c>
      <c r="B2858" s="2" t="s">
        <v>5477</v>
      </c>
      <c r="C2858" s="2" t="s">
        <v>23</v>
      </c>
      <c r="K2858" s="2">
        <v>100.0</v>
      </c>
      <c r="N2858" s="6">
        <v>44033.0</v>
      </c>
      <c r="Q2858" s="2" t="s">
        <v>5478</v>
      </c>
    </row>
    <row r="2859">
      <c r="A2859" s="2">
        <v>2858.0</v>
      </c>
      <c r="B2859" s="2" t="s">
        <v>5479</v>
      </c>
      <c r="C2859" s="2" t="s">
        <v>23</v>
      </c>
      <c r="K2859" s="2">
        <v>200.0</v>
      </c>
      <c r="N2859" s="6">
        <v>43937.0</v>
      </c>
      <c r="Q2859" s="2" t="s">
        <v>5480</v>
      </c>
    </row>
    <row r="2860">
      <c r="A2860" s="2">
        <v>2859.0</v>
      </c>
      <c r="B2860" s="2" t="s">
        <v>5481</v>
      </c>
      <c r="C2860" s="2" t="s">
        <v>23</v>
      </c>
      <c r="K2860" s="2">
        <v>50.0</v>
      </c>
      <c r="N2860" s="6">
        <v>45341.0</v>
      </c>
      <c r="Q2860" s="2" t="s">
        <v>1070</v>
      </c>
    </row>
    <row r="2861">
      <c r="A2861" s="2">
        <v>2860.0</v>
      </c>
      <c r="B2861" s="2" t="s">
        <v>5482</v>
      </c>
      <c r="C2861" s="2" t="s">
        <v>23</v>
      </c>
      <c r="K2861" s="2">
        <v>150.0</v>
      </c>
      <c r="N2861" s="6">
        <v>44454.0</v>
      </c>
      <c r="Q2861" s="2" t="s">
        <v>2642</v>
      </c>
    </row>
    <row r="2862">
      <c r="A2862" s="2">
        <v>2861.0</v>
      </c>
      <c r="B2862" s="2" t="s">
        <v>5483</v>
      </c>
      <c r="C2862" s="2" t="s">
        <v>23</v>
      </c>
      <c r="K2862" s="2">
        <v>20.0</v>
      </c>
      <c r="N2862" s="6">
        <v>44649.0</v>
      </c>
      <c r="Q2862" s="2" t="s">
        <v>86</v>
      </c>
    </row>
    <row r="2863">
      <c r="A2863" s="2">
        <v>2862.0</v>
      </c>
      <c r="B2863" s="2" t="s">
        <v>5484</v>
      </c>
      <c r="C2863" s="2" t="s">
        <v>23</v>
      </c>
      <c r="K2863" s="2">
        <v>20.0</v>
      </c>
      <c r="N2863" s="6">
        <v>45511.0</v>
      </c>
      <c r="Q2863" s="2" t="s">
        <v>5485</v>
      </c>
    </row>
    <row r="2864">
      <c r="A2864" s="2">
        <v>2863.0</v>
      </c>
      <c r="B2864" s="2" t="s">
        <v>5486</v>
      </c>
      <c r="C2864" s="2" t="s">
        <v>23</v>
      </c>
      <c r="K2864" s="2">
        <v>40.0</v>
      </c>
      <c r="N2864" s="6">
        <v>44411.0</v>
      </c>
      <c r="Q2864" s="2" t="s">
        <v>5487</v>
      </c>
    </row>
    <row r="2865">
      <c r="A2865" s="2">
        <v>2864.0</v>
      </c>
      <c r="B2865" s="2" t="s">
        <v>5488</v>
      </c>
      <c r="C2865" s="2" t="s">
        <v>23</v>
      </c>
      <c r="N2865" s="6">
        <v>44392.0</v>
      </c>
      <c r="Q2865" s="2" t="s">
        <v>86</v>
      </c>
    </row>
    <row r="2866">
      <c r="A2866" s="2">
        <v>2865.0</v>
      </c>
      <c r="B2866" s="2" t="s">
        <v>5489</v>
      </c>
      <c r="C2866" s="2" t="s">
        <v>23</v>
      </c>
      <c r="K2866" s="2">
        <v>10.0</v>
      </c>
      <c r="N2866" s="6">
        <v>44390.0</v>
      </c>
      <c r="Q2866" s="2" t="s">
        <v>86</v>
      </c>
    </row>
    <row r="2867">
      <c r="A2867" s="2">
        <v>2866.0</v>
      </c>
      <c r="B2867" s="2" t="s">
        <v>5490</v>
      </c>
      <c r="C2867" s="2" t="s">
        <v>23</v>
      </c>
      <c r="K2867" s="2">
        <v>20.0</v>
      </c>
      <c r="N2867" s="6">
        <v>43894.0</v>
      </c>
      <c r="Q2867" s="2" t="s">
        <v>1466</v>
      </c>
    </row>
    <row r="2868">
      <c r="A2868" s="2">
        <v>2867.0</v>
      </c>
      <c r="B2868" s="2" t="s">
        <v>5491</v>
      </c>
      <c r="C2868" s="2" t="s">
        <v>23</v>
      </c>
      <c r="N2868" s="6">
        <v>43879.0</v>
      </c>
      <c r="Q2868" s="2" t="s">
        <v>86</v>
      </c>
    </row>
    <row r="2869">
      <c r="A2869" s="2">
        <v>2868.0</v>
      </c>
      <c r="B2869" s="2" t="s">
        <v>5492</v>
      </c>
      <c r="C2869" s="2" t="s">
        <v>23</v>
      </c>
      <c r="N2869" s="6">
        <v>45559.0</v>
      </c>
      <c r="Q2869" s="2" t="s">
        <v>5493</v>
      </c>
    </row>
    <row r="2870">
      <c r="A2870" s="2">
        <v>2869.0</v>
      </c>
      <c r="B2870" s="2" t="s">
        <v>195</v>
      </c>
      <c r="C2870" s="2" t="s">
        <v>23</v>
      </c>
      <c r="K2870" s="2">
        <v>20.0</v>
      </c>
      <c r="N2870" s="6">
        <v>45009.0</v>
      </c>
      <c r="Q2870" s="2" t="s">
        <v>197</v>
      </c>
    </row>
    <row r="2871">
      <c r="A2871" s="2">
        <v>2870.0</v>
      </c>
      <c r="B2871" s="2" t="s">
        <v>5494</v>
      </c>
      <c r="C2871" s="2" t="s">
        <v>23</v>
      </c>
      <c r="K2871" s="2">
        <v>10.0</v>
      </c>
      <c r="N2871" s="6">
        <v>44080.0</v>
      </c>
      <c r="Q2871" s="2" t="s">
        <v>1156</v>
      </c>
    </row>
    <row r="2872">
      <c r="A2872" s="2">
        <v>2871.0</v>
      </c>
      <c r="B2872" s="2" t="s">
        <v>5495</v>
      </c>
      <c r="C2872" s="2" t="s">
        <v>23</v>
      </c>
      <c r="K2872" s="2">
        <v>20.0</v>
      </c>
      <c r="N2872" s="6">
        <v>45663.0</v>
      </c>
      <c r="Q2872" s="2" t="s">
        <v>1521</v>
      </c>
    </row>
    <row r="2873">
      <c r="A2873" s="2">
        <v>2872.0</v>
      </c>
      <c r="B2873" s="2" t="s">
        <v>5496</v>
      </c>
      <c r="C2873" s="2" t="s">
        <v>23</v>
      </c>
      <c r="K2873" s="2">
        <v>10.0</v>
      </c>
      <c r="N2873" s="6">
        <v>44359.0</v>
      </c>
      <c r="Q2873" s="2" t="s">
        <v>1156</v>
      </c>
    </row>
    <row r="2874">
      <c r="A2874" s="2">
        <v>2873.0</v>
      </c>
      <c r="B2874" s="2" t="s">
        <v>5497</v>
      </c>
      <c r="C2874" s="2" t="s">
        <v>23</v>
      </c>
      <c r="K2874" s="2">
        <v>80.0</v>
      </c>
      <c r="N2874" s="6">
        <v>44250.0</v>
      </c>
      <c r="Q2874" s="2" t="s">
        <v>86</v>
      </c>
    </row>
    <row r="2875">
      <c r="A2875" s="2">
        <v>2874.0</v>
      </c>
      <c r="B2875" s="2" t="s">
        <v>5498</v>
      </c>
      <c r="C2875" s="2" t="s">
        <v>23</v>
      </c>
      <c r="K2875" s="2">
        <v>300.0</v>
      </c>
      <c r="N2875" s="6">
        <v>45716.0</v>
      </c>
      <c r="Q2875" s="2" t="s">
        <v>5499</v>
      </c>
    </row>
    <row r="2876">
      <c r="A2876" s="2">
        <v>2875.0</v>
      </c>
      <c r="B2876" s="2" t="s">
        <v>5500</v>
      </c>
      <c r="C2876" s="2" t="s">
        <v>23</v>
      </c>
      <c r="K2876" s="2">
        <v>40.0</v>
      </c>
      <c r="N2876" s="6">
        <v>45680.0</v>
      </c>
      <c r="Q2876" s="2" t="s">
        <v>5501</v>
      </c>
    </row>
    <row r="2877">
      <c r="A2877" s="2">
        <v>2876.0</v>
      </c>
      <c r="B2877" s="2" t="s">
        <v>5502</v>
      </c>
      <c r="C2877" s="2" t="s">
        <v>23</v>
      </c>
      <c r="K2877" s="2">
        <v>20.0</v>
      </c>
      <c r="N2877" s="6">
        <v>45119.0</v>
      </c>
      <c r="Q2877" s="2" t="s">
        <v>5503</v>
      </c>
    </row>
    <row r="2878">
      <c r="A2878" s="2">
        <v>2877.0</v>
      </c>
      <c r="B2878" s="2" t="s">
        <v>5504</v>
      </c>
      <c r="C2878" s="2" t="s">
        <v>23</v>
      </c>
      <c r="K2878" s="2">
        <v>10.0</v>
      </c>
      <c r="N2878" s="6">
        <v>44862.0</v>
      </c>
      <c r="Q2878" s="2" t="s">
        <v>2541</v>
      </c>
    </row>
    <row r="2879">
      <c r="A2879" s="2">
        <v>2878.0</v>
      </c>
      <c r="B2879" s="2" t="s">
        <v>5505</v>
      </c>
      <c r="C2879" s="2" t="s">
        <v>23</v>
      </c>
      <c r="K2879" s="2">
        <v>40.0</v>
      </c>
      <c r="N2879" s="6">
        <v>45701.0</v>
      </c>
      <c r="Q2879" s="2" t="s">
        <v>4192</v>
      </c>
    </row>
    <row r="2880">
      <c r="A2880" s="2">
        <v>2879.0</v>
      </c>
      <c r="B2880" s="2" t="s">
        <v>5506</v>
      </c>
      <c r="C2880" s="2" t="s">
        <v>23</v>
      </c>
      <c r="K2880" s="2">
        <v>30.0</v>
      </c>
      <c r="N2880" s="6">
        <v>43932.0</v>
      </c>
      <c r="Q2880" s="2" t="s">
        <v>60</v>
      </c>
    </row>
    <row r="2881">
      <c r="A2881" s="2">
        <v>2880.0</v>
      </c>
      <c r="B2881" s="2" t="s">
        <v>5507</v>
      </c>
      <c r="C2881" s="2" t="s">
        <v>23</v>
      </c>
      <c r="K2881" s="2">
        <v>20.0</v>
      </c>
      <c r="N2881" s="6">
        <v>44775.0</v>
      </c>
      <c r="Q2881" s="2" t="s">
        <v>1437</v>
      </c>
    </row>
    <row r="2882">
      <c r="A2882" s="2">
        <v>2881.0</v>
      </c>
      <c r="B2882" s="2" t="s">
        <v>5508</v>
      </c>
      <c r="C2882" s="2" t="s">
        <v>23</v>
      </c>
      <c r="K2882" s="2">
        <v>200.0</v>
      </c>
      <c r="N2882" s="6">
        <v>45688.0</v>
      </c>
      <c r="Q2882" s="2" t="s">
        <v>5509</v>
      </c>
    </row>
    <row r="2883">
      <c r="A2883" s="2">
        <v>2882.0</v>
      </c>
      <c r="B2883" s="2" t="s">
        <v>5510</v>
      </c>
      <c r="C2883" s="2" t="s">
        <v>23</v>
      </c>
      <c r="K2883" s="2">
        <v>100.0</v>
      </c>
      <c r="N2883" s="6">
        <v>44212.0</v>
      </c>
      <c r="Q2883" s="2" t="s">
        <v>5511</v>
      </c>
    </row>
    <row r="2884">
      <c r="A2884" s="2">
        <v>2883.0</v>
      </c>
      <c r="B2884" s="2" t="s">
        <v>5512</v>
      </c>
      <c r="C2884" s="2" t="s">
        <v>23</v>
      </c>
      <c r="K2884" s="2">
        <v>10.0</v>
      </c>
      <c r="N2884" s="6">
        <v>44032.0</v>
      </c>
      <c r="Q2884" s="2" t="s">
        <v>1156</v>
      </c>
    </row>
    <row r="2885">
      <c r="A2885" s="2">
        <v>2884.0</v>
      </c>
      <c r="B2885" s="2" t="s">
        <v>5513</v>
      </c>
      <c r="C2885" s="2" t="s">
        <v>23</v>
      </c>
      <c r="N2885" s="6">
        <v>44473.0</v>
      </c>
      <c r="Q2885" s="2" t="s">
        <v>86</v>
      </c>
    </row>
    <row r="2886">
      <c r="A2886" s="2">
        <v>2885.0</v>
      </c>
      <c r="B2886" s="2" t="s">
        <v>5514</v>
      </c>
      <c r="C2886" s="2" t="s">
        <v>23</v>
      </c>
      <c r="K2886" s="2">
        <v>10.0</v>
      </c>
      <c r="N2886" s="6">
        <v>45409.0</v>
      </c>
      <c r="Q2886" s="2" t="s">
        <v>5515</v>
      </c>
    </row>
    <row r="2887">
      <c r="A2887" s="2">
        <v>2886.0</v>
      </c>
      <c r="B2887" s="2" t="s">
        <v>5516</v>
      </c>
      <c r="C2887" s="2" t="s">
        <v>23</v>
      </c>
      <c r="K2887" s="2">
        <v>10.0</v>
      </c>
      <c r="N2887" s="6">
        <v>42775.0</v>
      </c>
      <c r="Q2887" s="2" t="s">
        <v>5517</v>
      </c>
    </row>
    <row r="2888">
      <c r="A2888" s="2">
        <v>2887.0</v>
      </c>
      <c r="B2888" s="2" t="s">
        <v>5518</v>
      </c>
      <c r="C2888" s="2" t="s">
        <v>23</v>
      </c>
      <c r="N2888" s="6">
        <v>45517.0</v>
      </c>
      <c r="Q2888" s="2" t="s">
        <v>5519</v>
      </c>
    </row>
    <row r="2889">
      <c r="A2889" s="2">
        <v>2888.0</v>
      </c>
      <c r="B2889" s="2" t="s">
        <v>5520</v>
      </c>
      <c r="C2889" s="2" t="s">
        <v>23</v>
      </c>
      <c r="K2889" s="2">
        <v>40.0</v>
      </c>
      <c r="N2889" s="6">
        <v>43841.0</v>
      </c>
      <c r="Q2889" s="2" t="s">
        <v>2624</v>
      </c>
    </row>
    <row r="2890">
      <c r="A2890" s="2">
        <v>2889.0</v>
      </c>
      <c r="B2890" s="2" t="s">
        <v>5521</v>
      </c>
      <c r="C2890" s="2" t="s">
        <v>23</v>
      </c>
      <c r="N2890" s="6">
        <v>45370.0</v>
      </c>
      <c r="Q2890" s="2" t="s">
        <v>86</v>
      </c>
    </row>
    <row r="2891">
      <c r="A2891" s="2">
        <v>2890.0</v>
      </c>
      <c r="B2891" s="2" t="s">
        <v>5522</v>
      </c>
      <c r="C2891" s="2" t="s">
        <v>23</v>
      </c>
      <c r="K2891" s="2">
        <v>150.0</v>
      </c>
      <c r="N2891" s="6">
        <v>44393.0</v>
      </c>
      <c r="Q2891" s="2" t="s">
        <v>5523</v>
      </c>
    </row>
    <row r="2892">
      <c r="A2892" s="2">
        <v>2891.0</v>
      </c>
      <c r="B2892" s="2" t="s">
        <v>199</v>
      </c>
      <c r="C2892" s="2" t="s">
        <v>23</v>
      </c>
      <c r="K2892" s="2">
        <v>10.0</v>
      </c>
      <c r="N2892" s="6">
        <v>44072.0</v>
      </c>
      <c r="Q2892" s="2" t="s">
        <v>201</v>
      </c>
    </row>
    <row r="2893">
      <c r="A2893" s="2">
        <v>2892.0</v>
      </c>
      <c r="B2893" s="2" t="s">
        <v>5524</v>
      </c>
      <c r="C2893" s="2" t="s">
        <v>23</v>
      </c>
      <c r="K2893" s="2">
        <v>80.0</v>
      </c>
      <c r="N2893" s="6">
        <v>43940.0</v>
      </c>
      <c r="Q2893" s="2" t="s">
        <v>1437</v>
      </c>
    </row>
    <row r="2894">
      <c r="A2894" s="2">
        <v>2893.0</v>
      </c>
      <c r="B2894" s="2" t="s">
        <v>5525</v>
      </c>
      <c r="C2894" s="2" t="s">
        <v>23</v>
      </c>
      <c r="N2894" s="6">
        <v>44414.0</v>
      </c>
      <c r="Q2894" s="2" t="s">
        <v>86</v>
      </c>
    </row>
    <row r="2895">
      <c r="A2895" s="2">
        <v>2894.0</v>
      </c>
      <c r="B2895" s="2" t="s">
        <v>5526</v>
      </c>
      <c r="C2895" s="2" t="s">
        <v>23</v>
      </c>
      <c r="K2895" s="2">
        <v>30.0</v>
      </c>
      <c r="N2895" s="6">
        <v>44866.0</v>
      </c>
      <c r="Q2895" s="2" t="s">
        <v>86</v>
      </c>
    </row>
    <row r="2896">
      <c r="A2896" s="2">
        <v>2895.0</v>
      </c>
      <c r="B2896" s="2" t="s">
        <v>5527</v>
      </c>
      <c r="C2896" s="2" t="s">
        <v>23</v>
      </c>
      <c r="K2896" s="2">
        <v>50.0</v>
      </c>
      <c r="N2896" s="6">
        <v>43936.0</v>
      </c>
      <c r="Q2896" s="2" t="s">
        <v>5528</v>
      </c>
    </row>
    <row r="2897">
      <c r="A2897" s="2">
        <v>2896.0</v>
      </c>
      <c r="B2897" s="2" t="s">
        <v>5529</v>
      </c>
      <c r="C2897" s="2" t="s">
        <v>23</v>
      </c>
      <c r="K2897" s="2">
        <v>10.0</v>
      </c>
      <c r="N2897" s="6">
        <v>43914.0</v>
      </c>
      <c r="Q2897" s="2" t="s">
        <v>5530</v>
      </c>
    </row>
    <row r="2898">
      <c r="A2898" s="2">
        <v>2897.0</v>
      </c>
      <c r="B2898" s="2" t="s">
        <v>5531</v>
      </c>
      <c r="C2898" s="2" t="s">
        <v>23</v>
      </c>
      <c r="N2898" s="6">
        <v>43853.0</v>
      </c>
      <c r="Q2898" s="2" t="s">
        <v>86</v>
      </c>
    </row>
    <row r="2899">
      <c r="A2899" s="2">
        <v>2898.0</v>
      </c>
      <c r="B2899" s="2" t="s">
        <v>5532</v>
      </c>
      <c r="C2899" s="2" t="s">
        <v>23</v>
      </c>
      <c r="N2899" s="6">
        <v>44538.0</v>
      </c>
      <c r="Q2899" s="2" t="s">
        <v>86</v>
      </c>
    </row>
    <row r="2900">
      <c r="A2900" s="2">
        <v>2899.0</v>
      </c>
      <c r="B2900" s="2" t="s">
        <v>5533</v>
      </c>
      <c r="C2900" s="2" t="s">
        <v>23</v>
      </c>
      <c r="N2900" s="6">
        <v>44381.0</v>
      </c>
      <c r="Q2900" s="2" t="s">
        <v>86</v>
      </c>
    </row>
    <row r="2901">
      <c r="A2901" s="2">
        <v>2900.0</v>
      </c>
      <c r="B2901" s="2" t="s">
        <v>5534</v>
      </c>
      <c r="C2901" s="2" t="s">
        <v>23</v>
      </c>
      <c r="N2901" s="6">
        <v>43920.0</v>
      </c>
      <c r="Q2901" s="2" t="s">
        <v>86</v>
      </c>
    </row>
    <row r="2902">
      <c r="A2902" s="2">
        <v>2901.0</v>
      </c>
      <c r="B2902" s="2" t="s">
        <v>5535</v>
      </c>
      <c r="C2902" s="2" t="s">
        <v>23</v>
      </c>
      <c r="N2902" s="6">
        <v>42293.0</v>
      </c>
      <c r="Q2902" s="2" t="s">
        <v>401</v>
      </c>
    </row>
    <row r="2903">
      <c r="A2903" s="2">
        <v>2902.0</v>
      </c>
      <c r="B2903" s="2" t="s">
        <v>5536</v>
      </c>
      <c r="C2903" s="2" t="s">
        <v>23</v>
      </c>
      <c r="K2903" s="2">
        <v>90.0</v>
      </c>
      <c r="N2903" s="6">
        <v>45002.0</v>
      </c>
      <c r="Q2903" s="2" t="s">
        <v>5537</v>
      </c>
    </row>
    <row r="2904">
      <c r="A2904" s="2">
        <v>2903.0</v>
      </c>
      <c r="B2904" s="2" t="s">
        <v>5538</v>
      </c>
      <c r="C2904" s="2" t="s">
        <v>23</v>
      </c>
      <c r="N2904" s="6">
        <v>44690.0</v>
      </c>
      <c r="Q2904" s="2" t="s">
        <v>86</v>
      </c>
    </row>
    <row r="2905">
      <c r="A2905" s="2">
        <v>2904.0</v>
      </c>
      <c r="B2905" s="2" t="s">
        <v>5539</v>
      </c>
      <c r="C2905" s="2" t="s">
        <v>23</v>
      </c>
      <c r="N2905" s="6">
        <v>44592.0</v>
      </c>
      <c r="Q2905" s="2" t="s">
        <v>86</v>
      </c>
    </row>
    <row r="2906">
      <c r="A2906" s="2">
        <v>2905.0</v>
      </c>
      <c r="B2906" s="2" t="s">
        <v>5540</v>
      </c>
      <c r="C2906" s="2" t="s">
        <v>23</v>
      </c>
      <c r="N2906" s="6">
        <v>42324.0</v>
      </c>
      <c r="Q2906" s="2" t="s">
        <v>86</v>
      </c>
    </row>
    <row r="2907">
      <c r="A2907" s="2">
        <v>2906.0</v>
      </c>
      <c r="B2907" s="2" t="s">
        <v>5541</v>
      </c>
      <c r="C2907" s="2" t="s">
        <v>23</v>
      </c>
      <c r="K2907" s="2">
        <v>20.0</v>
      </c>
      <c r="N2907" s="6">
        <v>44711.0</v>
      </c>
      <c r="Q2907" s="2" t="s">
        <v>86</v>
      </c>
    </row>
    <row r="2908">
      <c r="A2908" s="2">
        <v>2907.0</v>
      </c>
      <c r="B2908" s="2" t="s">
        <v>5542</v>
      </c>
      <c r="C2908" s="2" t="s">
        <v>23</v>
      </c>
      <c r="K2908" s="2">
        <v>100.0</v>
      </c>
      <c r="N2908" s="6">
        <v>44027.0</v>
      </c>
      <c r="Q2908" s="2" t="s">
        <v>1048</v>
      </c>
    </row>
    <row r="2909">
      <c r="A2909" s="2">
        <v>2908.0</v>
      </c>
      <c r="B2909" s="2" t="s">
        <v>5543</v>
      </c>
      <c r="C2909" s="2" t="s">
        <v>23</v>
      </c>
      <c r="K2909" s="2">
        <v>20.0</v>
      </c>
      <c r="N2909" s="6">
        <v>44027.0</v>
      </c>
      <c r="Q2909" s="2" t="s">
        <v>5544</v>
      </c>
    </row>
    <row r="2910">
      <c r="A2910" s="2">
        <v>2909.0</v>
      </c>
      <c r="B2910" s="2" t="s">
        <v>5545</v>
      </c>
      <c r="C2910" s="2" t="s">
        <v>23</v>
      </c>
      <c r="K2910" s="2">
        <v>150.0</v>
      </c>
      <c r="N2910" s="6">
        <v>43943.0</v>
      </c>
      <c r="Q2910" s="2" t="s">
        <v>5546</v>
      </c>
    </row>
    <row r="2911">
      <c r="A2911" s="2">
        <v>2910.0</v>
      </c>
      <c r="B2911" s="2" t="s">
        <v>5547</v>
      </c>
      <c r="C2911" s="2" t="s">
        <v>23</v>
      </c>
      <c r="N2911" s="6">
        <v>45977.0</v>
      </c>
      <c r="Q2911" s="2" t="s">
        <v>5548</v>
      </c>
    </row>
    <row r="2912">
      <c r="A2912" s="2">
        <v>2911.0</v>
      </c>
      <c r="B2912" s="2" t="s">
        <v>5549</v>
      </c>
      <c r="C2912" s="2" t="s">
        <v>23</v>
      </c>
      <c r="N2912" s="6">
        <v>44427.0</v>
      </c>
      <c r="Q2912" s="2" t="s">
        <v>86</v>
      </c>
    </row>
    <row r="2913">
      <c r="A2913" s="2">
        <v>2912.0</v>
      </c>
      <c r="B2913" s="2" t="s">
        <v>5550</v>
      </c>
      <c r="C2913" s="2" t="s">
        <v>23</v>
      </c>
      <c r="K2913" s="2">
        <v>20.0</v>
      </c>
      <c r="N2913" s="6">
        <v>42348.0</v>
      </c>
      <c r="Q2913" s="2" t="s">
        <v>491</v>
      </c>
    </row>
    <row r="2914">
      <c r="A2914" s="2">
        <v>2913.0</v>
      </c>
      <c r="B2914" s="2" t="s">
        <v>5551</v>
      </c>
      <c r="C2914" s="2" t="s">
        <v>23</v>
      </c>
      <c r="K2914" s="2">
        <v>40.0</v>
      </c>
      <c r="N2914" s="6">
        <v>44439.0</v>
      </c>
      <c r="Q2914" s="2" t="s">
        <v>60</v>
      </c>
    </row>
    <row r="2915">
      <c r="A2915" s="2">
        <v>2914.0</v>
      </c>
      <c r="B2915" s="2" t="s">
        <v>5552</v>
      </c>
      <c r="C2915" s="2" t="s">
        <v>23</v>
      </c>
      <c r="K2915" s="2">
        <v>30.0</v>
      </c>
      <c r="N2915" s="6">
        <v>45540.0</v>
      </c>
      <c r="Q2915" s="2" t="s">
        <v>2379</v>
      </c>
    </row>
    <row r="2916">
      <c r="A2916" s="2">
        <v>2915.0</v>
      </c>
      <c r="B2916" s="2" t="s">
        <v>5553</v>
      </c>
      <c r="C2916" s="2" t="s">
        <v>23</v>
      </c>
      <c r="K2916" s="2">
        <v>60.0</v>
      </c>
      <c r="N2916" s="6">
        <v>45081.0</v>
      </c>
      <c r="Q2916" s="2" t="s">
        <v>5554</v>
      </c>
    </row>
    <row r="2917">
      <c r="A2917" s="2">
        <v>2916.0</v>
      </c>
      <c r="B2917" s="2" t="s">
        <v>5555</v>
      </c>
      <c r="C2917" s="2" t="s">
        <v>23</v>
      </c>
      <c r="K2917" s="2">
        <v>10.0</v>
      </c>
      <c r="N2917" s="6">
        <v>44090.0</v>
      </c>
      <c r="Q2917" s="2" t="s">
        <v>5556</v>
      </c>
    </row>
    <row r="2918">
      <c r="A2918" s="2">
        <v>2917.0</v>
      </c>
      <c r="B2918" s="2" t="s">
        <v>5557</v>
      </c>
      <c r="C2918" s="2" t="s">
        <v>23</v>
      </c>
      <c r="K2918" s="2">
        <v>20.0</v>
      </c>
      <c r="N2918" s="6">
        <v>45222.0</v>
      </c>
      <c r="Q2918" s="2" t="s">
        <v>5558</v>
      </c>
    </row>
    <row r="2919">
      <c r="A2919" s="2">
        <v>2918.0</v>
      </c>
      <c r="B2919" s="2" t="s">
        <v>5559</v>
      </c>
      <c r="C2919" s="2" t="s">
        <v>23</v>
      </c>
      <c r="K2919" s="2">
        <v>30.0</v>
      </c>
      <c r="N2919" s="6">
        <v>45418.0</v>
      </c>
      <c r="Q2919" s="2" t="s">
        <v>5560</v>
      </c>
    </row>
    <row r="2920">
      <c r="A2920" s="2">
        <v>2919.0</v>
      </c>
      <c r="B2920" s="2" t="s">
        <v>5561</v>
      </c>
      <c r="C2920" s="2" t="s">
        <v>23</v>
      </c>
      <c r="N2920" s="6">
        <v>44587.0</v>
      </c>
      <c r="Q2920" s="2" t="s">
        <v>86</v>
      </c>
    </row>
    <row r="2921">
      <c r="A2921" s="2">
        <v>2920.0</v>
      </c>
      <c r="B2921" s="2" t="s">
        <v>5562</v>
      </c>
      <c r="C2921" s="2" t="s">
        <v>23</v>
      </c>
      <c r="N2921" s="6">
        <v>44260.0</v>
      </c>
      <c r="Q2921" s="2" t="s">
        <v>86</v>
      </c>
    </row>
    <row r="2922">
      <c r="A2922" s="2">
        <v>2921.0</v>
      </c>
      <c r="B2922" s="2" t="s">
        <v>5563</v>
      </c>
      <c r="C2922" s="2" t="s">
        <v>23</v>
      </c>
      <c r="N2922" s="6">
        <v>44395.0</v>
      </c>
      <c r="Q2922" s="2" t="s">
        <v>86</v>
      </c>
    </row>
    <row r="2923">
      <c r="A2923" s="2">
        <v>2922.0</v>
      </c>
      <c r="B2923" s="2" t="s">
        <v>5564</v>
      </c>
      <c r="C2923" s="2" t="s">
        <v>23</v>
      </c>
      <c r="K2923" s="2">
        <v>10.0</v>
      </c>
      <c r="N2923" s="6">
        <v>44661.0</v>
      </c>
      <c r="Q2923" s="2" t="s">
        <v>4320</v>
      </c>
    </row>
    <row r="2924">
      <c r="A2924" s="2">
        <v>2923.0</v>
      </c>
      <c r="B2924" s="2" t="s">
        <v>5565</v>
      </c>
      <c r="C2924" s="2" t="s">
        <v>23</v>
      </c>
      <c r="N2924" s="6">
        <v>45940.0</v>
      </c>
      <c r="Q2924" s="2" t="s">
        <v>5566</v>
      </c>
    </row>
    <row r="2925">
      <c r="A2925" s="2">
        <v>2924.0</v>
      </c>
      <c r="B2925" s="2" t="s">
        <v>5567</v>
      </c>
      <c r="C2925" s="2" t="s">
        <v>23</v>
      </c>
      <c r="N2925" s="6">
        <v>45995.0</v>
      </c>
      <c r="Q2925" s="2" t="s">
        <v>5568</v>
      </c>
    </row>
    <row r="2926">
      <c r="A2926" s="2">
        <v>2925.0</v>
      </c>
      <c r="B2926" s="2" t="s">
        <v>5569</v>
      </c>
      <c r="C2926" s="2" t="s">
        <v>23</v>
      </c>
      <c r="N2926" s="6">
        <v>43862.0</v>
      </c>
      <c r="Q2926" s="2" t="s">
        <v>426</v>
      </c>
    </row>
    <row r="2927">
      <c r="A2927" s="2">
        <v>2926.0</v>
      </c>
      <c r="B2927" s="2" t="s">
        <v>5570</v>
      </c>
      <c r="C2927" s="2" t="s">
        <v>23</v>
      </c>
      <c r="N2927" s="6">
        <v>43851.0</v>
      </c>
      <c r="Q2927" s="2" t="s">
        <v>86</v>
      </c>
    </row>
    <row r="2928">
      <c r="A2928" s="2">
        <v>2927.0</v>
      </c>
      <c r="B2928" s="2" t="s">
        <v>5571</v>
      </c>
      <c r="C2928" s="2" t="s">
        <v>23</v>
      </c>
      <c r="K2928" s="2">
        <v>40.0</v>
      </c>
      <c r="N2928" s="6">
        <v>44174.0</v>
      </c>
      <c r="Q2928" s="2" t="s">
        <v>5572</v>
      </c>
    </row>
    <row r="2929">
      <c r="A2929" s="2">
        <v>2928.0</v>
      </c>
      <c r="B2929" s="2" t="s">
        <v>5573</v>
      </c>
      <c r="C2929" s="2" t="s">
        <v>23</v>
      </c>
      <c r="K2929" s="2">
        <v>60.0</v>
      </c>
      <c r="N2929" s="6">
        <v>42781.0</v>
      </c>
      <c r="Q2929" s="2" t="s">
        <v>5574</v>
      </c>
    </row>
    <row r="2930">
      <c r="A2930" s="2">
        <v>2929.0</v>
      </c>
      <c r="B2930" s="2" t="s">
        <v>5575</v>
      </c>
      <c r="C2930" s="2" t="s">
        <v>23</v>
      </c>
      <c r="N2930" s="6">
        <v>44555.0</v>
      </c>
      <c r="Q2930" s="2" t="s">
        <v>86</v>
      </c>
    </row>
    <row r="2931">
      <c r="A2931" s="2">
        <v>2930.0</v>
      </c>
      <c r="B2931" s="2" t="s">
        <v>5576</v>
      </c>
      <c r="C2931" s="2" t="s">
        <v>23</v>
      </c>
      <c r="K2931" s="2">
        <v>70.0</v>
      </c>
      <c r="N2931" s="6">
        <v>44165.0</v>
      </c>
      <c r="Q2931" s="2" t="s">
        <v>5577</v>
      </c>
    </row>
    <row r="2932">
      <c r="A2932" s="2">
        <v>2931.0</v>
      </c>
      <c r="B2932" s="2" t="s">
        <v>5578</v>
      </c>
      <c r="C2932" s="2" t="s">
        <v>23</v>
      </c>
      <c r="K2932" s="2">
        <v>50.0</v>
      </c>
      <c r="N2932" s="6">
        <v>44241.0</v>
      </c>
      <c r="Q2932" s="2" t="s">
        <v>5579</v>
      </c>
    </row>
    <row r="2933">
      <c r="A2933" s="2">
        <v>2932.0</v>
      </c>
      <c r="B2933" s="2" t="s">
        <v>5580</v>
      </c>
      <c r="C2933" s="2" t="s">
        <v>23</v>
      </c>
      <c r="K2933" s="2">
        <v>40.0</v>
      </c>
      <c r="N2933" s="6">
        <v>45702.0</v>
      </c>
      <c r="Q2933" s="2" t="s">
        <v>5581</v>
      </c>
    </row>
    <row r="2934">
      <c r="A2934" s="2">
        <v>2933.0</v>
      </c>
      <c r="B2934" s="2" t="s">
        <v>5582</v>
      </c>
      <c r="C2934" s="2" t="s">
        <v>23</v>
      </c>
      <c r="K2934" s="2">
        <v>50.0</v>
      </c>
      <c r="N2934" s="6">
        <v>44090.0</v>
      </c>
      <c r="Q2934" s="2" t="s">
        <v>5583</v>
      </c>
    </row>
    <row r="2935">
      <c r="A2935" s="2">
        <v>2934.0</v>
      </c>
      <c r="B2935" s="2" t="s">
        <v>5584</v>
      </c>
      <c r="C2935" s="2" t="s">
        <v>23</v>
      </c>
      <c r="K2935" s="2">
        <v>70.0</v>
      </c>
      <c r="N2935" s="6">
        <v>42873.0</v>
      </c>
      <c r="Q2935" s="2" t="s">
        <v>5585</v>
      </c>
    </row>
    <row r="2936">
      <c r="A2936" s="2">
        <v>2935.0</v>
      </c>
      <c r="B2936" s="2" t="s">
        <v>5586</v>
      </c>
      <c r="C2936" s="2" t="s">
        <v>23</v>
      </c>
      <c r="N2936" s="6">
        <v>44112.0</v>
      </c>
      <c r="Q2936" s="2" t="s">
        <v>5587</v>
      </c>
    </row>
    <row r="2937">
      <c r="A2937" s="2">
        <v>2936.0</v>
      </c>
      <c r="B2937" s="2" t="s">
        <v>5588</v>
      </c>
      <c r="C2937" s="2" t="s">
        <v>23</v>
      </c>
      <c r="K2937" s="2">
        <v>10.0</v>
      </c>
      <c r="N2937" s="6">
        <v>45120.0</v>
      </c>
      <c r="Q2937" s="2" t="s">
        <v>5589</v>
      </c>
    </row>
    <row r="2938">
      <c r="A2938" s="2">
        <v>2937.0</v>
      </c>
      <c r="B2938" s="2" t="s">
        <v>5590</v>
      </c>
      <c r="C2938" s="2" t="s">
        <v>23</v>
      </c>
      <c r="K2938" s="2">
        <v>30.0</v>
      </c>
      <c r="N2938" s="6">
        <v>45429.0</v>
      </c>
      <c r="Q2938" s="2" t="s">
        <v>5591</v>
      </c>
    </row>
    <row r="2939">
      <c r="A2939" s="2">
        <v>2938.0</v>
      </c>
      <c r="B2939" s="2" t="s">
        <v>5592</v>
      </c>
      <c r="C2939" s="2" t="s">
        <v>23</v>
      </c>
      <c r="N2939" s="6">
        <v>46189.0</v>
      </c>
      <c r="Q2939" s="2" t="s">
        <v>5593</v>
      </c>
    </row>
    <row r="2940">
      <c r="A2940" s="2">
        <v>2939.0</v>
      </c>
      <c r="B2940" s="2" t="s">
        <v>5594</v>
      </c>
      <c r="C2940" s="2" t="s">
        <v>23</v>
      </c>
      <c r="K2940" s="2">
        <v>150.0</v>
      </c>
      <c r="N2940" s="6">
        <v>42811.0</v>
      </c>
      <c r="Q2940" s="2" t="s">
        <v>5595</v>
      </c>
    </row>
    <row r="2941">
      <c r="A2941" s="2">
        <v>2940.0</v>
      </c>
      <c r="B2941" s="2" t="s">
        <v>5596</v>
      </c>
      <c r="C2941" s="2" t="s">
        <v>23</v>
      </c>
      <c r="K2941" s="2">
        <v>30.0</v>
      </c>
      <c r="N2941" s="6">
        <v>44411.0</v>
      </c>
      <c r="Q2941" s="2" t="s">
        <v>5597</v>
      </c>
    </row>
    <row r="2942">
      <c r="A2942" s="2">
        <v>2941.0</v>
      </c>
      <c r="B2942" s="2" t="s">
        <v>5598</v>
      </c>
      <c r="C2942" s="2" t="s">
        <v>23</v>
      </c>
      <c r="K2942" s="2">
        <v>100.0</v>
      </c>
      <c r="N2942" s="6">
        <v>45524.0</v>
      </c>
      <c r="Q2942" s="2" t="s">
        <v>5599</v>
      </c>
    </row>
    <row r="2943">
      <c r="A2943" s="2">
        <v>2942.0</v>
      </c>
      <c r="B2943" s="2" t="s">
        <v>203</v>
      </c>
      <c r="C2943" s="2" t="s">
        <v>23</v>
      </c>
      <c r="K2943" s="2">
        <v>100.0</v>
      </c>
      <c r="N2943" s="6">
        <v>44100.0</v>
      </c>
      <c r="Q2943" s="2" t="s">
        <v>207</v>
      </c>
    </row>
    <row r="2944">
      <c r="A2944" s="2">
        <v>2943.0</v>
      </c>
      <c r="B2944" s="2" t="s">
        <v>5600</v>
      </c>
      <c r="C2944" s="2" t="s">
        <v>23</v>
      </c>
      <c r="N2944" s="6">
        <v>44697.0</v>
      </c>
      <c r="Q2944" s="2" t="s">
        <v>86</v>
      </c>
    </row>
    <row r="2945">
      <c r="A2945" s="2">
        <v>2944.0</v>
      </c>
      <c r="B2945" s="2" t="s">
        <v>5601</v>
      </c>
      <c r="C2945" s="2" t="s">
        <v>23</v>
      </c>
      <c r="K2945" s="2">
        <v>150.0</v>
      </c>
      <c r="N2945" s="6">
        <v>44509.0</v>
      </c>
      <c r="Q2945" s="2" t="s">
        <v>5602</v>
      </c>
    </row>
    <row r="2946">
      <c r="A2946" s="2">
        <v>2945.0</v>
      </c>
      <c r="B2946" s="2" t="s">
        <v>5603</v>
      </c>
      <c r="C2946" s="2" t="s">
        <v>23</v>
      </c>
      <c r="K2946" s="2">
        <v>50.0</v>
      </c>
      <c r="N2946" s="6">
        <v>44507.0</v>
      </c>
      <c r="Q2946" s="2" t="s">
        <v>5604</v>
      </c>
    </row>
    <row r="2947">
      <c r="A2947" s="2">
        <v>2946.0</v>
      </c>
      <c r="B2947" s="2" t="s">
        <v>5605</v>
      </c>
      <c r="C2947" s="2" t="s">
        <v>23</v>
      </c>
      <c r="K2947" s="2">
        <v>10.0</v>
      </c>
      <c r="N2947" s="6">
        <v>44286.0</v>
      </c>
      <c r="Q2947" s="2" t="s">
        <v>1145</v>
      </c>
    </row>
    <row r="2948">
      <c r="A2948" s="2">
        <v>2947.0</v>
      </c>
      <c r="B2948" s="2" t="s">
        <v>5606</v>
      </c>
      <c r="C2948" s="2" t="s">
        <v>23</v>
      </c>
      <c r="N2948" s="6">
        <v>44184.0</v>
      </c>
      <c r="Q2948" s="2" t="s">
        <v>491</v>
      </c>
    </row>
    <row r="2949">
      <c r="A2949" s="2">
        <v>2948.0</v>
      </c>
      <c r="B2949" s="2" t="s">
        <v>5607</v>
      </c>
      <c r="C2949" s="2" t="s">
        <v>23</v>
      </c>
      <c r="K2949" s="2">
        <v>10.0</v>
      </c>
      <c r="N2949" s="6">
        <v>45580.0</v>
      </c>
      <c r="Q2949" s="2" t="s">
        <v>2876</v>
      </c>
    </row>
    <row r="2950">
      <c r="A2950" s="2">
        <v>2949.0</v>
      </c>
      <c r="B2950" s="2" t="s">
        <v>5608</v>
      </c>
      <c r="C2950" s="2" t="s">
        <v>23</v>
      </c>
      <c r="K2950" s="2">
        <v>200.0</v>
      </c>
      <c r="N2950" s="6">
        <v>44698.0</v>
      </c>
      <c r="Q2950" s="2" t="s">
        <v>60</v>
      </c>
    </row>
    <row r="2951">
      <c r="A2951" s="2">
        <v>2950.0</v>
      </c>
      <c r="B2951" s="2" t="s">
        <v>5609</v>
      </c>
      <c r="C2951" s="2" t="s">
        <v>23</v>
      </c>
      <c r="N2951" s="6">
        <v>45963.0</v>
      </c>
      <c r="Q2951" s="2" t="s">
        <v>5610</v>
      </c>
    </row>
    <row r="2952">
      <c r="A2952" s="2">
        <v>2951.0</v>
      </c>
      <c r="B2952" s="2" t="s">
        <v>5611</v>
      </c>
      <c r="C2952" s="2" t="s">
        <v>23</v>
      </c>
      <c r="K2952" s="2">
        <v>100.0</v>
      </c>
      <c r="N2952" s="6">
        <v>44172.0</v>
      </c>
      <c r="Q2952" s="2" t="s">
        <v>1521</v>
      </c>
    </row>
    <row r="2953">
      <c r="A2953" s="2">
        <v>2952.0</v>
      </c>
      <c r="B2953" s="2" t="s">
        <v>5612</v>
      </c>
      <c r="C2953" s="2" t="s">
        <v>23</v>
      </c>
      <c r="K2953" s="2">
        <v>150.0</v>
      </c>
      <c r="N2953" s="6">
        <v>45604.0</v>
      </c>
      <c r="Q2953" s="2" t="s">
        <v>5613</v>
      </c>
    </row>
    <row r="2954">
      <c r="A2954" s="2">
        <v>2953.0</v>
      </c>
      <c r="B2954" s="2" t="s">
        <v>5614</v>
      </c>
      <c r="C2954" s="2" t="s">
        <v>23</v>
      </c>
      <c r="K2954" s="2">
        <v>350.0</v>
      </c>
      <c r="N2954" s="6">
        <v>43873.0</v>
      </c>
      <c r="Q2954" s="2" t="s">
        <v>5615</v>
      </c>
    </row>
    <row r="2955">
      <c r="A2955" s="2">
        <v>2954.0</v>
      </c>
      <c r="B2955" s="2" t="s">
        <v>5616</v>
      </c>
      <c r="C2955" s="2" t="s">
        <v>23</v>
      </c>
      <c r="K2955" s="2">
        <v>50.0</v>
      </c>
      <c r="N2955" s="6">
        <v>45467.0</v>
      </c>
      <c r="Q2955" s="2" t="s">
        <v>1635</v>
      </c>
    </row>
    <row r="2956">
      <c r="A2956" s="2">
        <v>2955.0</v>
      </c>
      <c r="B2956" s="2" t="s">
        <v>5617</v>
      </c>
      <c r="C2956" s="2" t="s">
        <v>23</v>
      </c>
      <c r="N2956" s="6">
        <v>45117.0</v>
      </c>
      <c r="Q2956" s="2" t="s">
        <v>86</v>
      </c>
    </row>
    <row r="2957">
      <c r="A2957" s="2">
        <v>2956.0</v>
      </c>
      <c r="B2957" s="2" t="s">
        <v>5618</v>
      </c>
      <c r="C2957" s="2" t="s">
        <v>23</v>
      </c>
      <c r="K2957" s="2">
        <v>30.0</v>
      </c>
      <c r="N2957" s="6">
        <v>44874.0</v>
      </c>
      <c r="Q2957" s="2" t="s">
        <v>5619</v>
      </c>
    </row>
    <row r="2958">
      <c r="A2958" s="2">
        <v>2957.0</v>
      </c>
      <c r="B2958" s="2" t="s">
        <v>5620</v>
      </c>
      <c r="C2958" s="2" t="s">
        <v>23</v>
      </c>
      <c r="N2958" s="6">
        <v>44964.0</v>
      </c>
      <c r="Q2958" s="2" t="s">
        <v>86</v>
      </c>
    </row>
    <row r="2959">
      <c r="A2959" s="2">
        <v>2958.0</v>
      </c>
      <c r="B2959" s="2" t="s">
        <v>5621</v>
      </c>
      <c r="C2959" s="2" t="s">
        <v>23</v>
      </c>
      <c r="K2959" s="2">
        <v>10.0</v>
      </c>
      <c r="N2959" s="6">
        <v>45566.0</v>
      </c>
      <c r="Q2959" s="2" t="s">
        <v>1867</v>
      </c>
    </row>
    <row r="2960">
      <c r="A2960" s="2">
        <v>2959.0</v>
      </c>
      <c r="B2960" s="2" t="s">
        <v>5622</v>
      </c>
      <c r="C2960" s="2" t="s">
        <v>23</v>
      </c>
      <c r="N2960" s="6">
        <v>44434.0</v>
      </c>
      <c r="Q2960" s="2" t="s">
        <v>86</v>
      </c>
    </row>
    <row r="2961">
      <c r="A2961" s="2">
        <v>2960.0</v>
      </c>
      <c r="B2961" s="2" t="s">
        <v>5623</v>
      </c>
      <c r="C2961" s="2" t="s">
        <v>23</v>
      </c>
      <c r="K2961" s="2">
        <v>100.0</v>
      </c>
      <c r="N2961" s="6">
        <v>43959.0</v>
      </c>
      <c r="Q2961" s="2" t="s">
        <v>60</v>
      </c>
    </row>
    <row r="2962">
      <c r="A2962" s="2">
        <v>2961.0</v>
      </c>
      <c r="B2962" s="2" t="s">
        <v>5624</v>
      </c>
      <c r="C2962" s="2" t="s">
        <v>23</v>
      </c>
      <c r="N2962" s="6">
        <v>44644.0</v>
      </c>
      <c r="Q2962" s="2" t="s">
        <v>86</v>
      </c>
    </row>
    <row r="2963">
      <c r="A2963" s="2">
        <v>2962.0</v>
      </c>
      <c r="B2963" s="2" t="s">
        <v>5625</v>
      </c>
      <c r="C2963" s="2" t="s">
        <v>23</v>
      </c>
      <c r="K2963" s="2">
        <v>30.0</v>
      </c>
      <c r="N2963" s="6">
        <v>44613.0</v>
      </c>
      <c r="Q2963" s="2" t="s">
        <v>86</v>
      </c>
    </row>
    <row r="2964">
      <c r="A2964" s="2">
        <v>2963.0</v>
      </c>
      <c r="B2964" s="2" t="s">
        <v>5626</v>
      </c>
      <c r="C2964" s="2" t="s">
        <v>23</v>
      </c>
      <c r="K2964" s="2">
        <v>60.0</v>
      </c>
      <c r="N2964" s="6">
        <v>45368.0</v>
      </c>
      <c r="Q2964" s="2" t="s">
        <v>5627</v>
      </c>
    </row>
    <row r="2965">
      <c r="A2965" s="2">
        <v>2964.0</v>
      </c>
      <c r="B2965" s="2" t="s">
        <v>5628</v>
      </c>
      <c r="C2965" s="2" t="s">
        <v>23</v>
      </c>
      <c r="N2965" s="6">
        <v>43995.0</v>
      </c>
      <c r="Q2965" s="2" t="s">
        <v>86</v>
      </c>
    </row>
    <row r="2966">
      <c r="A2966" s="2">
        <v>2965.0</v>
      </c>
      <c r="B2966" s="2" t="s">
        <v>5629</v>
      </c>
      <c r="C2966" s="2" t="s">
        <v>23</v>
      </c>
      <c r="K2966" s="2">
        <v>40.0</v>
      </c>
      <c r="N2966" s="6">
        <v>43950.0</v>
      </c>
      <c r="Q2966" s="2" t="s">
        <v>5630</v>
      </c>
    </row>
    <row r="2967">
      <c r="A2967" s="2">
        <v>2966.0</v>
      </c>
      <c r="B2967" s="2" t="s">
        <v>5631</v>
      </c>
      <c r="C2967" s="2" t="s">
        <v>23</v>
      </c>
      <c r="N2967" s="6">
        <v>44139.0</v>
      </c>
      <c r="Q2967" s="2" t="s">
        <v>86</v>
      </c>
    </row>
    <row r="2968">
      <c r="A2968" s="2">
        <v>2967.0</v>
      </c>
      <c r="B2968" s="2" t="s">
        <v>210</v>
      </c>
      <c r="C2968" s="2" t="s">
        <v>23</v>
      </c>
      <c r="N2968" s="6">
        <v>45244.0</v>
      </c>
      <c r="Q2968" s="2" t="s">
        <v>86</v>
      </c>
    </row>
    <row r="2969">
      <c r="A2969" s="2">
        <v>2968.0</v>
      </c>
      <c r="B2969" s="2" t="s">
        <v>5632</v>
      </c>
      <c r="C2969" s="2" t="s">
        <v>23</v>
      </c>
      <c r="K2969" s="2">
        <v>100.0</v>
      </c>
      <c r="N2969" s="6">
        <v>44687.0</v>
      </c>
      <c r="Q2969" s="2" t="s">
        <v>86</v>
      </c>
    </row>
    <row r="2970">
      <c r="A2970" s="2">
        <v>2969.0</v>
      </c>
      <c r="B2970" s="2" t="s">
        <v>5633</v>
      </c>
      <c r="C2970" s="2" t="s">
        <v>23</v>
      </c>
      <c r="K2970" s="2">
        <v>30.0</v>
      </c>
      <c r="N2970" s="6">
        <v>44635.0</v>
      </c>
      <c r="Q2970" s="2" t="s">
        <v>1466</v>
      </c>
    </row>
    <row r="2971">
      <c r="A2971" s="2">
        <v>2970.0</v>
      </c>
      <c r="B2971" s="2" t="s">
        <v>216</v>
      </c>
      <c r="C2971" s="2" t="s">
        <v>23</v>
      </c>
      <c r="K2971" s="2">
        <v>30.0</v>
      </c>
      <c r="N2971" s="6">
        <v>45496.0</v>
      </c>
      <c r="Q2971" s="2" t="s">
        <v>219</v>
      </c>
    </row>
    <row r="2972">
      <c r="A2972" s="2">
        <v>2971.0</v>
      </c>
      <c r="B2972" s="2" t="s">
        <v>5634</v>
      </c>
      <c r="C2972" s="2" t="s">
        <v>23</v>
      </c>
      <c r="K2972" s="2">
        <v>200.0</v>
      </c>
      <c r="N2972" s="6">
        <v>44880.0</v>
      </c>
      <c r="Q2972" s="2" t="s">
        <v>5635</v>
      </c>
    </row>
    <row r="2973">
      <c r="A2973" s="2">
        <v>2972.0</v>
      </c>
      <c r="B2973" s="2" t="s">
        <v>5636</v>
      </c>
      <c r="C2973" s="2" t="s">
        <v>23</v>
      </c>
      <c r="K2973" s="2">
        <v>10.0</v>
      </c>
      <c r="N2973" s="6">
        <v>43339.0</v>
      </c>
      <c r="Q2973" s="2" t="s">
        <v>86</v>
      </c>
    </row>
    <row r="2974">
      <c r="A2974" s="2">
        <v>2973.0</v>
      </c>
      <c r="B2974" s="2" t="s">
        <v>5637</v>
      </c>
      <c r="C2974" s="2" t="s">
        <v>23</v>
      </c>
      <c r="N2974" s="6">
        <v>44044.0</v>
      </c>
      <c r="Q2974" s="2" t="s">
        <v>86</v>
      </c>
    </row>
    <row r="2975">
      <c r="A2975" s="2">
        <v>2974.0</v>
      </c>
      <c r="B2975" s="2" t="s">
        <v>5638</v>
      </c>
      <c r="C2975" s="2" t="s">
        <v>23</v>
      </c>
      <c r="K2975" s="2">
        <v>50.0</v>
      </c>
      <c r="N2975" s="6">
        <v>44454.0</v>
      </c>
      <c r="Q2975" s="2" t="s">
        <v>200</v>
      </c>
    </row>
    <row r="2976">
      <c r="A2976" s="2">
        <v>2975.0</v>
      </c>
      <c r="B2976" s="2" t="s">
        <v>5639</v>
      </c>
      <c r="C2976" s="2" t="s">
        <v>23</v>
      </c>
      <c r="K2976" s="2">
        <v>30.0</v>
      </c>
      <c r="N2976" s="6">
        <v>44294.0</v>
      </c>
      <c r="Q2976" s="2" t="s">
        <v>5640</v>
      </c>
    </row>
    <row r="2977">
      <c r="A2977" s="2">
        <v>2976.0</v>
      </c>
      <c r="B2977" s="2" t="s">
        <v>5641</v>
      </c>
      <c r="C2977" s="2" t="s">
        <v>23</v>
      </c>
      <c r="K2977" s="2">
        <v>150.0</v>
      </c>
      <c r="N2977" s="6">
        <v>44412.0</v>
      </c>
      <c r="Q2977" s="2" t="s">
        <v>5642</v>
      </c>
    </row>
    <row r="2978">
      <c r="A2978" s="2">
        <v>2977.0</v>
      </c>
      <c r="B2978" s="2" t="s">
        <v>5643</v>
      </c>
      <c r="C2978" s="2" t="s">
        <v>23</v>
      </c>
      <c r="K2978" s="2">
        <v>70.0</v>
      </c>
      <c r="N2978" s="6">
        <v>43916.0</v>
      </c>
      <c r="Q2978" s="2" t="s">
        <v>86</v>
      </c>
    </row>
    <row r="2979">
      <c r="A2979" s="2">
        <v>2978.0</v>
      </c>
      <c r="B2979" s="2" t="s">
        <v>5644</v>
      </c>
      <c r="C2979" s="2" t="s">
        <v>23</v>
      </c>
      <c r="K2979" s="2">
        <v>10.0</v>
      </c>
      <c r="N2979" s="6">
        <v>44322.0</v>
      </c>
      <c r="Q2979" s="2" t="s">
        <v>86</v>
      </c>
    </row>
    <row r="2980">
      <c r="A2980" s="2">
        <v>2979.0</v>
      </c>
      <c r="B2980" s="2" t="s">
        <v>5645</v>
      </c>
      <c r="C2980" s="2" t="s">
        <v>23</v>
      </c>
      <c r="K2980" s="2">
        <v>40.0</v>
      </c>
      <c r="N2980" s="6">
        <v>44475.0</v>
      </c>
      <c r="Q2980" s="2" t="s">
        <v>5646</v>
      </c>
    </row>
    <row r="2981">
      <c r="A2981" s="2">
        <v>2980.0</v>
      </c>
      <c r="B2981" s="2" t="s">
        <v>5647</v>
      </c>
      <c r="C2981" s="2" t="s">
        <v>23</v>
      </c>
      <c r="N2981" s="6">
        <v>46154.0</v>
      </c>
      <c r="Q2981" s="2" t="s">
        <v>5648</v>
      </c>
    </row>
    <row r="2982">
      <c r="A2982" s="2">
        <v>2981.0</v>
      </c>
      <c r="B2982" s="2" t="s">
        <v>5649</v>
      </c>
      <c r="C2982" s="2" t="s">
        <v>23</v>
      </c>
      <c r="N2982" s="6">
        <v>42279.0</v>
      </c>
      <c r="Q2982" s="2" t="s">
        <v>86</v>
      </c>
    </row>
    <row r="2983">
      <c r="A2983" s="2">
        <v>2982.0</v>
      </c>
      <c r="B2983" s="2" t="s">
        <v>5650</v>
      </c>
      <c r="C2983" s="2" t="s">
        <v>23</v>
      </c>
      <c r="K2983" s="2">
        <v>70.0</v>
      </c>
      <c r="N2983" s="6">
        <v>45635.0</v>
      </c>
      <c r="Q2983" s="2" t="s">
        <v>5651</v>
      </c>
    </row>
    <row r="2984">
      <c r="A2984" s="2">
        <v>2983.0</v>
      </c>
      <c r="B2984" s="2" t="s">
        <v>5652</v>
      </c>
      <c r="C2984" s="2" t="s">
        <v>23</v>
      </c>
      <c r="K2984" s="2">
        <v>30.0</v>
      </c>
      <c r="N2984" s="6">
        <v>44193.0</v>
      </c>
      <c r="Q2984" s="2" t="s">
        <v>1315</v>
      </c>
    </row>
    <row r="2985">
      <c r="A2985" s="2">
        <v>2984.0</v>
      </c>
      <c r="B2985" s="2" t="s">
        <v>5653</v>
      </c>
      <c r="C2985" s="2" t="s">
        <v>23</v>
      </c>
      <c r="N2985" s="6">
        <v>44724.0</v>
      </c>
      <c r="Q2985" s="2" t="s">
        <v>86</v>
      </c>
    </row>
    <row r="2986">
      <c r="A2986" s="2">
        <v>2985.0</v>
      </c>
      <c r="B2986" s="2" t="s">
        <v>5654</v>
      </c>
      <c r="C2986" s="2" t="s">
        <v>23</v>
      </c>
      <c r="K2986" s="2">
        <v>30.0</v>
      </c>
      <c r="N2986" s="6">
        <v>45449.0</v>
      </c>
      <c r="Q2986" s="2" t="s">
        <v>5655</v>
      </c>
    </row>
    <row r="2987">
      <c r="A2987" s="2">
        <v>2986.0</v>
      </c>
      <c r="B2987" s="2" t="s">
        <v>5656</v>
      </c>
      <c r="C2987" s="2" t="s">
        <v>23</v>
      </c>
      <c r="K2987" s="2">
        <v>20.0</v>
      </c>
      <c r="N2987" s="6">
        <v>43332.0</v>
      </c>
      <c r="Q2987" s="2" t="s">
        <v>5657</v>
      </c>
    </row>
    <row r="2988">
      <c r="A2988" s="2">
        <v>2987.0</v>
      </c>
      <c r="B2988" s="2" t="s">
        <v>5658</v>
      </c>
      <c r="C2988" s="2" t="s">
        <v>23</v>
      </c>
      <c r="N2988" s="6">
        <v>44297.0</v>
      </c>
      <c r="Q2988" s="2" t="s">
        <v>86</v>
      </c>
    </row>
    <row r="2989">
      <c r="A2989" s="2">
        <v>2988.0</v>
      </c>
      <c r="B2989" s="2" t="s">
        <v>5659</v>
      </c>
      <c r="C2989" s="2" t="s">
        <v>23</v>
      </c>
      <c r="N2989" s="6">
        <v>44295.0</v>
      </c>
      <c r="Q2989" s="2" t="s">
        <v>86</v>
      </c>
    </row>
    <row r="2990">
      <c r="A2990" s="2">
        <v>2989.0</v>
      </c>
      <c r="B2990" s="2" t="s">
        <v>5660</v>
      </c>
      <c r="C2990" s="2" t="s">
        <v>23</v>
      </c>
      <c r="N2990" s="6">
        <v>42914.0</v>
      </c>
      <c r="Q2990" s="2" t="s">
        <v>86</v>
      </c>
    </row>
    <row r="2991">
      <c r="A2991" s="2">
        <v>2990.0</v>
      </c>
      <c r="B2991" s="2" t="s">
        <v>5661</v>
      </c>
      <c r="C2991" s="2" t="s">
        <v>23</v>
      </c>
      <c r="N2991" s="6">
        <v>43862.0</v>
      </c>
      <c r="Q2991" s="2" t="s">
        <v>86</v>
      </c>
    </row>
    <row r="2992">
      <c r="A2992" s="2">
        <v>2991.0</v>
      </c>
      <c r="B2992" s="2" t="s">
        <v>5662</v>
      </c>
      <c r="C2992" s="2" t="s">
        <v>23</v>
      </c>
      <c r="N2992" s="6">
        <v>45105.0</v>
      </c>
      <c r="Q2992" s="2" t="s">
        <v>5663</v>
      </c>
    </row>
    <row r="2993">
      <c r="A2993" s="2">
        <v>2992.0</v>
      </c>
      <c r="B2993" s="2" t="s">
        <v>5664</v>
      </c>
      <c r="C2993" s="2" t="s">
        <v>23</v>
      </c>
      <c r="N2993" s="6">
        <v>45720.0</v>
      </c>
      <c r="Q2993" s="2" t="s">
        <v>2827</v>
      </c>
    </row>
    <row r="2994">
      <c r="A2994" s="2">
        <v>2993.0</v>
      </c>
      <c r="B2994" s="2" t="s">
        <v>5665</v>
      </c>
      <c r="C2994" s="2" t="s">
        <v>23</v>
      </c>
      <c r="K2994" s="2">
        <v>100.0</v>
      </c>
      <c r="N2994" s="6">
        <v>44355.0</v>
      </c>
      <c r="Q2994" s="2" t="s">
        <v>5666</v>
      </c>
    </row>
    <row r="2995">
      <c r="A2995" s="2">
        <v>2994.0</v>
      </c>
      <c r="B2995" s="2" t="s">
        <v>5667</v>
      </c>
      <c r="C2995" s="2" t="s">
        <v>23</v>
      </c>
      <c r="K2995" s="2">
        <v>1000.0</v>
      </c>
      <c r="N2995" s="6">
        <v>43856.0</v>
      </c>
      <c r="Q2995" s="2" t="s">
        <v>5668</v>
      </c>
    </row>
    <row r="2996">
      <c r="A2996" s="2">
        <v>2995.0</v>
      </c>
      <c r="B2996" s="2" t="s">
        <v>5669</v>
      </c>
      <c r="C2996" s="2" t="s">
        <v>23</v>
      </c>
      <c r="K2996" s="2">
        <v>500.0</v>
      </c>
      <c r="N2996" s="6">
        <v>43911.0</v>
      </c>
      <c r="Q2996" s="2" t="s">
        <v>5670</v>
      </c>
    </row>
    <row r="2997">
      <c r="A2997" s="2">
        <v>2996.0</v>
      </c>
      <c r="B2997" s="2" t="s">
        <v>5671</v>
      </c>
      <c r="C2997" s="2" t="s">
        <v>23</v>
      </c>
      <c r="K2997" s="2">
        <v>50.0</v>
      </c>
      <c r="N2997" s="6">
        <v>45639.0</v>
      </c>
      <c r="Q2997" s="2" t="s">
        <v>5672</v>
      </c>
    </row>
    <row r="2998">
      <c r="A2998" s="2">
        <v>2997.0</v>
      </c>
      <c r="B2998" s="2" t="s">
        <v>222</v>
      </c>
      <c r="C2998" s="2" t="s">
        <v>23</v>
      </c>
      <c r="N2998" s="6">
        <v>45346.0</v>
      </c>
      <c r="Q2998" s="2" t="s">
        <v>224</v>
      </c>
    </row>
    <row r="2999">
      <c r="A2999" s="2">
        <v>2998.0</v>
      </c>
      <c r="B2999" s="2" t="s">
        <v>5673</v>
      </c>
      <c r="C2999" s="2" t="s">
        <v>23</v>
      </c>
      <c r="N2999" s="6">
        <v>44276.0</v>
      </c>
      <c r="Q2999" s="2" t="s">
        <v>86</v>
      </c>
    </row>
    <row r="3000">
      <c r="A3000" s="2">
        <v>2999.0</v>
      </c>
      <c r="B3000" s="2" t="s">
        <v>5674</v>
      </c>
      <c r="C3000" s="2" t="s">
        <v>23</v>
      </c>
      <c r="N3000" s="6">
        <v>45341.0</v>
      </c>
      <c r="Q3000" s="2" t="s">
        <v>86</v>
      </c>
    </row>
    <row r="3001">
      <c r="A3001" s="2">
        <v>3000.0</v>
      </c>
      <c r="B3001" s="2" t="s">
        <v>5675</v>
      </c>
      <c r="C3001" s="2" t="s">
        <v>23</v>
      </c>
      <c r="N3001" s="6">
        <v>45451.0</v>
      </c>
      <c r="Q3001" s="2" t="s">
        <v>2876</v>
      </c>
    </row>
    <row r="3002">
      <c r="A3002" s="2">
        <v>3001.0</v>
      </c>
      <c r="B3002" s="2" t="s">
        <v>5676</v>
      </c>
      <c r="C3002" s="2" t="s">
        <v>23</v>
      </c>
      <c r="N3002" s="6">
        <v>44903.0</v>
      </c>
      <c r="Q3002" s="2" t="s">
        <v>86</v>
      </c>
    </row>
    <row r="3003">
      <c r="A3003" s="2">
        <v>3002.0</v>
      </c>
      <c r="B3003" s="2" t="s">
        <v>5677</v>
      </c>
      <c r="C3003" s="2" t="s">
        <v>23</v>
      </c>
      <c r="K3003" s="2">
        <v>30.0</v>
      </c>
      <c r="N3003" s="6">
        <v>45676.0</v>
      </c>
      <c r="Q3003" s="2" t="s">
        <v>5678</v>
      </c>
    </row>
    <row r="3004">
      <c r="A3004" s="2">
        <v>3003.0</v>
      </c>
      <c r="B3004" s="2" t="s">
        <v>5679</v>
      </c>
      <c r="C3004" s="2" t="s">
        <v>23</v>
      </c>
      <c r="N3004" s="6">
        <v>44261.0</v>
      </c>
      <c r="Q3004" s="2" t="s">
        <v>86</v>
      </c>
    </row>
    <row r="3005">
      <c r="A3005" s="2">
        <v>3004.0</v>
      </c>
      <c r="B3005" s="2" t="s">
        <v>5680</v>
      </c>
      <c r="C3005" s="2" t="s">
        <v>23</v>
      </c>
      <c r="K3005" s="2">
        <v>10.0</v>
      </c>
      <c r="N3005" s="6">
        <v>44611.0</v>
      </c>
      <c r="Q3005" s="2" t="s">
        <v>86</v>
      </c>
    </row>
    <row r="3006">
      <c r="A3006" s="2">
        <v>3005.0</v>
      </c>
      <c r="B3006" s="2" t="s">
        <v>5681</v>
      </c>
      <c r="C3006" s="2" t="s">
        <v>23</v>
      </c>
      <c r="K3006" s="2">
        <v>10.0</v>
      </c>
      <c r="N3006" s="6">
        <v>44348.0</v>
      </c>
      <c r="Q3006" s="2" t="s">
        <v>1481</v>
      </c>
    </row>
    <row r="3007">
      <c r="A3007" s="2">
        <v>3006.0</v>
      </c>
      <c r="B3007" s="2" t="s">
        <v>5682</v>
      </c>
      <c r="C3007" s="2" t="s">
        <v>23</v>
      </c>
      <c r="N3007" s="6">
        <v>44286.0</v>
      </c>
      <c r="Q3007" s="2" t="s">
        <v>86</v>
      </c>
    </row>
    <row r="3008">
      <c r="A3008" s="2">
        <v>3007.0</v>
      </c>
      <c r="B3008" s="2" t="s">
        <v>5683</v>
      </c>
      <c r="C3008" s="2" t="s">
        <v>23</v>
      </c>
      <c r="N3008" s="6">
        <v>45085.0</v>
      </c>
      <c r="Q3008" s="2" t="s">
        <v>86</v>
      </c>
    </row>
    <row r="3009">
      <c r="A3009" s="2">
        <v>3008.0</v>
      </c>
      <c r="B3009" s="2" t="s">
        <v>5684</v>
      </c>
      <c r="C3009" s="2" t="s">
        <v>23</v>
      </c>
      <c r="N3009" s="6">
        <v>45571.0</v>
      </c>
      <c r="Q3009" s="2" t="s">
        <v>1954</v>
      </c>
    </row>
    <row r="3010">
      <c r="A3010" s="2">
        <v>3009.0</v>
      </c>
      <c r="B3010" s="2" t="s">
        <v>5685</v>
      </c>
      <c r="C3010" s="2" t="s">
        <v>23</v>
      </c>
      <c r="K3010" s="2">
        <v>20.0</v>
      </c>
      <c r="N3010" s="6">
        <v>44544.0</v>
      </c>
      <c r="Q3010" s="2" t="s">
        <v>3416</v>
      </c>
    </row>
    <row r="3011">
      <c r="A3011" s="2">
        <v>3010.0</v>
      </c>
      <c r="B3011" s="2" t="s">
        <v>5686</v>
      </c>
      <c r="C3011" s="2" t="s">
        <v>23</v>
      </c>
      <c r="N3011" s="6">
        <v>42864.0</v>
      </c>
      <c r="Q3011" s="2" t="s">
        <v>86</v>
      </c>
    </row>
    <row r="3012">
      <c r="A3012" s="2">
        <v>3011.0</v>
      </c>
      <c r="B3012" s="2" t="s">
        <v>5687</v>
      </c>
      <c r="C3012" s="2" t="s">
        <v>23</v>
      </c>
      <c r="K3012" s="2">
        <v>50.0</v>
      </c>
      <c r="N3012" s="6">
        <v>44170.0</v>
      </c>
      <c r="Q3012" s="2" t="s">
        <v>2492</v>
      </c>
    </row>
    <row r="3013">
      <c r="A3013" s="2">
        <v>3012.0</v>
      </c>
      <c r="B3013" s="2" t="s">
        <v>5688</v>
      </c>
      <c r="C3013" s="2" t="s">
        <v>23</v>
      </c>
      <c r="K3013" s="2">
        <v>40.0</v>
      </c>
      <c r="N3013" s="6">
        <v>44276.0</v>
      </c>
      <c r="Q3013" s="2" t="s">
        <v>5689</v>
      </c>
    </row>
    <row r="3014">
      <c r="A3014" s="2">
        <v>3013.0</v>
      </c>
      <c r="B3014" s="2" t="s">
        <v>5690</v>
      </c>
      <c r="C3014" s="2" t="s">
        <v>23</v>
      </c>
      <c r="N3014" s="6">
        <v>44894.0</v>
      </c>
      <c r="Q3014" s="2" t="s">
        <v>1131</v>
      </c>
    </row>
    <row r="3015">
      <c r="A3015" s="2">
        <v>3014.0</v>
      </c>
      <c r="B3015" s="2" t="s">
        <v>5691</v>
      </c>
      <c r="C3015" s="2" t="s">
        <v>23</v>
      </c>
      <c r="K3015" s="2">
        <v>50.0</v>
      </c>
      <c r="N3015" s="6">
        <v>45246.0</v>
      </c>
      <c r="Q3015" s="2" t="s">
        <v>5692</v>
      </c>
    </row>
    <row r="3016">
      <c r="A3016" s="2">
        <v>3015.0</v>
      </c>
      <c r="B3016" s="2" t="s">
        <v>5693</v>
      </c>
      <c r="C3016" s="2" t="s">
        <v>23</v>
      </c>
      <c r="N3016" s="6">
        <v>44619.0</v>
      </c>
      <c r="Q3016" s="2" t="s">
        <v>86</v>
      </c>
    </row>
    <row r="3017">
      <c r="A3017" s="2">
        <v>3016.0</v>
      </c>
      <c r="B3017" s="2" t="s">
        <v>5694</v>
      </c>
      <c r="C3017" s="2" t="s">
        <v>23</v>
      </c>
      <c r="K3017" s="2">
        <v>10.0</v>
      </c>
      <c r="N3017" s="6">
        <v>45175.0</v>
      </c>
      <c r="Q3017" s="2" t="s">
        <v>86</v>
      </c>
    </row>
    <row r="3018">
      <c r="A3018" s="2">
        <v>3017.0</v>
      </c>
      <c r="B3018" s="2" t="s">
        <v>5695</v>
      </c>
      <c r="C3018" s="2" t="s">
        <v>23</v>
      </c>
      <c r="K3018" s="2">
        <v>20.0</v>
      </c>
      <c r="N3018" s="6">
        <v>44635.0</v>
      </c>
      <c r="Q3018" s="2" t="s">
        <v>86</v>
      </c>
    </row>
    <row r="3019">
      <c r="A3019" s="2">
        <v>3018.0</v>
      </c>
      <c r="B3019" s="2" t="s">
        <v>5696</v>
      </c>
      <c r="C3019" s="2" t="s">
        <v>23</v>
      </c>
      <c r="K3019" s="2">
        <v>50.0</v>
      </c>
      <c r="N3019" s="6">
        <v>45622.0</v>
      </c>
      <c r="Q3019" s="2" t="s">
        <v>5697</v>
      </c>
    </row>
    <row r="3020">
      <c r="A3020" s="2">
        <v>3019.0</v>
      </c>
      <c r="B3020" s="2" t="s">
        <v>5698</v>
      </c>
      <c r="C3020" s="2" t="s">
        <v>23</v>
      </c>
      <c r="N3020" s="6">
        <v>43901.0</v>
      </c>
      <c r="Q3020" s="2" t="s">
        <v>86</v>
      </c>
    </row>
    <row r="3021">
      <c r="A3021" s="2">
        <v>3020.0</v>
      </c>
      <c r="B3021" s="2" t="s">
        <v>5699</v>
      </c>
      <c r="C3021" s="2" t="s">
        <v>23</v>
      </c>
      <c r="K3021" s="2">
        <v>30.0</v>
      </c>
      <c r="N3021" s="6">
        <v>45085.0</v>
      </c>
      <c r="Q3021" s="2" t="s">
        <v>5700</v>
      </c>
    </row>
    <row r="3022">
      <c r="A3022" s="2">
        <v>3021.0</v>
      </c>
      <c r="B3022" s="2" t="s">
        <v>5701</v>
      </c>
      <c r="C3022" s="2" t="s">
        <v>23</v>
      </c>
      <c r="N3022" s="6">
        <v>44891.0</v>
      </c>
      <c r="Q3022" s="2" t="s">
        <v>86</v>
      </c>
    </row>
    <row r="3023">
      <c r="A3023" s="2">
        <v>3022.0</v>
      </c>
      <c r="B3023" s="2" t="s">
        <v>5702</v>
      </c>
      <c r="C3023" s="2" t="s">
        <v>23</v>
      </c>
      <c r="K3023" s="2">
        <v>20.0</v>
      </c>
      <c r="N3023" s="6">
        <v>44758.0</v>
      </c>
      <c r="Q3023" s="2" t="s">
        <v>200</v>
      </c>
    </row>
    <row r="3024">
      <c r="A3024" s="2">
        <v>3023.0</v>
      </c>
      <c r="B3024" s="2" t="s">
        <v>5703</v>
      </c>
      <c r="C3024" s="2" t="s">
        <v>23</v>
      </c>
      <c r="K3024" s="2">
        <v>40.0</v>
      </c>
      <c r="N3024" s="6">
        <v>43888.0</v>
      </c>
      <c r="Q3024" s="2" t="s">
        <v>5704</v>
      </c>
    </row>
    <row r="3025">
      <c r="A3025" s="2">
        <v>3024.0</v>
      </c>
      <c r="B3025" s="2" t="s">
        <v>5705</v>
      </c>
      <c r="C3025" s="2" t="s">
        <v>23</v>
      </c>
      <c r="N3025" s="6">
        <v>45515.0</v>
      </c>
      <c r="Q3025" s="2" t="s">
        <v>5706</v>
      </c>
    </row>
    <row r="3026">
      <c r="A3026" s="2">
        <v>3025.0</v>
      </c>
      <c r="B3026" s="2" t="s">
        <v>229</v>
      </c>
      <c r="C3026" s="2" t="s">
        <v>23</v>
      </c>
      <c r="K3026" s="2">
        <v>10.0</v>
      </c>
      <c r="N3026" s="6">
        <v>45991.0</v>
      </c>
      <c r="Q3026" s="2" t="s">
        <v>231</v>
      </c>
    </row>
    <row r="3027">
      <c r="A3027" s="2">
        <v>3026.0</v>
      </c>
      <c r="B3027" s="2" t="s">
        <v>5707</v>
      </c>
      <c r="C3027" s="2" t="s">
        <v>23</v>
      </c>
      <c r="K3027" s="2">
        <v>20.0</v>
      </c>
      <c r="N3027" s="6">
        <v>45610.0</v>
      </c>
      <c r="Q3027" s="2" t="s">
        <v>5708</v>
      </c>
    </row>
    <row r="3028">
      <c r="A3028" s="2">
        <v>3027.0</v>
      </c>
      <c r="B3028" s="2" t="s">
        <v>5709</v>
      </c>
      <c r="C3028" s="2" t="s">
        <v>23</v>
      </c>
      <c r="K3028" s="2">
        <v>10.0</v>
      </c>
      <c r="N3028" s="6">
        <v>44691.0</v>
      </c>
      <c r="Q3028" s="2" t="s">
        <v>86</v>
      </c>
    </row>
    <row r="3029">
      <c r="A3029" s="2">
        <v>3028.0</v>
      </c>
      <c r="B3029" s="2" t="s">
        <v>5710</v>
      </c>
      <c r="C3029" s="2" t="s">
        <v>23</v>
      </c>
      <c r="K3029" s="2">
        <v>80.0</v>
      </c>
      <c r="N3029" s="6">
        <v>44540.0</v>
      </c>
      <c r="Q3029" s="2" t="s">
        <v>5711</v>
      </c>
    </row>
    <row r="3030">
      <c r="A3030" s="2">
        <v>3029.0</v>
      </c>
      <c r="B3030" s="2" t="s">
        <v>5712</v>
      </c>
      <c r="C3030" s="2" t="s">
        <v>23</v>
      </c>
      <c r="K3030" s="2">
        <v>40.0</v>
      </c>
      <c r="N3030" s="6">
        <v>44691.0</v>
      </c>
      <c r="Q3030" s="2" t="s">
        <v>1823</v>
      </c>
    </row>
    <row r="3031">
      <c r="A3031" s="2">
        <v>3030.0</v>
      </c>
      <c r="B3031" s="2" t="s">
        <v>5713</v>
      </c>
      <c r="C3031" s="2" t="s">
        <v>23</v>
      </c>
      <c r="K3031" s="2">
        <v>10.0</v>
      </c>
      <c r="N3031" s="6">
        <v>44103.0</v>
      </c>
      <c r="Q3031" s="2" t="s">
        <v>1466</v>
      </c>
    </row>
    <row r="3032">
      <c r="A3032" s="2">
        <v>3031.0</v>
      </c>
      <c r="B3032" s="2" t="s">
        <v>5714</v>
      </c>
      <c r="C3032" s="2" t="s">
        <v>23</v>
      </c>
      <c r="N3032" s="6">
        <v>42357.0</v>
      </c>
      <c r="Q3032" s="2" t="s">
        <v>86</v>
      </c>
    </row>
    <row r="3033">
      <c r="A3033" s="2">
        <v>3032.0</v>
      </c>
      <c r="B3033" s="2" t="s">
        <v>5715</v>
      </c>
      <c r="C3033" s="2" t="s">
        <v>23</v>
      </c>
      <c r="K3033" s="2">
        <v>40.0</v>
      </c>
      <c r="N3033" s="6">
        <v>44009.0</v>
      </c>
      <c r="Q3033" s="2" t="s">
        <v>5716</v>
      </c>
    </row>
    <row r="3034">
      <c r="A3034" s="2">
        <v>3033.0</v>
      </c>
      <c r="B3034" s="2" t="s">
        <v>5717</v>
      </c>
      <c r="C3034" s="2" t="s">
        <v>23</v>
      </c>
      <c r="K3034" s="2">
        <v>10.0</v>
      </c>
      <c r="N3034" s="6">
        <v>43984.0</v>
      </c>
      <c r="Q3034" s="2" t="s">
        <v>1116</v>
      </c>
    </row>
    <row r="3035">
      <c r="A3035" s="2">
        <v>3034.0</v>
      </c>
      <c r="B3035" s="2" t="s">
        <v>5718</v>
      </c>
      <c r="C3035" s="2" t="s">
        <v>23</v>
      </c>
      <c r="N3035" s="6">
        <v>45313.0</v>
      </c>
      <c r="Q3035" s="2" t="s">
        <v>86</v>
      </c>
    </row>
    <row r="3036">
      <c r="A3036" s="2">
        <v>3035.0</v>
      </c>
      <c r="B3036" s="2" t="s">
        <v>5719</v>
      </c>
      <c r="C3036" s="2" t="s">
        <v>23</v>
      </c>
      <c r="K3036" s="2">
        <v>40.0</v>
      </c>
      <c r="N3036" s="6">
        <v>43927.0</v>
      </c>
      <c r="Q3036" s="2" t="s">
        <v>5720</v>
      </c>
    </row>
    <row r="3037">
      <c r="A3037" s="2">
        <v>3036.0</v>
      </c>
      <c r="B3037" s="2" t="s">
        <v>5721</v>
      </c>
      <c r="C3037" s="2" t="s">
        <v>23</v>
      </c>
      <c r="N3037" s="6">
        <v>45699.0</v>
      </c>
      <c r="Q3037" s="2" t="s">
        <v>5722</v>
      </c>
    </row>
    <row r="3038">
      <c r="A3038" s="2">
        <v>3037.0</v>
      </c>
      <c r="B3038" s="2" t="s">
        <v>5723</v>
      </c>
      <c r="C3038" s="2" t="s">
        <v>23</v>
      </c>
      <c r="K3038" s="2">
        <v>10.0</v>
      </c>
      <c r="N3038" s="6">
        <v>45053.0</v>
      </c>
      <c r="Q3038" s="2" t="s">
        <v>2794</v>
      </c>
    </row>
    <row r="3039">
      <c r="A3039" s="2">
        <v>3038.0</v>
      </c>
      <c r="B3039" s="2" t="s">
        <v>5724</v>
      </c>
      <c r="C3039" s="2" t="s">
        <v>23</v>
      </c>
      <c r="N3039" s="6">
        <v>44750.0</v>
      </c>
      <c r="Q3039" s="2" t="s">
        <v>86</v>
      </c>
    </row>
    <row r="3040">
      <c r="A3040" s="2">
        <v>3039.0</v>
      </c>
      <c r="B3040" s="2" t="s">
        <v>5725</v>
      </c>
      <c r="C3040" s="2" t="s">
        <v>23</v>
      </c>
      <c r="K3040" s="2">
        <v>20.0</v>
      </c>
      <c r="N3040" s="6">
        <v>44360.0</v>
      </c>
      <c r="Q3040" s="2" t="s">
        <v>5726</v>
      </c>
    </row>
    <row r="3041">
      <c r="A3041" s="2">
        <v>3040.0</v>
      </c>
      <c r="B3041" s="2" t="s">
        <v>5727</v>
      </c>
      <c r="C3041" s="2" t="s">
        <v>23</v>
      </c>
      <c r="K3041" s="2">
        <v>20.0</v>
      </c>
      <c r="N3041" s="6">
        <v>45615.0</v>
      </c>
      <c r="Q3041" s="2" t="s">
        <v>5728</v>
      </c>
    </row>
    <row r="3042">
      <c r="A3042" s="2">
        <v>3041.0</v>
      </c>
      <c r="B3042" s="2" t="s">
        <v>5729</v>
      </c>
      <c r="C3042" s="2" t="s">
        <v>23</v>
      </c>
      <c r="K3042" s="2">
        <v>30.0</v>
      </c>
      <c r="N3042" s="6">
        <v>45450.0</v>
      </c>
      <c r="Q3042" s="2" t="s">
        <v>3400</v>
      </c>
    </row>
    <row r="3043">
      <c r="A3043" s="2">
        <v>3042.0</v>
      </c>
      <c r="B3043" s="2" t="s">
        <v>5730</v>
      </c>
      <c r="C3043" s="2" t="s">
        <v>23</v>
      </c>
      <c r="N3043" s="6">
        <v>45943.0</v>
      </c>
      <c r="Q3043" s="2" t="s">
        <v>5731</v>
      </c>
    </row>
    <row r="3044">
      <c r="A3044" s="2">
        <v>3043.0</v>
      </c>
      <c r="B3044" s="2" t="s">
        <v>5732</v>
      </c>
      <c r="C3044" s="2" t="s">
        <v>23</v>
      </c>
      <c r="K3044" s="2">
        <v>20.0</v>
      </c>
      <c r="N3044" s="6">
        <v>44265.0</v>
      </c>
      <c r="Q3044" s="2" t="s">
        <v>86</v>
      </c>
    </row>
    <row r="3045">
      <c r="A3045" s="2">
        <v>3044.0</v>
      </c>
      <c r="B3045" s="2" t="s">
        <v>5733</v>
      </c>
      <c r="C3045" s="2" t="s">
        <v>23</v>
      </c>
      <c r="N3045" s="6">
        <v>44565.0</v>
      </c>
      <c r="Q3045" s="2" t="s">
        <v>5734</v>
      </c>
    </row>
    <row r="3046">
      <c r="A3046" s="2">
        <v>3045.0</v>
      </c>
      <c r="B3046" s="2" t="s">
        <v>5735</v>
      </c>
      <c r="C3046" s="2" t="s">
        <v>23</v>
      </c>
      <c r="K3046" s="2">
        <v>80.0</v>
      </c>
      <c r="N3046" s="6">
        <v>42550.0</v>
      </c>
      <c r="Q3046" s="2" t="s">
        <v>5736</v>
      </c>
    </row>
    <row r="3047">
      <c r="A3047" s="2">
        <v>3046.0</v>
      </c>
      <c r="B3047" s="2" t="s">
        <v>5737</v>
      </c>
      <c r="C3047" s="2" t="s">
        <v>23</v>
      </c>
      <c r="K3047" s="2">
        <v>90.0</v>
      </c>
      <c r="N3047" s="6">
        <v>44297.0</v>
      </c>
      <c r="Q3047" s="2" t="s">
        <v>5323</v>
      </c>
    </row>
    <row r="3048">
      <c r="A3048" s="2">
        <v>3047.0</v>
      </c>
      <c r="B3048" s="2" t="s">
        <v>5738</v>
      </c>
      <c r="C3048" s="2" t="s">
        <v>23</v>
      </c>
      <c r="N3048" s="6">
        <v>44761.0</v>
      </c>
      <c r="Q3048" s="2" t="s">
        <v>86</v>
      </c>
    </row>
    <row r="3049">
      <c r="A3049" s="2">
        <v>3048.0</v>
      </c>
      <c r="B3049" s="2" t="s">
        <v>5739</v>
      </c>
      <c r="C3049" s="2" t="s">
        <v>23</v>
      </c>
      <c r="N3049" s="6">
        <v>43948.0</v>
      </c>
      <c r="Q3049" s="2" t="s">
        <v>86</v>
      </c>
    </row>
    <row r="3050">
      <c r="A3050" s="2">
        <v>3049.0</v>
      </c>
      <c r="B3050" s="2" t="s">
        <v>5740</v>
      </c>
      <c r="C3050" s="2" t="s">
        <v>23</v>
      </c>
      <c r="K3050" s="2">
        <v>30.0</v>
      </c>
      <c r="N3050" s="6">
        <v>43908.0</v>
      </c>
      <c r="Q3050" s="2" t="s">
        <v>5741</v>
      </c>
    </row>
    <row r="3051">
      <c r="A3051" s="2">
        <v>3050.0</v>
      </c>
      <c r="B3051" s="2" t="s">
        <v>5742</v>
      </c>
      <c r="C3051" s="2" t="s">
        <v>23</v>
      </c>
      <c r="K3051" s="2">
        <v>20.0</v>
      </c>
      <c r="N3051" s="6">
        <v>44634.0</v>
      </c>
      <c r="Q3051" s="2" t="s">
        <v>5743</v>
      </c>
    </row>
    <row r="3052">
      <c r="A3052" s="2">
        <v>3051.0</v>
      </c>
      <c r="B3052" s="2" t="s">
        <v>5744</v>
      </c>
      <c r="C3052" s="2" t="s">
        <v>23</v>
      </c>
      <c r="N3052" s="6">
        <v>44759.0</v>
      </c>
      <c r="Q3052" s="2" t="s">
        <v>86</v>
      </c>
    </row>
    <row r="3053">
      <c r="A3053" s="2">
        <v>3052.0</v>
      </c>
      <c r="B3053" s="2" t="s">
        <v>5745</v>
      </c>
      <c r="C3053" s="2" t="s">
        <v>23</v>
      </c>
      <c r="K3053" s="2">
        <v>20.0</v>
      </c>
      <c r="N3053" s="6">
        <v>43142.0</v>
      </c>
      <c r="Q3053" s="2" t="s">
        <v>5746</v>
      </c>
    </row>
    <row r="3054">
      <c r="A3054" s="2">
        <v>3053.0</v>
      </c>
      <c r="B3054" s="2" t="s">
        <v>5747</v>
      </c>
      <c r="C3054" s="2" t="s">
        <v>23</v>
      </c>
      <c r="N3054" s="6">
        <v>43853.0</v>
      </c>
      <c r="Q3054" s="2" t="s">
        <v>5748</v>
      </c>
    </row>
    <row r="3055">
      <c r="A3055" s="2">
        <v>3054.0</v>
      </c>
      <c r="B3055" s="2" t="s">
        <v>5749</v>
      </c>
      <c r="C3055" s="2" t="s">
        <v>23</v>
      </c>
      <c r="K3055" s="2">
        <v>10.0</v>
      </c>
      <c r="N3055" s="6">
        <v>44211.0</v>
      </c>
      <c r="Q3055" s="2" t="s">
        <v>1249</v>
      </c>
    </row>
    <row r="3056">
      <c r="A3056" s="2">
        <v>3055.0</v>
      </c>
      <c r="B3056" s="2" t="s">
        <v>5750</v>
      </c>
      <c r="C3056" s="2" t="s">
        <v>23</v>
      </c>
      <c r="K3056" s="2">
        <v>50.0</v>
      </c>
      <c r="N3056" s="6">
        <v>44641.0</v>
      </c>
      <c r="Q3056" s="2" t="s">
        <v>60</v>
      </c>
    </row>
    <row r="3057">
      <c r="A3057" s="2">
        <v>3056.0</v>
      </c>
      <c r="B3057" s="2" t="s">
        <v>5751</v>
      </c>
      <c r="C3057" s="2" t="s">
        <v>23</v>
      </c>
      <c r="N3057" s="6">
        <v>45136.0</v>
      </c>
      <c r="Q3057" s="2" t="s">
        <v>5200</v>
      </c>
    </row>
    <row r="3058">
      <c r="A3058" s="2">
        <v>3057.0</v>
      </c>
      <c r="B3058" s="2" t="s">
        <v>5752</v>
      </c>
      <c r="C3058" s="2" t="s">
        <v>23</v>
      </c>
      <c r="K3058" s="2">
        <v>70.0</v>
      </c>
      <c r="N3058" s="6">
        <v>45130.0</v>
      </c>
      <c r="Q3058" s="2" t="s">
        <v>3075</v>
      </c>
    </row>
    <row r="3059">
      <c r="A3059" s="2">
        <v>3058.0</v>
      </c>
      <c r="B3059" s="2" t="s">
        <v>5753</v>
      </c>
      <c r="C3059" s="2" t="s">
        <v>23</v>
      </c>
      <c r="K3059" s="2">
        <v>100.0</v>
      </c>
      <c r="N3059" s="6">
        <v>45429.0</v>
      </c>
      <c r="Q3059" s="2" t="s">
        <v>5754</v>
      </c>
    </row>
    <row r="3060">
      <c r="A3060" s="2">
        <v>3059.0</v>
      </c>
      <c r="B3060" s="2" t="s">
        <v>5755</v>
      </c>
      <c r="C3060" s="2" t="s">
        <v>23</v>
      </c>
      <c r="N3060" s="6">
        <v>44427.0</v>
      </c>
      <c r="Q3060" s="2" t="s">
        <v>86</v>
      </c>
    </row>
    <row r="3061">
      <c r="A3061" s="2">
        <v>3060.0</v>
      </c>
      <c r="B3061" s="2" t="s">
        <v>5756</v>
      </c>
      <c r="C3061" s="2" t="s">
        <v>23</v>
      </c>
      <c r="K3061" s="2">
        <v>60.0</v>
      </c>
      <c r="N3061" s="6">
        <v>44251.0</v>
      </c>
      <c r="Q3061" s="2" t="s">
        <v>1156</v>
      </c>
    </row>
    <row r="3062">
      <c r="A3062" s="2">
        <v>3061.0</v>
      </c>
      <c r="B3062" s="2" t="s">
        <v>5757</v>
      </c>
      <c r="C3062" s="2" t="s">
        <v>23</v>
      </c>
      <c r="K3062" s="2">
        <v>30.0</v>
      </c>
      <c r="N3062" s="6">
        <v>44725.0</v>
      </c>
      <c r="Q3062" s="2" t="s">
        <v>1466</v>
      </c>
    </row>
    <row r="3063">
      <c r="A3063" s="2">
        <v>3062.0</v>
      </c>
      <c r="B3063" s="2" t="s">
        <v>5758</v>
      </c>
      <c r="C3063" s="2" t="s">
        <v>23</v>
      </c>
      <c r="K3063" s="2">
        <v>150.0</v>
      </c>
      <c r="N3063" s="6">
        <v>45668.0</v>
      </c>
      <c r="Q3063" s="2" t="s">
        <v>5759</v>
      </c>
    </row>
    <row r="3064">
      <c r="A3064" s="2">
        <v>3063.0</v>
      </c>
      <c r="B3064" s="2" t="s">
        <v>5760</v>
      </c>
      <c r="C3064" s="2" t="s">
        <v>23</v>
      </c>
      <c r="K3064" s="2">
        <v>30.0</v>
      </c>
      <c r="N3064" s="6">
        <v>44078.0</v>
      </c>
      <c r="Q3064" s="2" t="s">
        <v>5761</v>
      </c>
    </row>
    <row r="3065">
      <c r="A3065" s="2">
        <v>3064.0</v>
      </c>
      <c r="B3065" s="2" t="s">
        <v>5762</v>
      </c>
      <c r="C3065" s="2" t="s">
        <v>23</v>
      </c>
      <c r="K3065" s="2">
        <v>150.0</v>
      </c>
      <c r="N3065" s="6">
        <v>44229.0</v>
      </c>
      <c r="Q3065" s="2" t="s">
        <v>5763</v>
      </c>
    </row>
    <row r="3066">
      <c r="A3066" s="2">
        <v>3065.0</v>
      </c>
      <c r="B3066" s="2" t="s">
        <v>5764</v>
      </c>
      <c r="C3066" s="2" t="s">
        <v>23</v>
      </c>
      <c r="K3066" s="2">
        <v>20.0</v>
      </c>
      <c r="N3066" s="6">
        <v>44700.0</v>
      </c>
      <c r="Q3066" s="2" t="s">
        <v>1466</v>
      </c>
    </row>
    <row r="3067">
      <c r="A3067" s="2">
        <v>3066.0</v>
      </c>
      <c r="B3067" s="2" t="s">
        <v>5765</v>
      </c>
      <c r="C3067" s="2" t="s">
        <v>23</v>
      </c>
      <c r="K3067" s="2">
        <v>150.0</v>
      </c>
      <c r="N3067" s="6">
        <v>45247.0</v>
      </c>
      <c r="Q3067" s="2" t="s">
        <v>5766</v>
      </c>
    </row>
    <row r="3068">
      <c r="A3068" s="2">
        <v>3067.0</v>
      </c>
      <c r="B3068" s="2" t="s">
        <v>5767</v>
      </c>
      <c r="C3068" s="2" t="s">
        <v>23</v>
      </c>
      <c r="K3068" s="2">
        <v>40.0</v>
      </c>
      <c r="N3068" s="6">
        <v>45650.0</v>
      </c>
      <c r="Q3068" s="2" t="s">
        <v>5768</v>
      </c>
    </row>
    <row r="3069">
      <c r="A3069" s="2">
        <v>3068.0</v>
      </c>
      <c r="B3069" s="2" t="s">
        <v>5769</v>
      </c>
      <c r="C3069" s="2" t="s">
        <v>23</v>
      </c>
      <c r="K3069" s="2">
        <v>10.0</v>
      </c>
      <c r="N3069" s="6">
        <v>44079.0</v>
      </c>
      <c r="Q3069" s="2" t="s">
        <v>1466</v>
      </c>
    </row>
    <row r="3070">
      <c r="A3070" s="2">
        <v>3069.0</v>
      </c>
      <c r="B3070" s="2" t="s">
        <v>5770</v>
      </c>
      <c r="C3070" s="2" t="s">
        <v>23</v>
      </c>
      <c r="K3070" s="2">
        <v>20.0</v>
      </c>
      <c r="N3070" s="6">
        <v>44733.0</v>
      </c>
      <c r="Q3070" s="2" t="s">
        <v>1437</v>
      </c>
    </row>
    <row r="3071">
      <c r="A3071" s="2">
        <v>3070.0</v>
      </c>
      <c r="B3071" s="2" t="s">
        <v>5771</v>
      </c>
      <c r="C3071" s="2" t="s">
        <v>23</v>
      </c>
      <c r="K3071" s="2">
        <v>10.0</v>
      </c>
      <c r="N3071" s="6">
        <v>44331.0</v>
      </c>
      <c r="Q3071" s="2" t="s">
        <v>1437</v>
      </c>
    </row>
    <row r="3072">
      <c r="A3072" s="2">
        <v>3071.0</v>
      </c>
      <c r="B3072" s="2" t="s">
        <v>5772</v>
      </c>
      <c r="C3072" s="2" t="s">
        <v>23</v>
      </c>
      <c r="K3072" s="2">
        <v>20.0</v>
      </c>
      <c r="N3072" s="6">
        <v>45854.0</v>
      </c>
      <c r="Q3072" s="2" t="s">
        <v>5773</v>
      </c>
    </row>
    <row r="3073">
      <c r="A3073" s="2">
        <v>3072.0</v>
      </c>
      <c r="B3073" s="2" t="s">
        <v>5774</v>
      </c>
      <c r="C3073" s="2" t="s">
        <v>23</v>
      </c>
      <c r="K3073" s="2">
        <v>10.0</v>
      </c>
      <c r="N3073" s="6">
        <v>44251.0</v>
      </c>
      <c r="Q3073" s="2" t="s">
        <v>200</v>
      </c>
    </row>
    <row r="3074">
      <c r="A3074" s="2">
        <v>3073.0</v>
      </c>
      <c r="B3074" s="2" t="s">
        <v>5775</v>
      </c>
      <c r="C3074" s="2" t="s">
        <v>23</v>
      </c>
      <c r="K3074" s="2">
        <v>40.0</v>
      </c>
      <c r="N3074" s="6">
        <v>45613.0</v>
      </c>
      <c r="Q3074" s="2" t="s">
        <v>5776</v>
      </c>
    </row>
    <row r="3075">
      <c r="A3075" s="2">
        <v>3074.0</v>
      </c>
      <c r="B3075" s="2" t="s">
        <v>5777</v>
      </c>
      <c r="C3075" s="2" t="s">
        <v>23</v>
      </c>
      <c r="K3075" s="2">
        <v>20.0</v>
      </c>
      <c r="N3075" s="6">
        <v>44317.0</v>
      </c>
      <c r="Q3075" s="2" t="s">
        <v>5778</v>
      </c>
    </row>
    <row r="3076">
      <c r="A3076" s="2">
        <v>3075.0</v>
      </c>
      <c r="B3076" s="2" t="s">
        <v>5779</v>
      </c>
      <c r="C3076" s="2" t="s">
        <v>23</v>
      </c>
      <c r="K3076" s="2">
        <v>100.0</v>
      </c>
      <c r="N3076" s="6">
        <v>45693.0</v>
      </c>
      <c r="Q3076" s="2" t="s">
        <v>5780</v>
      </c>
    </row>
    <row r="3077">
      <c r="A3077" s="2">
        <v>3076.0</v>
      </c>
      <c r="B3077" s="2" t="s">
        <v>5781</v>
      </c>
      <c r="C3077" s="2" t="s">
        <v>23</v>
      </c>
      <c r="K3077" s="2">
        <v>70.0</v>
      </c>
      <c r="N3077" s="6">
        <v>44241.0</v>
      </c>
      <c r="Q3077" s="2" t="s">
        <v>401</v>
      </c>
    </row>
    <row r="3078">
      <c r="A3078" s="2">
        <v>3077.0</v>
      </c>
      <c r="B3078" s="2" t="s">
        <v>5782</v>
      </c>
      <c r="C3078" s="2" t="s">
        <v>23</v>
      </c>
      <c r="K3078" s="2">
        <v>40.0</v>
      </c>
      <c r="N3078" s="6">
        <v>44862.0</v>
      </c>
      <c r="Q3078" s="2" t="s">
        <v>5783</v>
      </c>
    </row>
    <row r="3079">
      <c r="A3079" s="2">
        <v>3078.0</v>
      </c>
      <c r="B3079" s="2" t="s">
        <v>5784</v>
      </c>
      <c r="C3079" s="2" t="s">
        <v>23</v>
      </c>
      <c r="N3079" s="6">
        <v>44599.0</v>
      </c>
      <c r="Q3079" s="2" t="s">
        <v>86</v>
      </c>
    </row>
    <row r="3080">
      <c r="A3080" s="2">
        <v>3079.0</v>
      </c>
      <c r="B3080" s="2" t="s">
        <v>5785</v>
      </c>
      <c r="C3080" s="2" t="s">
        <v>23</v>
      </c>
      <c r="N3080" s="6">
        <v>44197.0</v>
      </c>
      <c r="Q3080" s="2" t="s">
        <v>86</v>
      </c>
    </row>
    <row r="3081">
      <c r="A3081" s="2">
        <v>3080.0</v>
      </c>
      <c r="B3081" s="2" t="s">
        <v>5786</v>
      </c>
      <c r="C3081" s="2" t="s">
        <v>23</v>
      </c>
      <c r="N3081" s="6">
        <v>44216.0</v>
      </c>
      <c r="Q3081" s="2" t="s">
        <v>86</v>
      </c>
    </row>
    <row r="3082">
      <c r="A3082" s="2">
        <v>3081.0</v>
      </c>
      <c r="B3082" s="2" t="s">
        <v>5787</v>
      </c>
      <c r="C3082" s="2" t="s">
        <v>23</v>
      </c>
      <c r="N3082" s="6">
        <v>44739.0</v>
      </c>
      <c r="Q3082" s="2" t="s">
        <v>3185</v>
      </c>
    </row>
    <row r="3083">
      <c r="A3083" s="2">
        <v>3082.0</v>
      </c>
      <c r="B3083" s="2" t="s">
        <v>5788</v>
      </c>
      <c r="C3083" s="2" t="s">
        <v>23</v>
      </c>
      <c r="N3083" s="6">
        <v>44606.0</v>
      </c>
      <c r="Q3083" s="2" t="s">
        <v>86</v>
      </c>
    </row>
    <row r="3084">
      <c r="A3084" s="2">
        <v>3083.0</v>
      </c>
      <c r="B3084" s="2" t="s">
        <v>5789</v>
      </c>
      <c r="C3084" s="2" t="s">
        <v>23</v>
      </c>
      <c r="K3084" s="2">
        <v>20.0</v>
      </c>
      <c r="N3084" s="6">
        <v>44983.0</v>
      </c>
      <c r="Q3084" s="2" t="s">
        <v>491</v>
      </c>
    </row>
    <row r="3085">
      <c r="A3085" s="2">
        <v>3084.0</v>
      </c>
      <c r="B3085" s="2" t="s">
        <v>5790</v>
      </c>
      <c r="C3085" s="2" t="s">
        <v>23</v>
      </c>
      <c r="N3085" s="6">
        <v>45888.0</v>
      </c>
      <c r="Q3085" s="2" t="s">
        <v>5791</v>
      </c>
    </row>
    <row r="3086">
      <c r="A3086" s="2">
        <v>3085.0</v>
      </c>
      <c r="B3086" s="2" t="s">
        <v>5792</v>
      </c>
      <c r="C3086" s="2" t="s">
        <v>23</v>
      </c>
      <c r="N3086" s="6">
        <v>44069.0</v>
      </c>
      <c r="Q3086" s="2" t="s">
        <v>86</v>
      </c>
    </row>
    <row r="3087">
      <c r="A3087" s="2">
        <v>3086.0</v>
      </c>
      <c r="B3087" s="2" t="s">
        <v>5793</v>
      </c>
      <c r="C3087" s="2" t="s">
        <v>23</v>
      </c>
      <c r="K3087" s="2">
        <v>200.0</v>
      </c>
      <c r="N3087" s="6">
        <v>42388.0</v>
      </c>
      <c r="Q3087" s="2" t="s">
        <v>5794</v>
      </c>
    </row>
    <row r="3088">
      <c r="A3088" s="2">
        <v>3087.0</v>
      </c>
      <c r="B3088" s="2" t="s">
        <v>5795</v>
      </c>
      <c r="C3088" s="2" t="s">
        <v>23</v>
      </c>
      <c r="K3088" s="2">
        <v>10.0</v>
      </c>
      <c r="N3088" s="6">
        <v>45548.0</v>
      </c>
      <c r="Q3088" s="2" t="s">
        <v>5796</v>
      </c>
    </row>
    <row r="3089">
      <c r="A3089" s="2">
        <v>3088.0</v>
      </c>
      <c r="B3089" s="2" t="s">
        <v>5797</v>
      </c>
      <c r="C3089" s="2" t="s">
        <v>23</v>
      </c>
      <c r="K3089" s="2">
        <v>10.0</v>
      </c>
      <c r="N3089" s="6">
        <v>44223.0</v>
      </c>
      <c r="Q3089" s="2" t="s">
        <v>86</v>
      </c>
    </row>
    <row r="3090">
      <c r="A3090" s="2">
        <v>3089.0</v>
      </c>
      <c r="B3090" s="2" t="s">
        <v>5798</v>
      </c>
      <c r="C3090" s="2" t="s">
        <v>23</v>
      </c>
      <c r="K3090" s="2">
        <v>30.0</v>
      </c>
      <c r="N3090" s="6">
        <v>44929.0</v>
      </c>
      <c r="Q3090" s="2" t="s">
        <v>3768</v>
      </c>
    </row>
    <row r="3091">
      <c r="A3091" s="2">
        <v>3090.0</v>
      </c>
      <c r="B3091" s="2" t="s">
        <v>237</v>
      </c>
      <c r="C3091" s="2" t="s">
        <v>23</v>
      </c>
      <c r="K3091" s="2">
        <v>30.0</v>
      </c>
      <c r="N3091" s="6">
        <v>45413.0</v>
      </c>
      <c r="Q3091" s="2" t="s">
        <v>240</v>
      </c>
    </row>
    <row r="3092">
      <c r="A3092" s="2">
        <v>3091.0</v>
      </c>
      <c r="B3092" s="2" t="s">
        <v>5799</v>
      </c>
      <c r="C3092" s="2" t="s">
        <v>23</v>
      </c>
      <c r="K3092" s="2">
        <v>40.0</v>
      </c>
      <c r="N3092" s="6">
        <v>45806.0</v>
      </c>
      <c r="Q3092" s="2" t="s">
        <v>5800</v>
      </c>
    </row>
    <row r="3093">
      <c r="A3093" s="2">
        <v>3092.0</v>
      </c>
      <c r="B3093" s="2" t="s">
        <v>5801</v>
      </c>
      <c r="C3093" s="2" t="s">
        <v>23</v>
      </c>
      <c r="K3093" s="2">
        <v>10.0</v>
      </c>
      <c r="N3093" s="6">
        <v>44887.0</v>
      </c>
      <c r="Q3093" s="2" t="s">
        <v>5802</v>
      </c>
    </row>
    <row r="3094">
      <c r="A3094" s="2">
        <v>3093.0</v>
      </c>
      <c r="B3094" s="2" t="s">
        <v>233</v>
      </c>
      <c r="C3094" s="2" t="s">
        <v>23</v>
      </c>
      <c r="K3094" s="2">
        <v>150.0</v>
      </c>
      <c r="N3094" s="6">
        <v>44064.0</v>
      </c>
      <c r="Q3094" s="2" t="s">
        <v>235</v>
      </c>
    </row>
    <row r="3095">
      <c r="A3095" s="2">
        <v>3094.0</v>
      </c>
      <c r="B3095" s="2" t="s">
        <v>5803</v>
      </c>
      <c r="C3095" s="2" t="s">
        <v>23</v>
      </c>
      <c r="K3095" s="2">
        <v>10.0</v>
      </c>
      <c r="N3095" s="6">
        <v>45557.0</v>
      </c>
      <c r="Q3095" s="2" t="s">
        <v>5369</v>
      </c>
    </row>
    <row r="3096">
      <c r="A3096" s="2">
        <v>3095.0</v>
      </c>
      <c r="B3096" s="2" t="s">
        <v>5804</v>
      </c>
      <c r="C3096" s="2" t="s">
        <v>23</v>
      </c>
      <c r="K3096" s="2">
        <v>10.0</v>
      </c>
      <c r="N3096" s="6">
        <v>44745.0</v>
      </c>
      <c r="Q3096" s="2" t="s">
        <v>86</v>
      </c>
    </row>
    <row r="3097">
      <c r="A3097" s="2">
        <v>3096.0</v>
      </c>
      <c r="B3097" s="2" t="s">
        <v>5805</v>
      </c>
      <c r="C3097" s="2" t="s">
        <v>23</v>
      </c>
      <c r="N3097" s="6">
        <v>43868.0</v>
      </c>
      <c r="Q3097" s="2" t="s">
        <v>5806</v>
      </c>
    </row>
    <row r="3098">
      <c r="A3098" s="2">
        <v>3097.0</v>
      </c>
      <c r="B3098" s="2" t="s">
        <v>5807</v>
      </c>
      <c r="C3098" s="2" t="s">
        <v>23</v>
      </c>
      <c r="K3098" s="2">
        <v>10.0</v>
      </c>
      <c r="N3098" s="6">
        <v>44256.0</v>
      </c>
      <c r="Q3098" s="2" t="s">
        <v>86</v>
      </c>
    </row>
    <row r="3099">
      <c r="A3099" s="2">
        <v>3098.0</v>
      </c>
      <c r="B3099" s="2" t="s">
        <v>5808</v>
      </c>
      <c r="C3099" s="2" t="s">
        <v>23</v>
      </c>
      <c r="N3099" s="6">
        <v>44690.0</v>
      </c>
      <c r="Q3099" s="2" t="s">
        <v>86</v>
      </c>
    </row>
    <row r="3100">
      <c r="A3100" s="2">
        <v>3099.0</v>
      </c>
      <c r="B3100" s="2" t="s">
        <v>5809</v>
      </c>
      <c r="C3100" s="2" t="s">
        <v>23</v>
      </c>
      <c r="N3100" s="6">
        <v>45629.0</v>
      </c>
      <c r="Q3100" s="2" t="s">
        <v>3724</v>
      </c>
    </row>
    <row r="3101">
      <c r="A3101" s="2">
        <v>3100.0</v>
      </c>
      <c r="B3101" s="2" t="s">
        <v>5810</v>
      </c>
      <c r="C3101" s="2" t="s">
        <v>23</v>
      </c>
      <c r="K3101" s="2">
        <v>80.0</v>
      </c>
      <c r="N3101" s="6">
        <v>45717.0</v>
      </c>
      <c r="Q3101" s="2" t="s">
        <v>5811</v>
      </c>
    </row>
    <row r="3102">
      <c r="A3102" s="2">
        <v>3101.0</v>
      </c>
      <c r="B3102" s="2" t="s">
        <v>5812</v>
      </c>
      <c r="C3102" s="2" t="s">
        <v>23</v>
      </c>
      <c r="K3102" s="2">
        <v>40.0</v>
      </c>
      <c r="N3102" s="6">
        <v>44059.0</v>
      </c>
      <c r="Q3102" s="2" t="s">
        <v>5813</v>
      </c>
    </row>
    <row r="3103">
      <c r="A3103" s="2">
        <v>3102.0</v>
      </c>
      <c r="B3103" s="2" t="s">
        <v>5814</v>
      </c>
      <c r="C3103" s="2" t="s">
        <v>23</v>
      </c>
      <c r="K3103" s="2">
        <v>10.0</v>
      </c>
      <c r="N3103" s="6">
        <v>44196.0</v>
      </c>
      <c r="Q3103" s="2" t="s">
        <v>5815</v>
      </c>
    </row>
    <row r="3104">
      <c r="A3104" s="2">
        <v>3103.0</v>
      </c>
      <c r="B3104" s="2" t="s">
        <v>5816</v>
      </c>
      <c r="C3104" s="2" t="s">
        <v>23</v>
      </c>
      <c r="K3104" s="2">
        <v>10.0</v>
      </c>
      <c r="N3104" s="6">
        <v>45060.0</v>
      </c>
      <c r="Q3104" s="2" t="s">
        <v>86</v>
      </c>
    </row>
    <row r="3105">
      <c r="A3105" s="2">
        <v>3104.0</v>
      </c>
      <c r="B3105" s="2" t="s">
        <v>5817</v>
      </c>
      <c r="C3105" s="2" t="s">
        <v>23</v>
      </c>
      <c r="K3105" s="2">
        <v>30.0</v>
      </c>
      <c r="N3105" s="6">
        <v>44174.0</v>
      </c>
      <c r="Q3105" s="2" t="s">
        <v>1437</v>
      </c>
    </row>
    <row r="3106">
      <c r="A3106" s="2">
        <v>3105.0</v>
      </c>
      <c r="B3106" s="2" t="s">
        <v>5818</v>
      </c>
      <c r="C3106" s="2" t="s">
        <v>23</v>
      </c>
      <c r="K3106" s="2">
        <v>20.0</v>
      </c>
      <c r="N3106" s="6">
        <v>44019.0</v>
      </c>
      <c r="Q3106" s="2" t="s">
        <v>5819</v>
      </c>
    </row>
    <row r="3107">
      <c r="A3107" s="2">
        <v>3106.0</v>
      </c>
      <c r="B3107" s="2" t="s">
        <v>5820</v>
      </c>
      <c r="C3107" s="2" t="s">
        <v>23</v>
      </c>
      <c r="K3107" s="2">
        <v>40.0</v>
      </c>
      <c r="N3107" s="6">
        <v>44865.0</v>
      </c>
      <c r="Q3107" s="2" t="s">
        <v>5821</v>
      </c>
    </row>
    <row r="3108">
      <c r="A3108" s="2">
        <v>3107.0</v>
      </c>
      <c r="B3108" s="2" t="s">
        <v>5822</v>
      </c>
      <c r="C3108" s="2" t="s">
        <v>23</v>
      </c>
      <c r="N3108" s="6">
        <v>44048.0</v>
      </c>
      <c r="Q3108" s="2" t="s">
        <v>86</v>
      </c>
    </row>
    <row r="3109">
      <c r="A3109" s="2">
        <v>3108.0</v>
      </c>
      <c r="B3109" s="2" t="s">
        <v>5823</v>
      </c>
      <c r="C3109" s="2" t="s">
        <v>23</v>
      </c>
      <c r="N3109" s="6">
        <v>42969.0</v>
      </c>
      <c r="Q3109" s="2" t="s">
        <v>86</v>
      </c>
    </row>
    <row r="3110">
      <c r="A3110" s="2">
        <v>3109.0</v>
      </c>
      <c r="B3110" s="2" t="s">
        <v>5824</v>
      </c>
      <c r="C3110" s="2" t="s">
        <v>23</v>
      </c>
      <c r="K3110" s="2">
        <v>20.0</v>
      </c>
      <c r="N3110" s="6">
        <v>44007.0</v>
      </c>
      <c r="Q3110" s="2" t="s">
        <v>5825</v>
      </c>
    </row>
    <row r="3111">
      <c r="A3111" s="2">
        <v>3110.0</v>
      </c>
      <c r="B3111" s="2" t="s">
        <v>5826</v>
      </c>
      <c r="C3111" s="2" t="s">
        <v>23</v>
      </c>
      <c r="K3111" s="2">
        <v>20.0</v>
      </c>
      <c r="N3111" s="6">
        <v>44465.0</v>
      </c>
      <c r="Q3111" s="2" t="s">
        <v>2886</v>
      </c>
    </row>
    <row r="3112">
      <c r="A3112" s="2">
        <v>3111.0</v>
      </c>
      <c r="B3112" s="2" t="s">
        <v>5827</v>
      </c>
      <c r="C3112" s="2" t="s">
        <v>23</v>
      </c>
      <c r="K3112" s="2">
        <v>80.0</v>
      </c>
      <c r="N3112" s="6">
        <v>45146.0</v>
      </c>
      <c r="Q3112" s="2" t="s">
        <v>60</v>
      </c>
    </row>
    <row r="3113">
      <c r="A3113" s="2">
        <v>3112.0</v>
      </c>
      <c r="B3113" s="2" t="s">
        <v>5828</v>
      </c>
      <c r="C3113" s="2" t="s">
        <v>23</v>
      </c>
      <c r="K3113" s="2">
        <v>1500.0</v>
      </c>
      <c r="N3113" s="6">
        <v>44309.0</v>
      </c>
      <c r="Q3113" s="2" t="s">
        <v>5829</v>
      </c>
    </row>
    <row r="3114">
      <c r="A3114" s="2">
        <v>3113.0</v>
      </c>
      <c r="B3114" s="2" t="s">
        <v>5830</v>
      </c>
      <c r="C3114" s="2" t="s">
        <v>23</v>
      </c>
      <c r="K3114" s="2">
        <v>20.0</v>
      </c>
      <c r="N3114" s="6">
        <v>44534.0</v>
      </c>
      <c r="Q3114" s="2" t="s">
        <v>5831</v>
      </c>
    </row>
    <row r="3115">
      <c r="A3115" s="2">
        <v>3114.0</v>
      </c>
      <c r="B3115" s="2" t="s">
        <v>5832</v>
      </c>
      <c r="C3115" s="2" t="s">
        <v>23</v>
      </c>
      <c r="K3115" s="2">
        <v>50.0</v>
      </c>
      <c r="N3115" s="6">
        <v>44786.0</v>
      </c>
      <c r="Q3115" s="2" t="s">
        <v>5833</v>
      </c>
    </row>
    <row r="3116">
      <c r="A3116" s="2">
        <v>3115.0</v>
      </c>
      <c r="B3116" s="2" t="s">
        <v>5834</v>
      </c>
      <c r="C3116" s="2" t="s">
        <v>23</v>
      </c>
      <c r="K3116" s="2">
        <v>100.0</v>
      </c>
      <c r="N3116" s="6">
        <v>44073.0</v>
      </c>
      <c r="Q3116" s="2" t="s">
        <v>5835</v>
      </c>
    </row>
    <row r="3117">
      <c r="A3117" s="2">
        <v>3116.0</v>
      </c>
      <c r="B3117" s="2" t="s">
        <v>239</v>
      </c>
      <c r="C3117" s="2" t="s">
        <v>23</v>
      </c>
      <c r="K3117" s="2">
        <v>200.0</v>
      </c>
      <c r="N3117" s="6">
        <v>45755.0</v>
      </c>
      <c r="Q3117" s="2" t="s">
        <v>241</v>
      </c>
    </row>
    <row r="3118">
      <c r="A3118" s="2">
        <v>3117.0</v>
      </c>
      <c r="B3118" s="2" t="s">
        <v>5836</v>
      </c>
      <c r="C3118" s="2" t="s">
        <v>23</v>
      </c>
      <c r="K3118" s="2">
        <v>150.0</v>
      </c>
      <c r="N3118" s="6">
        <v>43855.0</v>
      </c>
      <c r="Q3118" s="2" t="s">
        <v>5837</v>
      </c>
    </row>
    <row r="3119">
      <c r="A3119" s="2">
        <v>3118.0</v>
      </c>
      <c r="B3119" s="2" t="s">
        <v>5838</v>
      </c>
      <c r="C3119" s="2" t="s">
        <v>23</v>
      </c>
      <c r="K3119" s="2">
        <v>30.0</v>
      </c>
      <c r="N3119" s="6">
        <v>45698.0</v>
      </c>
      <c r="Q3119" s="2" t="s">
        <v>5839</v>
      </c>
    </row>
    <row r="3120">
      <c r="A3120" s="2">
        <v>3119.0</v>
      </c>
      <c r="B3120" s="2" t="s">
        <v>5840</v>
      </c>
      <c r="C3120" s="2" t="s">
        <v>23</v>
      </c>
      <c r="K3120" s="2">
        <v>30.0</v>
      </c>
      <c r="N3120" s="6">
        <v>45404.0</v>
      </c>
      <c r="Q3120" s="2" t="s">
        <v>1131</v>
      </c>
    </row>
    <row r="3121">
      <c r="A3121" s="2">
        <v>3120.0</v>
      </c>
      <c r="B3121" s="2" t="s">
        <v>5841</v>
      </c>
      <c r="C3121" s="2" t="s">
        <v>23</v>
      </c>
      <c r="K3121" s="2">
        <v>150.0</v>
      </c>
      <c r="N3121" s="6">
        <v>43941.0</v>
      </c>
      <c r="Q3121" s="2" t="s">
        <v>5842</v>
      </c>
    </row>
    <row r="3122">
      <c r="A3122" s="2">
        <v>3121.0</v>
      </c>
      <c r="B3122" s="2" t="s">
        <v>5843</v>
      </c>
      <c r="C3122" s="2" t="s">
        <v>23</v>
      </c>
      <c r="N3122" s="6">
        <v>43927.0</v>
      </c>
      <c r="Q3122" s="2" t="s">
        <v>86</v>
      </c>
    </row>
    <row r="3123">
      <c r="A3123" s="2">
        <v>3122.0</v>
      </c>
      <c r="B3123" s="2" t="s">
        <v>5844</v>
      </c>
      <c r="C3123" s="2" t="s">
        <v>23</v>
      </c>
      <c r="K3123" s="2">
        <v>30.0</v>
      </c>
      <c r="N3123" s="6">
        <v>45642.0</v>
      </c>
      <c r="Q3123" s="2" t="s">
        <v>5845</v>
      </c>
    </row>
    <row r="3124">
      <c r="A3124" s="2">
        <v>3123.0</v>
      </c>
      <c r="B3124" s="2" t="s">
        <v>5846</v>
      </c>
      <c r="C3124" s="2" t="s">
        <v>23</v>
      </c>
      <c r="K3124" s="2">
        <v>80.0</v>
      </c>
      <c r="N3124" s="6">
        <v>44931.0</v>
      </c>
      <c r="Q3124" s="2" t="s">
        <v>1094</v>
      </c>
    </row>
    <row r="3125">
      <c r="A3125" s="2">
        <v>3124.0</v>
      </c>
      <c r="B3125" s="2" t="s">
        <v>5847</v>
      </c>
      <c r="C3125" s="2" t="s">
        <v>23</v>
      </c>
      <c r="K3125" s="2">
        <v>40.0</v>
      </c>
      <c r="N3125" s="6">
        <v>44044.0</v>
      </c>
      <c r="Q3125" s="2" t="s">
        <v>2794</v>
      </c>
    </row>
    <row r="3126">
      <c r="A3126" s="2">
        <v>3125.0</v>
      </c>
      <c r="B3126" s="2" t="s">
        <v>5848</v>
      </c>
      <c r="C3126" s="2" t="s">
        <v>23</v>
      </c>
      <c r="N3126" s="6">
        <v>42646.0</v>
      </c>
      <c r="Q3126" s="2" t="s">
        <v>86</v>
      </c>
    </row>
    <row r="3127">
      <c r="A3127" s="2">
        <v>3126.0</v>
      </c>
      <c r="B3127" s="2" t="s">
        <v>5849</v>
      </c>
      <c r="C3127" s="2" t="s">
        <v>23</v>
      </c>
      <c r="N3127" s="6">
        <v>46001.0</v>
      </c>
      <c r="Q3127" s="2" t="s">
        <v>5850</v>
      </c>
    </row>
    <row r="3128">
      <c r="A3128" s="2">
        <v>3127.0</v>
      </c>
      <c r="B3128" s="2" t="s">
        <v>5851</v>
      </c>
      <c r="C3128" s="2" t="s">
        <v>23</v>
      </c>
      <c r="K3128" s="2">
        <v>30.0</v>
      </c>
      <c r="N3128" s="6">
        <v>45228.0</v>
      </c>
      <c r="Q3128" s="2" t="s">
        <v>5852</v>
      </c>
    </row>
    <row r="3129">
      <c r="A3129" s="2">
        <v>3128.0</v>
      </c>
      <c r="B3129" s="2" t="s">
        <v>5853</v>
      </c>
      <c r="C3129" s="2" t="s">
        <v>23</v>
      </c>
      <c r="K3129" s="2">
        <v>40.0</v>
      </c>
      <c r="N3129" s="6">
        <v>45630.0</v>
      </c>
      <c r="Q3129" s="2" t="s">
        <v>5854</v>
      </c>
    </row>
    <row r="3130">
      <c r="A3130" s="2">
        <v>3129.0</v>
      </c>
      <c r="B3130" s="2" t="s">
        <v>5855</v>
      </c>
      <c r="C3130" s="2" t="s">
        <v>23</v>
      </c>
      <c r="K3130" s="2">
        <v>60.0</v>
      </c>
      <c r="N3130" s="6">
        <v>43873.0</v>
      </c>
      <c r="Q3130" s="2" t="s">
        <v>5856</v>
      </c>
    </row>
    <row r="3131">
      <c r="A3131" s="2">
        <v>3130.0</v>
      </c>
      <c r="B3131" s="2" t="s">
        <v>5857</v>
      </c>
      <c r="C3131" s="2" t="s">
        <v>23</v>
      </c>
      <c r="K3131" s="2">
        <v>200.0</v>
      </c>
      <c r="N3131" s="6">
        <v>45662.0</v>
      </c>
      <c r="Q3131" s="2" t="s">
        <v>5858</v>
      </c>
    </row>
    <row r="3132">
      <c r="A3132" s="2">
        <v>3131.0</v>
      </c>
      <c r="B3132" s="2" t="s">
        <v>5859</v>
      </c>
      <c r="C3132" s="2" t="s">
        <v>23</v>
      </c>
      <c r="K3132" s="2">
        <v>10.0</v>
      </c>
      <c r="N3132" s="6">
        <v>44022.0</v>
      </c>
      <c r="Q3132" s="2" t="s">
        <v>426</v>
      </c>
    </row>
    <row r="3133">
      <c r="A3133" s="2">
        <v>3132.0</v>
      </c>
      <c r="B3133" s="2" t="s">
        <v>5860</v>
      </c>
      <c r="C3133" s="2" t="s">
        <v>23</v>
      </c>
      <c r="K3133" s="2">
        <v>40.0</v>
      </c>
      <c r="N3133" s="6">
        <v>44802.0</v>
      </c>
      <c r="Q3133" s="2" t="s">
        <v>86</v>
      </c>
    </row>
    <row r="3134">
      <c r="A3134" s="2">
        <v>3133.0</v>
      </c>
      <c r="B3134" s="2" t="s">
        <v>5861</v>
      </c>
      <c r="C3134" s="2" t="s">
        <v>23</v>
      </c>
      <c r="N3134" s="6">
        <v>45594.0</v>
      </c>
      <c r="Q3134" s="2" t="s">
        <v>5862</v>
      </c>
    </row>
    <row r="3135">
      <c r="A3135" s="2">
        <v>3134.0</v>
      </c>
      <c r="B3135" s="2" t="s">
        <v>5863</v>
      </c>
      <c r="C3135" s="2" t="s">
        <v>23</v>
      </c>
      <c r="K3135" s="2">
        <v>50.0</v>
      </c>
      <c r="N3135" s="6">
        <v>43843.0</v>
      </c>
      <c r="Q3135" s="2" t="s">
        <v>1279</v>
      </c>
    </row>
    <row r="3136">
      <c r="A3136" s="2">
        <v>3135.0</v>
      </c>
      <c r="B3136" s="2" t="s">
        <v>5864</v>
      </c>
      <c r="C3136" s="2" t="s">
        <v>23</v>
      </c>
      <c r="K3136" s="2">
        <v>250.0</v>
      </c>
      <c r="N3136" s="6">
        <v>43878.0</v>
      </c>
      <c r="Q3136" s="2" t="s">
        <v>5865</v>
      </c>
    </row>
    <row r="3137">
      <c r="A3137" s="2">
        <v>3136.0</v>
      </c>
      <c r="B3137" s="2" t="s">
        <v>5866</v>
      </c>
      <c r="C3137" s="2" t="s">
        <v>23</v>
      </c>
      <c r="N3137" s="6">
        <v>44488.0</v>
      </c>
      <c r="Q3137" s="2" t="s">
        <v>86</v>
      </c>
    </row>
    <row r="3138">
      <c r="A3138" s="2">
        <v>3137.0</v>
      </c>
      <c r="B3138" s="2" t="s">
        <v>5867</v>
      </c>
      <c r="C3138" s="2" t="s">
        <v>23</v>
      </c>
      <c r="K3138" s="2">
        <v>10.0</v>
      </c>
      <c r="N3138" s="6">
        <v>45367.0</v>
      </c>
      <c r="Q3138" s="2" t="s">
        <v>5868</v>
      </c>
    </row>
    <row r="3139">
      <c r="A3139" s="2">
        <v>3138.0</v>
      </c>
      <c r="B3139" s="2" t="s">
        <v>5869</v>
      </c>
      <c r="C3139" s="2" t="s">
        <v>23</v>
      </c>
      <c r="K3139" s="2">
        <v>30.0</v>
      </c>
      <c r="N3139" s="6">
        <v>44239.0</v>
      </c>
      <c r="Q3139" s="2" t="s">
        <v>5870</v>
      </c>
    </row>
    <row r="3140">
      <c r="A3140" s="2">
        <v>3139.0</v>
      </c>
      <c r="B3140" s="2" t="s">
        <v>5871</v>
      </c>
      <c r="C3140" s="2" t="s">
        <v>23</v>
      </c>
      <c r="N3140" s="6">
        <v>44224.0</v>
      </c>
      <c r="Q3140" s="2" t="s">
        <v>86</v>
      </c>
    </row>
    <row r="3141">
      <c r="A3141" s="2">
        <v>3140.0</v>
      </c>
      <c r="B3141" s="2" t="s">
        <v>5872</v>
      </c>
      <c r="C3141" s="2" t="s">
        <v>23</v>
      </c>
      <c r="K3141" s="2">
        <v>50.0</v>
      </c>
      <c r="N3141" s="6">
        <v>45346.0</v>
      </c>
      <c r="Q3141" s="2" t="s">
        <v>1277</v>
      </c>
    </row>
    <row r="3142">
      <c r="A3142" s="2">
        <v>3141.0</v>
      </c>
      <c r="B3142" s="2" t="s">
        <v>5873</v>
      </c>
      <c r="C3142" s="2" t="s">
        <v>23</v>
      </c>
      <c r="N3142" s="6">
        <v>45405.0</v>
      </c>
      <c r="Q3142" s="2" t="s">
        <v>5874</v>
      </c>
    </row>
    <row r="3143">
      <c r="A3143" s="2">
        <v>3142.0</v>
      </c>
      <c r="B3143" s="2" t="s">
        <v>5875</v>
      </c>
      <c r="C3143" s="2" t="s">
        <v>23</v>
      </c>
      <c r="N3143" s="6">
        <v>44056.0</v>
      </c>
      <c r="Q3143" s="2" t="s">
        <v>86</v>
      </c>
    </row>
    <row r="3144">
      <c r="A3144" s="2">
        <v>3143.0</v>
      </c>
      <c r="B3144" s="2" t="s">
        <v>5876</v>
      </c>
      <c r="C3144" s="2" t="s">
        <v>23</v>
      </c>
      <c r="K3144" s="2">
        <v>150.0</v>
      </c>
      <c r="N3144" s="6">
        <v>43858.0</v>
      </c>
      <c r="Q3144" s="2" t="s">
        <v>1675</v>
      </c>
    </row>
    <row r="3145">
      <c r="A3145" s="2">
        <v>3144.0</v>
      </c>
      <c r="B3145" s="2" t="s">
        <v>5877</v>
      </c>
      <c r="C3145" s="2" t="s">
        <v>23</v>
      </c>
      <c r="K3145" s="2">
        <v>40.0</v>
      </c>
      <c r="N3145" s="6">
        <v>45596.0</v>
      </c>
      <c r="Q3145" s="2" t="s">
        <v>5878</v>
      </c>
    </row>
    <row r="3146">
      <c r="A3146" s="2">
        <v>3145.0</v>
      </c>
      <c r="B3146" s="2" t="s">
        <v>5879</v>
      </c>
      <c r="C3146" s="2" t="s">
        <v>23</v>
      </c>
      <c r="K3146" s="2">
        <v>40.0</v>
      </c>
      <c r="N3146" s="6">
        <v>43144.0</v>
      </c>
      <c r="Q3146" s="2" t="s">
        <v>5880</v>
      </c>
    </row>
    <row r="3147">
      <c r="A3147" s="2">
        <v>3146.0</v>
      </c>
      <c r="B3147" s="2" t="s">
        <v>5881</v>
      </c>
      <c r="C3147" s="2" t="s">
        <v>23</v>
      </c>
      <c r="K3147" s="2">
        <v>100.0</v>
      </c>
      <c r="N3147" s="6">
        <v>42495.0</v>
      </c>
      <c r="Q3147" s="2" t="s">
        <v>5882</v>
      </c>
    </row>
    <row r="3148">
      <c r="A3148" s="2">
        <v>3147.0</v>
      </c>
      <c r="B3148" s="2" t="s">
        <v>5883</v>
      </c>
      <c r="C3148" s="2" t="s">
        <v>23</v>
      </c>
      <c r="K3148" s="2">
        <v>150.0</v>
      </c>
      <c r="N3148" s="6">
        <v>45281.0</v>
      </c>
      <c r="Q3148" s="2" t="s">
        <v>5884</v>
      </c>
    </row>
    <row r="3149">
      <c r="A3149" s="2">
        <v>3148.0</v>
      </c>
      <c r="B3149" s="2" t="s">
        <v>5885</v>
      </c>
      <c r="C3149" s="2" t="s">
        <v>23</v>
      </c>
      <c r="K3149" s="2">
        <v>10.0</v>
      </c>
      <c r="N3149" s="6">
        <v>43990.0</v>
      </c>
      <c r="Q3149" s="2" t="s">
        <v>5886</v>
      </c>
    </row>
    <row r="3150">
      <c r="A3150" s="2">
        <v>3149.0</v>
      </c>
      <c r="B3150" s="2" t="s">
        <v>5887</v>
      </c>
      <c r="C3150" s="2" t="s">
        <v>23</v>
      </c>
      <c r="K3150" s="2">
        <v>90.0</v>
      </c>
      <c r="N3150" s="6">
        <v>43913.0</v>
      </c>
      <c r="Q3150" s="2" t="s">
        <v>5888</v>
      </c>
    </row>
    <row r="3151">
      <c r="A3151" s="2">
        <v>3150.0</v>
      </c>
      <c r="B3151" s="2" t="s">
        <v>5889</v>
      </c>
      <c r="C3151" s="2" t="s">
        <v>23</v>
      </c>
      <c r="K3151" s="2">
        <v>10.0</v>
      </c>
      <c r="N3151" s="6">
        <v>45546.0</v>
      </c>
      <c r="Q3151" s="2" t="s">
        <v>5890</v>
      </c>
    </row>
    <row r="3152">
      <c r="A3152" s="2">
        <v>3151.0</v>
      </c>
      <c r="B3152" s="2" t="s">
        <v>5891</v>
      </c>
      <c r="C3152" s="2" t="s">
        <v>23</v>
      </c>
      <c r="K3152" s="2">
        <v>250.0</v>
      </c>
      <c r="N3152" s="6">
        <v>44390.0</v>
      </c>
      <c r="Q3152" s="2" t="s">
        <v>5892</v>
      </c>
    </row>
    <row r="3153">
      <c r="A3153" s="2">
        <v>3152.0</v>
      </c>
      <c r="B3153" s="2" t="s">
        <v>5893</v>
      </c>
      <c r="C3153" s="2" t="s">
        <v>23</v>
      </c>
      <c r="K3153" s="2">
        <v>150.0</v>
      </c>
      <c r="N3153" s="6">
        <v>44409.0</v>
      </c>
      <c r="Q3153" s="2" t="s">
        <v>5894</v>
      </c>
    </row>
    <row r="3154">
      <c r="A3154" s="2">
        <v>3153.0</v>
      </c>
      <c r="B3154" s="2" t="s">
        <v>5895</v>
      </c>
      <c r="C3154" s="2" t="s">
        <v>23</v>
      </c>
      <c r="K3154" s="2">
        <v>80.0</v>
      </c>
      <c r="N3154" s="6">
        <v>45774.0</v>
      </c>
      <c r="Q3154" s="2" t="s">
        <v>1635</v>
      </c>
    </row>
    <row r="3155">
      <c r="A3155" s="2">
        <v>3154.0</v>
      </c>
      <c r="B3155" s="2" t="s">
        <v>5896</v>
      </c>
      <c r="C3155" s="2" t="s">
        <v>23</v>
      </c>
      <c r="K3155" s="2">
        <v>30.0</v>
      </c>
      <c r="N3155" s="6">
        <v>45679.0</v>
      </c>
      <c r="Q3155" s="2" t="s">
        <v>1521</v>
      </c>
    </row>
    <row r="3156">
      <c r="A3156" s="2">
        <v>3155.0</v>
      </c>
      <c r="B3156" s="2" t="s">
        <v>5897</v>
      </c>
      <c r="C3156" s="2" t="s">
        <v>23</v>
      </c>
      <c r="K3156" s="2">
        <v>60.0</v>
      </c>
      <c r="N3156" s="6">
        <v>42607.0</v>
      </c>
      <c r="Q3156" s="2" t="s">
        <v>5898</v>
      </c>
    </row>
    <row r="3157">
      <c r="A3157" s="2">
        <v>3156.0</v>
      </c>
      <c r="B3157" s="2" t="s">
        <v>5899</v>
      </c>
      <c r="C3157" s="2" t="s">
        <v>23</v>
      </c>
      <c r="K3157" s="2">
        <v>80.0</v>
      </c>
      <c r="N3157" s="6">
        <v>44056.0</v>
      </c>
      <c r="Q3157" s="2" t="s">
        <v>86</v>
      </c>
    </row>
    <row r="3158">
      <c r="A3158" s="2">
        <v>3157.0</v>
      </c>
      <c r="B3158" s="2" t="s">
        <v>5900</v>
      </c>
      <c r="C3158" s="2" t="s">
        <v>23</v>
      </c>
      <c r="K3158" s="2">
        <v>30.0</v>
      </c>
      <c r="N3158" s="6">
        <v>44411.0</v>
      </c>
      <c r="Q3158" s="2" t="s">
        <v>5901</v>
      </c>
    </row>
    <row r="3159">
      <c r="A3159" s="2">
        <v>3158.0</v>
      </c>
      <c r="B3159" s="2" t="s">
        <v>5902</v>
      </c>
      <c r="C3159" s="2" t="s">
        <v>23</v>
      </c>
      <c r="K3159" s="2">
        <v>200.0</v>
      </c>
      <c r="N3159" s="6">
        <v>42766.0</v>
      </c>
      <c r="Q3159" s="2" t="s">
        <v>5903</v>
      </c>
    </row>
    <row r="3160">
      <c r="A3160" s="2">
        <v>3159.0</v>
      </c>
      <c r="B3160" s="2" t="s">
        <v>5904</v>
      </c>
      <c r="C3160" s="2" t="s">
        <v>23</v>
      </c>
      <c r="N3160" s="6">
        <v>44768.0</v>
      </c>
      <c r="Q3160" s="2" t="s">
        <v>86</v>
      </c>
    </row>
    <row r="3161">
      <c r="A3161" s="2">
        <v>3160.0</v>
      </c>
      <c r="B3161" s="2" t="s">
        <v>5905</v>
      </c>
      <c r="C3161" s="2" t="s">
        <v>23</v>
      </c>
      <c r="K3161" s="2">
        <v>10.0</v>
      </c>
      <c r="N3161" s="6">
        <v>44107.0</v>
      </c>
      <c r="Q3161" s="2" t="s">
        <v>5906</v>
      </c>
    </row>
    <row r="3162">
      <c r="A3162" s="2">
        <v>3161.0</v>
      </c>
      <c r="B3162" s="2" t="s">
        <v>5907</v>
      </c>
      <c r="C3162" s="2" t="s">
        <v>23</v>
      </c>
      <c r="K3162" s="2">
        <v>60.0</v>
      </c>
      <c r="N3162" s="6">
        <v>44145.0</v>
      </c>
      <c r="Q3162" s="2" t="s">
        <v>5908</v>
      </c>
    </row>
    <row r="3163">
      <c r="A3163" s="2">
        <v>3162.0</v>
      </c>
      <c r="B3163" s="2" t="s">
        <v>5909</v>
      </c>
      <c r="C3163" s="2" t="s">
        <v>23</v>
      </c>
      <c r="K3163" s="2">
        <v>20.0</v>
      </c>
      <c r="N3163" s="6">
        <v>44956.0</v>
      </c>
      <c r="Q3163" s="2" t="s">
        <v>546</v>
      </c>
    </row>
    <row r="3164">
      <c r="A3164" s="2">
        <v>3163.0</v>
      </c>
      <c r="B3164" s="2" t="s">
        <v>5910</v>
      </c>
      <c r="C3164" s="2" t="s">
        <v>23</v>
      </c>
      <c r="N3164" s="6">
        <v>44235.0</v>
      </c>
      <c r="Q3164" s="2" t="s">
        <v>86</v>
      </c>
    </row>
    <row r="3165">
      <c r="A3165" s="2">
        <v>3164.0</v>
      </c>
      <c r="B3165" s="2" t="s">
        <v>5911</v>
      </c>
      <c r="C3165" s="2" t="s">
        <v>23</v>
      </c>
      <c r="N3165" s="6">
        <v>44159.0</v>
      </c>
      <c r="Q3165" s="2" t="s">
        <v>86</v>
      </c>
    </row>
    <row r="3166">
      <c r="A3166" s="2">
        <v>3165.0</v>
      </c>
      <c r="B3166" s="2" t="s">
        <v>5912</v>
      </c>
      <c r="C3166" s="2" t="s">
        <v>23</v>
      </c>
      <c r="K3166" s="2">
        <v>30.0</v>
      </c>
      <c r="N3166" s="6">
        <v>44652.0</v>
      </c>
      <c r="Q3166" s="2" t="s">
        <v>200</v>
      </c>
    </row>
    <row r="3167">
      <c r="A3167" s="2">
        <v>3166.0</v>
      </c>
      <c r="B3167" s="2" t="s">
        <v>5913</v>
      </c>
      <c r="C3167" s="2" t="s">
        <v>23</v>
      </c>
      <c r="K3167" s="2">
        <v>20.0</v>
      </c>
      <c r="N3167" s="6">
        <v>45057.0</v>
      </c>
      <c r="Q3167" s="2" t="s">
        <v>86</v>
      </c>
    </row>
    <row r="3168">
      <c r="A3168" s="2">
        <v>3167.0</v>
      </c>
      <c r="B3168" s="2" t="s">
        <v>5914</v>
      </c>
      <c r="C3168" s="2" t="s">
        <v>23</v>
      </c>
      <c r="N3168" s="6">
        <v>44043.0</v>
      </c>
      <c r="Q3168" s="2" t="s">
        <v>86</v>
      </c>
    </row>
    <row r="3169">
      <c r="A3169" s="2">
        <v>3168.0</v>
      </c>
      <c r="B3169" s="2" t="s">
        <v>5915</v>
      </c>
      <c r="C3169" s="2" t="s">
        <v>23</v>
      </c>
      <c r="N3169" s="6">
        <v>42719.0</v>
      </c>
      <c r="Q3169" s="2" t="s">
        <v>86</v>
      </c>
    </row>
    <row r="3170">
      <c r="A3170" s="2">
        <v>3169.0</v>
      </c>
      <c r="B3170" s="2" t="s">
        <v>5916</v>
      </c>
      <c r="C3170" s="2" t="s">
        <v>23</v>
      </c>
      <c r="K3170" s="2">
        <v>30.0</v>
      </c>
      <c r="N3170" s="6">
        <v>45532.0</v>
      </c>
      <c r="Q3170" s="2" t="s">
        <v>5917</v>
      </c>
    </row>
    <row r="3171">
      <c r="A3171" s="2">
        <v>3170.0</v>
      </c>
      <c r="B3171" s="2" t="s">
        <v>5918</v>
      </c>
      <c r="C3171" s="2" t="s">
        <v>23</v>
      </c>
      <c r="N3171" s="6">
        <v>45630.0</v>
      </c>
      <c r="Q3171" s="2" t="s">
        <v>5919</v>
      </c>
    </row>
    <row r="3172">
      <c r="A3172" s="2">
        <v>3171.0</v>
      </c>
      <c r="B3172" s="2" t="s">
        <v>5920</v>
      </c>
      <c r="C3172" s="2" t="s">
        <v>23</v>
      </c>
      <c r="K3172" s="2">
        <v>20.0</v>
      </c>
      <c r="N3172" s="6">
        <v>45126.0</v>
      </c>
      <c r="Q3172" s="2" t="s">
        <v>426</v>
      </c>
    </row>
    <row r="3173">
      <c r="A3173" s="2">
        <v>3172.0</v>
      </c>
      <c r="B3173" s="2" t="s">
        <v>5921</v>
      </c>
      <c r="C3173" s="2" t="s">
        <v>23</v>
      </c>
      <c r="N3173" s="6">
        <v>44515.0</v>
      </c>
      <c r="Q3173" s="2" t="s">
        <v>86</v>
      </c>
    </row>
    <row r="3174">
      <c r="A3174" s="2">
        <v>3173.0</v>
      </c>
      <c r="B3174" s="2" t="s">
        <v>5922</v>
      </c>
      <c r="C3174" s="2" t="s">
        <v>23</v>
      </c>
      <c r="K3174" s="2">
        <v>150.0</v>
      </c>
      <c r="N3174" s="6">
        <v>44110.0</v>
      </c>
      <c r="Q3174" s="2" t="s">
        <v>5923</v>
      </c>
    </row>
    <row r="3175">
      <c r="A3175" s="2">
        <v>3174.0</v>
      </c>
      <c r="B3175" s="2" t="s">
        <v>5924</v>
      </c>
      <c r="C3175" s="2" t="s">
        <v>23</v>
      </c>
      <c r="K3175" s="2">
        <v>150.0</v>
      </c>
      <c r="N3175" s="6">
        <v>45592.0</v>
      </c>
      <c r="Q3175" s="2" t="s">
        <v>5925</v>
      </c>
    </row>
    <row r="3176">
      <c r="A3176" s="2">
        <v>3175.0</v>
      </c>
      <c r="B3176" s="2" t="s">
        <v>5926</v>
      </c>
      <c r="C3176" s="2" t="s">
        <v>23</v>
      </c>
      <c r="K3176" s="2">
        <v>10.0</v>
      </c>
      <c r="N3176" s="6">
        <v>44783.0</v>
      </c>
      <c r="Q3176" s="2" t="s">
        <v>2583</v>
      </c>
    </row>
    <row r="3177">
      <c r="A3177" s="2">
        <v>3176.0</v>
      </c>
      <c r="B3177" s="2" t="s">
        <v>5927</v>
      </c>
      <c r="C3177" s="2" t="s">
        <v>23</v>
      </c>
      <c r="K3177" s="2">
        <v>50.0</v>
      </c>
      <c r="N3177" s="6">
        <v>44563.0</v>
      </c>
      <c r="Q3177" s="2" t="s">
        <v>86</v>
      </c>
    </row>
    <row r="3178">
      <c r="A3178" s="2">
        <v>3177.0</v>
      </c>
      <c r="B3178" s="2" t="s">
        <v>5928</v>
      </c>
      <c r="C3178" s="2" t="s">
        <v>23</v>
      </c>
      <c r="K3178" s="2">
        <v>10.0</v>
      </c>
      <c r="N3178" s="6">
        <v>45616.0</v>
      </c>
      <c r="Q3178" s="2" t="s">
        <v>5929</v>
      </c>
    </row>
    <row r="3179">
      <c r="A3179" s="2">
        <v>3178.0</v>
      </c>
      <c r="B3179" s="2" t="s">
        <v>5930</v>
      </c>
      <c r="C3179" s="2" t="s">
        <v>23</v>
      </c>
      <c r="K3179" s="2">
        <v>40.0</v>
      </c>
      <c r="N3179" s="6">
        <v>44202.0</v>
      </c>
      <c r="Q3179" s="2" t="s">
        <v>1472</v>
      </c>
    </row>
    <row r="3180">
      <c r="A3180" s="2">
        <v>3179.0</v>
      </c>
      <c r="B3180" s="2" t="s">
        <v>5931</v>
      </c>
      <c r="C3180" s="2" t="s">
        <v>23</v>
      </c>
      <c r="N3180" s="6">
        <v>44516.0</v>
      </c>
      <c r="Q3180" s="2" t="s">
        <v>86</v>
      </c>
    </row>
    <row r="3181">
      <c r="A3181" s="2">
        <v>3180.0</v>
      </c>
      <c r="B3181" s="2" t="s">
        <v>5932</v>
      </c>
      <c r="C3181" s="2" t="s">
        <v>23</v>
      </c>
      <c r="K3181" s="2">
        <v>600.0</v>
      </c>
      <c r="N3181" s="6">
        <v>42863.0</v>
      </c>
      <c r="Q3181" s="2" t="s">
        <v>5933</v>
      </c>
    </row>
    <row r="3182">
      <c r="A3182" s="2">
        <v>3181.0</v>
      </c>
      <c r="B3182" s="2" t="s">
        <v>5934</v>
      </c>
      <c r="C3182" s="2" t="s">
        <v>23</v>
      </c>
      <c r="K3182" s="2">
        <v>250.0</v>
      </c>
      <c r="N3182" s="6">
        <v>43469.0</v>
      </c>
      <c r="Q3182" s="2" t="s">
        <v>5935</v>
      </c>
    </row>
    <row r="3183">
      <c r="A3183" s="2">
        <v>3182.0</v>
      </c>
      <c r="B3183" s="2" t="s">
        <v>5936</v>
      </c>
      <c r="C3183" s="2" t="s">
        <v>23</v>
      </c>
      <c r="K3183" s="2">
        <v>90.0</v>
      </c>
      <c r="N3183" s="6">
        <v>44287.0</v>
      </c>
      <c r="Q3183" s="2" t="s">
        <v>295</v>
      </c>
    </row>
    <row r="3184">
      <c r="A3184" s="2">
        <v>3183.0</v>
      </c>
      <c r="B3184" s="2" t="s">
        <v>5937</v>
      </c>
      <c r="C3184" s="2" t="s">
        <v>23</v>
      </c>
      <c r="N3184" s="6">
        <v>46134.0</v>
      </c>
      <c r="Q3184" s="2" t="s">
        <v>5938</v>
      </c>
    </row>
    <row r="3185">
      <c r="A3185" s="2">
        <v>3184.0</v>
      </c>
      <c r="B3185" s="2" t="s">
        <v>5939</v>
      </c>
      <c r="C3185" s="2" t="s">
        <v>23</v>
      </c>
      <c r="N3185" s="6">
        <v>44268.0</v>
      </c>
      <c r="Q3185" s="2" t="s">
        <v>5940</v>
      </c>
    </row>
    <row r="3186">
      <c r="A3186" s="2">
        <v>3185.0</v>
      </c>
      <c r="B3186" s="2" t="s">
        <v>5941</v>
      </c>
      <c r="C3186" s="2" t="s">
        <v>23</v>
      </c>
      <c r="K3186" s="2">
        <v>10.0</v>
      </c>
      <c r="N3186" s="6">
        <v>44648.0</v>
      </c>
      <c r="Q3186" s="2" t="s">
        <v>200</v>
      </c>
    </row>
    <row r="3187">
      <c r="A3187" s="2">
        <v>3186.0</v>
      </c>
      <c r="B3187" s="2" t="s">
        <v>5942</v>
      </c>
      <c r="C3187" s="2" t="s">
        <v>23</v>
      </c>
      <c r="K3187" s="2">
        <v>100.0</v>
      </c>
      <c r="N3187" s="6">
        <v>43930.0</v>
      </c>
      <c r="Q3187" s="2" t="s">
        <v>5943</v>
      </c>
    </row>
    <row r="3188">
      <c r="A3188" s="2">
        <v>3187.0</v>
      </c>
      <c r="B3188" s="2" t="s">
        <v>5944</v>
      </c>
      <c r="C3188" s="2" t="s">
        <v>23</v>
      </c>
      <c r="N3188" s="6">
        <v>44071.0</v>
      </c>
      <c r="Q3188" s="2" t="s">
        <v>86</v>
      </c>
    </row>
    <row r="3189">
      <c r="A3189" s="2">
        <v>3188.0</v>
      </c>
      <c r="B3189" s="2" t="s">
        <v>5945</v>
      </c>
      <c r="C3189" s="2" t="s">
        <v>23</v>
      </c>
      <c r="K3189" s="2">
        <v>40.0</v>
      </c>
      <c r="N3189" s="6">
        <v>45723.0</v>
      </c>
      <c r="Q3189" s="2" t="s">
        <v>5946</v>
      </c>
    </row>
    <row r="3190">
      <c r="A3190" s="2">
        <v>3189.0</v>
      </c>
      <c r="B3190" s="2" t="s">
        <v>5947</v>
      </c>
      <c r="C3190" s="2" t="s">
        <v>23</v>
      </c>
      <c r="K3190" s="2">
        <v>200.0</v>
      </c>
      <c r="N3190" s="6">
        <v>45775.0</v>
      </c>
      <c r="Q3190" s="2" t="s">
        <v>5948</v>
      </c>
    </row>
    <row r="3191">
      <c r="A3191" s="2">
        <v>3190.0</v>
      </c>
      <c r="B3191" s="2" t="s">
        <v>5949</v>
      </c>
      <c r="C3191" s="2" t="s">
        <v>23</v>
      </c>
      <c r="K3191" s="2">
        <v>100.0</v>
      </c>
      <c r="N3191" s="6">
        <v>43958.0</v>
      </c>
      <c r="Q3191" s="2" t="s">
        <v>5950</v>
      </c>
    </row>
    <row r="3192">
      <c r="A3192" s="2">
        <v>3191.0</v>
      </c>
      <c r="B3192" s="2" t="s">
        <v>5951</v>
      </c>
      <c r="C3192" s="2" t="s">
        <v>23</v>
      </c>
      <c r="N3192" s="6">
        <v>44079.0</v>
      </c>
      <c r="Q3192" s="2" t="s">
        <v>86</v>
      </c>
    </row>
    <row r="3193">
      <c r="A3193" s="2">
        <v>3192.0</v>
      </c>
      <c r="B3193" s="2" t="s">
        <v>5952</v>
      </c>
      <c r="C3193" s="2" t="s">
        <v>23</v>
      </c>
      <c r="N3193" s="6">
        <v>45626.0</v>
      </c>
      <c r="Q3193" s="2" t="s">
        <v>5953</v>
      </c>
    </row>
    <row r="3194">
      <c r="A3194" s="2">
        <v>3193.0</v>
      </c>
      <c r="B3194" s="2" t="s">
        <v>5954</v>
      </c>
      <c r="C3194" s="2" t="s">
        <v>23</v>
      </c>
      <c r="N3194" s="6">
        <v>45356.0</v>
      </c>
      <c r="Q3194" s="2" t="s">
        <v>5776</v>
      </c>
    </row>
    <row r="3195">
      <c r="A3195" s="2">
        <v>3194.0</v>
      </c>
      <c r="B3195" s="2" t="s">
        <v>5955</v>
      </c>
      <c r="C3195" s="2" t="s">
        <v>23</v>
      </c>
      <c r="K3195" s="2">
        <v>100.0</v>
      </c>
      <c r="N3195" s="6">
        <v>43855.0</v>
      </c>
      <c r="Q3195" s="2" t="s">
        <v>5956</v>
      </c>
    </row>
    <row r="3196">
      <c r="A3196" s="2">
        <v>3195.0</v>
      </c>
      <c r="B3196" s="2" t="s">
        <v>5957</v>
      </c>
      <c r="C3196" s="2" t="s">
        <v>23</v>
      </c>
      <c r="K3196" s="2">
        <v>90.0</v>
      </c>
      <c r="N3196" s="6">
        <v>43963.0</v>
      </c>
      <c r="Q3196" s="2" t="s">
        <v>5958</v>
      </c>
    </row>
    <row r="3197">
      <c r="A3197" s="2">
        <v>3196.0</v>
      </c>
      <c r="B3197" s="2" t="s">
        <v>5959</v>
      </c>
      <c r="C3197" s="2" t="s">
        <v>23</v>
      </c>
      <c r="K3197" s="2">
        <v>300.0</v>
      </c>
      <c r="N3197" s="6">
        <v>43998.0</v>
      </c>
      <c r="Q3197" s="2" t="s">
        <v>5960</v>
      </c>
    </row>
    <row r="3198">
      <c r="A3198" s="2">
        <v>3197.0</v>
      </c>
      <c r="B3198" s="2" t="s">
        <v>5961</v>
      </c>
      <c r="C3198" s="2" t="s">
        <v>23</v>
      </c>
      <c r="N3198" s="6">
        <v>43858.0</v>
      </c>
      <c r="Q3198" s="2" t="s">
        <v>86</v>
      </c>
    </row>
    <row r="3199">
      <c r="A3199" s="2">
        <v>3198.0</v>
      </c>
      <c r="B3199" s="2" t="s">
        <v>5962</v>
      </c>
      <c r="C3199" s="2" t="s">
        <v>23</v>
      </c>
      <c r="K3199" s="2">
        <v>10.0</v>
      </c>
      <c r="N3199" s="6">
        <v>45528.0</v>
      </c>
      <c r="Q3199" s="2" t="s">
        <v>5963</v>
      </c>
    </row>
    <row r="3200">
      <c r="A3200" s="2">
        <v>3199.0</v>
      </c>
      <c r="B3200" s="2" t="s">
        <v>5964</v>
      </c>
      <c r="C3200" s="2" t="s">
        <v>23</v>
      </c>
      <c r="K3200" s="2">
        <v>30.0</v>
      </c>
      <c r="N3200" s="6">
        <v>44571.0</v>
      </c>
      <c r="Q3200" s="2" t="s">
        <v>86</v>
      </c>
    </row>
    <row r="3201">
      <c r="A3201" s="2">
        <v>3200.0</v>
      </c>
      <c r="B3201" s="2" t="s">
        <v>5965</v>
      </c>
      <c r="C3201" s="2" t="s">
        <v>23</v>
      </c>
      <c r="N3201" s="6">
        <v>43861.0</v>
      </c>
      <c r="Q3201" s="2" t="s">
        <v>86</v>
      </c>
    </row>
    <row r="3202">
      <c r="A3202" s="2">
        <v>3201.0</v>
      </c>
      <c r="B3202" s="2" t="s">
        <v>5966</v>
      </c>
      <c r="C3202" s="2" t="s">
        <v>23</v>
      </c>
      <c r="N3202" s="6">
        <v>44318.0</v>
      </c>
      <c r="Q3202" s="2" t="s">
        <v>86</v>
      </c>
    </row>
    <row r="3203">
      <c r="A3203" s="2">
        <v>3202.0</v>
      </c>
      <c r="B3203" s="2" t="s">
        <v>5967</v>
      </c>
      <c r="C3203" s="2" t="s">
        <v>23</v>
      </c>
      <c r="K3203" s="2">
        <v>100.0</v>
      </c>
      <c r="N3203" s="6">
        <v>44603.0</v>
      </c>
      <c r="Q3203" s="2" t="s">
        <v>5968</v>
      </c>
    </row>
    <row r="3204">
      <c r="A3204" s="2">
        <v>3203.0</v>
      </c>
      <c r="B3204" s="2" t="s">
        <v>5969</v>
      </c>
      <c r="C3204" s="2" t="s">
        <v>23</v>
      </c>
      <c r="N3204" s="6">
        <v>43963.0</v>
      </c>
      <c r="Q3204" s="2" t="s">
        <v>86</v>
      </c>
    </row>
    <row r="3205">
      <c r="A3205" s="2">
        <v>3204.0</v>
      </c>
      <c r="B3205" s="2" t="s">
        <v>5970</v>
      </c>
      <c r="C3205" s="2" t="s">
        <v>23</v>
      </c>
      <c r="K3205" s="2">
        <v>30.0</v>
      </c>
      <c r="N3205" s="6">
        <v>44556.0</v>
      </c>
      <c r="Q3205" s="2" t="s">
        <v>4041</v>
      </c>
    </row>
    <row r="3206">
      <c r="A3206" s="2">
        <v>3205.0</v>
      </c>
      <c r="B3206" s="2" t="s">
        <v>5971</v>
      </c>
      <c r="C3206" s="2" t="s">
        <v>23</v>
      </c>
      <c r="K3206" s="2">
        <v>70.0</v>
      </c>
      <c r="N3206" s="6">
        <v>44781.0</v>
      </c>
      <c r="Q3206" s="2" t="s">
        <v>86</v>
      </c>
    </row>
    <row r="3207">
      <c r="A3207" s="2">
        <v>3206.0</v>
      </c>
      <c r="B3207" s="2" t="s">
        <v>5972</v>
      </c>
      <c r="C3207" s="2" t="s">
        <v>23</v>
      </c>
      <c r="K3207" s="2">
        <v>20.0</v>
      </c>
      <c r="N3207" s="6">
        <v>44353.0</v>
      </c>
      <c r="Q3207" s="2" t="s">
        <v>1466</v>
      </c>
    </row>
    <row r="3208">
      <c r="A3208" s="2">
        <v>3207.0</v>
      </c>
      <c r="B3208" s="2" t="s">
        <v>5973</v>
      </c>
      <c r="C3208" s="2" t="s">
        <v>23</v>
      </c>
      <c r="K3208" s="2">
        <v>60.0</v>
      </c>
      <c r="N3208" s="6">
        <v>42597.0</v>
      </c>
      <c r="Q3208" s="2" t="s">
        <v>5974</v>
      </c>
    </row>
    <row r="3209">
      <c r="A3209" s="2">
        <v>3208.0</v>
      </c>
      <c r="B3209" s="2" t="s">
        <v>5975</v>
      </c>
      <c r="C3209" s="2" t="s">
        <v>23</v>
      </c>
      <c r="N3209" s="6">
        <v>42305.0</v>
      </c>
      <c r="Q3209" s="2" t="s">
        <v>5976</v>
      </c>
    </row>
    <row r="3210">
      <c r="A3210" s="2">
        <v>3209.0</v>
      </c>
      <c r="B3210" s="2" t="s">
        <v>5977</v>
      </c>
      <c r="C3210" s="2" t="s">
        <v>23</v>
      </c>
      <c r="K3210" s="2">
        <v>200.0</v>
      </c>
      <c r="N3210" s="6">
        <v>43900.0</v>
      </c>
      <c r="Q3210" s="2" t="s">
        <v>5978</v>
      </c>
    </row>
    <row r="3211">
      <c r="A3211" s="2">
        <v>3210.0</v>
      </c>
      <c r="B3211" s="2" t="s">
        <v>5979</v>
      </c>
      <c r="C3211" s="2" t="s">
        <v>23</v>
      </c>
      <c r="K3211" s="2">
        <v>250.0</v>
      </c>
      <c r="N3211" s="6">
        <v>43924.0</v>
      </c>
      <c r="Q3211" s="2" t="s">
        <v>5980</v>
      </c>
    </row>
    <row r="3212">
      <c r="A3212" s="2">
        <v>3211.0</v>
      </c>
      <c r="B3212" s="2" t="s">
        <v>5981</v>
      </c>
      <c r="C3212" s="2" t="s">
        <v>23</v>
      </c>
      <c r="K3212" s="2">
        <v>60.0</v>
      </c>
      <c r="N3212" s="6">
        <v>44073.0</v>
      </c>
      <c r="Q3212" s="2" t="s">
        <v>5982</v>
      </c>
    </row>
    <row r="3213">
      <c r="A3213" s="2">
        <v>3212.0</v>
      </c>
      <c r="B3213" s="2" t="s">
        <v>5983</v>
      </c>
      <c r="C3213" s="2" t="s">
        <v>23</v>
      </c>
      <c r="N3213" s="6">
        <v>43872.0</v>
      </c>
      <c r="Q3213" s="2" t="s">
        <v>86</v>
      </c>
    </row>
    <row r="3214">
      <c r="A3214" s="2">
        <v>3213.0</v>
      </c>
      <c r="B3214" s="2" t="s">
        <v>5984</v>
      </c>
      <c r="C3214" s="2" t="s">
        <v>23</v>
      </c>
      <c r="N3214" s="6">
        <v>44507.0</v>
      </c>
      <c r="Q3214" s="2" t="s">
        <v>86</v>
      </c>
    </row>
    <row r="3215">
      <c r="A3215" s="2">
        <v>3214.0</v>
      </c>
      <c r="B3215" s="2" t="s">
        <v>5985</v>
      </c>
      <c r="C3215" s="2" t="s">
        <v>23</v>
      </c>
      <c r="K3215" s="2">
        <v>40.0</v>
      </c>
      <c r="N3215" s="6">
        <v>44584.0</v>
      </c>
      <c r="Q3215" s="2" t="s">
        <v>2794</v>
      </c>
    </row>
    <row r="3216">
      <c r="A3216" s="2">
        <v>3215.0</v>
      </c>
      <c r="B3216" s="2" t="s">
        <v>5986</v>
      </c>
      <c r="C3216" s="2" t="s">
        <v>23</v>
      </c>
      <c r="K3216" s="2">
        <v>150.0</v>
      </c>
      <c r="N3216" s="6">
        <v>43885.0</v>
      </c>
      <c r="Q3216" s="2" t="s">
        <v>5987</v>
      </c>
    </row>
    <row r="3217">
      <c r="A3217" s="2">
        <v>3216.0</v>
      </c>
      <c r="B3217" s="2" t="s">
        <v>5988</v>
      </c>
      <c r="C3217" s="2" t="s">
        <v>23</v>
      </c>
      <c r="K3217" s="2">
        <v>50.0</v>
      </c>
      <c r="N3217" s="6">
        <v>44021.0</v>
      </c>
      <c r="Q3217" s="2" t="s">
        <v>5989</v>
      </c>
    </row>
    <row r="3218">
      <c r="A3218" s="2">
        <v>3217.0</v>
      </c>
      <c r="B3218" s="2" t="s">
        <v>5990</v>
      </c>
      <c r="C3218" s="2" t="s">
        <v>23</v>
      </c>
      <c r="K3218" s="2">
        <v>60.0</v>
      </c>
      <c r="N3218" s="6">
        <v>45049.0</v>
      </c>
      <c r="Q3218" s="2" t="s">
        <v>5991</v>
      </c>
    </row>
    <row r="3219">
      <c r="A3219" s="2">
        <v>3218.0</v>
      </c>
      <c r="B3219" s="2" t="s">
        <v>5992</v>
      </c>
      <c r="C3219" s="2" t="s">
        <v>23</v>
      </c>
      <c r="K3219" s="2">
        <v>250.0</v>
      </c>
      <c r="N3219" s="6">
        <v>44558.0</v>
      </c>
      <c r="Q3219" s="2" t="s">
        <v>5993</v>
      </c>
    </row>
    <row r="3220">
      <c r="A3220" s="2">
        <v>3219.0</v>
      </c>
      <c r="B3220" s="2" t="s">
        <v>5994</v>
      </c>
      <c r="C3220" s="2" t="s">
        <v>23</v>
      </c>
      <c r="K3220" s="2">
        <v>30.0</v>
      </c>
      <c r="N3220" s="6">
        <v>45787.0</v>
      </c>
      <c r="Q3220" s="2" t="s">
        <v>1635</v>
      </c>
    </row>
    <row r="3221">
      <c r="A3221" s="2">
        <v>3220.0</v>
      </c>
      <c r="B3221" s="2" t="s">
        <v>5995</v>
      </c>
      <c r="C3221" s="2" t="s">
        <v>23</v>
      </c>
      <c r="K3221" s="2">
        <v>40.0</v>
      </c>
      <c r="N3221" s="6">
        <v>45436.0</v>
      </c>
      <c r="Q3221" s="2" t="s">
        <v>5996</v>
      </c>
    </row>
    <row r="3222">
      <c r="A3222" s="2">
        <v>3221.0</v>
      </c>
      <c r="B3222" s="2" t="s">
        <v>5997</v>
      </c>
      <c r="C3222" s="2" t="s">
        <v>23</v>
      </c>
      <c r="N3222" s="6">
        <v>45362.0</v>
      </c>
      <c r="Q3222" s="2" t="s">
        <v>86</v>
      </c>
    </row>
    <row r="3223">
      <c r="A3223" s="2">
        <v>3222.0</v>
      </c>
      <c r="B3223" s="2" t="s">
        <v>5998</v>
      </c>
      <c r="C3223" s="2" t="s">
        <v>23</v>
      </c>
      <c r="K3223" s="2">
        <v>150.0</v>
      </c>
      <c r="N3223" s="6">
        <v>44401.0</v>
      </c>
      <c r="Q3223" s="2" t="s">
        <v>5999</v>
      </c>
    </row>
    <row r="3224">
      <c r="A3224" s="2">
        <v>3223.0</v>
      </c>
      <c r="B3224" s="2" t="s">
        <v>6000</v>
      </c>
      <c r="C3224" s="2" t="s">
        <v>23</v>
      </c>
      <c r="K3224" s="2">
        <v>20.0</v>
      </c>
      <c r="N3224" s="6">
        <v>43860.0</v>
      </c>
      <c r="Q3224" s="2" t="s">
        <v>6001</v>
      </c>
    </row>
    <row r="3225">
      <c r="A3225" s="2">
        <v>3224.0</v>
      </c>
      <c r="B3225" s="2" t="s">
        <v>6002</v>
      </c>
      <c r="C3225" s="2" t="s">
        <v>23</v>
      </c>
      <c r="K3225" s="2">
        <v>200.0</v>
      </c>
      <c r="N3225" s="6">
        <v>43962.0</v>
      </c>
      <c r="Q3225" s="2" t="s">
        <v>6003</v>
      </c>
    </row>
    <row r="3226">
      <c r="A3226" s="2">
        <v>3225.0</v>
      </c>
      <c r="B3226" s="2" t="s">
        <v>6004</v>
      </c>
      <c r="C3226" s="2" t="s">
        <v>23</v>
      </c>
      <c r="K3226" s="2">
        <v>100.0</v>
      </c>
      <c r="N3226" s="6">
        <v>43917.0</v>
      </c>
      <c r="Q3226" s="2" t="s">
        <v>6005</v>
      </c>
    </row>
    <row r="3227">
      <c r="A3227" s="2">
        <v>3226.0</v>
      </c>
      <c r="B3227" s="2" t="s">
        <v>6006</v>
      </c>
      <c r="C3227" s="2" t="s">
        <v>23</v>
      </c>
      <c r="N3227" s="6">
        <v>42646.0</v>
      </c>
      <c r="Q3227" s="2" t="s">
        <v>86</v>
      </c>
    </row>
    <row r="3228">
      <c r="A3228" s="2">
        <v>3227.0</v>
      </c>
      <c r="B3228" s="2" t="s">
        <v>6007</v>
      </c>
      <c r="C3228" s="2" t="s">
        <v>23</v>
      </c>
      <c r="N3228" s="6">
        <v>42795.0</v>
      </c>
      <c r="Q3228" s="2" t="s">
        <v>86</v>
      </c>
    </row>
    <row r="3229">
      <c r="A3229" s="2">
        <v>3228.0</v>
      </c>
      <c r="B3229" s="2" t="s">
        <v>6008</v>
      </c>
      <c r="C3229" s="2" t="s">
        <v>23</v>
      </c>
      <c r="K3229" s="2">
        <v>10.0</v>
      </c>
      <c r="N3229" s="6">
        <v>43840.0</v>
      </c>
      <c r="Q3229" s="2" t="s">
        <v>86</v>
      </c>
    </row>
    <row r="3230">
      <c r="A3230" s="2">
        <v>3229.0</v>
      </c>
      <c r="B3230" s="2" t="s">
        <v>6009</v>
      </c>
      <c r="C3230" s="2" t="s">
        <v>23</v>
      </c>
      <c r="N3230" s="6">
        <v>44125.0</v>
      </c>
      <c r="Q3230" s="2" t="s">
        <v>86</v>
      </c>
    </row>
    <row r="3231">
      <c r="A3231" s="2">
        <v>3230.0</v>
      </c>
      <c r="B3231" s="2" t="s">
        <v>6010</v>
      </c>
      <c r="C3231" s="2" t="s">
        <v>23</v>
      </c>
      <c r="K3231" s="2">
        <v>10.0</v>
      </c>
      <c r="N3231" s="6">
        <v>44165.0</v>
      </c>
      <c r="Q3231" s="2" t="s">
        <v>86</v>
      </c>
    </row>
    <row r="3232">
      <c r="A3232" s="2">
        <v>3231.0</v>
      </c>
      <c r="B3232" s="2" t="s">
        <v>6011</v>
      </c>
      <c r="C3232" s="2" t="s">
        <v>23</v>
      </c>
      <c r="K3232" s="2">
        <v>10.0</v>
      </c>
      <c r="N3232" s="6">
        <v>44467.0</v>
      </c>
      <c r="Q3232" s="2" t="s">
        <v>6012</v>
      </c>
    </row>
    <row r="3233">
      <c r="A3233" s="2">
        <v>3232.0</v>
      </c>
      <c r="B3233" s="2" t="s">
        <v>6013</v>
      </c>
      <c r="C3233" s="2" t="s">
        <v>23</v>
      </c>
      <c r="K3233" s="2">
        <v>60.0</v>
      </c>
      <c r="N3233" s="6">
        <v>45772.0</v>
      </c>
      <c r="Q3233" s="2" t="s">
        <v>4705</v>
      </c>
    </row>
    <row r="3234">
      <c r="A3234" s="2">
        <v>3233.0</v>
      </c>
      <c r="B3234" s="2" t="s">
        <v>6014</v>
      </c>
      <c r="C3234" s="2" t="s">
        <v>23</v>
      </c>
      <c r="K3234" s="2">
        <v>60.0</v>
      </c>
      <c r="N3234" s="6">
        <v>44786.0</v>
      </c>
      <c r="Q3234" s="2" t="s">
        <v>6015</v>
      </c>
    </row>
    <row r="3235">
      <c r="A3235" s="2">
        <v>3234.0</v>
      </c>
      <c r="B3235" s="2" t="s">
        <v>6016</v>
      </c>
      <c r="C3235" s="2" t="s">
        <v>23</v>
      </c>
      <c r="K3235" s="2">
        <v>50.0</v>
      </c>
      <c r="N3235" s="6">
        <v>43987.0</v>
      </c>
      <c r="Q3235" s="2" t="s">
        <v>6017</v>
      </c>
    </row>
    <row r="3236">
      <c r="A3236" s="2">
        <v>3235.0</v>
      </c>
      <c r="B3236" s="2" t="s">
        <v>6018</v>
      </c>
      <c r="C3236" s="2" t="s">
        <v>23</v>
      </c>
      <c r="K3236" s="2">
        <v>300.0</v>
      </c>
      <c r="N3236" s="6">
        <v>43509.0</v>
      </c>
      <c r="Q3236" s="2" t="s">
        <v>6019</v>
      </c>
    </row>
    <row r="3237">
      <c r="A3237" s="2">
        <v>3236.0</v>
      </c>
      <c r="B3237" s="2" t="s">
        <v>6020</v>
      </c>
      <c r="C3237" s="2" t="s">
        <v>23</v>
      </c>
      <c r="K3237" s="2">
        <v>30.0</v>
      </c>
      <c r="N3237" s="6">
        <v>44508.0</v>
      </c>
      <c r="Q3237" s="2" t="s">
        <v>5169</v>
      </c>
    </row>
    <row r="3238">
      <c r="A3238" s="2">
        <v>3237.0</v>
      </c>
      <c r="B3238" s="2" t="s">
        <v>6021</v>
      </c>
      <c r="C3238" s="2" t="s">
        <v>23</v>
      </c>
      <c r="K3238" s="2">
        <v>90.0</v>
      </c>
      <c r="N3238" s="6">
        <v>44081.0</v>
      </c>
      <c r="Q3238" s="2" t="s">
        <v>6022</v>
      </c>
    </row>
    <row r="3239">
      <c r="A3239" s="2">
        <v>3238.0</v>
      </c>
      <c r="B3239" s="2" t="s">
        <v>6023</v>
      </c>
      <c r="C3239" s="2" t="s">
        <v>23</v>
      </c>
      <c r="K3239" s="2">
        <v>10.0</v>
      </c>
      <c r="N3239" s="6">
        <v>44095.0</v>
      </c>
      <c r="Q3239" s="2" t="s">
        <v>546</v>
      </c>
    </row>
    <row r="3240">
      <c r="A3240" s="2">
        <v>3239.0</v>
      </c>
      <c r="B3240" s="2" t="s">
        <v>6024</v>
      </c>
      <c r="C3240" s="2" t="s">
        <v>23</v>
      </c>
      <c r="K3240" s="2">
        <v>20.0</v>
      </c>
      <c r="N3240" s="6">
        <v>44549.0</v>
      </c>
      <c r="Q3240" s="2" t="s">
        <v>1521</v>
      </c>
    </row>
    <row r="3241">
      <c r="A3241" s="2">
        <v>3240.0</v>
      </c>
      <c r="B3241" s="2" t="s">
        <v>6025</v>
      </c>
      <c r="C3241" s="2" t="s">
        <v>23</v>
      </c>
      <c r="N3241" s="6">
        <v>43942.0</v>
      </c>
      <c r="Q3241" s="2" t="s">
        <v>86</v>
      </c>
    </row>
    <row r="3242">
      <c r="A3242" s="2">
        <v>3241.0</v>
      </c>
      <c r="B3242" s="2" t="s">
        <v>6026</v>
      </c>
      <c r="C3242" s="2" t="s">
        <v>23</v>
      </c>
      <c r="N3242" s="6">
        <v>44771.0</v>
      </c>
      <c r="Q3242" s="2" t="s">
        <v>86</v>
      </c>
    </row>
    <row r="3243">
      <c r="A3243" s="2">
        <v>3242.0</v>
      </c>
      <c r="B3243" s="2" t="s">
        <v>6027</v>
      </c>
      <c r="C3243" s="2" t="s">
        <v>23</v>
      </c>
      <c r="K3243" s="2">
        <v>30.0</v>
      </c>
      <c r="N3243" s="6">
        <v>44317.0</v>
      </c>
      <c r="Q3243" s="2" t="s">
        <v>6028</v>
      </c>
    </row>
    <row r="3244">
      <c r="A3244" s="2">
        <v>3243.0</v>
      </c>
      <c r="B3244" s="2" t="s">
        <v>6029</v>
      </c>
      <c r="C3244" s="2" t="s">
        <v>23</v>
      </c>
      <c r="K3244" s="2">
        <v>40.0</v>
      </c>
      <c r="N3244" s="6">
        <v>42472.0</v>
      </c>
      <c r="Q3244" s="2" t="s">
        <v>401</v>
      </c>
    </row>
    <row r="3245">
      <c r="A3245" s="2">
        <v>3244.0</v>
      </c>
      <c r="B3245" s="2" t="s">
        <v>6030</v>
      </c>
      <c r="C3245" s="2" t="s">
        <v>23</v>
      </c>
      <c r="N3245" s="6">
        <v>46008.0</v>
      </c>
      <c r="Q3245" s="2" t="s">
        <v>1109</v>
      </c>
    </row>
    <row r="3246">
      <c r="A3246" s="2">
        <v>3245.0</v>
      </c>
      <c r="B3246" s="2" t="s">
        <v>6031</v>
      </c>
      <c r="C3246" s="2" t="s">
        <v>23</v>
      </c>
      <c r="N3246" s="6">
        <v>44864.0</v>
      </c>
      <c r="Q3246" s="2" t="s">
        <v>6032</v>
      </c>
    </row>
    <row r="3247">
      <c r="A3247" s="2">
        <v>3246.0</v>
      </c>
      <c r="B3247" s="2" t="s">
        <v>6033</v>
      </c>
      <c r="C3247" s="2" t="s">
        <v>23</v>
      </c>
      <c r="K3247" s="2">
        <v>40.0</v>
      </c>
      <c r="N3247" s="6">
        <v>44635.0</v>
      </c>
      <c r="Q3247" s="2" t="s">
        <v>6034</v>
      </c>
    </row>
    <row r="3248">
      <c r="A3248" s="2">
        <v>3247.0</v>
      </c>
      <c r="B3248" s="2" t="s">
        <v>6035</v>
      </c>
      <c r="C3248" s="2" t="s">
        <v>23</v>
      </c>
      <c r="N3248" s="6">
        <v>44623.0</v>
      </c>
      <c r="Q3248" s="2" t="s">
        <v>86</v>
      </c>
    </row>
    <row r="3249">
      <c r="A3249" s="2">
        <v>3248.0</v>
      </c>
      <c r="B3249" s="2" t="s">
        <v>6036</v>
      </c>
      <c r="C3249" s="2" t="s">
        <v>23</v>
      </c>
      <c r="K3249" s="2">
        <v>30.0</v>
      </c>
      <c r="N3249" s="6">
        <v>44073.0</v>
      </c>
      <c r="Q3249" s="2" t="s">
        <v>6037</v>
      </c>
    </row>
    <row r="3250">
      <c r="A3250" s="2">
        <v>3249.0</v>
      </c>
      <c r="B3250" s="2" t="s">
        <v>6038</v>
      </c>
      <c r="C3250" s="2" t="s">
        <v>23</v>
      </c>
      <c r="K3250" s="2">
        <v>40.0</v>
      </c>
      <c r="N3250" s="6">
        <v>43871.0</v>
      </c>
      <c r="Q3250" s="2" t="s">
        <v>6039</v>
      </c>
    </row>
    <row r="3251">
      <c r="A3251" s="2">
        <v>3250.0</v>
      </c>
      <c r="B3251" s="2" t="s">
        <v>6040</v>
      </c>
      <c r="C3251" s="2" t="s">
        <v>23</v>
      </c>
      <c r="K3251" s="2">
        <v>40.0</v>
      </c>
      <c r="N3251" s="6">
        <v>42291.0</v>
      </c>
      <c r="Q3251" s="2" t="s">
        <v>6041</v>
      </c>
    </row>
    <row r="3252">
      <c r="A3252" s="2">
        <v>3251.0</v>
      </c>
      <c r="B3252" s="2" t="s">
        <v>6042</v>
      </c>
      <c r="C3252" s="2" t="s">
        <v>23</v>
      </c>
      <c r="K3252" s="2">
        <v>150.0</v>
      </c>
      <c r="N3252" s="6">
        <v>45599.0</v>
      </c>
      <c r="Q3252" s="2" t="s">
        <v>6043</v>
      </c>
    </row>
    <row r="3253">
      <c r="A3253" s="2">
        <v>3252.0</v>
      </c>
      <c r="B3253" s="2" t="s">
        <v>6044</v>
      </c>
      <c r="C3253" s="2" t="s">
        <v>23</v>
      </c>
      <c r="K3253" s="2">
        <v>50.0</v>
      </c>
      <c r="N3253" s="6">
        <v>45860.0</v>
      </c>
      <c r="Q3253" s="2" t="s">
        <v>6045</v>
      </c>
    </row>
    <row r="3254">
      <c r="A3254" s="2">
        <v>3253.0</v>
      </c>
      <c r="B3254" s="2" t="s">
        <v>6046</v>
      </c>
      <c r="C3254" s="2" t="s">
        <v>23</v>
      </c>
      <c r="N3254" s="6">
        <v>44131.0</v>
      </c>
      <c r="Q3254" s="2" t="s">
        <v>86</v>
      </c>
    </row>
    <row r="3255">
      <c r="A3255" s="2">
        <v>3254.0</v>
      </c>
      <c r="B3255" s="2" t="s">
        <v>6047</v>
      </c>
      <c r="C3255" s="2" t="s">
        <v>23</v>
      </c>
      <c r="N3255" s="6">
        <v>42304.0</v>
      </c>
      <c r="Q3255" s="2" t="s">
        <v>86</v>
      </c>
    </row>
    <row r="3256">
      <c r="A3256" s="2">
        <v>3255.0</v>
      </c>
      <c r="B3256" s="2" t="s">
        <v>6048</v>
      </c>
      <c r="C3256" s="2" t="s">
        <v>23</v>
      </c>
      <c r="N3256" s="6">
        <v>43982.0</v>
      </c>
      <c r="Q3256" s="2" t="s">
        <v>86</v>
      </c>
    </row>
    <row r="3257">
      <c r="A3257" s="2">
        <v>3256.0</v>
      </c>
      <c r="B3257" s="2" t="s">
        <v>6049</v>
      </c>
      <c r="C3257" s="2" t="s">
        <v>23</v>
      </c>
      <c r="K3257" s="2">
        <v>40.0</v>
      </c>
      <c r="N3257" s="6">
        <v>44753.0</v>
      </c>
      <c r="Q3257" s="2" t="s">
        <v>6050</v>
      </c>
    </row>
    <row r="3258">
      <c r="A3258" s="2">
        <v>3257.0</v>
      </c>
      <c r="B3258" s="2" t="s">
        <v>6051</v>
      </c>
      <c r="C3258" s="2" t="s">
        <v>23</v>
      </c>
      <c r="K3258" s="2">
        <v>10.0</v>
      </c>
      <c r="N3258" s="6">
        <v>44273.0</v>
      </c>
      <c r="Q3258" s="2" t="s">
        <v>6052</v>
      </c>
    </row>
    <row r="3259">
      <c r="A3259" s="2">
        <v>3258.0</v>
      </c>
      <c r="B3259" s="2" t="s">
        <v>6053</v>
      </c>
      <c r="C3259" s="2" t="s">
        <v>23</v>
      </c>
      <c r="K3259" s="2">
        <v>10.0</v>
      </c>
      <c r="N3259" s="6">
        <v>45489.0</v>
      </c>
      <c r="Q3259" s="2" t="s">
        <v>3512</v>
      </c>
    </row>
    <row r="3260">
      <c r="A3260" s="2">
        <v>3259.0</v>
      </c>
      <c r="B3260" s="2" t="s">
        <v>6054</v>
      </c>
      <c r="C3260" s="2" t="s">
        <v>23</v>
      </c>
      <c r="K3260" s="2">
        <v>30.0</v>
      </c>
      <c r="N3260" s="6">
        <v>45295.0</v>
      </c>
      <c r="Q3260" s="2" t="s">
        <v>2698</v>
      </c>
    </row>
    <row r="3261">
      <c r="A3261" s="2">
        <v>3260.0</v>
      </c>
      <c r="B3261" s="2" t="s">
        <v>6055</v>
      </c>
      <c r="C3261" s="2" t="s">
        <v>23</v>
      </c>
      <c r="K3261" s="2">
        <v>30.0</v>
      </c>
      <c r="N3261" s="6">
        <v>44868.0</v>
      </c>
      <c r="Q3261" s="2" t="s">
        <v>1249</v>
      </c>
    </row>
    <row r="3262">
      <c r="A3262" s="2">
        <v>3261.0</v>
      </c>
      <c r="B3262" s="2" t="s">
        <v>6056</v>
      </c>
      <c r="C3262" s="2" t="s">
        <v>23</v>
      </c>
      <c r="K3262" s="2">
        <v>10.0</v>
      </c>
      <c r="N3262" s="6">
        <v>44069.0</v>
      </c>
      <c r="Q3262" s="2" t="s">
        <v>235</v>
      </c>
    </row>
    <row r="3263">
      <c r="A3263" s="2">
        <v>3262.0</v>
      </c>
      <c r="B3263" s="2" t="s">
        <v>6057</v>
      </c>
      <c r="C3263" s="2" t="s">
        <v>23</v>
      </c>
      <c r="K3263" s="2">
        <v>70.0</v>
      </c>
      <c r="N3263" s="6">
        <v>44305.0</v>
      </c>
      <c r="Q3263" s="2" t="s">
        <v>6058</v>
      </c>
    </row>
    <row r="3264">
      <c r="A3264" s="2">
        <v>3263.0</v>
      </c>
      <c r="B3264" s="2" t="s">
        <v>6059</v>
      </c>
      <c r="C3264" s="2" t="s">
        <v>23</v>
      </c>
      <c r="K3264" s="2">
        <v>20.0</v>
      </c>
      <c r="N3264" s="6">
        <v>46056.0</v>
      </c>
      <c r="Q3264" s="2" t="s">
        <v>6060</v>
      </c>
    </row>
    <row r="3265">
      <c r="A3265" s="2">
        <v>3264.0</v>
      </c>
      <c r="B3265" s="2" t="s">
        <v>6061</v>
      </c>
      <c r="C3265" s="2" t="s">
        <v>23</v>
      </c>
      <c r="K3265" s="2">
        <v>30.0</v>
      </c>
      <c r="N3265" s="6">
        <v>45327.0</v>
      </c>
      <c r="Q3265" s="2" t="s">
        <v>5589</v>
      </c>
    </row>
    <row r="3266">
      <c r="A3266" s="2">
        <v>3265.0</v>
      </c>
      <c r="B3266" s="2" t="s">
        <v>6062</v>
      </c>
      <c r="C3266" s="2" t="s">
        <v>23</v>
      </c>
      <c r="K3266" s="2">
        <v>30.0</v>
      </c>
      <c r="N3266" s="6">
        <v>44156.0</v>
      </c>
      <c r="Q3266" s="2" t="s">
        <v>60</v>
      </c>
    </row>
    <row r="3267">
      <c r="A3267" s="2">
        <v>3266.0</v>
      </c>
      <c r="B3267" s="2" t="s">
        <v>6063</v>
      </c>
      <c r="C3267" s="2" t="s">
        <v>23</v>
      </c>
      <c r="N3267" s="6">
        <v>44329.0</v>
      </c>
      <c r="Q3267" s="2" t="s">
        <v>86</v>
      </c>
    </row>
    <row r="3268">
      <c r="A3268" s="2">
        <v>3267.0</v>
      </c>
      <c r="B3268" s="2" t="s">
        <v>6064</v>
      </c>
      <c r="C3268" s="2" t="s">
        <v>23</v>
      </c>
      <c r="K3268" s="2">
        <v>40.0</v>
      </c>
      <c r="N3268" s="6">
        <v>44510.0</v>
      </c>
      <c r="Q3268" s="2" t="s">
        <v>6065</v>
      </c>
    </row>
    <row r="3269">
      <c r="A3269" s="2">
        <v>3268.0</v>
      </c>
      <c r="B3269" s="2" t="s">
        <v>6066</v>
      </c>
      <c r="C3269" s="2" t="s">
        <v>23</v>
      </c>
      <c r="K3269" s="2">
        <v>70.0</v>
      </c>
      <c r="N3269" s="6">
        <v>44530.0</v>
      </c>
      <c r="Q3269" s="2" t="s">
        <v>4302</v>
      </c>
    </row>
    <row r="3270">
      <c r="A3270" s="2">
        <v>3269.0</v>
      </c>
      <c r="B3270" s="2" t="s">
        <v>6067</v>
      </c>
      <c r="C3270" s="2" t="s">
        <v>23</v>
      </c>
      <c r="N3270" s="6">
        <v>44599.0</v>
      </c>
      <c r="Q3270" s="2" t="s">
        <v>86</v>
      </c>
    </row>
    <row r="3271">
      <c r="A3271" s="2">
        <v>3270.0</v>
      </c>
      <c r="B3271" s="2" t="s">
        <v>6068</v>
      </c>
      <c r="C3271" s="2" t="s">
        <v>23</v>
      </c>
      <c r="K3271" s="2">
        <v>70.0</v>
      </c>
      <c r="N3271" s="6">
        <v>45676.0</v>
      </c>
      <c r="Q3271" s="2" t="s">
        <v>6069</v>
      </c>
    </row>
    <row r="3272">
      <c r="A3272" s="2">
        <v>3271.0</v>
      </c>
      <c r="B3272" s="2" t="s">
        <v>6070</v>
      </c>
      <c r="C3272" s="2" t="s">
        <v>23</v>
      </c>
      <c r="K3272" s="2">
        <v>10.0</v>
      </c>
      <c r="N3272" s="6">
        <v>44574.0</v>
      </c>
      <c r="Q3272" s="2" t="s">
        <v>6071</v>
      </c>
    </row>
    <row r="3273">
      <c r="A3273" s="2">
        <v>3272.0</v>
      </c>
      <c r="B3273" s="2" t="s">
        <v>6072</v>
      </c>
      <c r="C3273" s="2" t="s">
        <v>23</v>
      </c>
      <c r="K3273" s="2">
        <v>100.0</v>
      </c>
      <c r="N3273" s="6">
        <v>44350.0</v>
      </c>
      <c r="Q3273" s="2" t="s">
        <v>6073</v>
      </c>
    </row>
    <row r="3274">
      <c r="A3274" s="2">
        <v>3273.0</v>
      </c>
      <c r="B3274" s="2" t="s">
        <v>6074</v>
      </c>
      <c r="C3274" s="2" t="s">
        <v>23</v>
      </c>
      <c r="N3274" s="6">
        <v>44845.0</v>
      </c>
      <c r="Q3274" s="2" t="s">
        <v>86</v>
      </c>
    </row>
    <row r="3275">
      <c r="A3275" s="2">
        <v>3274.0</v>
      </c>
      <c r="B3275" s="2" t="s">
        <v>6075</v>
      </c>
      <c r="C3275" s="2" t="s">
        <v>23</v>
      </c>
      <c r="K3275" s="2">
        <v>10.0</v>
      </c>
      <c r="N3275" s="6">
        <v>43974.0</v>
      </c>
      <c r="Q3275" s="2" t="s">
        <v>94</v>
      </c>
    </row>
    <row r="3276">
      <c r="A3276" s="2">
        <v>3275.0</v>
      </c>
      <c r="B3276" s="2" t="s">
        <v>6076</v>
      </c>
      <c r="C3276" s="2" t="s">
        <v>23</v>
      </c>
      <c r="K3276" s="2">
        <v>20.0</v>
      </c>
      <c r="N3276" s="6">
        <v>44437.0</v>
      </c>
      <c r="Q3276" s="2" t="s">
        <v>86</v>
      </c>
    </row>
    <row r="3277">
      <c r="A3277" s="2">
        <v>3276.0</v>
      </c>
      <c r="B3277" s="2" t="s">
        <v>6077</v>
      </c>
      <c r="C3277" s="2" t="s">
        <v>23</v>
      </c>
      <c r="K3277" s="2">
        <v>150.0</v>
      </c>
      <c r="N3277" s="6">
        <v>44010.0</v>
      </c>
      <c r="Q3277" s="2" t="s">
        <v>6078</v>
      </c>
    </row>
    <row r="3278">
      <c r="A3278" s="2">
        <v>3277.0</v>
      </c>
      <c r="B3278" s="2" t="s">
        <v>6079</v>
      </c>
      <c r="C3278" s="2" t="s">
        <v>23</v>
      </c>
      <c r="K3278" s="2">
        <v>30.0</v>
      </c>
      <c r="N3278" s="6">
        <v>45173.0</v>
      </c>
      <c r="Q3278" s="2" t="s">
        <v>6080</v>
      </c>
    </row>
    <row r="3279">
      <c r="A3279" s="2">
        <v>3278.0</v>
      </c>
      <c r="B3279" s="2" t="s">
        <v>6081</v>
      </c>
      <c r="C3279" s="2" t="s">
        <v>23</v>
      </c>
      <c r="K3279" s="2">
        <v>90.0</v>
      </c>
      <c r="N3279" s="6">
        <v>44175.0</v>
      </c>
      <c r="Q3279" s="2" t="s">
        <v>6082</v>
      </c>
    </row>
    <row r="3280">
      <c r="A3280" s="2">
        <v>3279.0</v>
      </c>
      <c r="B3280" s="2" t="s">
        <v>6083</v>
      </c>
      <c r="C3280" s="2" t="s">
        <v>23</v>
      </c>
      <c r="K3280" s="2">
        <v>40.0</v>
      </c>
      <c r="N3280" s="6">
        <v>44260.0</v>
      </c>
      <c r="Q3280" s="2" t="s">
        <v>2694</v>
      </c>
    </row>
    <row r="3281">
      <c r="A3281" s="2">
        <v>3280.0</v>
      </c>
      <c r="B3281" s="2" t="s">
        <v>6084</v>
      </c>
      <c r="C3281" s="2" t="s">
        <v>23</v>
      </c>
      <c r="K3281" s="2">
        <v>10.0</v>
      </c>
      <c r="N3281" s="6">
        <v>43437.0</v>
      </c>
      <c r="Q3281" s="2" t="s">
        <v>6085</v>
      </c>
    </row>
    <row r="3282">
      <c r="A3282" s="2">
        <v>3281.0</v>
      </c>
      <c r="B3282" s="2" t="s">
        <v>6086</v>
      </c>
      <c r="C3282" s="2" t="s">
        <v>23</v>
      </c>
      <c r="K3282" s="2">
        <v>40.0</v>
      </c>
      <c r="N3282" s="6">
        <v>44323.0</v>
      </c>
      <c r="Q3282" s="2" t="s">
        <v>6087</v>
      </c>
    </row>
    <row r="3283">
      <c r="A3283" s="2">
        <v>3282.0</v>
      </c>
      <c r="B3283" s="2" t="s">
        <v>6088</v>
      </c>
      <c r="C3283" s="2" t="s">
        <v>23</v>
      </c>
      <c r="K3283" s="2">
        <v>50.0</v>
      </c>
      <c r="N3283" s="6">
        <v>44995.0</v>
      </c>
      <c r="Q3283" s="2" t="s">
        <v>6089</v>
      </c>
    </row>
    <row r="3284">
      <c r="A3284" s="2">
        <v>3283.0</v>
      </c>
      <c r="B3284" s="2" t="s">
        <v>6090</v>
      </c>
      <c r="C3284" s="2" t="s">
        <v>23</v>
      </c>
      <c r="N3284" s="6">
        <v>44903.0</v>
      </c>
      <c r="Q3284" s="2" t="s">
        <v>86</v>
      </c>
    </row>
    <row r="3285">
      <c r="A3285" s="2">
        <v>3284.0</v>
      </c>
      <c r="B3285" s="2" t="s">
        <v>6091</v>
      </c>
      <c r="C3285" s="2" t="s">
        <v>23</v>
      </c>
      <c r="K3285" s="2">
        <v>10.0</v>
      </c>
      <c r="N3285" s="6">
        <v>44226.0</v>
      </c>
      <c r="Q3285" s="2" t="s">
        <v>126</v>
      </c>
    </row>
    <row r="3286">
      <c r="A3286" s="2">
        <v>3285.0</v>
      </c>
      <c r="B3286" s="2" t="s">
        <v>6092</v>
      </c>
      <c r="C3286" s="2" t="s">
        <v>23</v>
      </c>
      <c r="K3286" s="2">
        <v>60.0</v>
      </c>
      <c r="N3286" s="6">
        <v>44633.0</v>
      </c>
      <c r="Q3286" s="2" t="s">
        <v>86</v>
      </c>
    </row>
    <row r="3287">
      <c r="A3287" s="2">
        <v>3286.0</v>
      </c>
      <c r="B3287" s="2" t="s">
        <v>6093</v>
      </c>
      <c r="C3287" s="2" t="s">
        <v>23</v>
      </c>
      <c r="N3287" s="6">
        <v>44307.0</v>
      </c>
      <c r="Q3287" s="2" t="s">
        <v>86</v>
      </c>
    </row>
    <row r="3288">
      <c r="A3288" s="2">
        <v>3287.0</v>
      </c>
      <c r="B3288" s="2" t="s">
        <v>6094</v>
      </c>
      <c r="C3288" s="2" t="s">
        <v>23</v>
      </c>
      <c r="K3288" s="2">
        <v>60.0</v>
      </c>
      <c r="N3288" s="6">
        <v>44645.0</v>
      </c>
      <c r="Q3288" s="2" t="s">
        <v>6095</v>
      </c>
    </row>
    <row r="3289">
      <c r="A3289" s="2">
        <v>3288.0</v>
      </c>
      <c r="B3289" s="2" t="s">
        <v>6096</v>
      </c>
      <c r="C3289" s="2" t="s">
        <v>23</v>
      </c>
      <c r="K3289" s="2">
        <v>40.0</v>
      </c>
      <c r="N3289" s="6">
        <v>44423.0</v>
      </c>
      <c r="Q3289" s="2" t="s">
        <v>1895</v>
      </c>
    </row>
    <row r="3290">
      <c r="A3290" s="2">
        <v>3289.0</v>
      </c>
      <c r="B3290" s="2" t="s">
        <v>6097</v>
      </c>
      <c r="C3290" s="2" t="s">
        <v>23</v>
      </c>
      <c r="K3290" s="2">
        <v>10.0</v>
      </c>
      <c r="N3290" s="6">
        <v>42494.0</v>
      </c>
      <c r="Q3290" s="2" t="s">
        <v>1437</v>
      </c>
    </row>
    <row r="3291">
      <c r="A3291" s="2">
        <v>3290.0</v>
      </c>
      <c r="B3291" s="2" t="s">
        <v>6098</v>
      </c>
      <c r="C3291" s="2" t="s">
        <v>23</v>
      </c>
      <c r="K3291" s="2">
        <v>40.0</v>
      </c>
      <c r="N3291" s="6">
        <v>45523.0</v>
      </c>
      <c r="Q3291" s="2" t="s">
        <v>6099</v>
      </c>
    </row>
    <row r="3292">
      <c r="A3292" s="2">
        <v>3291.0</v>
      </c>
      <c r="B3292" s="2" t="s">
        <v>6100</v>
      </c>
      <c r="C3292" s="2" t="s">
        <v>23</v>
      </c>
      <c r="K3292" s="2">
        <v>30.0</v>
      </c>
      <c r="N3292" s="6">
        <v>44710.0</v>
      </c>
      <c r="Q3292" s="2" t="s">
        <v>86</v>
      </c>
    </row>
    <row r="3293">
      <c r="A3293" s="2">
        <v>3292.0</v>
      </c>
      <c r="B3293" s="2" t="s">
        <v>242</v>
      </c>
      <c r="C3293" s="2" t="s">
        <v>23</v>
      </c>
      <c r="K3293" s="2">
        <v>90.0</v>
      </c>
      <c r="N3293" s="6">
        <v>42743.0</v>
      </c>
      <c r="Q3293" s="2" t="s">
        <v>245</v>
      </c>
    </row>
    <row r="3294">
      <c r="A3294" s="2">
        <v>3293.0</v>
      </c>
      <c r="B3294" s="2" t="s">
        <v>6101</v>
      </c>
      <c r="C3294" s="2" t="s">
        <v>23</v>
      </c>
      <c r="N3294" s="6">
        <v>43908.0</v>
      </c>
      <c r="Q3294" s="2" t="s">
        <v>86</v>
      </c>
    </row>
    <row r="3295">
      <c r="A3295" s="2">
        <v>3294.0</v>
      </c>
      <c r="B3295" s="2" t="s">
        <v>6102</v>
      </c>
      <c r="C3295" s="2" t="s">
        <v>23</v>
      </c>
      <c r="N3295" s="6">
        <v>42774.0</v>
      </c>
      <c r="Q3295" s="2" t="s">
        <v>86</v>
      </c>
    </row>
    <row r="3296">
      <c r="A3296" s="2">
        <v>3295.0</v>
      </c>
      <c r="B3296" s="2" t="s">
        <v>6103</v>
      </c>
      <c r="C3296" s="2" t="s">
        <v>23</v>
      </c>
      <c r="K3296" s="2">
        <v>10.0</v>
      </c>
      <c r="N3296" s="6">
        <v>45066.0</v>
      </c>
      <c r="Q3296" s="2" t="s">
        <v>6104</v>
      </c>
    </row>
    <row r="3297">
      <c r="A3297" s="2">
        <v>3296.0</v>
      </c>
      <c r="B3297" s="2" t="s">
        <v>6105</v>
      </c>
      <c r="C3297" s="2" t="s">
        <v>23</v>
      </c>
      <c r="N3297" s="6">
        <v>44571.0</v>
      </c>
      <c r="Q3297" s="2" t="s">
        <v>86</v>
      </c>
    </row>
    <row r="3298">
      <c r="A3298" s="2">
        <v>3297.0</v>
      </c>
      <c r="B3298" s="2" t="s">
        <v>6106</v>
      </c>
      <c r="C3298" s="2" t="s">
        <v>23</v>
      </c>
      <c r="K3298" s="2">
        <v>30.0</v>
      </c>
      <c r="N3298" s="6">
        <v>45340.0</v>
      </c>
      <c r="Q3298" s="2" t="s">
        <v>6107</v>
      </c>
    </row>
    <row r="3299">
      <c r="A3299" s="2">
        <v>3298.0</v>
      </c>
      <c r="B3299" s="2" t="s">
        <v>6108</v>
      </c>
      <c r="C3299" s="2" t="s">
        <v>23</v>
      </c>
      <c r="N3299" s="6">
        <v>43577.0</v>
      </c>
      <c r="Q3299" s="2" t="s">
        <v>86</v>
      </c>
    </row>
    <row r="3300">
      <c r="A3300" s="2">
        <v>3299.0</v>
      </c>
      <c r="B3300" s="2" t="s">
        <v>6109</v>
      </c>
      <c r="C3300" s="2" t="s">
        <v>23</v>
      </c>
      <c r="K3300" s="2">
        <v>10.0</v>
      </c>
      <c r="N3300" s="6">
        <v>45532.0</v>
      </c>
      <c r="Q3300" s="2" t="s">
        <v>6110</v>
      </c>
    </row>
    <row r="3301">
      <c r="A3301" s="2">
        <v>3300.0</v>
      </c>
      <c r="B3301" s="2" t="s">
        <v>6111</v>
      </c>
      <c r="C3301" s="2" t="s">
        <v>23</v>
      </c>
      <c r="N3301" s="6">
        <v>44728.0</v>
      </c>
      <c r="Q3301" s="2" t="s">
        <v>86</v>
      </c>
    </row>
    <row r="3302">
      <c r="A3302" s="2">
        <v>3301.0</v>
      </c>
      <c r="B3302" s="2" t="s">
        <v>6112</v>
      </c>
      <c r="C3302" s="2" t="s">
        <v>23</v>
      </c>
      <c r="K3302" s="2">
        <v>100.0</v>
      </c>
      <c r="N3302" s="6">
        <v>44075.0</v>
      </c>
      <c r="Q3302" s="2" t="s">
        <v>426</v>
      </c>
    </row>
    <row r="3303">
      <c r="A3303" s="2">
        <v>3302.0</v>
      </c>
      <c r="B3303" s="2" t="s">
        <v>6113</v>
      </c>
      <c r="C3303" s="2" t="s">
        <v>23</v>
      </c>
      <c r="N3303" s="6">
        <v>42410.0</v>
      </c>
      <c r="Q3303" s="2" t="s">
        <v>86</v>
      </c>
    </row>
    <row r="3304">
      <c r="A3304" s="2">
        <v>3303.0</v>
      </c>
      <c r="B3304" s="2" t="s">
        <v>6114</v>
      </c>
      <c r="C3304" s="2" t="s">
        <v>23</v>
      </c>
      <c r="N3304" s="6">
        <v>43522.0</v>
      </c>
      <c r="Q3304" s="2" t="s">
        <v>86</v>
      </c>
    </row>
    <row r="3305">
      <c r="A3305" s="2">
        <v>3304.0</v>
      </c>
      <c r="B3305" s="2" t="s">
        <v>6115</v>
      </c>
      <c r="C3305" s="2" t="s">
        <v>23</v>
      </c>
      <c r="N3305" s="6">
        <v>44849.0</v>
      </c>
      <c r="Q3305" s="2" t="s">
        <v>86</v>
      </c>
    </row>
    <row r="3306">
      <c r="A3306" s="2">
        <v>3305.0</v>
      </c>
      <c r="B3306" s="2" t="s">
        <v>6116</v>
      </c>
      <c r="C3306" s="2" t="s">
        <v>23</v>
      </c>
      <c r="N3306" s="6">
        <v>45002.0</v>
      </c>
      <c r="Q3306" s="2" t="s">
        <v>359</v>
      </c>
    </row>
    <row r="3307">
      <c r="A3307" s="2">
        <v>3306.0</v>
      </c>
      <c r="B3307" s="2" t="s">
        <v>6117</v>
      </c>
      <c r="C3307" s="2" t="s">
        <v>23</v>
      </c>
      <c r="K3307" s="2">
        <v>40.0</v>
      </c>
      <c r="N3307" s="6">
        <v>45423.0</v>
      </c>
      <c r="Q3307" s="2" t="s">
        <v>6118</v>
      </c>
    </row>
    <row r="3308">
      <c r="A3308" s="2">
        <v>3307.0</v>
      </c>
      <c r="B3308" s="2" t="s">
        <v>6119</v>
      </c>
      <c r="C3308" s="2" t="s">
        <v>23</v>
      </c>
      <c r="K3308" s="2">
        <v>70.0</v>
      </c>
      <c r="N3308" s="6">
        <v>43850.0</v>
      </c>
      <c r="Q3308" s="2" t="s">
        <v>6120</v>
      </c>
    </row>
    <row r="3309">
      <c r="A3309" s="2">
        <v>3308.0</v>
      </c>
      <c r="B3309" s="2" t="s">
        <v>6121</v>
      </c>
      <c r="C3309" s="2" t="s">
        <v>23</v>
      </c>
      <c r="K3309" s="2">
        <v>150.0</v>
      </c>
      <c r="N3309" s="6">
        <v>44598.0</v>
      </c>
      <c r="Q3309" s="2" t="s">
        <v>2794</v>
      </c>
    </row>
    <row r="3310">
      <c r="A3310" s="2">
        <v>3309.0</v>
      </c>
      <c r="B3310" s="2" t="s">
        <v>6122</v>
      </c>
      <c r="C3310" s="2" t="s">
        <v>23</v>
      </c>
      <c r="N3310" s="6">
        <v>42716.0</v>
      </c>
      <c r="Q3310" s="2" t="s">
        <v>86</v>
      </c>
    </row>
    <row r="3311">
      <c r="A3311" s="2">
        <v>3310.0</v>
      </c>
      <c r="B3311" s="2" t="s">
        <v>6123</v>
      </c>
      <c r="C3311" s="2" t="s">
        <v>23</v>
      </c>
      <c r="K3311" s="2">
        <v>20.0</v>
      </c>
      <c r="N3311" s="6">
        <v>44544.0</v>
      </c>
      <c r="Q3311" s="2" t="s">
        <v>6124</v>
      </c>
    </row>
    <row r="3312">
      <c r="A3312" s="2">
        <v>3311.0</v>
      </c>
      <c r="B3312" s="2" t="s">
        <v>6125</v>
      </c>
      <c r="C3312" s="2" t="s">
        <v>23</v>
      </c>
      <c r="K3312" s="2">
        <v>20.0</v>
      </c>
      <c r="N3312" s="6">
        <v>44069.0</v>
      </c>
      <c r="Q3312" s="2" t="s">
        <v>6126</v>
      </c>
    </row>
    <row r="3313">
      <c r="A3313" s="2">
        <v>3312.0</v>
      </c>
      <c r="B3313" s="2" t="s">
        <v>6127</v>
      </c>
      <c r="C3313" s="2" t="s">
        <v>23</v>
      </c>
      <c r="N3313" s="6">
        <v>44335.0</v>
      </c>
      <c r="Q3313" s="2" t="s">
        <v>86</v>
      </c>
    </row>
    <row r="3314">
      <c r="A3314" s="2">
        <v>3313.0</v>
      </c>
      <c r="B3314" s="2" t="s">
        <v>6128</v>
      </c>
      <c r="C3314" s="2" t="s">
        <v>23</v>
      </c>
      <c r="N3314" s="6">
        <v>44232.0</v>
      </c>
      <c r="Q3314" s="2" t="s">
        <v>86</v>
      </c>
    </row>
    <row r="3315">
      <c r="A3315" s="2">
        <v>3314.0</v>
      </c>
      <c r="B3315" s="2" t="s">
        <v>6129</v>
      </c>
      <c r="C3315" s="2" t="s">
        <v>23</v>
      </c>
      <c r="N3315" s="6">
        <v>45180.0</v>
      </c>
      <c r="Q3315" s="2" t="s">
        <v>6130</v>
      </c>
    </row>
    <row r="3316">
      <c r="A3316" s="2">
        <v>3315.0</v>
      </c>
      <c r="B3316" s="2" t="s">
        <v>6131</v>
      </c>
      <c r="C3316" s="2" t="s">
        <v>23</v>
      </c>
      <c r="K3316" s="2">
        <v>10.0</v>
      </c>
      <c r="N3316" s="6">
        <v>45566.0</v>
      </c>
      <c r="Q3316" s="2" t="s">
        <v>6132</v>
      </c>
    </row>
    <row r="3317">
      <c r="A3317" s="2">
        <v>3316.0</v>
      </c>
      <c r="B3317" s="2" t="s">
        <v>6133</v>
      </c>
      <c r="C3317" s="2" t="s">
        <v>23</v>
      </c>
      <c r="K3317" s="2">
        <v>60.0</v>
      </c>
      <c r="N3317" s="6">
        <v>44568.0</v>
      </c>
      <c r="Q3317" s="2" t="s">
        <v>6134</v>
      </c>
    </row>
    <row r="3318">
      <c r="A3318" s="2">
        <v>3317.0</v>
      </c>
      <c r="B3318" s="2" t="s">
        <v>247</v>
      </c>
      <c r="C3318" s="2" t="s">
        <v>23</v>
      </c>
      <c r="N3318" s="6">
        <v>43619.0</v>
      </c>
      <c r="Q3318" s="2" t="s">
        <v>86</v>
      </c>
    </row>
    <row r="3319">
      <c r="A3319" s="2">
        <v>3318.0</v>
      </c>
      <c r="B3319" s="2" t="s">
        <v>6135</v>
      </c>
      <c r="C3319" s="2" t="s">
        <v>23</v>
      </c>
      <c r="N3319" s="6">
        <v>44690.0</v>
      </c>
      <c r="Q3319" s="2" t="s">
        <v>86</v>
      </c>
    </row>
    <row r="3320">
      <c r="A3320" s="2">
        <v>3319.0</v>
      </c>
      <c r="B3320" s="2" t="s">
        <v>6136</v>
      </c>
      <c r="C3320" s="2" t="s">
        <v>23</v>
      </c>
      <c r="K3320" s="2">
        <v>30.0</v>
      </c>
      <c r="N3320" s="6">
        <v>44538.0</v>
      </c>
      <c r="Q3320" s="2" t="s">
        <v>6137</v>
      </c>
    </row>
    <row r="3321">
      <c r="A3321" s="2">
        <v>3320.0</v>
      </c>
      <c r="B3321" s="2" t="s">
        <v>6138</v>
      </c>
      <c r="C3321" s="2" t="s">
        <v>23</v>
      </c>
      <c r="K3321" s="2">
        <v>30.0</v>
      </c>
      <c r="N3321" s="6">
        <v>44504.0</v>
      </c>
      <c r="Q3321" s="2" t="s">
        <v>4647</v>
      </c>
    </row>
    <row r="3322">
      <c r="A3322" s="2">
        <v>3321.0</v>
      </c>
      <c r="B3322" s="2" t="s">
        <v>6139</v>
      </c>
      <c r="C3322" s="2" t="s">
        <v>23</v>
      </c>
      <c r="K3322" s="2">
        <v>40.0</v>
      </c>
      <c r="N3322" s="6">
        <v>44191.0</v>
      </c>
      <c r="Q3322" s="2" t="s">
        <v>6140</v>
      </c>
    </row>
    <row r="3323">
      <c r="A3323" s="2">
        <v>3322.0</v>
      </c>
      <c r="B3323" s="2" t="s">
        <v>6141</v>
      </c>
      <c r="C3323" s="2" t="s">
        <v>23</v>
      </c>
      <c r="K3323" s="2">
        <v>10.0</v>
      </c>
      <c r="N3323" s="6">
        <v>44579.0</v>
      </c>
      <c r="Q3323" s="2" t="s">
        <v>6142</v>
      </c>
    </row>
    <row r="3324">
      <c r="A3324" s="2">
        <v>3323.0</v>
      </c>
      <c r="B3324" s="2" t="s">
        <v>6143</v>
      </c>
      <c r="C3324" s="2" t="s">
        <v>23</v>
      </c>
      <c r="K3324" s="2">
        <v>50.0</v>
      </c>
      <c r="N3324" s="6">
        <v>45566.0</v>
      </c>
      <c r="Q3324" s="2" t="s">
        <v>2539</v>
      </c>
    </row>
    <row r="3325">
      <c r="A3325" s="2">
        <v>3324.0</v>
      </c>
      <c r="B3325" s="2" t="s">
        <v>6144</v>
      </c>
      <c r="C3325" s="2" t="s">
        <v>23</v>
      </c>
      <c r="K3325" s="2">
        <v>50.0</v>
      </c>
      <c r="N3325" s="6">
        <v>45298.0</v>
      </c>
      <c r="Q3325" s="2" t="s">
        <v>86</v>
      </c>
    </row>
    <row r="3326">
      <c r="A3326" s="2">
        <v>3325.0</v>
      </c>
      <c r="B3326" s="2" t="s">
        <v>6145</v>
      </c>
      <c r="C3326" s="2" t="s">
        <v>23</v>
      </c>
      <c r="N3326" s="6">
        <v>44342.0</v>
      </c>
      <c r="Q3326" s="2" t="s">
        <v>86</v>
      </c>
    </row>
    <row r="3327">
      <c r="A3327" s="2">
        <v>3326.0</v>
      </c>
      <c r="B3327" s="2" t="s">
        <v>6146</v>
      </c>
      <c r="C3327" s="2" t="s">
        <v>23</v>
      </c>
      <c r="K3327" s="2">
        <v>20.0</v>
      </c>
      <c r="N3327" s="6">
        <v>44345.0</v>
      </c>
      <c r="Q3327" s="2" t="s">
        <v>1466</v>
      </c>
    </row>
    <row r="3328">
      <c r="A3328" s="2">
        <v>3327.0</v>
      </c>
      <c r="B3328" s="2" t="s">
        <v>6147</v>
      </c>
      <c r="C3328" s="2" t="s">
        <v>23</v>
      </c>
      <c r="N3328" s="6">
        <v>45126.0</v>
      </c>
      <c r="Q3328" s="2" t="s">
        <v>86</v>
      </c>
    </row>
    <row r="3329">
      <c r="A3329" s="2">
        <v>3328.0</v>
      </c>
      <c r="B3329" s="2" t="s">
        <v>6148</v>
      </c>
      <c r="C3329" s="2" t="s">
        <v>23</v>
      </c>
      <c r="N3329" s="6">
        <v>44064.0</v>
      </c>
      <c r="Q3329" s="2" t="s">
        <v>86</v>
      </c>
    </row>
    <row r="3330">
      <c r="A3330" s="2">
        <v>3329.0</v>
      </c>
      <c r="B3330" s="2" t="s">
        <v>6149</v>
      </c>
      <c r="C3330" s="2" t="s">
        <v>23</v>
      </c>
      <c r="K3330" s="2">
        <v>50.0</v>
      </c>
      <c r="N3330" s="6">
        <v>43858.0</v>
      </c>
      <c r="Q3330" s="2" t="s">
        <v>86</v>
      </c>
    </row>
    <row r="3331">
      <c r="A3331" s="2">
        <v>3330.0</v>
      </c>
      <c r="B3331" s="2" t="s">
        <v>6150</v>
      </c>
      <c r="C3331" s="2" t="s">
        <v>23</v>
      </c>
      <c r="N3331" s="6">
        <v>45055.0</v>
      </c>
      <c r="Q3331" s="2" t="s">
        <v>1156</v>
      </c>
    </row>
    <row r="3332">
      <c r="A3332" s="2">
        <v>3331.0</v>
      </c>
      <c r="B3332" s="2" t="s">
        <v>6151</v>
      </c>
      <c r="C3332" s="2" t="s">
        <v>23</v>
      </c>
      <c r="K3332" s="2">
        <v>150.0</v>
      </c>
      <c r="N3332" s="6">
        <v>45599.0</v>
      </c>
      <c r="Q3332" s="2" t="s">
        <v>6152</v>
      </c>
    </row>
    <row r="3333">
      <c r="A3333" s="2">
        <v>3332.0</v>
      </c>
      <c r="B3333" s="2" t="s">
        <v>6153</v>
      </c>
      <c r="C3333" s="2" t="s">
        <v>23</v>
      </c>
      <c r="K3333" s="2">
        <v>100.0</v>
      </c>
      <c r="N3333" s="6">
        <v>44804.0</v>
      </c>
      <c r="Q3333" s="2" t="s">
        <v>6154</v>
      </c>
    </row>
    <row r="3334">
      <c r="A3334" s="2">
        <v>3333.0</v>
      </c>
      <c r="B3334" s="2" t="s">
        <v>6155</v>
      </c>
      <c r="C3334" s="2" t="s">
        <v>23</v>
      </c>
      <c r="N3334" s="6">
        <v>44042.0</v>
      </c>
      <c r="Q3334" s="2" t="s">
        <v>86</v>
      </c>
    </row>
    <row r="3335">
      <c r="A3335" s="2">
        <v>3334.0</v>
      </c>
      <c r="B3335" s="2" t="s">
        <v>6156</v>
      </c>
      <c r="C3335" s="2" t="s">
        <v>23</v>
      </c>
      <c r="K3335" s="2">
        <v>10.0</v>
      </c>
      <c r="N3335" s="6">
        <v>45618.0</v>
      </c>
      <c r="Q3335" s="2" t="s">
        <v>6157</v>
      </c>
    </row>
    <row r="3336">
      <c r="A3336" s="2">
        <v>3335.0</v>
      </c>
      <c r="B3336" s="2" t="s">
        <v>6158</v>
      </c>
      <c r="C3336" s="2" t="s">
        <v>23</v>
      </c>
      <c r="K3336" s="2">
        <v>200.0</v>
      </c>
      <c r="N3336" s="6">
        <v>44034.0</v>
      </c>
      <c r="Q3336" s="2" t="s">
        <v>6159</v>
      </c>
    </row>
    <row r="3337">
      <c r="A3337" s="2">
        <v>3336.0</v>
      </c>
      <c r="B3337" s="2" t="s">
        <v>6160</v>
      </c>
      <c r="C3337" s="2" t="s">
        <v>23</v>
      </c>
      <c r="N3337" s="6">
        <v>45184.0</v>
      </c>
      <c r="Q3337" s="2" t="s">
        <v>426</v>
      </c>
    </row>
    <row r="3338">
      <c r="A3338" s="2">
        <v>3337.0</v>
      </c>
      <c r="B3338" s="2" t="s">
        <v>6161</v>
      </c>
      <c r="C3338" s="2" t="s">
        <v>23</v>
      </c>
      <c r="K3338" s="2">
        <v>150.0</v>
      </c>
      <c r="N3338" s="6">
        <v>44356.0</v>
      </c>
      <c r="Q3338" s="2" t="s">
        <v>2731</v>
      </c>
    </row>
    <row r="3339">
      <c r="A3339" s="2">
        <v>3338.0</v>
      </c>
      <c r="B3339" s="2" t="s">
        <v>6162</v>
      </c>
      <c r="C3339" s="2" t="s">
        <v>23</v>
      </c>
      <c r="K3339" s="2">
        <v>40.0</v>
      </c>
      <c r="N3339" s="6">
        <v>45719.0</v>
      </c>
      <c r="Q3339" s="2" t="s">
        <v>6163</v>
      </c>
    </row>
    <row r="3340">
      <c r="A3340" s="2">
        <v>3339.0</v>
      </c>
      <c r="B3340" s="2" t="s">
        <v>6164</v>
      </c>
      <c r="C3340" s="2" t="s">
        <v>23</v>
      </c>
      <c r="K3340" s="2">
        <v>20.0</v>
      </c>
      <c r="N3340" s="6">
        <v>44209.0</v>
      </c>
      <c r="Q3340" s="2" t="s">
        <v>1123</v>
      </c>
    </row>
    <row r="3341">
      <c r="A3341" s="2">
        <v>3340.0</v>
      </c>
      <c r="B3341" s="2" t="s">
        <v>6165</v>
      </c>
      <c r="C3341" s="2" t="s">
        <v>23</v>
      </c>
      <c r="K3341" s="2">
        <v>150.0</v>
      </c>
      <c r="N3341" s="6">
        <v>45505.0</v>
      </c>
      <c r="Q3341" s="2" t="s">
        <v>6166</v>
      </c>
    </row>
    <row r="3342">
      <c r="A3342" s="2">
        <v>3341.0</v>
      </c>
      <c r="B3342" s="2" t="s">
        <v>6167</v>
      </c>
      <c r="C3342" s="2" t="s">
        <v>23</v>
      </c>
      <c r="K3342" s="2">
        <v>40.0</v>
      </c>
      <c r="N3342" s="6">
        <v>44454.0</v>
      </c>
      <c r="Q3342" s="2" t="s">
        <v>6168</v>
      </c>
    </row>
    <row r="3343">
      <c r="A3343" s="2">
        <v>3342.0</v>
      </c>
      <c r="B3343" s="2" t="s">
        <v>6169</v>
      </c>
      <c r="C3343" s="2" t="s">
        <v>23</v>
      </c>
      <c r="K3343" s="2">
        <v>10.0</v>
      </c>
      <c r="N3343" s="6">
        <v>43881.0</v>
      </c>
      <c r="Q3343" s="2" t="s">
        <v>546</v>
      </c>
    </row>
    <row r="3344">
      <c r="A3344" s="2">
        <v>3343.0</v>
      </c>
      <c r="B3344" s="2" t="s">
        <v>6170</v>
      </c>
      <c r="C3344" s="2" t="s">
        <v>23</v>
      </c>
      <c r="N3344" s="6">
        <v>44900.0</v>
      </c>
      <c r="Q3344" s="2" t="s">
        <v>2573</v>
      </c>
    </row>
    <row r="3345">
      <c r="A3345" s="2">
        <v>3344.0</v>
      </c>
      <c r="B3345" s="2" t="s">
        <v>6171</v>
      </c>
      <c r="C3345" s="2" t="s">
        <v>23</v>
      </c>
      <c r="K3345" s="2">
        <v>150.0</v>
      </c>
      <c r="N3345" s="6">
        <v>43969.0</v>
      </c>
      <c r="Q3345" s="2" t="s">
        <v>6172</v>
      </c>
    </row>
    <row r="3346">
      <c r="A3346" s="2">
        <v>3345.0</v>
      </c>
      <c r="B3346" s="2" t="s">
        <v>6173</v>
      </c>
      <c r="C3346" s="2" t="s">
        <v>23</v>
      </c>
      <c r="N3346" s="6">
        <v>44606.0</v>
      </c>
      <c r="Q3346" s="2" t="s">
        <v>86</v>
      </c>
    </row>
    <row r="3347">
      <c r="A3347" s="2">
        <v>3346.0</v>
      </c>
      <c r="B3347" s="2" t="s">
        <v>6174</v>
      </c>
      <c r="C3347" s="2" t="s">
        <v>23</v>
      </c>
      <c r="N3347" s="6">
        <v>44627.0</v>
      </c>
      <c r="Q3347" s="2" t="s">
        <v>86</v>
      </c>
    </row>
    <row r="3348">
      <c r="A3348" s="2">
        <v>3347.0</v>
      </c>
      <c r="B3348" s="2" t="s">
        <v>6175</v>
      </c>
      <c r="C3348" s="2" t="s">
        <v>23</v>
      </c>
      <c r="N3348" s="6">
        <v>45490.0</v>
      </c>
      <c r="Q3348" s="2" t="s">
        <v>6176</v>
      </c>
    </row>
    <row r="3349">
      <c r="A3349" s="2">
        <v>3348.0</v>
      </c>
      <c r="B3349" s="2" t="s">
        <v>6177</v>
      </c>
      <c r="C3349" s="2" t="s">
        <v>23</v>
      </c>
      <c r="K3349" s="2">
        <v>100.0</v>
      </c>
      <c r="N3349" s="6">
        <v>43880.0</v>
      </c>
      <c r="Q3349" s="2" t="s">
        <v>6178</v>
      </c>
    </row>
    <row r="3350">
      <c r="A3350" s="2">
        <v>3349.0</v>
      </c>
      <c r="B3350" s="2" t="s">
        <v>6179</v>
      </c>
      <c r="C3350" s="2" t="s">
        <v>23</v>
      </c>
      <c r="K3350" s="2">
        <v>40.0</v>
      </c>
      <c r="N3350" s="6">
        <v>44158.0</v>
      </c>
      <c r="Q3350" s="2" t="s">
        <v>6180</v>
      </c>
    </row>
    <row r="3351">
      <c r="A3351" s="2">
        <v>3350.0</v>
      </c>
      <c r="B3351" s="2" t="s">
        <v>6181</v>
      </c>
      <c r="C3351" s="2" t="s">
        <v>23</v>
      </c>
      <c r="N3351" s="6">
        <v>44392.0</v>
      </c>
      <c r="Q3351" s="2" t="s">
        <v>86</v>
      </c>
    </row>
    <row r="3352">
      <c r="A3352" s="2">
        <v>3351.0</v>
      </c>
      <c r="B3352" s="2" t="s">
        <v>6182</v>
      </c>
      <c r="C3352" s="2" t="s">
        <v>23</v>
      </c>
      <c r="K3352" s="2">
        <v>300.0</v>
      </c>
      <c r="N3352" s="6">
        <v>43844.0</v>
      </c>
      <c r="Q3352" s="2" t="s">
        <v>6183</v>
      </c>
    </row>
    <row r="3353">
      <c r="A3353" s="2">
        <v>3352.0</v>
      </c>
      <c r="B3353" s="2" t="s">
        <v>6184</v>
      </c>
      <c r="C3353" s="2" t="s">
        <v>23</v>
      </c>
      <c r="N3353" s="6">
        <v>46134.0</v>
      </c>
      <c r="Q3353" s="2" t="s">
        <v>6185</v>
      </c>
    </row>
    <row r="3354">
      <c r="A3354" s="2">
        <v>3353.0</v>
      </c>
      <c r="B3354" s="2" t="s">
        <v>6186</v>
      </c>
      <c r="C3354" s="2" t="s">
        <v>23</v>
      </c>
      <c r="K3354" s="2">
        <v>40.0</v>
      </c>
      <c r="N3354" s="6">
        <v>45383.0</v>
      </c>
      <c r="Q3354" s="2" t="s">
        <v>6050</v>
      </c>
    </row>
    <row r="3355">
      <c r="A3355" s="2">
        <v>3354.0</v>
      </c>
      <c r="B3355" s="2" t="s">
        <v>6187</v>
      </c>
      <c r="C3355" s="2" t="s">
        <v>23</v>
      </c>
      <c r="K3355" s="2">
        <v>100.0</v>
      </c>
      <c r="N3355" s="6">
        <v>43842.0</v>
      </c>
      <c r="Q3355" s="2" t="s">
        <v>6137</v>
      </c>
    </row>
    <row r="3356">
      <c r="A3356" s="2">
        <v>3355.0</v>
      </c>
      <c r="B3356" s="2" t="s">
        <v>6188</v>
      </c>
      <c r="C3356" s="2" t="s">
        <v>23</v>
      </c>
      <c r="K3356" s="2">
        <v>10.0</v>
      </c>
      <c r="N3356" s="6">
        <v>44139.0</v>
      </c>
      <c r="Q3356" s="2" t="s">
        <v>6189</v>
      </c>
    </row>
    <row r="3357">
      <c r="A3357" s="2">
        <v>3356.0</v>
      </c>
      <c r="B3357" s="2" t="s">
        <v>6190</v>
      </c>
      <c r="C3357" s="2" t="s">
        <v>23</v>
      </c>
      <c r="N3357" s="6">
        <v>44409.0</v>
      </c>
      <c r="Q3357" s="2" t="s">
        <v>86</v>
      </c>
    </row>
    <row r="3358">
      <c r="A3358" s="2">
        <v>3357.0</v>
      </c>
      <c r="B3358" s="2" t="s">
        <v>6191</v>
      </c>
      <c r="C3358" s="2" t="s">
        <v>23</v>
      </c>
      <c r="K3358" s="2">
        <v>20.0</v>
      </c>
      <c r="N3358" s="6">
        <v>43725.0</v>
      </c>
      <c r="Q3358" s="2" t="s">
        <v>6192</v>
      </c>
    </row>
    <row r="3359">
      <c r="A3359" s="2">
        <v>3358.0</v>
      </c>
      <c r="B3359" s="2" t="s">
        <v>6193</v>
      </c>
      <c r="C3359" s="2" t="s">
        <v>23</v>
      </c>
      <c r="N3359" s="6">
        <v>44042.0</v>
      </c>
      <c r="Q3359" s="2" t="s">
        <v>86</v>
      </c>
    </row>
    <row r="3360">
      <c r="A3360" s="2">
        <v>3359.0</v>
      </c>
      <c r="B3360" s="2" t="s">
        <v>6194</v>
      </c>
      <c r="C3360" s="2" t="s">
        <v>23</v>
      </c>
      <c r="K3360" s="2">
        <v>200.0</v>
      </c>
      <c r="N3360" s="6">
        <v>45131.0</v>
      </c>
      <c r="Q3360" s="2" t="s">
        <v>6195</v>
      </c>
    </row>
    <row r="3361">
      <c r="A3361" s="2">
        <v>3360.0</v>
      </c>
      <c r="B3361" s="2" t="s">
        <v>6196</v>
      </c>
      <c r="C3361" s="2" t="s">
        <v>23</v>
      </c>
      <c r="N3361" s="6">
        <v>44606.0</v>
      </c>
      <c r="Q3361" s="2" t="s">
        <v>86</v>
      </c>
    </row>
    <row r="3362">
      <c r="A3362" s="2">
        <v>3361.0</v>
      </c>
      <c r="B3362" s="2" t="s">
        <v>6197</v>
      </c>
      <c r="C3362" s="2" t="s">
        <v>23</v>
      </c>
      <c r="K3362" s="2">
        <v>30.0</v>
      </c>
      <c r="N3362" s="6">
        <v>45552.0</v>
      </c>
      <c r="Q3362" s="2" t="s">
        <v>6198</v>
      </c>
    </row>
    <row r="3363">
      <c r="A3363" s="2">
        <v>3362.0</v>
      </c>
      <c r="B3363" s="2" t="s">
        <v>6199</v>
      </c>
      <c r="C3363" s="2" t="s">
        <v>23</v>
      </c>
      <c r="K3363" s="2">
        <v>40.0</v>
      </c>
      <c r="N3363" s="6">
        <v>44501.0</v>
      </c>
      <c r="Q3363" s="2" t="s">
        <v>86</v>
      </c>
    </row>
    <row r="3364">
      <c r="A3364" s="2">
        <v>3363.0</v>
      </c>
      <c r="B3364" s="2" t="s">
        <v>6200</v>
      </c>
      <c r="C3364" s="2" t="s">
        <v>23</v>
      </c>
      <c r="K3364" s="2">
        <v>40.0</v>
      </c>
      <c r="N3364" s="6">
        <v>45089.0</v>
      </c>
      <c r="Q3364" s="2" t="s">
        <v>6201</v>
      </c>
    </row>
    <row r="3365">
      <c r="A3365" s="2">
        <v>3364.0</v>
      </c>
      <c r="B3365" s="2" t="s">
        <v>6202</v>
      </c>
      <c r="C3365" s="2" t="s">
        <v>23</v>
      </c>
      <c r="K3365" s="2">
        <v>20.0</v>
      </c>
      <c r="N3365" s="6">
        <v>45020.0</v>
      </c>
      <c r="Q3365" s="2" t="s">
        <v>3980</v>
      </c>
    </row>
    <row r="3366">
      <c r="A3366" s="2">
        <v>3365.0</v>
      </c>
      <c r="B3366" s="2" t="s">
        <v>6203</v>
      </c>
      <c r="C3366" s="2" t="s">
        <v>23</v>
      </c>
      <c r="N3366" s="6">
        <v>45049.0</v>
      </c>
      <c r="Q3366" s="2" t="s">
        <v>86</v>
      </c>
    </row>
    <row r="3367">
      <c r="A3367" s="2">
        <v>3366.0</v>
      </c>
      <c r="B3367" s="2" t="s">
        <v>6204</v>
      </c>
      <c r="C3367" s="2" t="s">
        <v>23</v>
      </c>
      <c r="K3367" s="2">
        <v>150.0</v>
      </c>
      <c r="N3367" s="6">
        <v>44261.0</v>
      </c>
      <c r="Q3367" s="2" t="s">
        <v>5663</v>
      </c>
    </row>
    <row r="3368">
      <c r="A3368" s="2">
        <v>3367.0</v>
      </c>
      <c r="B3368" s="2" t="s">
        <v>6205</v>
      </c>
      <c r="C3368" s="2" t="s">
        <v>23</v>
      </c>
      <c r="K3368" s="2">
        <v>20.0</v>
      </c>
      <c r="N3368" s="6">
        <v>44250.0</v>
      </c>
      <c r="Q3368" s="2" t="s">
        <v>1249</v>
      </c>
    </row>
    <row r="3369">
      <c r="A3369" s="2">
        <v>3368.0</v>
      </c>
      <c r="B3369" s="2" t="s">
        <v>6206</v>
      </c>
      <c r="C3369" s="2" t="s">
        <v>23</v>
      </c>
      <c r="N3369" s="6">
        <v>44254.0</v>
      </c>
      <c r="Q3369" s="2" t="s">
        <v>86</v>
      </c>
    </row>
    <row r="3370">
      <c r="A3370" s="2">
        <v>3369.0</v>
      </c>
      <c r="B3370" s="2" t="s">
        <v>6207</v>
      </c>
      <c r="C3370" s="2" t="s">
        <v>23</v>
      </c>
      <c r="K3370" s="2">
        <v>30.0</v>
      </c>
      <c r="N3370" s="6">
        <v>45515.0</v>
      </c>
      <c r="Q3370" s="2" t="s">
        <v>6208</v>
      </c>
    </row>
    <row r="3371">
      <c r="A3371" s="2">
        <v>3370.0</v>
      </c>
      <c r="B3371" s="2" t="s">
        <v>6209</v>
      </c>
      <c r="C3371" s="2" t="s">
        <v>23</v>
      </c>
      <c r="N3371" s="6">
        <v>45005.0</v>
      </c>
      <c r="Q3371" s="2" t="s">
        <v>86</v>
      </c>
    </row>
    <row r="3372">
      <c r="A3372" s="2">
        <v>3371.0</v>
      </c>
      <c r="B3372" s="2" t="s">
        <v>6210</v>
      </c>
      <c r="C3372" s="2" t="s">
        <v>23</v>
      </c>
      <c r="N3372" s="6">
        <v>44779.0</v>
      </c>
      <c r="Q3372" s="2" t="s">
        <v>86</v>
      </c>
    </row>
    <row r="3373">
      <c r="A3373" s="2">
        <v>3372.0</v>
      </c>
      <c r="B3373" s="2" t="s">
        <v>6211</v>
      </c>
      <c r="C3373" s="2" t="s">
        <v>23</v>
      </c>
      <c r="N3373" s="6">
        <v>44063.0</v>
      </c>
      <c r="Q3373" s="2" t="s">
        <v>86</v>
      </c>
    </row>
    <row r="3374">
      <c r="A3374" s="2">
        <v>3373.0</v>
      </c>
      <c r="B3374" s="2" t="s">
        <v>6212</v>
      </c>
      <c r="C3374" s="2" t="s">
        <v>23</v>
      </c>
      <c r="K3374" s="2">
        <v>70.0</v>
      </c>
      <c r="N3374" s="6">
        <v>45208.0</v>
      </c>
      <c r="Q3374" s="2" t="s">
        <v>6213</v>
      </c>
    </row>
    <row r="3375">
      <c r="A3375" s="2">
        <v>3374.0</v>
      </c>
      <c r="B3375" s="2" t="s">
        <v>6214</v>
      </c>
      <c r="C3375" s="2" t="s">
        <v>23</v>
      </c>
      <c r="N3375" s="6">
        <v>45041.0</v>
      </c>
      <c r="Q3375" s="2" t="s">
        <v>86</v>
      </c>
    </row>
    <row r="3376">
      <c r="A3376" s="2">
        <v>3375.0</v>
      </c>
      <c r="B3376" s="2" t="s">
        <v>6215</v>
      </c>
      <c r="C3376" s="2" t="s">
        <v>23</v>
      </c>
      <c r="K3376" s="2">
        <v>30.0</v>
      </c>
      <c r="N3376" s="6">
        <v>45578.0</v>
      </c>
      <c r="Q3376" s="2" t="s">
        <v>6216</v>
      </c>
    </row>
    <row r="3377">
      <c r="A3377" s="2">
        <v>3376.0</v>
      </c>
      <c r="B3377" s="2" t="s">
        <v>6217</v>
      </c>
      <c r="C3377" s="2" t="s">
        <v>23</v>
      </c>
      <c r="N3377" s="6">
        <v>44109.0</v>
      </c>
      <c r="Q3377" s="2" t="s">
        <v>86</v>
      </c>
    </row>
    <row r="3378">
      <c r="A3378" s="2">
        <v>3377.0</v>
      </c>
      <c r="B3378" s="2" t="s">
        <v>6218</v>
      </c>
      <c r="C3378" s="2" t="s">
        <v>23</v>
      </c>
      <c r="K3378" s="2">
        <v>100.0</v>
      </c>
      <c r="N3378" s="6">
        <v>43894.0</v>
      </c>
      <c r="Q3378" s="2" t="s">
        <v>6219</v>
      </c>
    </row>
    <row r="3379">
      <c r="A3379" s="2">
        <v>3378.0</v>
      </c>
      <c r="B3379" s="2" t="s">
        <v>6220</v>
      </c>
      <c r="C3379" s="2" t="s">
        <v>23</v>
      </c>
      <c r="K3379" s="2">
        <v>20.0</v>
      </c>
      <c r="N3379" s="6">
        <v>44670.0</v>
      </c>
      <c r="Q3379" s="2" t="s">
        <v>60</v>
      </c>
    </row>
    <row r="3380">
      <c r="A3380" s="2">
        <v>3379.0</v>
      </c>
      <c r="B3380" s="2" t="s">
        <v>6221</v>
      </c>
      <c r="C3380" s="2" t="s">
        <v>23</v>
      </c>
      <c r="K3380" s="2">
        <v>20.0</v>
      </c>
      <c r="N3380" s="6">
        <v>44500.0</v>
      </c>
      <c r="Q3380" s="2" t="s">
        <v>2771</v>
      </c>
    </row>
    <row r="3381">
      <c r="A3381" s="2">
        <v>3380.0</v>
      </c>
      <c r="B3381" s="2" t="s">
        <v>6222</v>
      </c>
      <c r="C3381" s="2" t="s">
        <v>23</v>
      </c>
      <c r="K3381" s="2">
        <v>10.0</v>
      </c>
      <c r="N3381" s="6">
        <v>43906.0</v>
      </c>
      <c r="Q3381" s="2" t="s">
        <v>86</v>
      </c>
    </row>
    <row r="3382">
      <c r="A3382" s="2">
        <v>3381.0</v>
      </c>
      <c r="B3382" s="2" t="s">
        <v>6223</v>
      </c>
      <c r="C3382" s="2" t="s">
        <v>23</v>
      </c>
      <c r="K3382" s="2">
        <v>10.0</v>
      </c>
      <c r="N3382" s="6">
        <v>44049.0</v>
      </c>
      <c r="Q3382" s="2" t="s">
        <v>6224</v>
      </c>
    </row>
    <row r="3383">
      <c r="A3383" s="2">
        <v>3382.0</v>
      </c>
      <c r="B3383" s="2" t="s">
        <v>6225</v>
      </c>
      <c r="C3383" s="2" t="s">
        <v>23</v>
      </c>
      <c r="N3383" s="6">
        <v>44048.0</v>
      </c>
      <c r="Q3383" s="2" t="s">
        <v>86</v>
      </c>
    </row>
    <row r="3384">
      <c r="A3384" s="2">
        <v>3383.0</v>
      </c>
      <c r="B3384" s="2" t="s">
        <v>6226</v>
      </c>
      <c r="C3384" s="2" t="s">
        <v>23</v>
      </c>
      <c r="K3384" s="2">
        <v>40.0</v>
      </c>
      <c r="N3384" s="6">
        <v>43796.0</v>
      </c>
      <c r="Q3384" s="2" t="s">
        <v>6227</v>
      </c>
    </row>
    <row r="3385">
      <c r="A3385" s="2">
        <v>3384.0</v>
      </c>
      <c r="B3385" s="2" t="s">
        <v>6228</v>
      </c>
      <c r="C3385" s="2" t="s">
        <v>23</v>
      </c>
      <c r="K3385" s="2">
        <v>90.0</v>
      </c>
      <c r="N3385" s="6">
        <v>43967.0</v>
      </c>
      <c r="Q3385" s="2" t="s">
        <v>491</v>
      </c>
    </row>
    <row r="3386">
      <c r="A3386" s="2">
        <v>3385.0</v>
      </c>
      <c r="B3386" s="2" t="s">
        <v>6229</v>
      </c>
      <c r="C3386" s="2" t="s">
        <v>23</v>
      </c>
      <c r="K3386" s="2">
        <v>30.0</v>
      </c>
      <c r="N3386" s="6">
        <v>44813.0</v>
      </c>
      <c r="Q3386" s="2" t="s">
        <v>60</v>
      </c>
    </row>
    <row r="3387">
      <c r="A3387" s="2">
        <v>3386.0</v>
      </c>
      <c r="B3387" s="2" t="s">
        <v>6230</v>
      </c>
      <c r="C3387" s="2" t="s">
        <v>23</v>
      </c>
      <c r="N3387" s="6">
        <v>42544.0</v>
      </c>
      <c r="Q3387" s="2" t="s">
        <v>86</v>
      </c>
    </row>
    <row r="3388">
      <c r="A3388" s="2">
        <v>3387.0</v>
      </c>
      <c r="B3388" s="2" t="s">
        <v>6231</v>
      </c>
      <c r="C3388" s="2" t="s">
        <v>23</v>
      </c>
      <c r="K3388" s="2">
        <v>200.0</v>
      </c>
      <c r="N3388" s="6">
        <v>43926.0</v>
      </c>
      <c r="Q3388" s="2" t="s">
        <v>6232</v>
      </c>
    </row>
    <row r="3389">
      <c r="A3389" s="2">
        <v>3388.0</v>
      </c>
      <c r="B3389" s="2" t="s">
        <v>6233</v>
      </c>
      <c r="C3389" s="2" t="s">
        <v>23</v>
      </c>
      <c r="K3389" s="2">
        <v>60.0</v>
      </c>
      <c r="N3389" s="6">
        <v>44465.0</v>
      </c>
      <c r="Q3389" s="2" t="s">
        <v>6234</v>
      </c>
    </row>
    <row r="3390">
      <c r="A3390" s="2">
        <v>3389.0</v>
      </c>
      <c r="B3390" s="2" t="s">
        <v>6235</v>
      </c>
      <c r="C3390" s="2" t="s">
        <v>23</v>
      </c>
      <c r="K3390" s="2">
        <v>10.0</v>
      </c>
      <c r="N3390" s="6">
        <v>45334.0</v>
      </c>
      <c r="Q3390" s="2" t="s">
        <v>6236</v>
      </c>
    </row>
    <row r="3391">
      <c r="A3391" s="2">
        <v>3390.0</v>
      </c>
      <c r="B3391" s="2" t="s">
        <v>6237</v>
      </c>
      <c r="C3391" s="2" t="s">
        <v>23</v>
      </c>
      <c r="N3391" s="6">
        <v>44564.0</v>
      </c>
      <c r="Q3391" s="2" t="s">
        <v>86</v>
      </c>
    </row>
    <row r="3392">
      <c r="A3392" s="2">
        <v>3391.0</v>
      </c>
      <c r="B3392" s="2" t="s">
        <v>6238</v>
      </c>
      <c r="C3392" s="2" t="s">
        <v>23</v>
      </c>
      <c r="K3392" s="2">
        <v>80.0</v>
      </c>
      <c r="N3392" s="6">
        <v>45038.0</v>
      </c>
      <c r="Q3392" s="2" t="s">
        <v>6239</v>
      </c>
    </row>
    <row r="3393">
      <c r="A3393" s="2">
        <v>3392.0</v>
      </c>
      <c r="B3393" s="2" t="s">
        <v>6240</v>
      </c>
      <c r="C3393" s="2" t="s">
        <v>23</v>
      </c>
      <c r="N3393" s="6">
        <v>43848.0</v>
      </c>
      <c r="Q3393" s="2" t="s">
        <v>86</v>
      </c>
    </row>
    <row r="3394">
      <c r="A3394" s="2">
        <v>3393.0</v>
      </c>
      <c r="B3394" s="2" t="s">
        <v>6241</v>
      </c>
      <c r="C3394" s="2" t="s">
        <v>23</v>
      </c>
      <c r="K3394" s="2">
        <v>150.0</v>
      </c>
      <c r="N3394" s="6">
        <v>44729.0</v>
      </c>
      <c r="Q3394" s="2" t="s">
        <v>6242</v>
      </c>
    </row>
    <row r="3395">
      <c r="A3395" s="2">
        <v>3394.0</v>
      </c>
      <c r="B3395" s="2" t="s">
        <v>6243</v>
      </c>
      <c r="C3395" s="2" t="s">
        <v>23</v>
      </c>
      <c r="N3395" s="6">
        <v>43447.0</v>
      </c>
      <c r="Q3395" s="2" t="s">
        <v>86</v>
      </c>
    </row>
    <row r="3396">
      <c r="A3396" s="2">
        <v>3395.0</v>
      </c>
      <c r="B3396" s="2" t="s">
        <v>6244</v>
      </c>
      <c r="C3396" s="2" t="s">
        <v>23</v>
      </c>
      <c r="K3396" s="2">
        <v>20.0</v>
      </c>
      <c r="N3396" s="6">
        <v>45083.0</v>
      </c>
      <c r="Q3396" s="2" t="s">
        <v>6245</v>
      </c>
    </row>
    <row r="3397">
      <c r="A3397" s="2">
        <v>3396.0</v>
      </c>
      <c r="B3397" s="2" t="s">
        <v>6246</v>
      </c>
      <c r="C3397" s="2" t="s">
        <v>23</v>
      </c>
      <c r="N3397" s="6">
        <v>42933.0</v>
      </c>
      <c r="Q3397" s="2" t="s">
        <v>1116</v>
      </c>
    </row>
    <row r="3398">
      <c r="A3398" s="2">
        <v>3397.0</v>
      </c>
      <c r="B3398" s="2" t="s">
        <v>6247</v>
      </c>
      <c r="C3398" s="2" t="s">
        <v>23</v>
      </c>
      <c r="K3398" s="2">
        <v>10.0</v>
      </c>
      <c r="N3398" s="6">
        <v>43782.0</v>
      </c>
      <c r="Q3398" s="2" t="s">
        <v>6248</v>
      </c>
    </row>
    <row r="3399">
      <c r="A3399" s="2">
        <v>3398.0</v>
      </c>
      <c r="B3399" s="2" t="s">
        <v>6249</v>
      </c>
      <c r="C3399" s="2" t="s">
        <v>23</v>
      </c>
      <c r="N3399" s="6">
        <v>43923.0</v>
      </c>
      <c r="Q3399" s="2" t="s">
        <v>86</v>
      </c>
    </row>
    <row r="3400">
      <c r="A3400" s="2">
        <v>3399.0</v>
      </c>
      <c r="B3400" s="2" t="s">
        <v>6250</v>
      </c>
      <c r="C3400" s="2" t="s">
        <v>23</v>
      </c>
      <c r="N3400" s="6">
        <v>43395.0</v>
      </c>
      <c r="Q3400" s="2" t="s">
        <v>86</v>
      </c>
    </row>
    <row r="3401">
      <c r="A3401" s="2">
        <v>3400.0</v>
      </c>
      <c r="B3401" s="2" t="s">
        <v>6251</v>
      </c>
      <c r="C3401" s="2" t="s">
        <v>23</v>
      </c>
      <c r="K3401" s="2">
        <v>30.0</v>
      </c>
      <c r="N3401" s="6">
        <v>45650.0</v>
      </c>
      <c r="Q3401" s="2" t="s">
        <v>6252</v>
      </c>
    </row>
    <row r="3402">
      <c r="A3402" s="2">
        <v>3401.0</v>
      </c>
      <c r="B3402" s="2" t="s">
        <v>6253</v>
      </c>
      <c r="C3402" s="2" t="s">
        <v>23</v>
      </c>
      <c r="K3402" s="2">
        <v>60.0</v>
      </c>
      <c r="N3402" s="6">
        <v>44067.0</v>
      </c>
      <c r="Q3402" s="2" t="s">
        <v>6254</v>
      </c>
    </row>
    <row r="3403">
      <c r="A3403" s="2">
        <v>3402.0</v>
      </c>
      <c r="B3403" s="2" t="s">
        <v>6255</v>
      </c>
      <c r="C3403" s="2" t="s">
        <v>23</v>
      </c>
      <c r="K3403" s="2">
        <v>10.0</v>
      </c>
      <c r="N3403" s="6">
        <v>44926.0</v>
      </c>
      <c r="Q3403" s="2" t="s">
        <v>175</v>
      </c>
    </row>
    <row r="3404">
      <c r="A3404" s="2">
        <v>3403.0</v>
      </c>
      <c r="B3404" s="2" t="s">
        <v>6256</v>
      </c>
      <c r="C3404" s="2" t="s">
        <v>23</v>
      </c>
      <c r="K3404" s="2">
        <v>70.0</v>
      </c>
      <c r="N3404" s="6">
        <v>43920.0</v>
      </c>
      <c r="Q3404" s="2" t="s">
        <v>6257</v>
      </c>
    </row>
    <row r="3405">
      <c r="A3405" s="2">
        <v>3404.0</v>
      </c>
      <c r="B3405" s="2" t="s">
        <v>6258</v>
      </c>
      <c r="C3405" s="2" t="s">
        <v>23</v>
      </c>
      <c r="N3405" s="6">
        <v>44941.0</v>
      </c>
      <c r="Q3405" s="2" t="s">
        <v>4647</v>
      </c>
    </row>
    <row r="3406">
      <c r="A3406" s="2">
        <v>3405.0</v>
      </c>
      <c r="B3406" s="2" t="s">
        <v>6259</v>
      </c>
      <c r="C3406" s="2" t="s">
        <v>23</v>
      </c>
      <c r="K3406" s="2">
        <v>10.0</v>
      </c>
      <c r="N3406" s="6">
        <v>44658.0</v>
      </c>
      <c r="Q3406" s="2" t="s">
        <v>60</v>
      </c>
    </row>
    <row r="3407">
      <c r="A3407" s="2">
        <v>3406.0</v>
      </c>
      <c r="B3407" s="2" t="s">
        <v>6260</v>
      </c>
      <c r="C3407" s="2" t="s">
        <v>23</v>
      </c>
      <c r="N3407" s="6">
        <v>43980.0</v>
      </c>
      <c r="Q3407" s="2" t="s">
        <v>86</v>
      </c>
    </row>
    <row r="3408">
      <c r="A3408" s="2">
        <v>3407.0</v>
      </c>
      <c r="B3408" s="2" t="s">
        <v>6261</v>
      </c>
      <c r="C3408" s="2" t="s">
        <v>23</v>
      </c>
      <c r="N3408" s="6">
        <v>44725.0</v>
      </c>
      <c r="Q3408" s="2" t="s">
        <v>86</v>
      </c>
    </row>
    <row r="3409">
      <c r="A3409" s="2">
        <v>3408.0</v>
      </c>
      <c r="B3409" s="2" t="s">
        <v>6262</v>
      </c>
      <c r="C3409" s="2" t="s">
        <v>23</v>
      </c>
      <c r="N3409" s="6">
        <v>44133.0</v>
      </c>
      <c r="Q3409" s="2" t="s">
        <v>86</v>
      </c>
    </row>
    <row r="3410">
      <c r="A3410" s="2">
        <v>3409.0</v>
      </c>
      <c r="B3410" s="2" t="s">
        <v>6263</v>
      </c>
      <c r="C3410" s="2" t="s">
        <v>23</v>
      </c>
      <c r="K3410" s="2">
        <v>10.0</v>
      </c>
      <c r="N3410" s="6">
        <v>44948.0</v>
      </c>
      <c r="Q3410" s="2" t="s">
        <v>6264</v>
      </c>
    </row>
    <row r="3411">
      <c r="A3411" s="2">
        <v>3410.0</v>
      </c>
      <c r="B3411" s="2" t="s">
        <v>6265</v>
      </c>
      <c r="C3411" s="2" t="s">
        <v>23</v>
      </c>
      <c r="N3411" s="6">
        <v>44942.0</v>
      </c>
      <c r="Q3411" s="2" t="s">
        <v>6266</v>
      </c>
    </row>
    <row r="3412">
      <c r="A3412" s="2">
        <v>3411.0</v>
      </c>
      <c r="B3412" s="2" t="s">
        <v>6267</v>
      </c>
      <c r="C3412" s="2" t="s">
        <v>23</v>
      </c>
      <c r="N3412" s="6">
        <v>44718.0</v>
      </c>
      <c r="Q3412" s="2" t="s">
        <v>86</v>
      </c>
    </row>
    <row r="3413">
      <c r="A3413" s="2">
        <v>3412.0</v>
      </c>
      <c r="B3413" s="2" t="s">
        <v>6268</v>
      </c>
      <c r="C3413" s="2" t="s">
        <v>23</v>
      </c>
      <c r="K3413" s="2">
        <v>40.0</v>
      </c>
      <c r="N3413" s="6">
        <v>45552.0</v>
      </c>
      <c r="Q3413" s="2" t="s">
        <v>6269</v>
      </c>
    </row>
    <row r="3414">
      <c r="A3414" s="2">
        <v>3413.0</v>
      </c>
      <c r="B3414" s="2" t="s">
        <v>6270</v>
      </c>
      <c r="C3414" s="2" t="s">
        <v>23</v>
      </c>
      <c r="K3414" s="2">
        <v>40.0</v>
      </c>
      <c r="N3414" s="6">
        <v>44123.0</v>
      </c>
      <c r="Q3414" s="2" t="s">
        <v>6271</v>
      </c>
    </row>
    <row r="3415">
      <c r="A3415" s="2">
        <v>3414.0</v>
      </c>
      <c r="B3415" s="2" t="s">
        <v>6272</v>
      </c>
      <c r="C3415" s="2" t="s">
        <v>23</v>
      </c>
      <c r="K3415" s="2">
        <v>30.0</v>
      </c>
      <c r="N3415" s="6">
        <v>45056.0</v>
      </c>
      <c r="Q3415" s="2" t="s">
        <v>6273</v>
      </c>
    </row>
    <row r="3416">
      <c r="A3416" s="2">
        <v>3415.0</v>
      </c>
      <c r="B3416" s="2" t="s">
        <v>6274</v>
      </c>
      <c r="C3416" s="2" t="s">
        <v>23</v>
      </c>
      <c r="K3416" s="2">
        <v>300.0</v>
      </c>
      <c r="N3416" s="6">
        <v>42462.0</v>
      </c>
      <c r="Q3416" s="2" t="s">
        <v>6275</v>
      </c>
    </row>
    <row r="3417">
      <c r="A3417" s="2">
        <v>3416.0</v>
      </c>
      <c r="B3417" s="2" t="s">
        <v>6276</v>
      </c>
      <c r="C3417" s="2" t="s">
        <v>23</v>
      </c>
      <c r="N3417" s="6">
        <v>44342.0</v>
      </c>
      <c r="Q3417" s="2" t="s">
        <v>86</v>
      </c>
    </row>
    <row r="3418">
      <c r="A3418" s="2">
        <v>3417.0</v>
      </c>
      <c r="B3418" s="2" t="s">
        <v>6277</v>
      </c>
      <c r="C3418" s="2" t="s">
        <v>23</v>
      </c>
      <c r="K3418" s="2">
        <v>40.0</v>
      </c>
      <c r="N3418" s="6">
        <v>44049.0</v>
      </c>
      <c r="Q3418" s="2" t="s">
        <v>86</v>
      </c>
    </row>
    <row r="3419">
      <c r="A3419" s="2">
        <v>3418.0</v>
      </c>
      <c r="B3419" s="2" t="s">
        <v>6278</v>
      </c>
      <c r="C3419" s="2" t="s">
        <v>23</v>
      </c>
      <c r="N3419" s="6">
        <v>44697.0</v>
      </c>
      <c r="Q3419" s="2" t="s">
        <v>86</v>
      </c>
    </row>
    <row r="3420">
      <c r="A3420" s="2">
        <v>3419.0</v>
      </c>
      <c r="B3420" s="2" t="s">
        <v>6279</v>
      </c>
      <c r="C3420" s="2" t="s">
        <v>23</v>
      </c>
      <c r="N3420" s="6">
        <v>42800.0</v>
      </c>
      <c r="Q3420" s="2" t="s">
        <v>86</v>
      </c>
    </row>
    <row r="3421">
      <c r="A3421" s="2">
        <v>3420.0</v>
      </c>
      <c r="B3421" s="2" t="s">
        <v>6280</v>
      </c>
      <c r="C3421" s="2" t="s">
        <v>23</v>
      </c>
      <c r="N3421" s="6">
        <v>45538.0</v>
      </c>
      <c r="Q3421" s="2" t="s">
        <v>2604</v>
      </c>
    </row>
    <row r="3422">
      <c r="A3422" s="2">
        <v>3421.0</v>
      </c>
      <c r="B3422" s="2" t="s">
        <v>6281</v>
      </c>
      <c r="C3422" s="2" t="s">
        <v>23</v>
      </c>
      <c r="K3422" s="2">
        <v>10.0</v>
      </c>
      <c r="N3422" s="6">
        <v>44787.0</v>
      </c>
      <c r="Q3422" s="2" t="s">
        <v>86</v>
      </c>
    </row>
    <row r="3423">
      <c r="A3423" s="2">
        <v>3422.0</v>
      </c>
      <c r="B3423" s="2" t="s">
        <v>6282</v>
      </c>
      <c r="C3423" s="2" t="s">
        <v>23</v>
      </c>
      <c r="K3423" s="2">
        <v>40.0</v>
      </c>
      <c r="N3423" s="6">
        <v>43886.0</v>
      </c>
      <c r="Q3423" s="2" t="s">
        <v>1727</v>
      </c>
    </row>
    <row r="3424">
      <c r="A3424" s="2">
        <v>3423.0</v>
      </c>
      <c r="B3424" s="2" t="s">
        <v>6283</v>
      </c>
      <c r="C3424" s="2" t="s">
        <v>23</v>
      </c>
      <c r="N3424" s="6">
        <v>44639.0</v>
      </c>
      <c r="Q3424" s="2" t="s">
        <v>86</v>
      </c>
    </row>
    <row r="3425">
      <c r="A3425" s="2">
        <v>3424.0</v>
      </c>
      <c r="B3425" s="2" t="s">
        <v>6284</v>
      </c>
      <c r="C3425" s="2" t="s">
        <v>23</v>
      </c>
      <c r="K3425" s="2">
        <v>40.0</v>
      </c>
      <c r="N3425" s="6">
        <v>45064.0</v>
      </c>
      <c r="Q3425" s="2" t="s">
        <v>6266</v>
      </c>
    </row>
    <row r="3426">
      <c r="A3426" s="2">
        <v>3425.0</v>
      </c>
      <c r="B3426" s="2" t="s">
        <v>6285</v>
      </c>
      <c r="C3426" s="2" t="s">
        <v>23</v>
      </c>
      <c r="K3426" s="2">
        <v>10.0</v>
      </c>
      <c r="N3426" s="6">
        <v>44999.0</v>
      </c>
      <c r="Q3426" s="2" t="s">
        <v>546</v>
      </c>
    </row>
    <row r="3427">
      <c r="A3427" s="2">
        <v>3426.0</v>
      </c>
      <c r="B3427" s="2" t="s">
        <v>6286</v>
      </c>
      <c r="C3427" s="2" t="s">
        <v>23</v>
      </c>
      <c r="K3427" s="2">
        <v>10.0</v>
      </c>
      <c r="N3427" s="6">
        <v>43888.0</v>
      </c>
      <c r="Q3427" s="2" t="s">
        <v>1521</v>
      </c>
    </row>
    <row r="3428">
      <c r="A3428" s="2">
        <v>3427.0</v>
      </c>
      <c r="B3428" s="2" t="s">
        <v>6287</v>
      </c>
      <c r="C3428" s="2" t="s">
        <v>23</v>
      </c>
      <c r="K3428" s="2">
        <v>20.0</v>
      </c>
      <c r="N3428" s="6">
        <v>43863.0</v>
      </c>
      <c r="Q3428" s="2" t="s">
        <v>86</v>
      </c>
    </row>
    <row r="3429">
      <c r="A3429" s="2">
        <v>3428.0</v>
      </c>
      <c r="B3429" s="2" t="s">
        <v>6288</v>
      </c>
      <c r="C3429" s="2" t="s">
        <v>23</v>
      </c>
      <c r="K3429" s="2">
        <v>200.0</v>
      </c>
      <c r="N3429" s="6">
        <v>45654.0</v>
      </c>
      <c r="Q3429" s="2" t="s">
        <v>6289</v>
      </c>
    </row>
    <row r="3430">
      <c r="A3430" s="2">
        <v>3429.0</v>
      </c>
      <c r="B3430" s="2" t="s">
        <v>6290</v>
      </c>
      <c r="C3430" s="2" t="s">
        <v>23</v>
      </c>
      <c r="N3430" s="6">
        <v>45640.0</v>
      </c>
      <c r="Q3430" s="2" t="s">
        <v>6291</v>
      </c>
    </row>
    <row r="3431">
      <c r="A3431" s="2">
        <v>3430.0</v>
      </c>
      <c r="B3431" s="2" t="s">
        <v>6292</v>
      </c>
      <c r="C3431" s="2" t="s">
        <v>23</v>
      </c>
      <c r="N3431" s="6">
        <v>42906.0</v>
      </c>
      <c r="Q3431" s="2" t="s">
        <v>86</v>
      </c>
    </row>
    <row r="3432">
      <c r="A3432" s="2">
        <v>3431.0</v>
      </c>
      <c r="B3432" s="2" t="s">
        <v>6293</v>
      </c>
      <c r="C3432" s="2" t="s">
        <v>23</v>
      </c>
      <c r="N3432" s="6">
        <v>44286.0</v>
      </c>
      <c r="Q3432" s="2" t="s">
        <v>86</v>
      </c>
    </row>
    <row r="3433">
      <c r="A3433" s="2">
        <v>3432.0</v>
      </c>
      <c r="B3433" s="2" t="s">
        <v>6294</v>
      </c>
      <c r="C3433" s="2" t="s">
        <v>23</v>
      </c>
      <c r="N3433" s="6">
        <v>45450.0</v>
      </c>
      <c r="Q3433" s="2" t="s">
        <v>6295</v>
      </c>
    </row>
    <row r="3434">
      <c r="A3434" s="2">
        <v>3433.0</v>
      </c>
      <c r="B3434" s="2" t="s">
        <v>6296</v>
      </c>
      <c r="C3434" s="2" t="s">
        <v>23</v>
      </c>
      <c r="N3434" s="6">
        <v>43257.0</v>
      </c>
      <c r="Q3434" s="2" t="s">
        <v>2475</v>
      </c>
    </row>
    <row r="3435">
      <c r="A3435" s="2">
        <v>3434.0</v>
      </c>
      <c r="B3435" s="2" t="s">
        <v>6297</v>
      </c>
      <c r="C3435" s="2" t="s">
        <v>23</v>
      </c>
      <c r="K3435" s="2">
        <v>90.0</v>
      </c>
      <c r="N3435" s="6">
        <v>43893.0</v>
      </c>
      <c r="Q3435" s="2" t="s">
        <v>6298</v>
      </c>
    </row>
    <row r="3436">
      <c r="A3436" s="2">
        <v>3435.0</v>
      </c>
      <c r="B3436" s="2" t="s">
        <v>6299</v>
      </c>
      <c r="C3436" s="2" t="s">
        <v>23</v>
      </c>
      <c r="K3436" s="2">
        <v>80.0</v>
      </c>
      <c r="N3436" s="6">
        <v>45385.0</v>
      </c>
      <c r="Q3436" s="2" t="s">
        <v>6300</v>
      </c>
    </row>
    <row r="3437">
      <c r="A3437" s="2">
        <v>3436.0</v>
      </c>
      <c r="B3437" s="2" t="s">
        <v>6301</v>
      </c>
      <c r="C3437" s="2" t="s">
        <v>23</v>
      </c>
      <c r="N3437" s="6">
        <v>44760.0</v>
      </c>
      <c r="Q3437" s="2" t="s">
        <v>86</v>
      </c>
    </row>
    <row r="3438">
      <c r="A3438" s="2">
        <v>3437.0</v>
      </c>
      <c r="B3438" s="2" t="s">
        <v>6302</v>
      </c>
      <c r="C3438" s="2" t="s">
        <v>23</v>
      </c>
      <c r="K3438" s="2">
        <v>60.0</v>
      </c>
      <c r="N3438" s="6">
        <v>45620.0</v>
      </c>
      <c r="Q3438" s="2" t="s">
        <v>6303</v>
      </c>
    </row>
    <row r="3439">
      <c r="A3439" s="2">
        <v>3438.0</v>
      </c>
      <c r="B3439" s="2" t="s">
        <v>6304</v>
      </c>
      <c r="C3439" s="2" t="s">
        <v>23</v>
      </c>
      <c r="K3439" s="2">
        <v>200.0</v>
      </c>
      <c r="N3439" s="6">
        <v>43990.0</v>
      </c>
      <c r="Q3439" s="2" t="s">
        <v>6305</v>
      </c>
    </row>
    <row r="3440">
      <c r="A3440" s="2">
        <v>3439.0</v>
      </c>
      <c r="B3440" s="2" t="s">
        <v>6306</v>
      </c>
      <c r="C3440" s="2" t="s">
        <v>23</v>
      </c>
      <c r="N3440" s="6">
        <v>44627.0</v>
      </c>
      <c r="Q3440" s="2" t="s">
        <v>6307</v>
      </c>
    </row>
    <row r="3441">
      <c r="A3441" s="2">
        <v>3440.0</v>
      </c>
      <c r="B3441" s="2" t="s">
        <v>6308</v>
      </c>
      <c r="C3441" s="2" t="s">
        <v>23</v>
      </c>
      <c r="K3441" s="2">
        <v>10.0</v>
      </c>
      <c r="N3441" s="6">
        <v>44011.0</v>
      </c>
      <c r="Q3441" s="2" t="s">
        <v>6309</v>
      </c>
    </row>
    <row r="3442">
      <c r="A3442" s="2">
        <v>3441.0</v>
      </c>
      <c r="B3442" s="2" t="s">
        <v>6310</v>
      </c>
      <c r="C3442" s="2" t="s">
        <v>23</v>
      </c>
      <c r="N3442" s="6">
        <v>44208.0</v>
      </c>
      <c r="Q3442" s="2" t="s">
        <v>1070</v>
      </c>
    </row>
    <row r="3443">
      <c r="A3443" s="2">
        <v>3442.0</v>
      </c>
      <c r="B3443" s="2" t="s">
        <v>6311</v>
      </c>
      <c r="C3443" s="2" t="s">
        <v>23</v>
      </c>
      <c r="K3443" s="2">
        <v>60.0</v>
      </c>
      <c r="N3443" s="6">
        <v>45745.0</v>
      </c>
      <c r="Q3443" s="2" t="s">
        <v>6312</v>
      </c>
    </row>
    <row r="3444">
      <c r="A3444" s="2">
        <v>3443.0</v>
      </c>
      <c r="B3444" s="2" t="s">
        <v>6313</v>
      </c>
      <c r="C3444" s="2" t="s">
        <v>23</v>
      </c>
      <c r="N3444" s="6">
        <v>45230.0</v>
      </c>
      <c r="Q3444" s="2" t="s">
        <v>86</v>
      </c>
    </row>
    <row r="3445">
      <c r="A3445" s="2">
        <v>3444.0</v>
      </c>
      <c r="B3445" s="2" t="s">
        <v>6314</v>
      </c>
      <c r="C3445" s="2" t="s">
        <v>23</v>
      </c>
      <c r="N3445" s="6">
        <v>44697.0</v>
      </c>
      <c r="Q3445" s="2" t="s">
        <v>86</v>
      </c>
    </row>
    <row r="3446">
      <c r="A3446" s="2">
        <v>3445.0</v>
      </c>
      <c r="B3446" s="2" t="s">
        <v>6315</v>
      </c>
      <c r="C3446" s="2" t="s">
        <v>23</v>
      </c>
      <c r="N3446" s="6">
        <v>44264.0</v>
      </c>
      <c r="Q3446" s="2" t="s">
        <v>86</v>
      </c>
    </row>
    <row r="3447">
      <c r="A3447" s="2">
        <v>3446.0</v>
      </c>
      <c r="B3447" s="2" t="s">
        <v>6316</v>
      </c>
      <c r="C3447" s="2" t="s">
        <v>23</v>
      </c>
      <c r="N3447" s="6">
        <v>44925.0</v>
      </c>
      <c r="Q3447" s="2" t="s">
        <v>1156</v>
      </c>
    </row>
    <row r="3448">
      <c r="A3448" s="2">
        <v>3447.0</v>
      </c>
      <c r="B3448" s="2" t="s">
        <v>6317</v>
      </c>
      <c r="C3448" s="2" t="s">
        <v>23</v>
      </c>
      <c r="F3448" s="2">
        <v>0.03</v>
      </c>
      <c r="K3448" s="2">
        <v>200.0</v>
      </c>
      <c r="N3448" s="6">
        <v>42472.0</v>
      </c>
      <c r="Q3448" s="2" t="s">
        <v>6318</v>
      </c>
    </row>
    <row r="3449">
      <c r="A3449" s="2">
        <v>3448.0</v>
      </c>
      <c r="B3449" s="2" t="s">
        <v>6319</v>
      </c>
      <c r="C3449" s="2" t="s">
        <v>23</v>
      </c>
      <c r="N3449" s="6">
        <v>45420.0</v>
      </c>
      <c r="Q3449" s="2" t="s">
        <v>4628</v>
      </c>
    </row>
    <row r="3450">
      <c r="A3450" s="2">
        <v>3449.0</v>
      </c>
      <c r="B3450" s="2" t="s">
        <v>6320</v>
      </c>
      <c r="C3450" s="2" t="s">
        <v>23</v>
      </c>
      <c r="K3450" s="2">
        <v>20.0</v>
      </c>
      <c r="N3450" s="6">
        <v>44586.0</v>
      </c>
      <c r="Q3450" s="2" t="s">
        <v>86</v>
      </c>
    </row>
    <row r="3451">
      <c r="A3451" s="2">
        <v>3450.0</v>
      </c>
      <c r="B3451" s="2" t="s">
        <v>6321</v>
      </c>
      <c r="C3451" s="2" t="s">
        <v>23</v>
      </c>
      <c r="K3451" s="2">
        <v>60.0</v>
      </c>
      <c r="N3451" s="6">
        <v>44412.0</v>
      </c>
      <c r="Q3451" s="2" t="s">
        <v>6322</v>
      </c>
    </row>
    <row r="3452">
      <c r="A3452" s="2">
        <v>3451.0</v>
      </c>
      <c r="B3452" s="2" t="s">
        <v>6323</v>
      </c>
      <c r="C3452" s="2" t="s">
        <v>23</v>
      </c>
      <c r="K3452" s="2">
        <v>30.0</v>
      </c>
      <c r="N3452" s="6">
        <v>43910.0</v>
      </c>
      <c r="Q3452" s="2" t="s">
        <v>6324</v>
      </c>
    </row>
    <row r="3453">
      <c r="A3453" s="2">
        <v>3452.0</v>
      </c>
      <c r="B3453" s="2" t="s">
        <v>6325</v>
      </c>
      <c r="C3453" s="2" t="s">
        <v>23</v>
      </c>
      <c r="K3453" s="2">
        <v>30.0</v>
      </c>
      <c r="N3453" s="6">
        <v>45660.0</v>
      </c>
      <c r="Q3453" s="2" t="s">
        <v>1521</v>
      </c>
    </row>
    <row r="3454">
      <c r="A3454" s="2">
        <v>3453.0</v>
      </c>
      <c r="B3454" s="2" t="s">
        <v>6326</v>
      </c>
      <c r="C3454" s="2" t="s">
        <v>23</v>
      </c>
      <c r="N3454" s="6">
        <v>45091.0</v>
      </c>
      <c r="Q3454" s="2" t="s">
        <v>86</v>
      </c>
    </row>
    <row r="3455">
      <c r="A3455" s="2">
        <v>3454.0</v>
      </c>
      <c r="B3455" s="2" t="s">
        <v>6327</v>
      </c>
      <c r="C3455" s="2" t="s">
        <v>23</v>
      </c>
      <c r="K3455" s="2">
        <v>60.0</v>
      </c>
      <c r="N3455" s="6">
        <v>43874.0</v>
      </c>
      <c r="Q3455" s="2" t="s">
        <v>546</v>
      </c>
    </row>
    <row r="3456">
      <c r="A3456" s="2">
        <v>3455.0</v>
      </c>
      <c r="B3456" s="2" t="s">
        <v>6328</v>
      </c>
      <c r="C3456" s="2" t="s">
        <v>23</v>
      </c>
      <c r="N3456" s="6">
        <v>45107.0</v>
      </c>
      <c r="Q3456" s="2" t="s">
        <v>86</v>
      </c>
    </row>
    <row r="3457">
      <c r="A3457" s="2">
        <v>3456.0</v>
      </c>
      <c r="B3457" s="2" t="s">
        <v>6329</v>
      </c>
      <c r="C3457" s="2" t="s">
        <v>23</v>
      </c>
      <c r="N3457" s="6">
        <v>43879.0</v>
      </c>
      <c r="Q3457" s="2" t="s">
        <v>6330</v>
      </c>
    </row>
    <row r="3458">
      <c r="A3458" s="2">
        <v>3457.0</v>
      </c>
      <c r="B3458" s="2" t="s">
        <v>6331</v>
      </c>
      <c r="C3458" s="2" t="s">
        <v>23</v>
      </c>
      <c r="N3458" s="6">
        <v>45145.0</v>
      </c>
      <c r="Q3458" s="2" t="s">
        <v>86</v>
      </c>
    </row>
    <row r="3459">
      <c r="A3459" s="2">
        <v>3458.0</v>
      </c>
      <c r="B3459" s="2" t="s">
        <v>6332</v>
      </c>
      <c r="C3459" s="2" t="s">
        <v>23</v>
      </c>
      <c r="K3459" s="2">
        <v>40.0</v>
      </c>
      <c r="N3459" s="6">
        <v>44915.0</v>
      </c>
      <c r="Q3459" s="2" t="s">
        <v>86</v>
      </c>
    </row>
    <row r="3460">
      <c r="A3460" s="2">
        <v>3459.0</v>
      </c>
      <c r="B3460" s="2" t="s">
        <v>6333</v>
      </c>
      <c r="C3460" s="2" t="s">
        <v>23</v>
      </c>
      <c r="K3460" s="2">
        <v>20.0</v>
      </c>
      <c r="N3460" s="6">
        <v>43010.0</v>
      </c>
      <c r="Q3460" s="2" t="s">
        <v>60</v>
      </c>
    </row>
    <row r="3461">
      <c r="A3461" s="2">
        <v>3460.0</v>
      </c>
      <c r="B3461" s="2" t="s">
        <v>6334</v>
      </c>
      <c r="C3461" s="2" t="s">
        <v>23</v>
      </c>
      <c r="K3461" s="2">
        <v>40.0</v>
      </c>
      <c r="N3461" s="6">
        <v>45749.0</v>
      </c>
      <c r="Q3461" s="2" t="s">
        <v>6335</v>
      </c>
    </row>
    <row r="3462">
      <c r="A3462" s="2">
        <v>3461.0</v>
      </c>
      <c r="B3462" s="2" t="s">
        <v>6336</v>
      </c>
      <c r="C3462" s="2" t="s">
        <v>23</v>
      </c>
      <c r="N3462" s="6">
        <v>45942.0</v>
      </c>
      <c r="Q3462" s="2" t="s">
        <v>6337</v>
      </c>
    </row>
    <row r="3463">
      <c r="A3463" s="2">
        <v>3462.0</v>
      </c>
      <c r="B3463" s="2" t="s">
        <v>6338</v>
      </c>
      <c r="C3463" s="2" t="s">
        <v>23</v>
      </c>
      <c r="N3463" s="6">
        <v>44014.0</v>
      </c>
      <c r="Q3463" s="2" t="s">
        <v>86</v>
      </c>
    </row>
    <row r="3464">
      <c r="A3464" s="2">
        <v>3463.0</v>
      </c>
      <c r="B3464" s="2" t="s">
        <v>6339</v>
      </c>
      <c r="C3464" s="2" t="s">
        <v>23</v>
      </c>
      <c r="K3464" s="2">
        <v>30.0</v>
      </c>
      <c r="N3464" s="6">
        <v>45731.0</v>
      </c>
      <c r="Q3464" s="2" t="s">
        <v>6340</v>
      </c>
    </row>
    <row r="3465">
      <c r="A3465" s="2">
        <v>3464.0</v>
      </c>
      <c r="B3465" s="2" t="s">
        <v>6341</v>
      </c>
      <c r="C3465" s="2" t="s">
        <v>23</v>
      </c>
      <c r="K3465" s="2">
        <v>100.0</v>
      </c>
      <c r="N3465" s="6">
        <v>43841.0</v>
      </c>
      <c r="Q3465" s="2" t="s">
        <v>6342</v>
      </c>
    </row>
    <row r="3466">
      <c r="A3466" s="2">
        <v>3465.0</v>
      </c>
      <c r="B3466" s="2" t="s">
        <v>6343</v>
      </c>
      <c r="C3466" s="2" t="s">
        <v>23</v>
      </c>
      <c r="N3466" s="6">
        <v>44723.0</v>
      </c>
      <c r="Q3466" s="2" t="s">
        <v>86</v>
      </c>
    </row>
    <row r="3467">
      <c r="A3467" s="2">
        <v>3466.0</v>
      </c>
      <c r="B3467" s="2" t="s">
        <v>6344</v>
      </c>
      <c r="C3467" s="2" t="s">
        <v>23</v>
      </c>
      <c r="K3467" s="2">
        <v>30.0</v>
      </c>
      <c r="N3467" s="6">
        <v>44617.0</v>
      </c>
      <c r="Q3467" s="2" t="s">
        <v>86</v>
      </c>
    </row>
    <row r="3468">
      <c r="A3468" s="2">
        <v>3467.0</v>
      </c>
      <c r="B3468" s="2" t="s">
        <v>6345</v>
      </c>
      <c r="C3468" s="2" t="s">
        <v>23</v>
      </c>
      <c r="K3468" s="2">
        <v>500.0</v>
      </c>
      <c r="N3468" s="6">
        <v>43853.0</v>
      </c>
      <c r="Q3468" s="2" t="s">
        <v>6346</v>
      </c>
    </row>
    <row r="3469">
      <c r="A3469" s="2">
        <v>3468.0</v>
      </c>
      <c r="B3469" s="2" t="s">
        <v>6347</v>
      </c>
      <c r="C3469" s="2" t="s">
        <v>23</v>
      </c>
      <c r="K3469" s="2">
        <v>20.0</v>
      </c>
      <c r="N3469" s="6">
        <v>44575.0</v>
      </c>
      <c r="Q3469" s="2" t="s">
        <v>2362</v>
      </c>
    </row>
    <row r="3470">
      <c r="A3470" s="2">
        <v>3469.0</v>
      </c>
      <c r="B3470" s="2" t="s">
        <v>6348</v>
      </c>
      <c r="C3470" s="2" t="s">
        <v>23</v>
      </c>
      <c r="N3470" s="6">
        <v>43878.0</v>
      </c>
      <c r="Q3470" s="2" t="s">
        <v>546</v>
      </c>
    </row>
    <row r="3471">
      <c r="A3471" s="2">
        <v>3470.0</v>
      </c>
      <c r="B3471" s="2" t="s">
        <v>6349</v>
      </c>
      <c r="C3471" s="2" t="s">
        <v>23</v>
      </c>
      <c r="K3471" s="2">
        <v>40.0</v>
      </c>
      <c r="N3471" s="6">
        <v>45674.0</v>
      </c>
      <c r="Q3471" s="2" t="s">
        <v>2360</v>
      </c>
    </row>
    <row r="3472">
      <c r="A3472" s="2">
        <v>3471.0</v>
      </c>
      <c r="B3472" s="2" t="s">
        <v>6350</v>
      </c>
      <c r="C3472" s="2" t="s">
        <v>23</v>
      </c>
      <c r="N3472" s="6">
        <v>45083.0</v>
      </c>
      <c r="Q3472" s="2" t="s">
        <v>6351</v>
      </c>
    </row>
    <row r="3473">
      <c r="A3473" s="2">
        <v>3472.0</v>
      </c>
      <c r="B3473" s="2" t="s">
        <v>6352</v>
      </c>
      <c r="C3473" s="2" t="s">
        <v>23</v>
      </c>
      <c r="K3473" s="2">
        <v>30.0</v>
      </c>
      <c r="N3473" s="6">
        <v>45503.0</v>
      </c>
      <c r="Q3473" s="2" t="s">
        <v>6353</v>
      </c>
    </row>
    <row r="3474">
      <c r="A3474" s="2">
        <v>3473.0</v>
      </c>
      <c r="B3474" s="2" t="s">
        <v>6354</v>
      </c>
      <c r="C3474" s="2" t="s">
        <v>23</v>
      </c>
      <c r="K3474" s="2">
        <v>80.0</v>
      </c>
      <c r="N3474" s="6">
        <v>44398.0</v>
      </c>
      <c r="Q3474" s="2" t="s">
        <v>5108</v>
      </c>
    </row>
    <row r="3475">
      <c r="A3475" s="2">
        <v>3474.0</v>
      </c>
      <c r="B3475" s="2" t="s">
        <v>6355</v>
      </c>
      <c r="C3475" s="2" t="s">
        <v>23</v>
      </c>
      <c r="K3475" s="2">
        <v>30.0</v>
      </c>
      <c r="N3475" s="6">
        <v>45592.0</v>
      </c>
      <c r="Q3475" s="2" t="s">
        <v>6356</v>
      </c>
    </row>
    <row r="3476">
      <c r="A3476" s="2">
        <v>3475.0</v>
      </c>
      <c r="B3476" s="2" t="s">
        <v>6357</v>
      </c>
      <c r="C3476" s="2" t="s">
        <v>23</v>
      </c>
      <c r="K3476" s="2">
        <v>20.0</v>
      </c>
      <c r="N3476" s="6">
        <v>43866.0</v>
      </c>
      <c r="Q3476" s="2" t="s">
        <v>6358</v>
      </c>
    </row>
    <row r="3477">
      <c r="A3477" s="2">
        <v>3476.0</v>
      </c>
      <c r="B3477" s="2" t="s">
        <v>6359</v>
      </c>
      <c r="C3477" s="2" t="s">
        <v>23</v>
      </c>
      <c r="K3477" s="2">
        <v>20.0</v>
      </c>
      <c r="N3477" s="6">
        <v>44124.0</v>
      </c>
      <c r="Q3477" s="2" t="s">
        <v>86</v>
      </c>
    </row>
    <row r="3478">
      <c r="A3478" s="2">
        <v>3477.0</v>
      </c>
      <c r="B3478" s="2" t="s">
        <v>6360</v>
      </c>
      <c r="C3478" s="2" t="s">
        <v>23</v>
      </c>
      <c r="N3478" s="6">
        <v>44047.0</v>
      </c>
      <c r="Q3478" s="2" t="s">
        <v>86</v>
      </c>
    </row>
    <row r="3479">
      <c r="A3479" s="2">
        <v>3478.0</v>
      </c>
      <c r="B3479" s="2" t="s">
        <v>6361</v>
      </c>
      <c r="C3479" s="2" t="s">
        <v>23</v>
      </c>
      <c r="K3479" s="2">
        <v>30.0</v>
      </c>
      <c r="N3479" s="6">
        <v>44063.0</v>
      </c>
      <c r="Q3479" s="2" t="s">
        <v>6362</v>
      </c>
    </row>
    <row r="3480">
      <c r="A3480" s="2">
        <v>3479.0</v>
      </c>
      <c r="B3480" s="2" t="s">
        <v>6363</v>
      </c>
      <c r="C3480" s="2" t="s">
        <v>23</v>
      </c>
      <c r="K3480" s="2">
        <v>50.0</v>
      </c>
      <c r="N3480" s="6">
        <v>45627.0</v>
      </c>
      <c r="Q3480" s="2" t="s">
        <v>6364</v>
      </c>
    </row>
    <row r="3481">
      <c r="A3481" s="2">
        <v>3480.0</v>
      </c>
      <c r="B3481" s="2" t="s">
        <v>6365</v>
      </c>
      <c r="C3481" s="2" t="s">
        <v>23</v>
      </c>
      <c r="K3481" s="2">
        <v>50.0</v>
      </c>
      <c r="N3481" s="6">
        <v>45289.0</v>
      </c>
      <c r="Q3481" s="2" t="s">
        <v>6366</v>
      </c>
    </row>
    <row r="3482">
      <c r="A3482" s="2">
        <v>3481.0</v>
      </c>
      <c r="B3482" s="2" t="s">
        <v>6367</v>
      </c>
      <c r="C3482" s="2" t="s">
        <v>23</v>
      </c>
      <c r="K3482" s="2">
        <v>20.0</v>
      </c>
      <c r="N3482" s="6">
        <v>45786.0</v>
      </c>
      <c r="Q3482" s="2" t="s">
        <v>6368</v>
      </c>
    </row>
    <row r="3483">
      <c r="A3483" s="2">
        <v>3482.0</v>
      </c>
      <c r="B3483" s="2" t="s">
        <v>6369</v>
      </c>
      <c r="C3483" s="2" t="s">
        <v>23</v>
      </c>
      <c r="K3483" s="2">
        <v>90.0</v>
      </c>
      <c r="N3483" s="6">
        <v>44026.0</v>
      </c>
      <c r="Q3483" s="2" t="s">
        <v>6370</v>
      </c>
    </row>
    <row r="3484">
      <c r="A3484" s="2">
        <v>3483.0</v>
      </c>
      <c r="B3484" s="2" t="s">
        <v>6371</v>
      </c>
      <c r="C3484" s="2" t="s">
        <v>23</v>
      </c>
      <c r="K3484" s="2">
        <v>10.0</v>
      </c>
      <c r="N3484" s="6">
        <v>45012.0</v>
      </c>
      <c r="Q3484" s="2" t="s">
        <v>86</v>
      </c>
    </row>
    <row r="3485">
      <c r="A3485" s="2">
        <v>3484.0</v>
      </c>
      <c r="B3485" s="2" t="s">
        <v>6372</v>
      </c>
      <c r="C3485" s="2" t="s">
        <v>23</v>
      </c>
      <c r="K3485" s="2">
        <v>10.0</v>
      </c>
      <c r="N3485" s="6">
        <v>42602.0</v>
      </c>
      <c r="Q3485" s="2" t="s">
        <v>86</v>
      </c>
    </row>
    <row r="3486">
      <c r="A3486" s="2">
        <v>3485.0</v>
      </c>
      <c r="B3486" s="2" t="s">
        <v>6373</v>
      </c>
      <c r="C3486" s="2" t="s">
        <v>23</v>
      </c>
      <c r="N3486" s="6">
        <v>43998.0</v>
      </c>
      <c r="Q3486" s="2" t="s">
        <v>86</v>
      </c>
    </row>
    <row r="3487">
      <c r="A3487" s="2">
        <v>3486.0</v>
      </c>
      <c r="B3487" s="2" t="s">
        <v>6374</v>
      </c>
      <c r="C3487" s="2" t="s">
        <v>23</v>
      </c>
      <c r="K3487" s="2">
        <v>70.0</v>
      </c>
      <c r="N3487" s="6">
        <v>45747.0</v>
      </c>
      <c r="Q3487" s="2" t="s">
        <v>6375</v>
      </c>
    </row>
    <row r="3488">
      <c r="A3488" s="2">
        <v>3487.0</v>
      </c>
      <c r="B3488" s="2" t="s">
        <v>6376</v>
      </c>
      <c r="C3488" s="2" t="s">
        <v>23</v>
      </c>
      <c r="N3488" s="6">
        <v>44754.0</v>
      </c>
      <c r="Q3488" s="2" t="s">
        <v>86</v>
      </c>
    </row>
    <row r="3489">
      <c r="A3489" s="2">
        <v>3488.0</v>
      </c>
      <c r="B3489" s="2" t="s">
        <v>6377</v>
      </c>
      <c r="C3489" s="2" t="s">
        <v>23</v>
      </c>
      <c r="K3489" s="2">
        <v>10.0</v>
      </c>
      <c r="N3489" s="6">
        <v>44228.0</v>
      </c>
      <c r="Q3489" s="2" t="s">
        <v>401</v>
      </c>
    </row>
    <row r="3490">
      <c r="A3490" s="2">
        <v>3489.0</v>
      </c>
      <c r="B3490" s="2" t="s">
        <v>6378</v>
      </c>
      <c r="C3490" s="2" t="s">
        <v>23</v>
      </c>
      <c r="K3490" s="2">
        <v>20.0</v>
      </c>
      <c r="N3490" s="6">
        <v>44255.0</v>
      </c>
      <c r="Q3490" s="2" t="s">
        <v>1123</v>
      </c>
    </row>
    <row r="3491">
      <c r="A3491" s="2">
        <v>3490.0</v>
      </c>
      <c r="B3491" s="2" t="s">
        <v>6379</v>
      </c>
      <c r="C3491" s="2" t="s">
        <v>23</v>
      </c>
      <c r="K3491" s="2">
        <v>20.0</v>
      </c>
      <c r="N3491" s="6">
        <v>44607.0</v>
      </c>
      <c r="Q3491" s="2" t="s">
        <v>86</v>
      </c>
    </row>
    <row r="3492">
      <c r="A3492" s="2">
        <v>3491.0</v>
      </c>
      <c r="B3492" s="2" t="s">
        <v>6380</v>
      </c>
      <c r="C3492" s="2" t="s">
        <v>23</v>
      </c>
      <c r="K3492" s="2">
        <v>80.0</v>
      </c>
      <c r="N3492" s="6">
        <v>44257.0</v>
      </c>
      <c r="Q3492" s="2" t="s">
        <v>86</v>
      </c>
    </row>
    <row r="3493">
      <c r="A3493" s="2">
        <v>3492.0</v>
      </c>
      <c r="B3493" s="2" t="s">
        <v>6381</v>
      </c>
      <c r="C3493" s="2" t="s">
        <v>23</v>
      </c>
      <c r="N3493" s="6">
        <v>45941.0</v>
      </c>
      <c r="Q3493" s="2" t="s">
        <v>6382</v>
      </c>
    </row>
    <row r="3494">
      <c r="A3494" s="2">
        <v>3493.0</v>
      </c>
      <c r="B3494" s="2" t="s">
        <v>6383</v>
      </c>
      <c r="C3494" s="2" t="s">
        <v>23</v>
      </c>
      <c r="K3494" s="2">
        <v>30.0</v>
      </c>
      <c r="N3494" s="6">
        <v>44435.0</v>
      </c>
      <c r="Q3494" s="2" t="s">
        <v>86</v>
      </c>
    </row>
    <row r="3495">
      <c r="A3495" s="2">
        <v>3494.0</v>
      </c>
      <c r="B3495" s="2" t="s">
        <v>6384</v>
      </c>
      <c r="C3495" s="2" t="s">
        <v>23</v>
      </c>
      <c r="K3495" s="2">
        <v>250.0</v>
      </c>
      <c r="N3495" s="6">
        <v>44139.0</v>
      </c>
      <c r="Q3495" s="2" t="s">
        <v>6385</v>
      </c>
    </row>
    <row r="3496">
      <c r="A3496" s="2">
        <v>3495.0</v>
      </c>
      <c r="B3496" s="2" t="s">
        <v>6386</v>
      </c>
      <c r="C3496" s="2" t="s">
        <v>23</v>
      </c>
      <c r="K3496" s="2">
        <v>100.0</v>
      </c>
      <c r="N3496" s="6">
        <v>45012.0</v>
      </c>
      <c r="Q3496" s="2" t="s">
        <v>4041</v>
      </c>
    </row>
    <row r="3497">
      <c r="A3497" s="2">
        <v>3496.0</v>
      </c>
      <c r="B3497" s="2" t="s">
        <v>6387</v>
      </c>
      <c r="C3497" s="2" t="s">
        <v>23</v>
      </c>
      <c r="K3497" s="2">
        <v>10.0</v>
      </c>
      <c r="N3497" s="6">
        <v>44581.0</v>
      </c>
      <c r="Q3497" s="2" t="s">
        <v>6388</v>
      </c>
    </row>
    <row r="3498">
      <c r="A3498" s="2">
        <v>3497.0</v>
      </c>
      <c r="B3498" s="2" t="s">
        <v>6389</v>
      </c>
      <c r="C3498" s="2" t="s">
        <v>23</v>
      </c>
      <c r="K3498" s="2">
        <v>150.0</v>
      </c>
      <c r="N3498" s="6">
        <v>44565.0</v>
      </c>
      <c r="Q3498" s="2" t="s">
        <v>86</v>
      </c>
    </row>
    <row r="3499">
      <c r="A3499" s="2">
        <v>3498.0</v>
      </c>
      <c r="B3499" s="2" t="s">
        <v>6390</v>
      </c>
      <c r="C3499" s="2" t="s">
        <v>23</v>
      </c>
      <c r="K3499" s="2">
        <v>10.0</v>
      </c>
      <c r="N3499" s="6">
        <v>43906.0</v>
      </c>
      <c r="Q3499" s="2" t="s">
        <v>86</v>
      </c>
    </row>
    <row r="3500">
      <c r="A3500" s="2">
        <v>3499.0</v>
      </c>
      <c r="B3500" s="2" t="s">
        <v>6391</v>
      </c>
      <c r="C3500" s="2" t="s">
        <v>23</v>
      </c>
      <c r="K3500" s="2">
        <v>20.0</v>
      </c>
      <c r="N3500" s="6">
        <v>45572.0</v>
      </c>
      <c r="Q3500" s="2" t="s">
        <v>4589</v>
      </c>
    </row>
    <row r="3501">
      <c r="A3501" s="2">
        <v>3500.0</v>
      </c>
      <c r="B3501" s="2" t="s">
        <v>6392</v>
      </c>
      <c r="C3501" s="2" t="s">
        <v>23</v>
      </c>
      <c r="K3501" s="2">
        <v>50.0</v>
      </c>
      <c r="N3501" s="6">
        <v>44230.0</v>
      </c>
      <c r="Q3501" s="2" t="s">
        <v>6393</v>
      </c>
    </row>
    <row r="3502">
      <c r="A3502" s="2">
        <v>3501.0</v>
      </c>
      <c r="B3502" s="2" t="s">
        <v>6394</v>
      </c>
      <c r="C3502" s="2" t="s">
        <v>23</v>
      </c>
      <c r="K3502" s="2">
        <v>60.0</v>
      </c>
      <c r="N3502" s="6">
        <v>45673.0</v>
      </c>
      <c r="Q3502" s="2" t="s">
        <v>6395</v>
      </c>
    </row>
    <row r="3503">
      <c r="A3503" s="2">
        <v>3502.0</v>
      </c>
      <c r="B3503" s="2" t="s">
        <v>6396</v>
      </c>
      <c r="C3503" s="2" t="s">
        <v>23</v>
      </c>
      <c r="N3503" s="6">
        <v>45443.0</v>
      </c>
      <c r="Q3503" s="2" t="s">
        <v>491</v>
      </c>
    </row>
    <row r="3504">
      <c r="A3504" s="2">
        <v>3503.0</v>
      </c>
      <c r="B3504" s="2" t="s">
        <v>6397</v>
      </c>
      <c r="C3504" s="2" t="s">
        <v>23</v>
      </c>
      <c r="N3504" s="6">
        <v>45325.0</v>
      </c>
      <c r="Q3504" s="2" t="s">
        <v>86</v>
      </c>
    </row>
    <row r="3505">
      <c r="A3505" s="2">
        <v>3504.0</v>
      </c>
      <c r="B3505" s="2" t="s">
        <v>6398</v>
      </c>
      <c r="C3505" s="2" t="s">
        <v>23</v>
      </c>
      <c r="K3505" s="2">
        <v>250.0</v>
      </c>
      <c r="N3505" s="6">
        <v>43869.0</v>
      </c>
      <c r="Q3505" s="2" t="s">
        <v>6399</v>
      </c>
    </row>
    <row r="3506">
      <c r="A3506" s="2">
        <v>3505.0</v>
      </c>
      <c r="B3506" s="2" t="s">
        <v>6400</v>
      </c>
      <c r="C3506" s="2" t="s">
        <v>23</v>
      </c>
      <c r="N3506" s="6">
        <v>44236.0</v>
      </c>
      <c r="Q3506" s="2" t="s">
        <v>86</v>
      </c>
    </row>
    <row r="3507">
      <c r="A3507" s="2">
        <v>3506.0</v>
      </c>
      <c r="B3507" s="2" t="s">
        <v>6401</v>
      </c>
      <c r="C3507" s="2" t="s">
        <v>23</v>
      </c>
      <c r="K3507" s="2">
        <v>30.0</v>
      </c>
      <c r="N3507" s="6">
        <v>44268.0</v>
      </c>
      <c r="Q3507" s="2" t="s">
        <v>5169</v>
      </c>
    </row>
    <row r="3508">
      <c r="A3508" s="2">
        <v>3507.0</v>
      </c>
      <c r="B3508" s="2" t="s">
        <v>6402</v>
      </c>
      <c r="C3508" s="2" t="s">
        <v>23</v>
      </c>
      <c r="N3508" s="6">
        <v>42311.0</v>
      </c>
      <c r="Q3508" s="2" t="s">
        <v>1116</v>
      </c>
    </row>
    <row r="3509">
      <c r="A3509" s="2">
        <v>3508.0</v>
      </c>
      <c r="B3509" s="2" t="s">
        <v>6403</v>
      </c>
      <c r="C3509" s="2" t="s">
        <v>23</v>
      </c>
      <c r="N3509" s="6">
        <v>45939.0</v>
      </c>
      <c r="Q3509" s="2" t="s">
        <v>6337</v>
      </c>
    </row>
    <row r="3510">
      <c r="A3510" s="2">
        <v>3509.0</v>
      </c>
      <c r="B3510" s="2" t="s">
        <v>6404</v>
      </c>
      <c r="C3510" s="2" t="s">
        <v>23</v>
      </c>
      <c r="N3510" s="6">
        <v>44850.0</v>
      </c>
      <c r="Q3510" s="2" t="s">
        <v>86</v>
      </c>
    </row>
    <row r="3511">
      <c r="A3511" s="2">
        <v>3510.0</v>
      </c>
      <c r="B3511" s="2" t="s">
        <v>6405</v>
      </c>
      <c r="C3511" s="2" t="s">
        <v>23</v>
      </c>
      <c r="K3511" s="2">
        <v>100.0</v>
      </c>
      <c r="N3511" s="6">
        <v>43854.0</v>
      </c>
      <c r="Q3511" s="2" t="s">
        <v>6406</v>
      </c>
    </row>
    <row r="3512">
      <c r="A3512" s="2">
        <v>3511.0</v>
      </c>
      <c r="B3512" s="2" t="s">
        <v>6407</v>
      </c>
      <c r="C3512" s="2" t="s">
        <v>23</v>
      </c>
      <c r="N3512" s="6">
        <v>44339.0</v>
      </c>
      <c r="Q3512" s="2" t="s">
        <v>86</v>
      </c>
    </row>
    <row r="3513">
      <c r="A3513" s="2">
        <v>3512.0</v>
      </c>
      <c r="B3513" s="2" t="s">
        <v>6408</v>
      </c>
      <c r="C3513" s="2" t="s">
        <v>23</v>
      </c>
      <c r="N3513" s="6">
        <v>42359.0</v>
      </c>
      <c r="Q3513" s="2" t="s">
        <v>86</v>
      </c>
    </row>
    <row r="3514">
      <c r="A3514" s="2">
        <v>3513.0</v>
      </c>
      <c r="B3514" s="2" t="s">
        <v>6409</v>
      </c>
      <c r="C3514" s="2" t="s">
        <v>23</v>
      </c>
      <c r="K3514" s="2">
        <v>20.0</v>
      </c>
      <c r="N3514" s="6">
        <v>45716.0</v>
      </c>
      <c r="Q3514" s="2" t="s">
        <v>6410</v>
      </c>
    </row>
    <row r="3515">
      <c r="A3515" s="2">
        <v>3514.0</v>
      </c>
      <c r="B3515" s="2" t="s">
        <v>6411</v>
      </c>
      <c r="C3515" s="2" t="s">
        <v>23</v>
      </c>
      <c r="K3515" s="2">
        <v>100.0</v>
      </c>
      <c r="N3515" s="6">
        <v>43333.0</v>
      </c>
      <c r="Q3515" s="2" t="s">
        <v>6412</v>
      </c>
    </row>
    <row r="3516">
      <c r="A3516" s="2">
        <v>3515.0</v>
      </c>
      <c r="B3516" s="2" t="s">
        <v>6413</v>
      </c>
      <c r="C3516" s="2" t="s">
        <v>23</v>
      </c>
      <c r="K3516" s="2">
        <v>10.0</v>
      </c>
      <c r="N3516" s="6">
        <v>44551.0</v>
      </c>
      <c r="Q3516" s="2" t="s">
        <v>4041</v>
      </c>
    </row>
    <row r="3517">
      <c r="A3517" s="2">
        <v>3516.0</v>
      </c>
      <c r="B3517" s="2" t="s">
        <v>6414</v>
      </c>
      <c r="C3517" s="2" t="s">
        <v>23</v>
      </c>
      <c r="K3517" s="2">
        <v>40.0</v>
      </c>
      <c r="N3517" s="6">
        <v>44380.0</v>
      </c>
      <c r="Q3517" s="2" t="s">
        <v>1249</v>
      </c>
    </row>
    <row r="3518">
      <c r="A3518" s="2">
        <v>3517.0</v>
      </c>
      <c r="B3518" s="2" t="s">
        <v>6415</v>
      </c>
      <c r="C3518" s="2" t="s">
        <v>23</v>
      </c>
      <c r="N3518" s="6">
        <v>45572.0</v>
      </c>
      <c r="Q3518" s="2" t="s">
        <v>1549</v>
      </c>
    </row>
    <row r="3519">
      <c r="A3519" s="2">
        <v>3518.0</v>
      </c>
      <c r="B3519" s="2" t="s">
        <v>6416</v>
      </c>
      <c r="C3519" s="2" t="s">
        <v>23</v>
      </c>
      <c r="K3519" s="2">
        <v>200.0</v>
      </c>
      <c r="N3519" s="6">
        <v>45329.0</v>
      </c>
      <c r="Q3519" s="2" t="s">
        <v>6417</v>
      </c>
    </row>
    <row r="3520">
      <c r="A3520" s="2">
        <v>3519.0</v>
      </c>
      <c r="B3520" s="2" t="s">
        <v>6418</v>
      </c>
      <c r="C3520" s="2" t="s">
        <v>23</v>
      </c>
      <c r="N3520" s="6">
        <v>44137.0</v>
      </c>
      <c r="Q3520" s="2" t="s">
        <v>86</v>
      </c>
    </row>
    <row r="3521">
      <c r="A3521" s="2">
        <v>3520.0</v>
      </c>
      <c r="B3521" s="2" t="s">
        <v>6419</v>
      </c>
      <c r="C3521" s="2" t="s">
        <v>23</v>
      </c>
      <c r="K3521" s="2">
        <v>20.0</v>
      </c>
      <c r="N3521" s="6">
        <v>44201.0</v>
      </c>
      <c r="Q3521" s="2" t="s">
        <v>6420</v>
      </c>
    </row>
    <row r="3522">
      <c r="A3522" s="2">
        <v>3521.0</v>
      </c>
      <c r="B3522" s="2" t="s">
        <v>6421</v>
      </c>
      <c r="C3522" s="2" t="s">
        <v>23</v>
      </c>
      <c r="K3522" s="2">
        <v>100.0</v>
      </c>
      <c r="N3522" s="6">
        <v>44209.0</v>
      </c>
      <c r="Q3522" s="2" t="s">
        <v>6422</v>
      </c>
    </row>
    <row r="3523">
      <c r="A3523" s="2">
        <v>3522.0</v>
      </c>
      <c r="B3523" s="2" t="s">
        <v>6423</v>
      </c>
      <c r="C3523" s="2" t="s">
        <v>23</v>
      </c>
      <c r="K3523" s="2">
        <v>20.0</v>
      </c>
      <c r="N3523" s="6">
        <v>45166.0</v>
      </c>
      <c r="Q3523" s="2" t="s">
        <v>6424</v>
      </c>
    </row>
    <row r="3524">
      <c r="A3524" s="2">
        <v>3523.0</v>
      </c>
      <c r="B3524" s="2" t="s">
        <v>6425</v>
      </c>
      <c r="C3524" s="2" t="s">
        <v>23</v>
      </c>
      <c r="N3524" s="6">
        <v>45654.0</v>
      </c>
      <c r="Q3524" s="2" t="s">
        <v>6426</v>
      </c>
    </row>
    <row r="3525">
      <c r="A3525" s="2">
        <v>3524.0</v>
      </c>
      <c r="B3525" s="2" t="s">
        <v>6427</v>
      </c>
      <c r="C3525" s="2" t="s">
        <v>23</v>
      </c>
      <c r="K3525" s="2">
        <v>50.0</v>
      </c>
      <c r="N3525" s="6">
        <v>44815.0</v>
      </c>
      <c r="Q3525" s="2" t="s">
        <v>86</v>
      </c>
    </row>
    <row r="3526">
      <c r="A3526" s="2">
        <v>3525.0</v>
      </c>
      <c r="B3526" s="2" t="s">
        <v>6428</v>
      </c>
      <c r="C3526" s="2" t="s">
        <v>23</v>
      </c>
      <c r="N3526" s="6">
        <v>44564.0</v>
      </c>
      <c r="Q3526" s="2" t="s">
        <v>86</v>
      </c>
    </row>
    <row r="3527">
      <c r="A3527" s="2">
        <v>3526.0</v>
      </c>
      <c r="B3527" s="2" t="s">
        <v>6429</v>
      </c>
      <c r="C3527" s="2" t="s">
        <v>23</v>
      </c>
      <c r="N3527" s="6">
        <v>44732.0</v>
      </c>
      <c r="Q3527" s="2" t="s">
        <v>86</v>
      </c>
    </row>
    <row r="3528">
      <c r="A3528" s="2">
        <v>3527.0</v>
      </c>
      <c r="B3528" s="2" t="s">
        <v>6430</v>
      </c>
      <c r="C3528" s="2" t="s">
        <v>23</v>
      </c>
      <c r="N3528" s="6">
        <v>44374.0</v>
      </c>
      <c r="Q3528" s="2" t="s">
        <v>86</v>
      </c>
    </row>
    <row r="3529">
      <c r="A3529" s="2">
        <v>3528.0</v>
      </c>
      <c r="B3529" s="2" t="s">
        <v>6431</v>
      </c>
      <c r="C3529" s="2" t="s">
        <v>23</v>
      </c>
      <c r="K3529" s="2">
        <v>60.0</v>
      </c>
      <c r="N3529" s="6">
        <v>45730.0</v>
      </c>
      <c r="Q3529" s="2" t="s">
        <v>6432</v>
      </c>
    </row>
    <row r="3530">
      <c r="A3530" s="2">
        <v>3529.0</v>
      </c>
      <c r="B3530" s="2" t="s">
        <v>6433</v>
      </c>
      <c r="C3530" s="2" t="s">
        <v>23</v>
      </c>
      <c r="K3530" s="2">
        <v>30.0</v>
      </c>
      <c r="N3530" s="6">
        <v>45817.0</v>
      </c>
      <c r="Q3530" s="2" t="s">
        <v>6434</v>
      </c>
    </row>
    <row r="3531">
      <c r="A3531" s="2">
        <v>3530.0</v>
      </c>
      <c r="B3531" s="2" t="s">
        <v>6435</v>
      </c>
      <c r="C3531" s="2" t="s">
        <v>23</v>
      </c>
      <c r="N3531" s="6">
        <v>43870.0</v>
      </c>
      <c r="Q3531" s="2" t="s">
        <v>86</v>
      </c>
    </row>
    <row r="3532">
      <c r="A3532" s="2">
        <v>3531.0</v>
      </c>
      <c r="B3532" s="2" t="s">
        <v>6436</v>
      </c>
      <c r="C3532" s="2" t="s">
        <v>23</v>
      </c>
      <c r="K3532" s="2">
        <v>40.0</v>
      </c>
      <c r="N3532" s="6">
        <v>44669.0</v>
      </c>
      <c r="Q3532" s="2" t="s">
        <v>6437</v>
      </c>
    </row>
    <row r="3533">
      <c r="A3533" s="2">
        <v>3532.0</v>
      </c>
      <c r="B3533" s="2" t="s">
        <v>6438</v>
      </c>
      <c r="C3533" s="2" t="s">
        <v>23</v>
      </c>
      <c r="N3533" s="6">
        <v>42660.0</v>
      </c>
      <c r="Q3533" s="2" t="s">
        <v>6439</v>
      </c>
    </row>
    <row r="3534">
      <c r="A3534" s="2">
        <v>3533.0</v>
      </c>
      <c r="B3534" s="2" t="s">
        <v>6440</v>
      </c>
      <c r="C3534" s="2" t="s">
        <v>23</v>
      </c>
      <c r="N3534" s="6">
        <v>43995.0</v>
      </c>
      <c r="Q3534" s="2" t="s">
        <v>6441</v>
      </c>
    </row>
    <row r="3535">
      <c r="A3535" s="2">
        <v>3534.0</v>
      </c>
      <c r="B3535" s="2" t="s">
        <v>6442</v>
      </c>
      <c r="C3535" s="2" t="s">
        <v>23</v>
      </c>
      <c r="N3535" s="6">
        <v>44610.0</v>
      </c>
      <c r="Q3535" s="2" t="s">
        <v>86</v>
      </c>
    </row>
    <row r="3536">
      <c r="A3536" s="2">
        <v>3535.0</v>
      </c>
      <c r="B3536" s="2" t="s">
        <v>6443</v>
      </c>
      <c r="C3536" s="2" t="s">
        <v>23</v>
      </c>
      <c r="K3536" s="2">
        <v>100.0</v>
      </c>
      <c r="N3536" s="6">
        <v>44016.0</v>
      </c>
      <c r="Q3536" s="2" t="s">
        <v>3416</v>
      </c>
    </row>
    <row r="3537">
      <c r="A3537" s="2">
        <v>3536.0</v>
      </c>
      <c r="B3537" s="2" t="s">
        <v>6444</v>
      </c>
      <c r="C3537" s="2" t="s">
        <v>23</v>
      </c>
      <c r="N3537" s="6">
        <v>45224.0</v>
      </c>
      <c r="Q3537" s="2" t="s">
        <v>5417</v>
      </c>
    </row>
    <row r="3538">
      <c r="A3538" s="2">
        <v>3537.0</v>
      </c>
      <c r="B3538" s="2" t="s">
        <v>6445</v>
      </c>
      <c r="C3538" s="2" t="s">
        <v>23</v>
      </c>
      <c r="K3538" s="2">
        <v>150.0</v>
      </c>
      <c r="N3538" s="6">
        <v>44036.0</v>
      </c>
      <c r="Q3538" s="2" t="s">
        <v>86</v>
      </c>
    </row>
    <row r="3539">
      <c r="A3539" s="2">
        <v>3538.0</v>
      </c>
      <c r="B3539" s="2" t="s">
        <v>6446</v>
      </c>
      <c r="C3539" s="2" t="s">
        <v>23</v>
      </c>
      <c r="K3539" s="2">
        <v>50.0</v>
      </c>
      <c r="N3539" s="6">
        <v>45731.0</v>
      </c>
      <c r="Q3539" s="2" t="s">
        <v>6447</v>
      </c>
    </row>
    <row r="3540">
      <c r="A3540" s="2">
        <v>3539.0</v>
      </c>
      <c r="B3540" s="2" t="s">
        <v>6448</v>
      </c>
      <c r="C3540" s="2" t="s">
        <v>23</v>
      </c>
      <c r="K3540" s="2">
        <v>10.0</v>
      </c>
      <c r="N3540" s="6">
        <v>44771.0</v>
      </c>
      <c r="Q3540" s="2" t="s">
        <v>6449</v>
      </c>
    </row>
    <row r="3541">
      <c r="A3541" s="2">
        <v>3540.0</v>
      </c>
      <c r="B3541" s="2" t="s">
        <v>6450</v>
      </c>
      <c r="C3541" s="2" t="s">
        <v>23</v>
      </c>
      <c r="N3541" s="6">
        <v>44364.0</v>
      </c>
      <c r="Q3541" s="2" t="s">
        <v>86</v>
      </c>
    </row>
    <row r="3542">
      <c r="A3542" s="2">
        <v>3541.0</v>
      </c>
      <c r="B3542" s="2" t="s">
        <v>6451</v>
      </c>
      <c r="C3542" s="2" t="s">
        <v>23</v>
      </c>
      <c r="N3542" s="6">
        <v>45122.0</v>
      </c>
      <c r="Q3542" s="2" t="s">
        <v>86</v>
      </c>
    </row>
    <row r="3543">
      <c r="A3543" s="2">
        <v>3542.0</v>
      </c>
      <c r="B3543" s="2" t="s">
        <v>6452</v>
      </c>
      <c r="C3543" s="2" t="s">
        <v>23</v>
      </c>
      <c r="K3543" s="2">
        <v>150.0</v>
      </c>
      <c r="N3543" s="6">
        <v>42825.0</v>
      </c>
      <c r="Q3543" s="2" t="s">
        <v>6453</v>
      </c>
    </row>
    <row r="3544">
      <c r="A3544" s="2">
        <v>3543.0</v>
      </c>
      <c r="B3544" s="2" t="s">
        <v>6454</v>
      </c>
      <c r="C3544" s="2" t="s">
        <v>23</v>
      </c>
      <c r="K3544" s="2">
        <v>20.0</v>
      </c>
      <c r="N3544" s="6">
        <v>44542.0</v>
      </c>
      <c r="Q3544" s="2" t="s">
        <v>86</v>
      </c>
    </row>
    <row r="3545">
      <c r="A3545" s="2">
        <v>3544.0</v>
      </c>
      <c r="B3545" s="2" t="s">
        <v>6455</v>
      </c>
      <c r="C3545" s="2" t="s">
        <v>23</v>
      </c>
      <c r="K3545" s="2">
        <v>40.0</v>
      </c>
      <c r="N3545" s="6">
        <v>45677.0</v>
      </c>
      <c r="Q3545" s="2" t="s">
        <v>6456</v>
      </c>
    </row>
    <row r="3546">
      <c r="A3546" s="2">
        <v>3545.0</v>
      </c>
      <c r="B3546" s="2" t="s">
        <v>6457</v>
      </c>
      <c r="C3546" s="2" t="s">
        <v>23</v>
      </c>
      <c r="K3546" s="2">
        <v>50.0</v>
      </c>
      <c r="N3546" s="6">
        <v>44157.0</v>
      </c>
      <c r="Q3546" s="2" t="s">
        <v>6458</v>
      </c>
    </row>
    <row r="3547">
      <c r="A3547" s="2">
        <v>3546.0</v>
      </c>
      <c r="B3547" s="2" t="s">
        <v>6459</v>
      </c>
      <c r="C3547" s="2" t="s">
        <v>23</v>
      </c>
      <c r="N3547" s="6">
        <v>45605.0</v>
      </c>
      <c r="Q3547" s="2" t="s">
        <v>6460</v>
      </c>
    </row>
    <row r="3548">
      <c r="A3548" s="2">
        <v>3547.0</v>
      </c>
      <c r="B3548" s="2" t="s">
        <v>6461</v>
      </c>
      <c r="C3548" s="2" t="s">
        <v>23</v>
      </c>
      <c r="N3548" s="6">
        <v>44537.0</v>
      </c>
      <c r="Q3548" s="2" t="s">
        <v>86</v>
      </c>
    </row>
    <row r="3549">
      <c r="A3549" s="2">
        <v>3548.0</v>
      </c>
      <c r="B3549" s="2" t="s">
        <v>6462</v>
      </c>
      <c r="C3549" s="2" t="s">
        <v>23</v>
      </c>
      <c r="N3549" s="6">
        <v>44729.0</v>
      </c>
      <c r="Q3549" s="2" t="s">
        <v>369</v>
      </c>
    </row>
    <row r="3550">
      <c r="A3550" s="2">
        <v>3549.0</v>
      </c>
      <c r="B3550" s="2" t="s">
        <v>6463</v>
      </c>
      <c r="C3550" s="2" t="s">
        <v>23</v>
      </c>
      <c r="K3550" s="2">
        <v>60.0</v>
      </c>
      <c r="N3550" s="6">
        <v>45715.0</v>
      </c>
      <c r="Q3550" s="2" t="s">
        <v>6464</v>
      </c>
    </row>
    <row r="3551">
      <c r="A3551" s="2">
        <v>3550.0</v>
      </c>
      <c r="B3551" s="2" t="s">
        <v>6465</v>
      </c>
      <c r="C3551" s="2" t="s">
        <v>23</v>
      </c>
      <c r="N3551" s="6">
        <v>44742.0</v>
      </c>
      <c r="Q3551" s="2" t="s">
        <v>2604</v>
      </c>
    </row>
    <row r="3552">
      <c r="A3552" s="2">
        <v>3551.0</v>
      </c>
      <c r="B3552" s="2" t="s">
        <v>6466</v>
      </c>
      <c r="C3552" s="2" t="s">
        <v>23</v>
      </c>
      <c r="K3552" s="2">
        <v>40.0</v>
      </c>
      <c r="N3552" s="6">
        <v>45706.0</v>
      </c>
      <c r="Q3552" s="2" t="s">
        <v>6467</v>
      </c>
    </row>
    <row r="3553">
      <c r="A3553" s="2">
        <v>3552.0</v>
      </c>
      <c r="B3553" s="2" t="s">
        <v>6468</v>
      </c>
      <c r="C3553" s="2" t="s">
        <v>23</v>
      </c>
      <c r="K3553" s="2">
        <v>80.0</v>
      </c>
      <c r="N3553" s="6">
        <v>45718.0</v>
      </c>
      <c r="Q3553" s="2" t="s">
        <v>6467</v>
      </c>
    </row>
    <row r="3554">
      <c r="A3554" s="2">
        <v>3553.0</v>
      </c>
      <c r="B3554" s="2" t="s">
        <v>6469</v>
      </c>
      <c r="C3554" s="2" t="s">
        <v>23</v>
      </c>
      <c r="K3554" s="2">
        <v>30.0</v>
      </c>
      <c r="N3554" s="6">
        <v>44044.0</v>
      </c>
      <c r="Q3554" s="2" t="s">
        <v>6470</v>
      </c>
    </row>
    <row r="3555">
      <c r="A3555" s="2">
        <v>3554.0</v>
      </c>
      <c r="B3555" s="2" t="s">
        <v>6471</v>
      </c>
      <c r="C3555" s="2" t="s">
        <v>23</v>
      </c>
      <c r="N3555" s="6">
        <v>44613.0</v>
      </c>
      <c r="Q3555" s="2" t="s">
        <v>86</v>
      </c>
    </row>
    <row r="3556">
      <c r="A3556" s="2">
        <v>3555.0</v>
      </c>
      <c r="B3556" s="2" t="s">
        <v>6472</v>
      </c>
      <c r="C3556" s="2" t="s">
        <v>23</v>
      </c>
      <c r="K3556" s="2">
        <v>20.0</v>
      </c>
      <c r="N3556" s="6">
        <v>44791.0</v>
      </c>
      <c r="Q3556" s="2" t="s">
        <v>6473</v>
      </c>
    </row>
    <row r="3557">
      <c r="A3557" s="2">
        <v>3556.0</v>
      </c>
      <c r="B3557" s="2" t="s">
        <v>6474</v>
      </c>
      <c r="C3557" s="2" t="s">
        <v>23</v>
      </c>
      <c r="K3557" s="2">
        <v>30.0</v>
      </c>
      <c r="N3557" s="6">
        <v>43850.0</v>
      </c>
      <c r="Q3557" s="2" t="s">
        <v>6475</v>
      </c>
    </row>
    <row r="3558">
      <c r="A3558" s="2">
        <v>3557.0</v>
      </c>
      <c r="B3558" s="2" t="s">
        <v>251</v>
      </c>
      <c r="C3558" s="2" t="s">
        <v>23</v>
      </c>
      <c r="K3558" s="2">
        <v>10.0</v>
      </c>
      <c r="N3558" s="6">
        <v>45173.0</v>
      </c>
      <c r="Q3558" s="2" t="s">
        <v>256</v>
      </c>
    </row>
    <row r="3559">
      <c r="A3559" s="2">
        <v>3558.0</v>
      </c>
      <c r="B3559" s="2" t="s">
        <v>6476</v>
      </c>
      <c r="C3559" s="2" t="s">
        <v>23</v>
      </c>
      <c r="N3559" s="6">
        <v>44232.0</v>
      </c>
      <c r="Q3559" s="2" t="s">
        <v>86</v>
      </c>
    </row>
    <row r="3560">
      <c r="A3560" s="2">
        <v>3559.0</v>
      </c>
      <c r="B3560" s="2" t="s">
        <v>6477</v>
      </c>
      <c r="C3560" s="2" t="s">
        <v>23</v>
      </c>
      <c r="N3560" s="6">
        <v>45959.0</v>
      </c>
      <c r="Q3560" s="2" t="s">
        <v>6478</v>
      </c>
    </row>
    <row r="3561">
      <c r="A3561" s="2">
        <v>3560.0</v>
      </c>
      <c r="B3561" s="2" t="s">
        <v>6479</v>
      </c>
      <c r="C3561" s="2" t="s">
        <v>23</v>
      </c>
      <c r="K3561" s="2">
        <v>40.0</v>
      </c>
      <c r="N3561" s="6">
        <v>45629.0</v>
      </c>
      <c r="Q3561" s="2" t="s">
        <v>6480</v>
      </c>
    </row>
    <row r="3562">
      <c r="A3562" s="2">
        <v>3561.0</v>
      </c>
      <c r="B3562" s="2" t="s">
        <v>6481</v>
      </c>
      <c r="C3562" s="2" t="s">
        <v>23</v>
      </c>
      <c r="F3562" s="2">
        <v>0.15</v>
      </c>
      <c r="K3562" s="2">
        <v>20.0</v>
      </c>
      <c r="N3562" s="6">
        <v>42433.0</v>
      </c>
      <c r="Q3562" s="2" t="s">
        <v>6482</v>
      </c>
    </row>
    <row r="3563">
      <c r="A3563" s="2">
        <v>3562.0</v>
      </c>
      <c r="B3563" s="2" t="s">
        <v>6483</v>
      </c>
      <c r="C3563" s="2" t="s">
        <v>23</v>
      </c>
      <c r="K3563" s="2">
        <v>100.0</v>
      </c>
      <c r="N3563" s="6">
        <v>44787.0</v>
      </c>
      <c r="Q3563" s="2" t="s">
        <v>6484</v>
      </c>
    </row>
    <row r="3564">
      <c r="A3564" s="2">
        <v>3563.0</v>
      </c>
      <c r="B3564" s="2" t="s">
        <v>6485</v>
      </c>
      <c r="C3564" s="2" t="s">
        <v>23</v>
      </c>
      <c r="N3564" s="6">
        <v>44073.0</v>
      </c>
      <c r="Q3564" s="2" t="s">
        <v>86</v>
      </c>
    </row>
    <row r="3565">
      <c r="A3565" s="2">
        <v>3564.0</v>
      </c>
      <c r="B3565" s="2" t="s">
        <v>6486</v>
      </c>
      <c r="C3565" s="2" t="s">
        <v>23</v>
      </c>
      <c r="N3565" s="6">
        <v>44336.0</v>
      </c>
      <c r="Q3565" s="2" t="s">
        <v>86</v>
      </c>
    </row>
    <row r="3566">
      <c r="A3566" s="2">
        <v>3565.0</v>
      </c>
      <c r="B3566" s="2" t="s">
        <v>6487</v>
      </c>
      <c r="C3566" s="2" t="s">
        <v>23</v>
      </c>
      <c r="N3566" s="6">
        <v>44347.0</v>
      </c>
      <c r="Q3566" s="2" t="s">
        <v>86</v>
      </c>
    </row>
    <row r="3567">
      <c r="A3567" s="2">
        <v>3566.0</v>
      </c>
      <c r="B3567" s="2" t="s">
        <v>6488</v>
      </c>
      <c r="C3567" s="2" t="s">
        <v>23</v>
      </c>
      <c r="K3567" s="2">
        <v>20.0</v>
      </c>
      <c r="N3567" s="6">
        <v>44126.0</v>
      </c>
      <c r="Q3567" s="2" t="s">
        <v>6489</v>
      </c>
    </row>
    <row r="3568">
      <c r="A3568" s="2">
        <v>3567.0</v>
      </c>
      <c r="B3568" s="2" t="s">
        <v>6490</v>
      </c>
      <c r="C3568" s="2" t="s">
        <v>23</v>
      </c>
      <c r="K3568" s="2">
        <v>60.0</v>
      </c>
      <c r="N3568" s="6">
        <v>43907.0</v>
      </c>
      <c r="Q3568" s="2" t="s">
        <v>86</v>
      </c>
    </row>
    <row r="3569">
      <c r="A3569" s="2">
        <v>3568.0</v>
      </c>
      <c r="B3569" s="2" t="s">
        <v>6491</v>
      </c>
      <c r="C3569" s="2" t="s">
        <v>23</v>
      </c>
      <c r="K3569" s="2">
        <v>10.0</v>
      </c>
      <c r="N3569" s="6">
        <v>44807.0</v>
      </c>
      <c r="Q3569" s="2" t="s">
        <v>3218</v>
      </c>
    </row>
    <row r="3570">
      <c r="A3570" s="2">
        <v>3569.0</v>
      </c>
      <c r="B3570" s="2" t="s">
        <v>6492</v>
      </c>
      <c r="C3570" s="2" t="s">
        <v>23</v>
      </c>
      <c r="K3570" s="2">
        <v>100.0</v>
      </c>
      <c r="N3570" s="6">
        <v>44543.0</v>
      </c>
      <c r="Q3570" s="2" t="s">
        <v>6493</v>
      </c>
    </row>
    <row r="3571">
      <c r="A3571" s="2">
        <v>3570.0</v>
      </c>
      <c r="B3571" s="2" t="s">
        <v>6494</v>
      </c>
      <c r="C3571" s="2" t="s">
        <v>23</v>
      </c>
      <c r="K3571" s="2">
        <v>200.0</v>
      </c>
      <c r="N3571" s="6">
        <v>43967.0</v>
      </c>
      <c r="Q3571" s="2" t="s">
        <v>6495</v>
      </c>
    </row>
    <row r="3572">
      <c r="A3572" s="2">
        <v>3571.0</v>
      </c>
      <c r="B3572" s="2" t="s">
        <v>6496</v>
      </c>
      <c r="C3572" s="2" t="s">
        <v>23</v>
      </c>
      <c r="K3572" s="2">
        <v>50.0</v>
      </c>
      <c r="N3572" s="6">
        <v>44163.0</v>
      </c>
      <c r="Q3572" s="2" t="s">
        <v>6497</v>
      </c>
    </row>
    <row r="3573">
      <c r="A3573" s="2">
        <v>3572.0</v>
      </c>
      <c r="B3573" s="2" t="s">
        <v>243</v>
      </c>
      <c r="C3573" s="2" t="s">
        <v>23</v>
      </c>
      <c r="K3573" s="2">
        <v>1400.0</v>
      </c>
      <c r="N3573" s="6">
        <v>43923.0</v>
      </c>
      <c r="Q3573" s="2" t="s">
        <v>244</v>
      </c>
    </row>
    <row r="3574">
      <c r="A3574" s="2">
        <v>3573.0</v>
      </c>
      <c r="B3574" s="2" t="s">
        <v>6498</v>
      </c>
      <c r="C3574" s="2" t="s">
        <v>23</v>
      </c>
      <c r="N3574" s="6">
        <v>44113.0</v>
      </c>
      <c r="Q3574" s="2" t="s">
        <v>1481</v>
      </c>
    </row>
    <row r="3575">
      <c r="A3575" s="2">
        <v>3574.0</v>
      </c>
      <c r="B3575" s="2" t="s">
        <v>6499</v>
      </c>
      <c r="C3575" s="2" t="s">
        <v>23</v>
      </c>
      <c r="K3575" s="2">
        <v>10.0</v>
      </c>
      <c r="N3575" s="6">
        <v>45918.0</v>
      </c>
      <c r="Q3575" s="2" t="s">
        <v>6500</v>
      </c>
    </row>
    <row r="3576">
      <c r="A3576" s="2">
        <v>3575.0</v>
      </c>
      <c r="B3576" s="2" t="s">
        <v>6501</v>
      </c>
      <c r="C3576" s="2" t="s">
        <v>23</v>
      </c>
      <c r="K3576" s="2">
        <v>50.0</v>
      </c>
      <c r="N3576" s="6">
        <v>45253.0</v>
      </c>
      <c r="Q3576" s="2" t="s">
        <v>6502</v>
      </c>
    </row>
    <row r="3577">
      <c r="A3577" s="2">
        <v>3576.0</v>
      </c>
      <c r="B3577" s="2" t="s">
        <v>6503</v>
      </c>
      <c r="C3577" s="2" t="s">
        <v>23</v>
      </c>
      <c r="K3577" s="2">
        <v>150.0</v>
      </c>
      <c r="N3577" s="6">
        <v>43840.0</v>
      </c>
      <c r="Q3577" s="2" t="s">
        <v>6504</v>
      </c>
    </row>
    <row r="3578">
      <c r="A3578" s="2">
        <v>3577.0</v>
      </c>
      <c r="B3578" s="2" t="s">
        <v>6505</v>
      </c>
      <c r="C3578" s="2" t="s">
        <v>23</v>
      </c>
      <c r="N3578" s="6">
        <v>44479.0</v>
      </c>
      <c r="Q3578" s="2" t="s">
        <v>86</v>
      </c>
    </row>
    <row r="3579">
      <c r="A3579" s="2">
        <v>3578.0</v>
      </c>
      <c r="B3579" s="2" t="s">
        <v>6506</v>
      </c>
      <c r="C3579" s="2" t="s">
        <v>23</v>
      </c>
      <c r="N3579" s="6">
        <v>42702.0</v>
      </c>
      <c r="Q3579" s="2" t="s">
        <v>86</v>
      </c>
    </row>
    <row r="3580">
      <c r="A3580" s="2">
        <v>3579.0</v>
      </c>
      <c r="B3580" s="2" t="s">
        <v>6507</v>
      </c>
      <c r="C3580" s="2" t="s">
        <v>23</v>
      </c>
      <c r="K3580" s="2">
        <v>20.0</v>
      </c>
      <c r="N3580" s="6">
        <v>43997.0</v>
      </c>
      <c r="Q3580" s="2" t="s">
        <v>1094</v>
      </c>
    </row>
    <row r="3581">
      <c r="A3581" s="2">
        <v>3580.0</v>
      </c>
      <c r="B3581" s="2" t="s">
        <v>6508</v>
      </c>
      <c r="C3581" s="2" t="s">
        <v>23</v>
      </c>
      <c r="N3581" s="6">
        <v>43122.0</v>
      </c>
      <c r="Q3581" s="2" t="s">
        <v>6509</v>
      </c>
    </row>
    <row r="3582">
      <c r="A3582" s="2">
        <v>3581.0</v>
      </c>
      <c r="B3582" s="2" t="s">
        <v>6510</v>
      </c>
      <c r="C3582" s="2" t="s">
        <v>23</v>
      </c>
      <c r="K3582" s="2">
        <v>50.0</v>
      </c>
      <c r="N3582" s="6">
        <v>44428.0</v>
      </c>
      <c r="Q3582" s="2" t="s">
        <v>6511</v>
      </c>
    </row>
    <row r="3583">
      <c r="A3583" s="2">
        <v>3582.0</v>
      </c>
      <c r="B3583" s="2" t="s">
        <v>6512</v>
      </c>
      <c r="C3583" s="2" t="s">
        <v>23</v>
      </c>
      <c r="N3583" s="6">
        <v>45647.0</v>
      </c>
      <c r="Q3583" s="2" t="s">
        <v>6252</v>
      </c>
    </row>
    <row r="3584">
      <c r="A3584" s="2">
        <v>3583.0</v>
      </c>
      <c r="B3584" s="2" t="s">
        <v>6513</v>
      </c>
      <c r="C3584" s="2" t="s">
        <v>23</v>
      </c>
      <c r="N3584" s="6">
        <v>43027.0</v>
      </c>
      <c r="Q3584" s="2" t="s">
        <v>6514</v>
      </c>
    </row>
    <row r="3585">
      <c r="A3585" s="2">
        <v>3584.0</v>
      </c>
      <c r="B3585" s="2" t="s">
        <v>6515</v>
      </c>
      <c r="C3585" s="2" t="s">
        <v>23</v>
      </c>
      <c r="N3585" s="6">
        <v>44667.0</v>
      </c>
      <c r="Q3585" s="2" t="s">
        <v>86</v>
      </c>
    </row>
    <row r="3586">
      <c r="A3586" s="2">
        <v>3585.0</v>
      </c>
      <c r="B3586" s="2" t="s">
        <v>6516</v>
      </c>
      <c r="C3586" s="2" t="s">
        <v>23</v>
      </c>
      <c r="K3586" s="2">
        <v>40.0</v>
      </c>
      <c r="N3586" s="6">
        <v>44792.0</v>
      </c>
      <c r="Q3586" s="2" t="s">
        <v>1466</v>
      </c>
    </row>
    <row r="3587">
      <c r="A3587" s="2">
        <v>3586.0</v>
      </c>
      <c r="B3587" s="2" t="s">
        <v>6517</v>
      </c>
      <c r="C3587" s="2" t="s">
        <v>23</v>
      </c>
      <c r="K3587" s="2">
        <v>10.0</v>
      </c>
      <c r="N3587" s="6">
        <v>44504.0</v>
      </c>
      <c r="Q3587" s="2" t="s">
        <v>2001</v>
      </c>
    </row>
    <row r="3588">
      <c r="A3588" s="2">
        <v>3587.0</v>
      </c>
      <c r="B3588" s="2" t="s">
        <v>6518</v>
      </c>
      <c r="C3588" s="2" t="s">
        <v>23</v>
      </c>
      <c r="K3588" s="2">
        <v>80.0</v>
      </c>
      <c r="N3588" s="6">
        <v>44081.0</v>
      </c>
      <c r="Q3588" s="2" t="s">
        <v>6519</v>
      </c>
    </row>
    <row r="3589">
      <c r="A3589" s="2">
        <v>3588.0</v>
      </c>
      <c r="B3589" s="2" t="s">
        <v>6520</v>
      </c>
      <c r="C3589" s="2" t="s">
        <v>23</v>
      </c>
      <c r="N3589" s="6">
        <v>44777.0</v>
      </c>
      <c r="Q3589" s="2" t="s">
        <v>86</v>
      </c>
    </row>
    <row r="3590">
      <c r="A3590" s="2">
        <v>3589.0</v>
      </c>
      <c r="B3590" s="2" t="s">
        <v>6521</v>
      </c>
      <c r="C3590" s="2" t="s">
        <v>23</v>
      </c>
      <c r="K3590" s="2">
        <v>30.0</v>
      </c>
      <c r="N3590" s="6">
        <v>44622.0</v>
      </c>
      <c r="Q3590" s="2" t="s">
        <v>86</v>
      </c>
    </row>
    <row r="3591">
      <c r="A3591" s="2">
        <v>3590.0</v>
      </c>
      <c r="B3591" s="2" t="s">
        <v>6522</v>
      </c>
      <c r="C3591" s="2" t="s">
        <v>23</v>
      </c>
      <c r="N3591" s="6">
        <v>43863.0</v>
      </c>
      <c r="Q3591" s="2" t="s">
        <v>86</v>
      </c>
    </row>
    <row r="3592">
      <c r="A3592" s="2">
        <v>3591.0</v>
      </c>
      <c r="B3592" s="2" t="s">
        <v>6523</v>
      </c>
      <c r="C3592" s="2" t="s">
        <v>23</v>
      </c>
      <c r="N3592" s="6">
        <v>44718.0</v>
      </c>
      <c r="Q3592" s="2" t="s">
        <v>86</v>
      </c>
    </row>
    <row r="3593">
      <c r="A3593" s="2">
        <v>3592.0</v>
      </c>
      <c r="B3593" s="2" t="s">
        <v>6524</v>
      </c>
      <c r="C3593" s="2" t="s">
        <v>23</v>
      </c>
      <c r="K3593" s="2">
        <v>80.0</v>
      </c>
      <c r="N3593" s="6">
        <v>43633.0</v>
      </c>
      <c r="Q3593" s="2" t="s">
        <v>6525</v>
      </c>
    </row>
    <row r="3594">
      <c r="A3594" s="2">
        <v>3593.0</v>
      </c>
      <c r="B3594" s="2" t="s">
        <v>6526</v>
      </c>
      <c r="C3594" s="2" t="s">
        <v>23</v>
      </c>
      <c r="K3594" s="2">
        <v>150.0</v>
      </c>
      <c r="N3594" s="6">
        <v>43891.0</v>
      </c>
      <c r="Q3594" s="2" t="s">
        <v>6527</v>
      </c>
    </row>
    <row r="3595">
      <c r="A3595" s="2">
        <v>3594.0</v>
      </c>
      <c r="B3595" s="2" t="s">
        <v>6528</v>
      </c>
      <c r="C3595" s="2" t="s">
        <v>23</v>
      </c>
      <c r="K3595" s="2">
        <v>30.0</v>
      </c>
      <c r="N3595" s="6">
        <v>45555.0</v>
      </c>
      <c r="Q3595" s="2" t="s">
        <v>1131</v>
      </c>
    </row>
    <row r="3596">
      <c r="A3596" s="2">
        <v>3595.0</v>
      </c>
      <c r="B3596" s="2" t="s">
        <v>6529</v>
      </c>
      <c r="C3596" s="2" t="s">
        <v>23</v>
      </c>
      <c r="K3596" s="2">
        <v>30.0</v>
      </c>
      <c r="N3596" s="6">
        <v>45105.0</v>
      </c>
      <c r="Q3596" s="2" t="s">
        <v>1048</v>
      </c>
    </row>
    <row r="3597">
      <c r="A3597" s="2">
        <v>3596.0</v>
      </c>
      <c r="B3597" s="2" t="s">
        <v>6530</v>
      </c>
      <c r="C3597" s="2" t="s">
        <v>23</v>
      </c>
      <c r="K3597" s="2">
        <v>60.0</v>
      </c>
      <c r="N3597" s="6">
        <v>45178.0</v>
      </c>
      <c r="Q3597" s="2" t="s">
        <v>3225</v>
      </c>
    </row>
    <row r="3598">
      <c r="A3598" s="2">
        <v>3597.0</v>
      </c>
      <c r="B3598" s="2" t="s">
        <v>6531</v>
      </c>
      <c r="C3598" s="2" t="s">
        <v>23</v>
      </c>
      <c r="K3598" s="2">
        <v>50.0</v>
      </c>
      <c r="N3598" s="6">
        <v>43860.0</v>
      </c>
      <c r="Q3598" s="2" t="s">
        <v>6532</v>
      </c>
    </row>
    <row r="3599">
      <c r="A3599" s="2">
        <v>3598.0</v>
      </c>
      <c r="B3599" s="2" t="s">
        <v>6533</v>
      </c>
      <c r="C3599" s="2" t="s">
        <v>23</v>
      </c>
      <c r="K3599" s="2">
        <v>150.0</v>
      </c>
      <c r="N3599" s="6">
        <v>45639.0</v>
      </c>
      <c r="Q3599" s="2" t="s">
        <v>6534</v>
      </c>
    </row>
    <row r="3600">
      <c r="A3600" s="2">
        <v>3599.0</v>
      </c>
      <c r="B3600" s="2" t="s">
        <v>6535</v>
      </c>
      <c r="C3600" s="2" t="s">
        <v>23</v>
      </c>
      <c r="K3600" s="2">
        <v>150.0</v>
      </c>
      <c r="N3600" s="6">
        <v>44006.0</v>
      </c>
      <c r="Q3600" s="2" t="s">
        <v>6536</v>
      </c>
    </row>
    <row r="3601">
      <c r="A3601" s="2">
        <v>3600.0</v>
      </c>
      <c r="B3601" s="2" t="s">
        <v>6537</v>
      </c>
      <c r="C3601" s="2" t="s">
        <v>23</v>
      </c>
      <c r="K3601" s="2">
        <v>80.0</v>
      </c>
      <c r="N3601" s="6">
        <v>44259.0</v>
      </c>
      <c r="Q3601" s="2" t="s">
        <v>6538</v>
      </c>
    </row>
    <row r="3602">
      <c r="A3602" s="2">
        <v>3601.0</v>
      </c>
      <c r="B3602" s="2" t="s">
        <v>6539</v>
      </c>
      <c r="C3602" s="2" t="s">
        <v>23</v>
      </c>
      <c r="N3602" s="6">
        <v>44082.0</v>
      </c>
      <c r="Q3602" s="2" t="s">
        <v>60</v>
      </c>
    </row>
    <row r="3603">
      <c r="A3603" s="2">
        <v>3602.0</v>
      </c>
      <c r="B3603" s="2" t="s">
        <v>6540</v>
      </c>
      <c r="C3603" s="2" t="s">
        <v>23</v>
      </c>
      <c r="K3603" s="2">
        <v>150.0</v>
      </c>
      <c r="N3603" s="6">
        <v>45288.0</v>
      </c>
      <c r="Q3603" s="2" t="s">
        <v>6541</v>
      </c>
    </row>
    <row r="3604">
      <c r="A3604" s="2">
        <v>3603.0</v>
      </c>
      <c r="B3604" s="2" t="s">
        <v>6542</v>
      </c>
      <c r="C3604" s="2" t="s">
        <v>23</v>
      </c>
      <c r="N3604" s="6">
        <v>42416.0</v>
      </c>
      <c r="Q3604" s="2" t="s">
        <v>86</v>
      </c>
    </row>
    <row r="3605">
      <c r="A3605" s="2">
        <v>3604.0</v>
      </c>
      <c r="B3605" s="2" t="s">
        <v>6543</v>
      </c>
      <c r="C3605" s="2" t="s">
        <v>23</v>
      </c>
      <c r="K3605" s="2">
        <v>40.0</v>
      </c>
      <c r="N3605" s="6">
        <v>45718.0</v>
      </c>
      <c r="Q3605" s="2" t="s">
        <v>2992</v>
      </c>
    </row>
    <row r="3606">
      <c r="A3606" s="2">
        <v>3605.0</v>
      </c>
      <c r="B3606" s="2" t="s">
        <v>6544</v>
      </c>
      <c r="C3606" s="2" t="s">
        <v>23</v>
      </c>
      <c r="K3606" s="2">
        <v>60.0</v>
      </c>
      <c r="N3606" s="6">
        <v>44543.0</v>
      </c>
      <c r="Q3606" s="2" t="s">
        <v>6545</v>
      </c>
    </row>
    <row r="3607">
      <c r="A3607" s="2">
        <v>3606.0</v>
      </c>
      <c r="B3607" s="2" t="s">
        <v>6546</v>
      </c>
      <c r="C3607" s="2" t="s">
        <v>23</v>
      </c>
      <c r="N3607" s="6">
        <v>44271.0</v>
      </c>
      <c r="Q3607" s="2" t="s">
        <v>86</v>
      </c>
    </row>
    <row r="3608">
      <c r="A3608" s="2">
        <v>3607.0</v>
      </c>
      <c r="B3608" s="2" t="s">
        <v>6547</v>
      </c>
      <c r="C3608" s="2" t="s">
        <v>23</v>
      </c>
      <c r="K3608" s="2">
        <v>20.0</v>
      </c>
      <c r="N3608" s="6">
        <v>45685.0</v>
      </c>
      <c r="Q3608" s="2" t="s">
        <v>6548</v>
      </c>
    </row>
    <row r="3609">
      <c r="A3609" s="2">
        <v>3608.0</v>
      </c>
      <c r="B3609" s="2" t="s">
        <v>6549</v>
      </c>
      <c r="C3609" s="2" t="s">
        <v>23</v>
      </c>
      <c r="N3609" s="6">
        <v>44099.0</v>
      </c>
      <c r="Q3609" s="2" t="s">
        <v>86</v>
      </c>
    </row>
    <row r="3610">
      <c r="A3610" s="2">
        <v>3609.0</v>
      </c>
      <c r="B3610" s="2" t="s">
        <v>6550</v>
      </c>
      <c r="C3610" s="2" t="s">
        <v>23</v>
      </c>
      <c r="K3610" s="2">
        <v>20.0</v>
      </c>
      <c r="N3610" s="6">
        <v>45578.0</v>
      </c>
      <c r="Q3610" s="2" t="s">
        <v>6551</v>
      </c>
    </row>
    <row r="3611">
      <c r="A3611" s="2">
        <v>3610.0</v>
      </c>
      <c r="B3611" s="2" t="s">
        <v>6552</v>
      </c>
      <c r="C3611" s="2" t="s">
        <v>23</v>
      </c>
      <c r="N3611" s="6">
        <v>44565.0</v>
      </c>
      <c r="Q3611" s="2" t="s">
        <v>86</v>
      </c>
    </row>
    <row r="3612">
      <c r="A3612" s="2">
        <v>3611.0</v>
      </c>
      <c r="B3612" s="2" t="s">
        <v>6553</v>
      </c>
      <c r="C3612" s="2" t="s">
        <v>23</v>
      </c>
      <c r="K3612" s="2">
        <v>350.0</v>
      </c>
      <c r="N3612" s="6">
        <v>43949.0</v>
      </c>
      <c r="Q3612" s="2" t="s">
        <v>6554</v>
      </c>
    </row>
    <row r="3613">
      <c r="A3613" s="2">
        <v>3612.0</v>
      </c>
      <c r="B3613" s="2" t="s">
        <v>6555</v>
      </c>
      <c r="C3613" s="2" t="s">
        <v>23</v>
      </c>
      <c r="K3613" s="2">
        <v>60.0</v>
      </c>
      <c r="N3613" s="6">
        <v>45219.0</v>
      </c>
      <c r="Q3613" s="2" t="s">
        <v>6556</v>
      </c>
    </row>
    <row r="3614">
      <c r="A3614" s="2">
        <v>3613.0</v>
      </c>
      <c r="B3614" s="2" t="s">
        <v>6557</v>
      </c>
      <c r="C3614" s="2" t="s">
        <v>23</v>
      </c>
      <c r="K3614" s="2">
        <v>50.0</v>
      </c>
      <c r="N3614" s="6">
        <v>43973.0</v>
      </c>
      <c r="Q3614" s="2" t="s">
        <v>6558</v>
      </c>
    </row>
    <row r="3615">
      <c r="A3615" s="2">
        <v>3614.0</v>
      </c>
      <c r="B3615" s="2" t="s">
        <v>6559</v>
      </c>
      <c r="C3615" s="2" t="s">
        <v>23</v>
      </c>
      <c r="K3615" s="2">
        <v>20.0</v>
      </c>
      <c r="N3615" s="6">
        <v>45766.0</v>
      </c>
      <c r="Q3615" s="2" t="s">
        <v>6560</v>
      </c>
    </row>
    <row r="3616">
      <c r="A3616" s="2">
        <v>3615.0</v>
      </c>
      <c r="B3616" s="2" t="s">
        <v>6561</v>
      </c>
      <c r="C3616" s="2" t="s">
        <v>23</v>
      </c>
      <c r="K3616" s="2">
        <v>10.0</v>
      </c>
      <c r="N3616" s="6">
        <v>45365.0</v>
      </c>
      <c r="Q3616" s="2" t="s">
        <v>2001</v>
      </c>
    </row>
    <row r="3617">
      <c r="A3617" s="2">
        <v>3616.0</v>
      </c>
      <c r="B3617" s="2" t="s">
        <v>6562</v>
      </c>
      <c r="C3617" s="2" t="s">
        <v>23</v>
      </c>
      <c r="K3617" s="2">
        <v>40.0</v>
      </c>
      <c r="N3617" s="6">
        <v>43863.0</v>
      </c>
      <c r="Q3617" s="2" t="s">
        <v>5350</v>
      </c>
    </row>
    <row r="3618">
      <c r="A3618" s="2">
        <v>3617.0</v>
      </c>
      <c r="B3618" s="2" t="s">
        <v>6563</v>
      </c>
      <c r="C3618" s="2" t="s">
        <v>23</v>
      </c>
      <c r="K3618" s="2">
        <v>70.0</v>
      </c>
      <c r="N3618" s="6">
        <v>44014.0</v>
      </c>
      <c r="Q3618" s="2" t="s">
        <v>6564</v>
      </c>
    </row>
    <row r="3619">
      <c r="A3619" s="2">
        <v>3618.0</v>
      </c>
      <c r="B3619" s="2" t="s">
        <v>6565</v>
      </c>
      <c r="C3619" s="2" t="s">
        <v>23</v>
      </c>
      <c r="K3619" s="2">
        <v>60.0</v>
      </c>
      <c r="N3619" s="6">
        <v>44515.0</v>
      </c>
      <c r="Q3619" s="2" t="s">
        <v>5323</v>
      </c>
    </row>
    <row r="3620">
      <c r="A3620" s="2">
        <v>3619.0</v>
      </c>
      <c r="B3620" s="2" t="s">
        <v>6566</v>
      </c>
      <c r="C3620" s="2" t="s">
        <v>23</v>
      </c>
      <c r="K3620" s="2">
        <v>30.0</v>
      </c>
      <c r="N3620" s="6">
        <v>44251.0</v>
      </c>
      <c r="Q3620" s="2" t="s">
        <v>5253</v>
      </c>
    </row>
    <row r="3621">
      <c r="A3621" s="2">
        <v>3620.0</v>
      </c>
      <c r="B3621" s="2" t="s">
        <v>6567</v>
      </c>
      <c r="C3621" s="2" t="s">
        <v>23</v>
      </c>
      <c r="N3621" s="6">
        <v>45400.0</v>
      </c>
      <c r="Q3621" s="2" t="s">
        <v>86</v>
      </c>
    </row>
    <row r="3622">
      <c r="A3622" s="2">
        <v>3621.0</v>
      </c>
      <c r="B3622" s="2" t="s">
        <v>6568</v>
      </c>
      <c r="C3622" s="2" t="s">
        <v>23</v>
      </c>
      <c r="N3622" s="6">
        <v>44639.0</v>
      </c>
      <c r="Q3622" s="2" t="s">
        <v>86</v>
      </c>
    </row>
    <row r="3623">
      <c r="A3623" s="2">
        <v>3622.0</v>
      </c>
      <c r="B3623" s="2" t="s">
        <v>6569</v>
      </c>
      <c r="C3623" s="2" t="s">
        <v>23</v>
      </c>
      <c r="N3623" s="6">
        <v>43845.0</v>
      </c>
      <c r="Q3623" s="2" t="s">
        <v>1116</v>
      </c>
    </row>
    <row r="3624">
      <c r="A3624" s="2">
        <v>3623.0</v>
      </c>
      <c r="B3624" s="2" t="s">
        <v>6570</v>
      </c>
      <c r="C3624" s="2" t="s">
        <v>23</v>
      </c>
      <c r="K3624" s="2">
        <v>80.0</v>
      </c>
      <c r="N3624" s="6">
        <v>44515.0</v>
      </c>
      <c r="Q3624" s="2" t="s">
        <v>6571</v>
      </c>
    </row>
    <row r="3625">
      <c r="A3625" s="2">
        <v>3624.0</v>
      </c>
      <c r="B3625" s="2" t="s">
        <v>6572</v>
      </c>
      <c r="C3625" s="2" t="s">
        <v>23</v>
      </c>
      <c r="N3625" s="6">
        <v>44120.0</v>
      </c>
      <c r="Q3625" s="2" t="s">
        <v>86</v>
      </c>
    </row>
    <row r="3626">
      <c r="A3626" s="2">
        <v>3625.0</v>
      </c>
      <c r="B3626" s="2" t="s">
        <v>6573</v>
      </c>
      <c r="C3626" s="2" t="s">
        <v>23</v>
      </c>
      <c r="K3626" s="2">
        <v>20.0</v>
      </c>
      <c r="N3626" s="6">
        <v>44398.0</v>
      </c>
      <c r="Q3626" s="2" t="s">
        <v>86</v>
      </c>
    </row>
    <row r="3627">
      <c r="A3627" s="2">
        <v>3626.0</v>
      </c>
      <c r="B3627" s="2" t="s">
        <v>6574</v>
      </c>
      <c r="C3627" s="2" t="s">
        <v>23</v>
      </c>
      <c r="N3627" s="6">
        <v>44212.0</v>
      </c>
      <c r="Q3627" s="2" t="s">
        <v>86</v>
      </c>
    </row>
    <row r="3628">
      <c r="A3628" s="2">
        <v>3627.0</v>
      </c>
      <c r="B3628" s="2" t="s">
        <v>6575</v>
      </c>
      <c r="C3628" s="2" t="s">
        <v>23</v>
      </c>
      <c r="N3628" s="6">
        <v>43913.0</v>
      </c>
      <c r="Q3628" s="2" t="s">
        <v>86</v>
      </c>
    </row>
    <row r="3629">
      <c r="A3629" s="2">
        <v>3628.0</v>
      </c>
      <c r="B3629" s="2" t="s">
        <v>6576</v>
      </c>
      <c r="C3629" s="2" t="s">
        <v>23</v>
      </c>
      <c r="K3629" s="2">
        <v>20.0</v>
      </c>
      <c r="N3629" s="6">
        <v>45678.0</v>
      </c>
      <c r="Q3629" s="2" t="s">
        <v>1521</v>
      </c>
    </row>
    <row r="3630">
      <c r="A3630" s="2">
        <v>3629.0</v>
      </c>
      <c r="B3630" s="2" t="s">
        <v>6577</v>
      </c>
      <c r="C3630" s="2" t="s">
        <v>23</v>
      </c>
      <c r="K3630" s="2">
        <v>90.0</v>
      </c>
      <c r="N3630" s="6">
        <v>44092.0</v>
      </c>
      <c r="Q3630" s="2" t="s">
        <v>6578</v>
      </c>
    </row>
    <row r="3631">
      <c r="A3631" s="2">
        <v>3630.0</v>
      </c>
      <c r="B3631" s="2" t="s">
        <v>6579</v>
      </c>
      <c r="C3631" s="2" t="s">
        <v>23</v>
      </c>
      <c r="K3631" s="2">
        <v>20.0</v>
      </c>
      <c r="N3631" s="6">
        <v>45593.0</v>
      </c>
      <c r="Q3631" s="2" t="s">
        <v>3328</v>
      </c>
    </row>
    <row r="3632">
      <c r="A3632" s="2">
        <v>3631.0</v>
      </c>
      <c r="B3632" s="2" t="s">
        <v>6580</v>
      </c>
      <c r="C3632" s="2" t="s">
        <v>23</v>
      </c>
      <c r="K3632" s="2">
        <v>50.0</v>
      </c>
      <c r="N3632" s="6">
        <v>44789.0</v>
      </c>
      <c r="Q3632" s="2" t="s">
        <v>94</v>
      </c>
    </row>
    <row r="3633">
      <c r="A3633" s="2">
        <v>3632.0</v>
      </c>
      <c r="B3633" s="2" t="s">
        <v>6581</v>
      </c>
      <c r="C3633" s="2" t="s">
        <v>23</v>
      </c>
      <c r="K3633" s="2">
        <v>20.0</v>
      </c>
      <c r="N3633" s="6">
        <v>42341.0</v>
      </c>
      <c r="Q3633" s="2" t="s">
        <v>6582</v>
      </c>
    </row>
    <row r="3634">
      <c r="A3634" s="2">
        <v>3633.0</v>
      </c>
      <c r="B3634" s="2" t="s">
        <v>6583</v>
      </c>
      <c r="C3634" s="2" t="s">
        <v>23</v>
      </c>
      <c r="K3634" s="2">
        <v>70.0</v>
      </c>
      <c r="N3634" s="6">
        <v>45499.0</v>
      </c>
      <c r="Q3634" s="2" t="s">
        <v>6584</v>
      </c>
    </row>
    <row r="3635">
      <c r="A3635" s="2">
        <v>3634.0</v>
      </c>
      <c r="B3635" s="2" t="s">
        <v>6585</v>
      </c>
      <c r="C3635" s="2" t="s">
        <v>23</v>
      </c>
      <c r="K3635" s="2">
        <v>30.0</v>
      </c>
      <c r="N3635" s="6">
        <v>44064.0</v>
      </c>
      <c r="Q3635" s="2" t="s">
        <v>6586</v>
      </c>
    </row>
    <row r="3636">
      <c r="A3636" s="2">
        <v>3635.0</v>
      </c>
      <c r="B3636" s="2" t="s">
        <v>6587</v>
      </c>
      <c r="C3636" s="2" t="s">
        <v>23</v>
      </c>
      <c r="K3636" s="2">
        <v>50.0</v>
      </c>
      <c r="N3636" s="6">
        <v>44857.0</v>
      </c>
      <c r="Q3636" s="2" t="s">
        <v>6588</v>
      </c>
    </row>
    <row r="3637">
      <c r="A3637" s="2">
        <v>3636.0</v>
      </c>
      <c r="B3637" s="2" t="s">
        <v>6589</v>
      </c>
      <c r="C3637" s="2" t="s">
        <v>23</v>
      </c>
      <c r="K3637" s="2">
        <v>100.0</v>
      </c>
      <c r="N3637" s="6">
        <v>45029.0</v>
      </c>
      <c r="Q3637" s="2" t="s">
        <v>6590</v>
      </c>
    </row>
    <row r="3638">
      <c r="A3638" s="2">
        <v>3637.0</v>
      </c>
      <c r="B3638" s="2" t="s">
        <v>6591</v>
      </c>
      <c r="C3638" s="2" t="s">
        <v>23</v>
      </c>
      <c r="K3638" s="2">
        <v>60.0</v>
      </c>
      <c r="N3638" s="6">
        <v>44282.0</v>
      </c>
      <c r="Q3638" s="2" t="s">
        <v>6592</v>
      </c>
    </row>
    <row r="3639">
      <c r="A3639" s="2">
        <v>3638.0</v>
      </c>
      <c r="B3639" s="2" t="s">
        <v>6593</v>
      </c>
      <c r="C3639" s="2" t="s">
        <v>23</v>
      </c>
      <c r="K3639" s="2">
        <v>20.0</v>
      </c>
      <c r="N3639" s="6">
        <v>45734.0</v>
      </c>
      <c r="Q3639" s="2" t="s">
        <v>6594</v>
      </c>
    </row>
    <row r="3640">
      <c r="A3640" s="2">
        <v>3639.0</v>
      </c>
      <c r="B3640" s="2" t="s">
        <v>6595</v>
      </c>
      <c r="C3640" s="2" t="s">
        <v>23</v>
      </c>
      <c r="N3640" s="6">
        <v>43985.0</v>
      </c>
      <c r="Q3640" s="2" t="s">
        <v>86</v>
      </c>
    </row>
    <row r="3641">
      <c r="A3641" s="2">
        <v>3640.0</v>
      </c>
      <c r="B3641" s="2" t="s">
        <v>6596</v>
      </c>
      <c r="C3641" s="2" t="s">
        <v>23</v>
      </c>
      <c r="K3641" s="2">
        <v>150.0</v>
      </c>
      <c r="N3641" s="6">
        <v>44101.0</v>
      </c>
      <c r="Q3641" s="2" t="s">
        <v>6597</v>
      </c>
    </row>
    <row r="3642">
      <c r="A3642" s="2">
        <v>3641.0</v>
      </c>
      <c r="B3642" s="2" t="s">
        <v>6598</v>
      </c>
      <c r="C3642" s="2" t="s">
        <v>23</v>
      </c>
      <c r="N3642" s="6">
        <v>44638.0</v>
      </c>
      <c r="Q3642" s="2" t="s">
        <v>86</v>
      </c>
    </row>
    <row r="3643">
      <c r="A3643" s="2">
        <v>3642.0</v>
      </c>
      <c r="B3643" s="2" t="s">
        <v>6599</v>
      </c>
      <c r="C3643" s="2" t="s">
        <v>23</v>
      </c>
      <c r="N3643" s="6">
        <v>42262.0</v>
      </c>
      <c r="Q3643" s="2" t="s">
        <v>86</v>
      </c>
    </row>
    <row r="3644">
      <c r="A3644" s="2">
        <v>3643.0</v>
      </c>
      <c r="B3644" s="2" t="s">
        <v>6600</v>
      </c>
      <c r="C3644" s="2" t="s">
        <v>23</v>
      </c>
      <c r="K3644" s="2">
        <v>30.0</v>
      </c>
      <c r="N3644" s="6">
        <v>44523.0</v>
      </c>
      <c r="Q3644" s="2" t="s">
        <v>86</v>
      </c>
    </row>
    <row r="3645">
      <c r="A3645" s="2">
        <v>3644.0</v>
      </c>
      <c r="B3645" s="2" t="s">
        <v>6601</v>
      </c>
      <c r="C3645" s="2" t="s">
        <v>23</v>
      </c>
      <c r="K3645" s="2">
        <v>10.0</v>
      </c>
      <c r="N3645" s="6">
        <v>42576.0</v>
      </c>
      <c r="Q3645" s="2" t="s">
        <v>1116</v>
      </c>
    </row>
    <row r="3646">
      <c r="A3646" s="2">
        <v>3645.0</v>
      </c>
      <c r="B3646" s="2" t="s">
        <v>6602</v>
      </c>
      <c r="C3646" s="2" t="s">
        <v>23</v>
      </c>
      <c r="K3646" s="2">
        <v>10.0</v>
      </c>
      <c r="N3646" s="6">
        <v>45248.0</v>
      </c>
      <c r="Q3646" s="2" t="s">
        <v>2782</v>
      </c>
    </row>
    <row r="3647">
      <c r="A3647" s="2">
        <v>3646.0</v>
      </c>
      <c r="B3647" s="2" t="s">
        <v>6603</v>
      </c>
      <c r="C3647" s="2" t="s">
        <v>23</v>
      </c>
      <c r="K3647" s="2">
        <v>80.0</v>
      </c>
      <c r="N3647" s="6">
        <v>43133.0</v>
      </c>
      <c r="Q3647" s="2" t="s">
        <v>6604</v>
      </c>
    </row>
    <row r="3648">
      <c r="A3648" s="2">
        <v>3647.0</v>
      </c>
      <c r="B3648" s="2" t="s">
        <v>6605</v>
      </c>
      <c r="C3648" s="2" t="s">
        <v>23</v>
      </c>
      <c r="N3648" s="6">
        <v>44357.0</v>
      </c>
      <c r="Q3648" s="2" t="s">
        <v>86</v>
      </c>
    </row>
    <row r="3649">
      <c r="A3649" s="2">
        <v>3648.0</v>
      </c>
      <c r="B3649" s="2" t="s">
        <v>259</v>
      </c>
      <c r="C3649" s="2" t="s">
        <v>23</v>
      </c>
      <c r="K3649" s="2">
        <v>10.0</v>
      </c>
      <c r="N3649" s="6">
        <v>44708.0</v>
      </c>
      <c r="Q3649" s="2" t="s">
        <v>263</v>
      </c>
    </row>
    <row r="3650">
      <c r="A3650" s="2">
        <v>3649.0</v>
      </c>
      <c r="B3650" s="2" t="s">
        <v>6606</v>
      </c>
      <c r="C3650" s="2" t="s">
        <v>23</v>
      </c>
      <c r="K3650" s="2">
        <v>70.0</v>
      </c>
      <c r="N3650" s="6">
        <v>45495.0</v>
      </c>
      <c r="Q3650" s="2" t="s">
        <v>6607</v>
      </c>
    </row>
    <row r="3651">
      <c r="A3651" s="2">
        <v>3650.0</v>
      </c>
      <c r="B3651" s="2" t="s">
        <v>6608</v>
      </c>
      <c r="C3651" s="2" t="s">
        <v>23</v>
      </c>
      <c r="K3651" s="2">
        <v>80.0</v>
      </c>
      <c r="N3651" s="6">
        <v>43949.0</v>
      </c>
      <c r="Q3651" s="2" t="s">
        <v>6609</v>
      </c>
    </row>
    <row r="3652">
      <c r="A3652" s="2">
        <v>3651.0</v>
      </c>
      <c r="B3652" s="2" t="s">
        <v>6610</v>
      </c>
      <c r="C3652" s="2" t="s">
        <v>23</v>
      </c>
      <c r="K3652" s="2">
        <v>80.0</v>
      </c>
      <c r="N3652" s="6">
        <v>45707.0</v>
      </c>
      <c r="Q3652" s="2" t="s">
        <v>6611</v>
      </c>
    </row>
    <row r="3653">
      <c r="A3653" s="2">
        <v>3652.0</v>
      </c>
      <c r="B3653" s="2" t="s">
        <v>6612</v>
      </c>
      <c r="C3653" s="2" t="s">
        <v>23</v>
      </c>
      <c r="N3653" s="6">
        <v>44467.0</v>
      </c>
      <c r="Q3653" s="2" t="s">
        <v>86</v>
      </c>
    </row>
    <row r="3654">
      <c r="A3654" s="2">
        <v>3653.0</v>
      </c>
      <c r="B3654" s="2" t="s">
        <v>6613</v>
      </c>
      <c r="C3654" s="2" t="s">
        <v>23</v>
      </c>
      <c r="K3654" s="2">
        <v>150.0</v>
      </c>
      <c r="N3654" s="6">
        <v>44172.0</v>
      </c>
      <c r="Q3654" s="2" t="s">
        <v>6614</v>
      </c>
    </row>
    <row r="3655">
      <c r="A3655" s="2">
        <v>3654.0</v>
      </c>
      <c r="B3655" s="2" t="s">
        <v>6615</v>
      </c>
      <c r="C3655" s="2" t="s">
        <v>23</v>
      </c>
      <c r="K3655" s="2">
        <v>30.0</v>
      </c>
      <c r="N3655" s="6">
        <v>44236.0</v>
      </c>
      <c r="Q3655" s="2" t="s">
        <v>6616</v>
      </c>
    </row>
    <row r="3656">
      <c r="A3656" s="2">
        <v>3655.0</v>
      </c>
      <c r="B3656" s="2" t="s">
        <v>6617</v>
      </c>
      <c r="C3656" s="2" t="s">
        <v>23</v>
      </c>
      <c r="N3656" s="6">
        <v>44029.0</v>
      </c>
      <c r="Q3656" s="2" t="s">
        <v>86</v>
      </c>
    </row>
    <row r="3657">
      <c r="A3657" s="2">
        <v>3656.0</v>
      </c>
      <c r="B3657" s="2" t="s">
        <v>6618</v>
      </c>
      <c r="C3657" s="2" t="s">
        <v>23</v>
      </c>
      <c r="K3657" s="2">
        <v>30.0</v>
      </c>
      <c r="N3657" s="6">
        <v>44593.0</v>
      </c>
      <c r="Q3657" s="2" t="s">
        <v>3484</v>
      </c>
    </row>
    <row r="3658">
      <c r="A3658" s="2">
        <v>3657.0</v>
      </c>
      <c r="B3658" s="2" t="s">
        <v>6619</v>
      </c>
      <c r="C3658" s="2" t="s">
        <v>23</v>
      </c>
      <c r="K3658" s="2">
        <v>30.0</v>
      </c>
      <c r="N3658" s="6">
        <v>44508.0</v>
      </c>
      <c r="Q3658" s="2" t="s">
        <v>6620</v>
      </c>
    </row>
    <row r="3659">
      <c r="A3659" s="2">
        <v>3658.0</v>
      </c>
      <c r="B3659" s="2" t="s">
        <v>6621</v>
      </c>
      <c r="C3659" s="2" t="s">
        <v>23</v>
      </c>
      <c r="K3659" s="2">
        <v>200.0</v>
      </c>
      <c r="N3659" s="6">
        <v>44262.0</v>
      </c>
      <c r="Q3659" s="2" t="s">
        <v>6622</v>
      </c>
    </row>
    <row r="3660">
      <c r="A3660" s="2">
        <v>3659.0</v>
      </c>
      <c r="B3660" s="2" t="s">
        <v>6623</v>
      </c>
      <c r="C3660" s="2" t="s">
        <v>23</v>
      </c>
      <c r="K3660" s="2">
        <v>30.0</v>
      </c>
      <c r="N3660" s="6">
        <v>44615.0</v>
      </c>
      <c r="Q3660" s="2" t="s">
        <v>6624</v>
      </c>
    </row>
    <row r="3661">
      <c r="A3661" s="2">
        <v>3660.0</v>
      </c>
      <c r="B3661" s="2" t="s">
        <v>6625</v>
      </c>
      <c r="C3661" s="2" t="s">
        <v>23</v>
      </c>
      <c r="K3661" s="2">
        <v>30.0</v>
      </c>
      <c r="N3661" s="6">
        <v>42896.0</v>
      </c>
      <c r="Q3661" s="2" t="s">
        <v>6626</v>
      </c>
    </row>
    <row r="3662">
      <c r="A3662" s="2">
        <v>3661.0</v>
      </c>
      <c r="B3662" s="2" t="s">
        <v>6627</v>
      </c>
      <c r="C3662" s="2" t="s">
        <v>23</v>
      </c>
      <c r="K3662" s="2">
        <v>10.0</v>
      </c>
      <c r="N3662" s="6">
        <v>43041.0</v>
      </c>
      <c r="Q3662" s="2" t="s">
        <v>6628</v>
      </c>
    </row>
    <row r="3663">
      <c r="A3663" s="2">
        <v>3662.0</v>
      </c>
      <c r="B3663" s="2" t="s">
        <v>6629</v>
      </c>
      <c r="C3663" s="2" t="s">
        <v>23</v>
      </c>
      <c r="N3663" s="6">
        <v>44350.0</v>
      </c>
      <c r="Q3663" s="2" t="s">
        <v>86</v>
      </c>
    </row>
    <row r="3664">
      <c r="A3664" s="2">
        <v>3663.0</v>
      </c>
      <c r="B3664" s="2" t="s">
        <v>6630</v>
      </c>
      <c r="C3664" s="2" t="s">
        <v>23</v>
      </c>
      <c r="N3664" s="6">
        <v>45076.0</v>
      </c>
      <c r="Q3664" s="2" t="s">
        <v>86</v>
      </c>
    </row>
    <row r="3665">
      <c r="A3665" s="2">
        <v>3664.0</v>
      </c>
      <c r="B3665" s="2" t="s">
        <v>6631</v>
      </c>
      <c r="C3665" s="2" t="s">
        <v>23</v>
      </c>
      <c r="K3665" s="2">
        <v>10.0</v>
      </c>
      <c r="N3665" s="6">
        <v>44648.0</v>
      </c>
      <c r="Q3665" s="2" t="s">
        <v>86</v>
      </c>
    </row>
    <row r="3666">
      <c r="A3666" s="2">
        <v>3665.0</v>
      </c>
      <c r="B3666" s="2" t="s">
        <v>6632</v>
      </c>
      <c r="C3666" s="2" t="s">
        <v>23</v>
      </c>
      <c r="N3666" s="6">
        <v>44086.0</v>
      </c>
      <c r="Q3666" s="2" t="s">
        <v>86</v>
      </c>
    </row>
    <row r="3667">
      <c r="A3667" s="2">
        <v>3666.0</v>
      </c>
      <c r="B3667" s="2" t="s">
        <v>6633</v>
      </c>
      <c r="C3667" s="2" t="s">
        <v>23</v>
      </c>
      <c r="N3667" s="6">
        <v>45797.0</v>
      </c>
      <c r="Q3667" s="2" t="s">
        <v>6634</v>
      </c>
    </row>
    <row r="3668">
      <c r="A3668" s="2">
        <v>3667.0</v>
      </c>
      <c r="B3668" s="2" t="s">
        <v>6635</v>
      </c>
      <c r="C3668" s="2" t="s">
        <v>23</v>
      </c>
      <c r="N3668" s="6">
        <v>42899.0</v>
      </c>
      <c r="Q3668" s="2" t="s">
        <v>86</v>
      </c>
    </row>
    <row r="3669">
      <c r="A3669" s="2">
        <v>3668.0</v>
      </c>
      <c r="B3669" s="2" t="s">
        <v>6636</v>
      </c>
      <c r="C3669" s="2" t="s">
        <v>23</v>
      </c>
      <c r="K3669" s="2">
        <v>20.0</v>
      </c>
      <c r="N3669" s="6">
        <v>44105.0</v>
      </c>
      <c r="Q3669" s="2" t="s">
        <v>86</v>
      </c>
    </row>
    <row r="3670">
      <c r="A3670" s="2">
        <v>3669.0</v>
      </c>
      <c r="B3670" s="2" t="s">
        <v>6637</v>
      </c>
      <c r="C3670" s="2" t="s">
        <v>23</v>
      </c>
      <c r="N3670" s="6">
        <v>45131.0</v>
      </c>
      <c r="Q3670" s="2" t="s">
        <v>86</v>
      </c>
    </row>
    <row r="3671">
      <c r="A3671" s="2">
        <v>3670.0</v>
      </c>
      <c r="B3671" s="2" t="s">
        <v>6638</v>
      </c>
      <c r="C3671" s="2" t="s">
        <v>23</v>
      </c>
      <c r="N3671" s="6">
        <v>44559.0</v>
      </c>
      <c r="Q3671" s="2" t="s">
        <v>86</v>
      </c>
    </row>
    <row r="3672">
      <c r="A3672" s="2">
        <v>3671.0</v>
      </c>
      <c r="B3672" s="2" t="s">
        <v>6639</v>
      </c>
      <c r="C3672" s="2" t="s">
        <v>23</v>
      </c>
      <c r="K3672" s="2">
        <v>60.0</v>
      </c>
      <c r="N3672" s="6">
        <v>44114.0</v>
      </c>
      <c r="Q3672" s="2" t="s">
        <v>6640</v>
      </c>
    </row>
    <row r="3673">
      <c r="A3673" s="2">
        <v>3672.0</v>
      </c>
      <c r="B3673" s="2" t="s">
        <v>6641</v>
      </c>
      <c r="C3673" s="2" t="s">
        <v>23</v>
      </c>
      <c r="N3673" s="6">
        <v>42901.0</v>
      </c>
      <c r="Q3673" s="2" t="s">
        <v>86</v>
      </c>
    </row>
    <row r="3674">
      <c r="A3674" s="2">
        <v>3673.0</v>
      </c>
      <c r="B3674" s="2" t="s">
        <v>6642</v>
      </c>
      <c r="C3674" s="2" t="s">
        <v>23</v>
      </c>
      <c r="N3674" s="6">
        <v>45874.0</v>
      </c>
      <c r="Q3674" s="2" t="s">
        <v>6643</v>
      </c>
    </row>
    <row r="3675">
      <c r="A3675" s="2">
        <v>3674.0</v>
      </c>
      <c r="B3675" s="2" t="s">
        <v>6644</v>
      </c>
      <c r="C3675" s="2" t="s">
        <v>23</v>
      </c>
      <c r="N3675" s="6">
        <v>43864.0</v>
      </c>
      <c r="Q3675" s="2" t="s">
        <v>86</v>
      </c>
    </row>
    <row r="3676">
      <c r="A3676" s="2">
        <v>3675.0</v>
      </c>
      <c r="B3676" s="2" t="s">
        <v>6645</v>
      </c>
      <c r="C3676" s="2" t="s">
        <v>23</v>
      </c>
      <c r="K3676" s="2">
        <v>900.0</v>
      </c>
      <c r="N3676" s="6">
        <v>43034.0</v>
      </c>
      <c r="Q3676" s="2" t="s">
        <v>6646</v>
      </c>
    </row>
    <row r="3677">
      <c r="A3677" s="2">
        <v>3676.0</v>
      </c>
      <c r="B3677" s="2" t="s">
        <v>6647</v>
      </c>
      <c r="C3677" s="2" t="s">
        <v>23</v>
      </c>
      <c r="K3677" s="2">
        <v>40.0</v>
      </c>
      <c r="N3677" s="6">
        <v>45696.0</v>
      </c>
      <c r="Q3677" s="2" t="s">
        <v>6648</v>
      </c>
    </row>
    <row r="3678">
      <c r="A3678" s="2">
        <v>3677.0</v>
      </c>
      <c r="B3678" s="2" t="s">
        <v>6649</v>
      </c>
      <c r="C3678" s="2" t="s">
        <v>23</v>
      </c>
      <c r="N3678" s="6">
        <v>44410.0</v>
      </c>
      <c r="Q3678" s="2" t="s">
        <v>86</v>
      </c>
    </row>
    <row r="3679">
      <c r="A3679" s="2">
        <v>3678.0</v>
      </c>
      <c r="B3679" s="2" t="s">
        <v>6650</v>
      </c>
      <c r="C3679" s="2" t="s">
        <v>23</v>
      </c>
      <c r="K3679" s="2">
        <v>20.0</v>
      </c>
      <c r="N3679" s="6">
        <v>44118.0</v>
      </c>
      <c r="Q3679" s="2" t="s">
        <v>6651</v>
      </c>
    </row>
    <row r="3680">
      <c r="A3680" s="2">
        <v>3679.0</v>
      </c>
      <c r="B3680" s="2" t="s">
        <v>6652</v>
      </c>
      <c r="C3680" s="2" t="s">
        <v>23</v>
      </c>
      <c r="K3680" s="2">
        <v>70.0</v>
      </c>
      <c r="N3680" s="6">
        <v>45290.0</v>
      </c>
      <c r="Q3680" s="2" t="s">
        <v>1070</v>
      </c>
    </row>
    <row r="3681">
      <c r="A3681" s="2">
        <v>3680.0</v>
      </c>
      <c r="B3681" s="2" t="s">
        <v>6653</v>
      </c>
      <c r="C3681" s="2" t="s">
        <v>23</v>
      </c>
      <c r="K3681" s="2">
        <v>1200.0</v>
      </c>
      <c r="N3681" s="6">
        <v>43964.0</v>
      </c>
      <c r="Q3681" s="2" t="s">
        <v>6654</v>
      </c>
    </row>
    <row r="3682">
      <c r="A3682" s="2">
        <v>3681.0</v>
      </c>
      <c r="B3682" s="2" t="s">
        <v>6655</v>
      </c>
      <c r="C3682" s="2" t="s">
        <v>23</v>
      </c>
      <c r="K3682" s="2">
        <v>40.0</v>
      </c>
      <c r="N3682" s="6">
        <v>45150.0</v>
      </c>
      <c r="Q3682" s="2" t="s">
        <v>3447</v>
      </c>
    </row>
    <row r="3683">
      <c r="A3683" s="2">
        <v>3682.0</v>
      </c>
      <c r="B3683" s="2" t="s">
        <v>6656</v>
      </c>
      <c r="C3683" s="2" t="s">
        <v>23</v>
      </c>
      <c r="K3683" s="2">
        <v>50.0</v>
      </c>
      <c r="N3683" s="6">
        <v>43897.0</v>
      </c>
      <c r="Q3683" s="2" t="s">
        <v>2494</v>
      </c>
    </row>
    <row r="3684">
      <c r="A3684" s="2">
        <v>3683.0</v>
      </c>
      <c r="B3684" s="2" t="s">
        <v>6657</v>
      </c>
      <c r="C3684" s="2" t="s">
        <v>23</v>
      </c>
      <c r="N3684" s="6">
        <v>45666.0</v>
      </c>
      <c r="Q3684" s="2" t="s">
        <v>2738</v>
      </c>
    </row>
    <row r="3685">
      <c r="A3685" s="2">
        <v>3684.0</v>
      </c>
      <c r="B3685" s="2" t="s">
        <v>6658</v>
      </c>
      <c r="C3685" s="2" t="s">
        <v>23</v>
      </c>
      <c r="K3685" s="2">
        <v>80.0</v>
      </c>
      <c r="N3685" s="6">
        <v>43998.0</v>
      </c>
      <c r="Q3685" s="2" t="s">
        <v>6659</v>
      </c>
    </row>
    <row r="3686">
      <c r="A3686" s="2">
        <v>3685.0</v>
      </c>
      <c r="B3686" s="2" t="s">
        <v>6660</v>
      </c>
      <c r="C3686" s="2" t="s">
        <v>23</v>
      </c>
      <c r="K3686" s="2">
        <v>30.0</v>
      </c>
      <c r="N3686" s="6">
        <v>45428.0</v>
      </c>
      <c r="Q3686" s="2" t="s">
        <v>86</v>
      </c>
    </row>
    <row r="3687">
      <c r="A3687" s="2">
        <v>3686.0</v>
      </c>
      <c r="B3687" s="2" t="s">
        <v>6661</v>
      </c>
      <c r="C3687" s="2" t="s">
        <v>23</v>
      </c>
      <c r="K3687" s="2">
        <v>150.0</v>
      </c>
      <c r="N3687" s="6">
        <v>43896.0</v>
      </c>
      <c r="Q3687" s="2" t="s">
        <v>6662</v>
      </c>
    </row>
    <row r="3688">
      <c r="A3688" s="2">
        <v>3687.0</v>
      </c>
      <c r="B3688" s="2" t="s">
        <v>6663</v>
      </c>
      <c r="C3688" s="2" t="s">
        <v>23</v>
      </c>
      <c r="K3688" s="2">
        <v>30.0</v>
      </c>
      <c r="N3688" s="6">
        <v>45676.0</v>
      </c>
      <c r="Q3688" s="2" t="s">
        <v>2318</v>
      </c>
    </row>
    <row r="3689">
      <c r="A3689" s="2">
        <v>3688.0</v>
      </c>
      <c r="B3689" s="2" t="s">
        <v>6664</v>
      </c>
      <c r="C3689" s="2" t="s">
        <v>23</v>
      </c>
      <c r="K3689" s="2">
        <v>100.0</v>
      </c>
      <c r="N3689" s="6">
        <v>44028.0</v>
      </c>
      <c r="Q3689" s="2" t="s">
        <v>6665</v>
      </c>
    </row>
    <row r="3690">
      <c r="A3690" s="2">
        <v>3689.0</v>
      </c>
      <c r="B3690" s="2" t="s">
        <v>6666</v>
      </c>
      <c r="C3690" s="2" t="s">
        <v>23</v>
      </c>
      <c r="N3690" s="6">
        <v>42777.0</v>
      </c>
      <c r="O3690" s="2" t="s">
        <v>560</v>
      </c>
      <c r="P3690" s="2" t="s">
        <v>36</v>
      </c>
      <c r="Q3690" s="2" t="s">
        <v>86</v>
      </c>
      <c r="S3690" s="2" t="s">
        <v>59</v>
      </c>
    </row>
    <row r="3691">
      <c r="A3691" s="2">
        <v>3690.0</v>
      </c>
      <c r="B3691" s="2" t="s">
        <v>6667</v>
      </c>
      <c r="C3691" s="2" t="s">
        <v>23</v>
      </c>
      <c r="K3691" s="2">
        <v>10.0</v>
      </c>
      <c r="N3691" s="6">
        <v>45674.0</v>
      </c>
      <c r="Q3691" s="2" t="s">
        <v>6668</v>
      </c>
    </row>
    <row r="3692">
      <c r="A3692" s="2">
        <v>3691.0</v>
      </c>
      <c r="B3692" s="2" t="s">
        <v>6669</v>
      </c>
      <c r="C3692" s="2" t="s">
        <v>23</v>
      </c>
      <c r="N3692" s="6">
        <v>42388.0</v>
      </c>
      <c r="Q3692" s="2" t="s">
        <v>86</v>
      </c>
    </row>
    <row r="3693">
      <c r="A3693" s="2">
        <v>3692.0</v>
      </c>
      <c r="B3693" s="2" t="s">
        <v>6670</v>
      </c>
      <c r="C3693" s="2" t="s">
        <v>23</v>
      </c>
      <c r="K3693" s="2">
        <v>10.0</v>
      </c>
      <c r="N3693" s="6">
        <v>44116.0</v>
      </c>
      <c r="Q3693" s="2" t="s">
        <v>6671</v>
      </c>
    </row>
    <row r="3694">
      <c r="A3694" s="2">
        <v>3693.0</v>
      </c>
      <c r="B3694" s="2" t="s">
        <v>6672</v>
      </c>
      <c r="C3694" s="2" t="s">
        <v>23</v>
      </c>
      <c r="K3694" s="2">
        <v>10.0</v>
      </c>
      <c r="N3694" s="6">
        <v>45028.0</v>
      </c>
      <c r="Q3694" s="2" t="s">
        <v>1156</v>
      </c>
    </row>
    <row r="3695">
      <c r="A3695" s="2">
        <v>3694.0</v>
      </c>
      <c r="B3695" s="2" t="s">
        <v>6673</v>
      </c>
      <c r="C3695" s="2" t="s">
        <v>23</v>
      </c>
      <c r="K3695" s="2">
        <v>60.0</v>
      </c>
      <c r="N3695" s="6">
        <v>44504.0</v>
      </c>
      <c r="Q3695" s="2" t="s">
        <v>6674</v>
      </c>
    </row>
    <row r="3696">
      <c r="A3696" s="2">
        <v>3695.0</v>
      </c>
      <c r="B3696" s="2" t="s">
        <v>6675</v>
      </c>
      <c r="C3696" s="2" t="s">
        <v>23</v>
      </c>
      <c r="K3696" s="2">
        <v>10.0</v>
      </c>
      <c r="N3696" s="6">
        <v>44770.0</v>
      </c>
      <c r="Q3696" s="2" t="s">
        <v>86</v>
      </c>
    </row>
    <row r="3697">
      <c r="A3697" s="2">
        <v>3696.0</v>
      </c>
      <c r="B3697" s="2" t="s">
        <v>6676</v>
      </c>
      <c r="C3697" s="2" t="s">
        <v>23</v>
      </c>
      <c r="K3697" s="2">
        <v>60.0</v>
      </c>
      <c r="N3697" s="6">
        <v>43846.0</v>
      </c>
      <c r="Q3697" s="2" t="s">
        <v>200</v>
      </c>
    </row>
    <row r="3698">
      <c r="A3698" s="2">
        <v>3697.0</v>
      </c>
      <c r="B3698" s="2" t="s">
        <v>6677</v>
      </c>
      <c r="C3698" s="2" t="s">
        <v>23</v>
      </c>
      <c r="N3698" s="6">
        <v>44971.0</v>
      </c>
      <c r="Q3698" s="2" t="s">
        <v>86</v>
      </c>
    </row>
    <row r="3699">
      <c r="A3699" s="2">
        <v>3698.0</v>
      </c>
      <c r="B3699" s="2" t="s">
        <v>6678</v>
      </c>
      <c r="C3699" s="2" t="s">
        <v>23</v>
      </c>
      <c r="K3699" s="2">
        <v>10.0</v>
      </c>
      <c r="N3699" s="6">
        <v>44690.0</v>
      </c>
      <c r="Q3699" s="2" t="s">
        <v>6679</v>
      </c>
    </row>
    <row r="3700">
      <c r="A3700" s="2">
        <v>3699.0</v>
      </c>
      <c r="B3700" s="2" t="s">
        <v>6680</v>
      </c>
      <c r="C3700" s="2" t="s">
        <v>23</v>
      </c>
      <c r="N3700" s="6">
        <v>44309.0</v>
      </c>
      <c r="Q3700" s="2" t="s">
        <v>86</v>
      </c>
    </row>
    <row r="3701">
      <c r="A3701" s="2">
        <v>3700.0</v>
      </c>
      <c r="B3701" s="2" t="s">
        <v>6681</v>
      </c>
      <c r="C3701" s="2" t="s">
        <v>23</v>
      </c>
      <c r="K3701" s="2">
        <v>10.0</v>
      </c>
      <c r="N3701" s="6">
        <v>44126.0</v>
      </c>
      <c r="Q3701" s="2" t="s">
        <v>60</v>
      </c>
    </row>
    <row r="3702">
      <c r="A3702" s="2">
        <v>3701.0</v>
      </c>
      <c r="B3702" s="2" t="s">
        <v>6682</v>
      </c>
      <c r="C3702" s="2" t="s">
        <v>23</v>
      </c>
      <c r="K3702" s="2">
        <v>200.0</v>
      </c>
      <c r="N3702" s="6">
        <v>45418.0</v>
      </c>
      <c r="Q3702" s="2" t="s">
        <v>6683</v>
      </c>
    </row>
    <row r="3703">
      <c r="A3703" s="2">
        <v>3702.0</v>
      </c>
      <c r="B3703" s="2" t="s">
        <v>6684</v>
      </c>
      <c r="C3703" s="2" t="s">
        <v>23</v>
      </c>
      <c r="N3703" s="6">
        <v>44097.0</v>
      </c>
      <c r="Q3703" s="2" t="s">
        <v>86</v>
      </c>
    </row>
    <row r="3704">
      <c r="A3704" s="2">
        <v>3703.0</v>
      </c>
      <c r="B3704" s="2" t="s">
        <v>6685</v>
      </c>
      <c r="C3704" s="2" t="s">
        <v>23</v>
      </c>
      <c r="N3704" s="6">
        <v>45035.0</v>
      </c>
      <c r="Q3704" s="2" t="s">
        <v>86</v>
      </c>
    </row>
    <row r="3705">
      <c r="A3705" s="2">
        <v>3704.0</v>
      </c>
      <c r="B3705" s="2" t="s">
        <v>6686</v>
      </c>
      <c r="C3705" s="2" t="s">
        <v>23</v>
      </c>
      <c r="N3705" s="6">
        <v>43922.0</v>
      </c>
      <c r="Q3705" s="2" t="s">
        <v>86</v>
      </c>
    </row>
    <row r="3706">
      <c r="A3706" s="2">
        <v>3705.0</v>
      </c>
      <c r="B3706" s="2" t="s">
        <v>6687</v>
      </c>
      <c r="C3706" s="2" t="s">
        <v>23</v>
      </c>
      <c r="N3706" s="6">
        <v>45977.0</v>
      </c>
      <c r="Q3706" s="2" t="s">
        <v>6688</v>
      </c>
    </row>
    <row r="3707">
      <c r="A3707" s="2">
        <v>3706.0</v>
      </c>
      <c r="B3707" s="2" t="s">
        <v>6689</v>
      </c>
      <c r="C3707" s="2" t="s">
        <v>23</v>
      </c>
      <c r="K3707" s="2">
        <v>90.0</v>
      </c>
      <c r="N3707" s="6">
        <v>44036.0</v>
      </c>
      <c r="Q3707" s="2" t="s">
        <v>6690</v>
      </c>
    </row>
    <row r="3708">
      <c r="A3708" s="2">
        <v>3707.0</v>
      </c>
      <c r="B3708" s="2" t="s">
        <v>6691</v>
      </c>
      <c r="C3708" s="2" t="s">
        <v>23</v>
      </c>
      <c r="K3708" s="2">
        <v>10.0</v>
      </c>
      <c r="N3708" s="6">
        <v>45136.0</v>
      </c>
      <c r="Q3708" s="2" t="s">
        <v>6692</v>
      </c>
    </row>
    <row r="3709">
      <c r="A3709" s="2">
        <v>3708.0</v>
      </c>
      <c r="B3709" s="2" t="s">
        <v>6693</v>
      </c>
      <c r="C3709" s="2" t="s">
        <v>23</v>
      </c>
      <c r="N3709" s="6">
        <v>45124.0</v>
      </c>
      <c r="Q3709" s="2" t="s">
        <v>5776</v>
      </c>
    </row>
    <row r="3710">
      <c r="A3710" s="2">
        <v>3709.0</v>
      </c>
      <c r="B3710" s="2" t="s">
        <v>6694</v>
      </c>
      <c r="C3710" s="2" t="s">
        <v>23</v>
      </c>
      <c r="N3710" s="6">
        <v>44597.0</v>
      </c>
      <c r="Q3710" s="2" t="s">
        <v>86</v>
      </c>
    </row>
    <row r="3711">
      <c r="A3711" s="2">
        <v>3710.0</v>
      </c>
      <c r="B3711" s="2" t="s">
        <v>6695</v>
      </c>
      <c r="C3711" s="2" t="s">
        <v>23</v>
      </c>
      <c r="K3711" s="2">
        <v>30.0</v>
      </c>
      <c r="N3711" s="6">
        <v>44000.0</v>
      </c>
      <c r="Q3711" s="2" t="s">
        <v>1466</v>
      </c>
    </row>
    <row r="3712">
      <c r="A3712" s="2">
        <v>3711.0</v>
      </c>
      <c r="B3712" s="2" t="s">
        <v>6696</v>
      </c>
      <c r="C3712" s="2" t="s">
        <v>23</v>
      </c>
      <c r="K3712" s="2">
        <v>150.0</v>
      </c>
      <c r="N3712" s="6">
        <v>43965.0</v>
      </c>
      <c r="Q3712" s="2" t="s">
        <v>6697</v>
      </c>
    </row>
    <row r="3713">
      <c r="A3713" s="2">
        <v>3712.0</v>
      </c>
      <c r="B3713" s="2" t="s">
        <v>6698</v>
      </c>
      <c r="C3713" s="2" t="s">
        <v>23</v>
      </c>
      <c r="K3713" s="2">
        <v>20.0</v>
      </c>
      <c r="N3713" s="6">
        <v>44214.0</v>
      </c>
      <c r="Q3713" s="2" t="s">
        <v>6699</v>
      </c>
    </row>
    <row r="3714">
      <c r="A3714" s="2">
        <v>3713.0</v>
      </c>
      <c r="B3714" s="2" t="s">
        <v>6700</v>
      </c>
      <c r="C3714" s="2" t="s">
        <v>23</v>
      </c>
      <c r="K3714" s="2">
        <v>40.0</v>
      </c>
      <c r="N3714" s="6">
        <v>46110.0</v>
      </c>
      <c r="Q3714" s="2" t="s">
        <v>6701</v>
      </c>
    </row>
    <row r="3715">
      <c r="A3715" s="2">
        <v>3714.0</v>
      </c>
      <c r="B3715" s="2" t="s">
        <v>6702</v>
      </c>
      <c r="C3715" s="2" t="s">
        <v>23</v>
      </c>
      <c r="K3715" s="2">
        <v>30.0</v>
      </c>
      <c r="N3715" s="6">
        <v>45739.0</v>
      </c>
      <c r="Q3715" s="2" t="s">
        <v>6703</v>
      </c>
    </row>
    <row r="3716">
      <c r="A3716" s="2">
        <v>3715.0</v>
      </c>
      <c r="B3716" s="2" t="s">
        <v>6704</v>
      </c>
      <c r="C3716" s="2" t="s">
        <v>23</v>
      </c>
      <c r="K3716" s="2">
        <v>20.0</v>
      </c>
      <c r="N3716" s="6">
        <v>43331.0</v>
      </c>
      <c r="Q3716" s="2" t="s">
        <v>94</v>
      </c>
    </row>
    <row r="3717">
      <c r="A3717" s="2">
        <v>3716.0</v>
      </c>
      <c r="B3717" s="2" t="s">
        <v>6705</v>
      </c>
      <c r="C3717" s="2" t="s">
        <v>23</v>
      </c>
      <c r="N3717" s="6">
        <v>42859.0</v>
      </c>
      <c r="Q3717" s="2" t="s">
        <v>6706</v>
      </c>
    </row>
    <row r="3718">
      <c r="A3718" s="2">
        <v>3717.0</v>
      </c>
      <c r="B3718" s="2" t="s">
        <v>246</v>
      </c>
      <c r="C3718" s="2" t="s">
        <v>23</v>
      </c>
      <c r="K3718" s="2">
        <v>60.0</v>
      </c>
      <c r="N3718" s="6">
        <v>45551.0</v>
      </c>
      <c r="Q3718" s="2" t="s">
        <v>249</v>
      </c>
    </row>
    <row r="3719">
      <c r="A3719" s="2">
        <v>3718.0</v>
      </c>
      <c r="B3719" s="2" t="s">
        <v>6707</v>
      </c>
      <c r="C3719" s="2" t="s">
        <v>23</v>
      </c>
      <c r="N3719" s="6">
        <v>45578.0</v>
      </c>
      <c r="Q3719" s="2" t="s">
        <v>6708</v>
      </c>
    </row>
    <row r="3720">
      <c r="A3720" s="2">
        <v>3719.0</v>
      </c>
      <c r="B3720" s="2" t="s">
        <v>6709</v>
      </c>
      <c r="C3720" s="2" t="s">
        <v>23</v>
      </c>
      <c r="N3720" s="6">
        <v>43794.0</v>
      </c>
      <c r="Q3720" s="2" t="s">
        <v>6710</v>
      </c>
    </row>
    <row r="3721">
      <c r="A3721" s="2">
        <v>3720.0</v>
      </c>
      <c r="B3721" s="2" t="s">
        <v>6711</v>
      </c>
      <c r="C3721" s="2" t="s">
        <v>23</v>
      </c>
      <c r="N3721" s="6">
        <v>44134.0</v>
      </c>
      <c r="Q3721" s="2" t="s">
        <v>1116</v>
      </c>
    </row>
    <row r="3722">
      <c r="A3722" s="2">
        <v>3721.0</v>
      </c>
      <c r="B3722" s="2" t="s">
        <v>6712</v>
      </c>
      <c r="C3722" s="2" t="s">
        <v>23</v>
      </c>
      <c r="N3722" s="6">
        <v>43851.0</v>
      </c>
      <c r="Q3722" s="2" t="s">
        <v>86</v>
      </c>
    </row>
    <row r="3723">
      <c r="A3723" s="2">
        <v>3722.0</v>
      </c>
      <c r="B3723" s="2" t="s">
        <v>6713</v>
      </c>
      <c r="C3723" s="2" t="s">
        <v>23</v>
      </c>
      <c r="K3723" s="2">
        <v>20.0</v>
      </c>
      <c r="N3723" s="6">
        <v>44126.0</v>
      </c>
      <c r="Q3723" s="2" t="s">
        <v>6714</v>
      </c>
    </row>
    <row r="3724">
      <c r="A3724" s="2">
        <v>3723.0</v>
      </c>
      <c r="B3724" s="2" t="s">
        <v>6715</v>
      </c>
      <c r="C3724" s="2" t="s">
        <v>23</v>
      </c>
      <c r="N3724" s="6">
        <v>44371.0</v>
      </c>
      <c r="Q3724" s="2" t="s">
        <v>2573</v>
      </c>
    </row>
    <row r="3725">
      <c r="A3725" s="2">
        <v>3724.0</v>
      </c>
      <c r="B3725" s="2" t="s">
        <v>6716</v>
      </c>
      <c r="C3725" s="2" t="s">
        <v>23</v>
      </c>
      <c r="K3725" s="2">
        <v>200.0</v>
      </c>
      <c r="N3725" s="6">
        <v>44833.0</v>
      </c>
      <c r="Q3725" s="2" t="s">
        <v>6717</v>
      </c>
    </row>
    <row r="3726">
      <c r="A3726" s="2">
        <v>3725.0</v>
      </c>
      <c r="B3726" s="2" t="s">
        <v>6718</v>
      </c>
      <c r="C3726" s="2" t="s">
        <v>23</v>
      </c>
      <c r="K3726" s="2">
        <v>10.0</v>
      </c>
      <c r="N3726" s="6">
        <v>43842.0</v>
      </c>
      <c r="Q3726" s="2" t="s">
        <v>86</v>
      </c>
    </row>
    <row r="3727">
      <c r="A3727" s="2">
        <v>3726.0</v>
      </c>
      <c r="B3727" s="2" t="s">
        <v>6719</v>
      </c>
      <c r="C3727" s="2" t="s">
        <v>23</v>
      </c>
      <c r="K3727" s="2">
        <v>30.0</v>
      </c>
      <c r="N3727" s="6">
        <v>45354.0</v>
      </c>
      <c r="Q3727" s="2" t="s">
        <v>6720</v>
      </c>
    </row>
    <row r="3728">
      <c r="A3728" s="2">
        <v>3727.0</v>
      </c>
      <c r="B3728" s="2" t="s">
        <v>6721</v>
      </c>
      <c r="C3728" s="2" t="s">
        <v>23</v>
      </c>
      <c r="K3728" s="2">
        <v>200.0</v>
      </c>
      <c r="N3728" s="6">
        <v>44299.0</v>
      </c>
      <c r="Q3728" s="2" t="s">
        <v>6722</v>
      </c>
    </row>
    <row r="3729">
      <c r="A3729" s="2">
        <v>3728.0</v>
      </c>
      <c r="B3729" s="2" t="s">
        <v>6723</v>
      </c>
      <c r="C3729" s="2" t="s">
        <v>23</v>
      </c>
      <c r="N3729" s="6">
        <v>44340.0</v>
      </c>
      <c r="Q3729" s="2" t="s">
        <v>86</v>
      </c>
    </row>
    <row r="3730">
      <c r="A3730" s="2">
        <v>3729.0</v>
      </c>
      <c r="B3730" s="2" t="s">
        <v>6724</v>
      </c>
      <c r="C3730" s="2" t="s">
        <v>23</v>
      </c>
      <c r="N3730" s="6">
        <v>44550.0</v>
      </c>
      <c r="Q3730" s="2" t="s">
        <v>6725</v>
      </c>
    </row>
    <row r="3731">
      <c r="A3731" s="2">
        <v>3730.0</v>
      </c>
      <c r="B3731" s="2" t="s">
        <v>6726</v>
      </c>
      <c r="C3731" s="2" t="s">
        <v>23</v>
      </c>
      <c r="N3731" s="6">
        <v>45041.0</v>
      </c>
      <c r="Q3731" s="2" t="s">
        <v>6727</v>
      </c>
    </row>
    <row r="3732">
      <c r="A3732" s="2">
        <v>3731.0</v>
      </c>
      <c r="B3732" s="2" t="s">
        <v>6728</v>
      </c>
      <c r="C3732" s="2" t="s">
        <v>23</v>
      </c>
      <c r="K3732" s="2">
        <v>50.0</v>
      </c>
      <c r="N3732" s="6">
        <v>44686.0</v>
      </c>
      <c r="Q3732" s="2" t="s">
        <v>6729</v>
      </c>
    </row>
    <row r="3733">
      <c r="A3733" s="2">
        <v>3732.0</v>
      </c>
      <c r="B3733" s="2" t="s">
        <v>6730</v>
      </c>
      <c r="C3733" s="2" t="s">
        <v>23</v>
      </c>
      <c r="K3733" s="2">
        <v>40.0</v>
      </c>
      <c r="N3733" s="6">
        <v>45750.0</v>
      </c>
      <c r="Q3733" s="2" t="s">
        <v>6731</v>
      </c>
    </row>
    <row r="3734">
      <c r="A3734" s="2">
        <v>3733.0</v>
      </c>
      <c r="B3734" s="2" t="s">
        <v>6732</v>
      </c>
      <c r="C3734" s="2" t="s">
        <v>23</v>
      </c>
      <c r="N3734" s="6">
        <v>45351.0</v>
      </c>
      <c r="Q3734" s="2" t="s">
        <v>2948</v>
      </c>
    </row>
    <row r="3735">
      <c r="A3735" s="2">
        <v>3734.0</v>
      </c>
      <c r="B3735" s="2" t="s">
        <v>6733</v>
      </c>
      <c r="C3735" s="2" t="s">
        <v>23</v>
      </c>
      <c r="K3735" s="2">
        <v>50.0</v>
      </c>
      <c r="N3735" s="6">
        <v>44124.0</v>
      </c>
      <c r="Q3735" s="2" t="s">
        <v>6467</v>
      </c>
    </row>
    <row r="3736">
      <c r="A3736" s="2">
        <v>3735.0</v>
      </c>
      <c r="B3736" s="2" t="s">
        <v>6734</v>
      </c>
      <c r="C3736" s="2" t="s">
        <v>23</v>
      </c>
      <c r="K3736" s="2">
        <v>40.0</v>
      </c>
      <c r="N3736" s="6">
        <v>45650.0</v>
      </c>
      <c r="Q3736" s="2" t="s">
        <v>6735</v>
      </c>
    </row>
    <row r="3737">
      <c r="A3737" s="2">
        <v>3736.0</v>
      </c>
      <c r="B3737" s="2" t="s">
        <v>6736</v>
      </c>
      <c r="C3737" s="2" t="s">
        <v>23</v>
      </c>
      <c r="N3737" s="6">
        <v>44919.0</v>
      </c>
      <c r="Q3737" s="2" t="s">
        <v>86</v>
      </c>
    </row>
    <row r="3738">
      <c r="A3738" s="2">
        <v>3737.0</v>
      </c>
      <c r="B3738" s="2" t="s">
        <v>6737</v>
      </c>
      <c r="C3738" s="2" t="s">
        <v>23</v>
      </c>
      <c r="K3738" s="2">
        <v>150.0</v>
      </c>
      <c r="N3738" s="6">
        <v>43925.0</v>
      </c>
      <c r="Q3738" s="2" t="s">
        <v>6738</v>
      </c>
    </row>
    <row r="3739">
      <c r="A3739" s="2">
        <v>3738.0</v>
      </c>
      <c r="B3739" s="2" t="s">
        <v>6739</v>
      </c>
      <c r="C3739" s="2" t="s">
        <v>23</v>
      </c>
      <c r="N3739" s="6">
        <v>44143.0</v>
      </c>
      <c r="Q3739" s="2" t="s">
        <v>86</v>
      </c>
    </row>
    <row r="3740">
      <c r="A3740" s="2">
        <v>3739.0</v>
      </c>
      <c r="B3740" s="2" t="s">
        <v>6740</v>
      </c>
      <c r="C3740" s="2" t="s">
        <v>23</v>
      </c>
      <c r="K3740" s="2">
        <v>10.0</v>
      </c>
      <c r="N3740" s="6">
        <v>45932.0</v>
      </c>
      <c r="Q3740" s="2" t="s">
        <v>6741</v>
      </c>
    </row>
    <row r="3741">
      <c r="A3741" s="2">
        <v>3740.0</v>
      </c>
      <c r="B3741" s="2" t="s">
        <v>6742</v>
      </c>
      <c r="C3741" s="2" t="s">
        <v>23</v>
      </c>
      <c r="K3741" s="2">
        <v>90.0</v>
      </c>
      <c r="N3741" s="6">
        <v>43886.0</v>
      </c>
      <c r="Q3741" s="2" t="s">
        <v>6743</v>
      </c>
    </row>
    <row r="3742">
      <c r="A3742" s="2">
        <v>3741.0</v>
      </c>
      <c r="B3742" s="2" t="s">
        <v>6744</v>
      </c>
      <c r="C3742" s="2" t="s">
        <v>23</v>
      </c>
      <c r="K3742" s="2">
        <v>10.0</v>
      </c>
      <c r="N3742" s="6">
        <v>45432.0</v>
      </c>
      <c r="Q3742" s="2" t="s">
        <v>6745</v>
      </c>
    </row>
    <row r="3743">
      <c r="A3743" s="2">
        <v>3742.0</v>
      </c>
      <c r="B3743" s="2" t="s">
        <v>6746</v>
      </c>
      <c r="C3743" s="2" t="s">
        <v>23</v>
      </c>
      <c r="K3743" s="2">
        <v>50.0</v>
      </c>
      <c r="N3743" s="6">
        <v>43888.0</v>
      </c>
      <c r="Q3743" s="2" t="s">
        <v>2738</v>
      </c>
    </row>
    <row r="3744">
      <c r="A3744" s="2">
        <v>3743.0</v>
      </c>
      <c r="B3744" s="2" t="s">
        <v>6747</v>
      </c>
      <c r="C3744" s="2" t="s">
        <v>23</v>
      </c>
      <c r="K3744" s="2">
        <v>40.0</v>
      </c>
      <c r="N3744" s="6">
        <v>44468.0</v>
      </c>
      <c r="Q3744" s="2" t="s">
        <v>1116</v>
      </c>
    </row>
    <row r="3745">
      <c r="A3745" s="2">
        <v>3744.0</v>
      </c>
      <c r="B3745" s="2" t="s">
        <v>6748</v>
      </c>
      <c r="C3745" s="2" t="s">
        <v>23</v>
      </c>
      <c r="K3745" s="2">
        <v>20.0</v>
      </c>
      <c r="N3745" s="6">
        <v>44977.0</v>
      </c>
      <c r="Q3745" s="2" t="s">
        <v>6749</v>
      </c>
    </row>
    <row r="3746">
      <c r="A3746" s="2">
        <v>3745.0</v>
      </c>
      <c r="B3746" s="2" t="s">
        <v>6750</v>
      </c>
      <c r="C3746" s="2" t="s">
        <v>23</v>
      </c>
      <c r="K3746" s="2">
        <v>40.0</v>
      </c>
      <c r="N3746" s="6">
        <v>44389.0</v>
      </c>
      <c r="Q3746" s="2" t="s">
        <v>1466</v>
      </c>
    </row>
    <row r="3747">
      <c r="A3747" s="2">
        <v>3746.0</v>
      </c>
      <c r="B3747" s="2" t="s">
        <v>6751</v>
      </c>
      <c r="C3747" s="2" t="s">
        <v>23</v>
      </c>
      <c r="N3747" s="6">
        <v>45804.0</v>
      </c>
      <c r="Q3747" s="2" t="s">
        <v>6752</v>
      </c>
    </row>
    <row r="3748">
      <c r="A3748" s="2">
        <v>3747.0</v>
      </c>
      <c r="B3748" s="2" t="s">
        <v>6753</v>
      </c>
      <c r="C3748" s="2" t="s">
        <v>23</v>
      </c>
      <c r="K3748" s="2">
        <v>90.0</v>
      </c>
      <c r="N3748" s="6">
        <v>44762.0</v>
      </c>
      <c r="Q3748" s="2" t="s">
        <v>6754</v>
      </c>
    </row>
    <row r="3749">
      <c r="A3749" s="2">
        <v>3748.0</v>
      </c>
      <c r="B3749" s="2" t="s">
        <v>6755</v>
      </c>
      <c r="C3749" s="2" t="s">
        <v>23</v>
      </c>
      <c r="N3749" s="6">
        <v>44634.0</v>
      </c>
      <c r="Q3749" s="2" t="s">
        <v>86</v>
      </c>
    </row>
    <row r="3750">
      <c r="A3750" s="2">
        <v>3749.0</v>
      </c>
      <c r="B3750" s="2" t="s">
        <v>6756</v>
      </c>
      <c r="C3750" s="2" t="s">
        <v>23</v>
      </c>
      <c r="K3750" s="2">
        <v>60.0</v>
      </c>
      <c r="N3750" s="6">
        <v>44314.0</v>
      </c>
      <c r="Q3750" s="2" t="s">
        <v>1116</v>
      </c>
    </row>
    <row r="3751">
      <c r="A3751" s="2">
        <v>3750.0</v>
      </c>
      <c r="B3751" s="2" t="s">
        <v>265</v>
      </c>
      <c r="C3751" s="2" t="s">
        <v>23</v>
      </c>
      <c r="K3751" s="2">
        <v>150.0</v>
      </c>
      <c r="N3751" s="6">
        <v>44028.0</v>
      </c>
      <c r="Q3751" s="2" t="s">
        <v>270</v>
      </c>
    </row>
    <row r="3752">
      <c r="A3752" s="2">
        <v>3751.0</v>
      </c>
      <c r="B3752" s="2" t="s">
        <v>6757</v>
      </c>
      <c r="C3752" s="2" t="s">
        <v>23</v>
      </c>
      <c r="K3752" s="2">
        <v>30.0</v>
      </c>
      <c r="N3752" s="6">
        <v>44190.0</v>
      </c>
      <c r="Q3752" s="2" t="s">
        <v>6758</v>
      </c>
    </row>
    <row r="3753">
      <c r="A3753" s="2">
        <v>3752.0</v>
      </c>
      <c r="B3753" s="2" t="s">
        <v>6759</v>
      </c>
      <c r="C3753" s="2" t="s">
        <v>23</v>
      </c>
      <c r="N3753" s="6">
        <v>45569.0</v>
      </c>
      <c r="Q3753" s="2" t="s">
        <v>6760</v>
      </c>
    </row>
    <row r="3754">
      <c r="A3754" s="2">
        <v>3753.0</v>
      </c>
      <c r="B3754" s="2" t="s">
        <v>6761</v>
      </c>
      <c r="C3754" s="2" t="s">
        <v>23</v>
      </c>
      <c r="K3754" s="2">
        <v>10.0</v>
      </c>
      <c r="N3754" s="6">
        <v>42447.0</v>
      </c>
      <c r="Q3754" s="2" t="s">
        <v>6762</v>
      </c>
    </row>
    <row r="3755">
      <c r="A3755" s="2">
        <v>3754.0</v>
      </c>
      <c r="B3755" s="2" t="s">
        <v>6763</v>
      </c>
      <c r="C3755" s="2" t="s">
        <v>23</v>
      </c>
      <c r="N3755" s="6">
        <v>46098.0</v>
      </c>
      <c r="Q3755" s="2" t="s">
        <v>6764</v>
      </c>
    </row>
    <row r="3756">
      <c r="A3756" s="2">
        <v>3755.0</v>
      </c>
      <c r="B3756" s="2" t="s">
        <v>6765</v>
      </c>
      <c r="C3756" s="2" t="s">
        <v>23</v>
      </c>
      <c r="K3756" s="2">
        <v>70.0</v>
      </c>
      <c r="N3756" s="6">
        <v>45782.0</v>
      </c>
      <c r="Q3756" s="2" t="s">
        <v>6766</v>
      </c>
    </row>
    <row r="3757">
      <c r="A3757" s="2">
        <v>3756.0</v>
      </c>
      <c r="B3757" s="2" t="s">
        <v>6767</v>
      </c>
      <c r="C3757" s="2" t="s">
        <v>23</v>
      </c>
      <c r="K3757" s="2">
        <v>20.0</v>
      </c>
      <c r="N3757" s="6">
        <v>44854.0</v>
      </c>
      <c r="Q3757" s="2" t="s">
        <v>235</v>
      </c>
    </row>
    <row r="3758">
      <c r="A3758" s="2">
        <v>3757.0</v>
      </c>
      <c r="B3758" s="2" t="s">
        <v>6768</v>
      </c>
      <c r="C3758" s="2" t="s">
        <v>23</v>
      </c>
      <c r="K3758" s="2">
        <v>200.0</v>
      </c>
      <c r="N3758" s="6">
        <v>45549.0</v>
      </c>
      <c r="Q3758" s="2" t="s">
        <v>6769</v>
      </c>
    </row>
    <row r="3759">
      <c r="A3759" s="2">
        <v>3758.0</v>
      </c>
      <c r="B3759" s="2" t="s">
        <v>6770</v>
      </c>
      <c r="C3759" s="2" t="s">
        <v>23</v>
      </c>
      <c r="N3759" s="6">
        <v>42985.0</v>
      </c>
      <c r="Q3759" s="2" t="s">
        <v>1466</v>
      </c>
    </row>
    <row r="3760">
      <c r="A3760" s="2">
        <v>3759.0</v>
      </c>
      <c r="B3760" s="2" t="s">
        <v>6771</v>
      </c>
      <c r="C3760" s="2" t="s">
        <v>23</v>
      </c>
      <c r="K3760" s="2">
        <v>10.0</v>
      </c>
      <c r="N3760" s="6">
        <v>43877.0</v>
      </c>
      <c r="Q3760" s="2" t="s">
        <v>4041</v>
      </c>
    </row>
    <row r="3761">
      <c r="A3761" s="2">
        <v>3760.0</v>
      </c>
      <c r="B3761" s="2" t="s">
        <v>6772</v>
      </c>
      <c r="C3761" s="2" t="s">
        <v>23</v>
      </c>
      <c r="K3761" s="2">
        <v>40.0</v>
      </c>
      <c r="N3761" s="6">
        <v>44865.0</v>
      </c>
      <c r="Q3761" s="2" t="s">
        <v>1156</v>
      </c>
    </row>
    <row r="3762">
      <c r="A3762" s="2">
        <v>3761.0</v>
      </c>
      <c r="B3762" s="2" t="s">
        <v>6773</v>
      </c>
      <c r="C3762" s="2" t="s">
        <v>23</v>
      </c>
      <c r="N3762" s="6">
        <v>45534.0</v>
      </c>
      <c r="Q3762" s="2" t="s">
        <v>2541</v>
      </c>
    </row>
    <row r="3763">
      <c r="A3763" s="2">
        <v>3762.0</v>
      </c>
      <c r="B3763" s="2" t="s">
        <v>6774</v>
      </c>
      <c r="C3763" s="2" t="s">
        <v>23</v>
      </c>
      <c r="K3763" s="2">
        <v>20.0</v>
      </c>
      <c r="N3763" s="6">
        <v>45725.0</v>
      </c>
      <c r="Q3763" s="2" t="s">
        <v>6775</v>
      </c>
    </row>
    <row r="3764">
      <c r="A3764" s="2">
        <v>3763.0</v>
      </c>
      <c r="B3764" s="2" t="s">
        <v>6776</v>
      </c>
      <c r="C3764" s="2" t="s">
        <v>23</v>
      </c>
      <c r="N3764" s="6">
        <v>44366.0</v>
      </c>
      <c r="Q3764" s="2" t="s">
        <v>6777</v>
      </c>
    </row>
    <row r="3765">
      <c r="A3765" s="2">
        <v>3764.0</v>
      </c>
      <c r="B3765" s="2" t="s">
        <v>6778</v>
      </c>
      <c r="C3765" s="2" t="s">
        <v>23</v>
      </c>
      <c r="K3765" s="2">
        <v>30.0</v>
      </c>
      <c r="N3765" s="6">
        <v>44914.0</v>
      </c>
      <c r="Q3765" s="2" t="s">
        <v>86</v>
      </c>
    </row>
    <row r="3766">
      <c r="A3766" s="2">
        <v>3765.0</v>
      </c>
      <c r="B3766" s="2" t="s">
        <v>6779</v>
      </c>
      <c r="C3766" s="2" t="s">
        <v>23</v>
      </c>
      <c r="K3766" s="2">
        <v>150.0</v>
      </c>
      <c r="N3766" s="6">
        <v>43884.0</v>
      </c>
      <c r="Q3766" s="2" t="s">
        <v>6780</v>
      </c>
    </row>
    <row r="3767">
      <c r="A3767" s="2">
        <v>3766.0</v>
      </c>
      <c r="B3767" s="2" t="s">
        <v>6781</v>
      </c>
      <c r="C3767" s="2" t="s">
        <v>23</v>
      </c>
      <c r="K3767" s="2">
        <v>20.0</v>
      </c>
      <c r="N3767" s="6">
        <v>44186.0</v>
      </c>
      <c r="Q3767" s="2" t="s">
        <v>6782</v>
      </c>
    </row>
    <row r="3768">
      <c r="A3768" s="2">
        <v>3767.0</v>
      </c>
      <c r="B3768" s="2" t="s">
        <v>6783</v>
      </c>
      <c r="C3768" s="2" t="s">
        <v>23</v>
      </c>
      <c r="K3768" s="2">
        <v>50.0</v>
      </c>
      <c r="N3768" s="6">
        <v>44173.0</v>
      </c>
      <c r="Q3768" s="2" t="s">
        <v>1857</v>
      </c>
    </row>
    <row r="3769">
      <c r="A3769" s="2">
        <v>3768.0</v>
      </c>
      <c r="B3769" s="2" t="s">
        <v>6784</v>
      </c>
      <c r="C3769" s="2" t="s">
        <v>23</v>
      </c>
      <c r="K3769" s="2">
        <v>30.0</v>
      </c>
      <c r="N3769" s="6">
        <v>44160.0</v>
      </c>
      <c r="Q3769" s="2" t="s">
        <v>1521</v>
      </c>
    </row>
    <row r="3770">
      <c r="A3770" s="2">
        <v>3769.0</v>
      </c>
      <c r="B3770" s="2" t="s">
        <v>6785</v>
      </c>
      <c r="C3770" s="2" t="s">
        <v>23</v>
      </c>
      <c r="K3770" s="2">
        <v>40.0</v>
      </c>
      <c r="N3770" s="6">
        <v>45449.0</v>
      </c>
      <c r="Q3770" s="2" t="s">
        <v>3082</v>
      </c>
    </row>
    <row r="3771">
      <c r="A3771" s="2">
        <v>3770.0</v>
      </c>
      <c r="B3771" s="2" t="s">
        <v>6786</v>
      </c>
      <c r="C3771" s="2" t="s">
        <v>23</v>
      </c>
      <c r="K3771" s="2">
        <v>40.0</v>
      </c>
      <c r="N3771" s="6">
        <v>44851.0</v>
      </c>
      <c r="Q3771" s="2" t="s">
        <v>86</v>
      </c>
    </row>
    <row r="3772">
      <c r="A3772" s="2">
        <v>3771.0</v>
      </c>
      <c r="B3772" s="2" t="s">
        <v>6787</v>
      </c>
      <c r="C3772" s="2" t="s">
        <v>23</v>
      </c>
      <c r="K3772" s="2">
        <v>150.0</v>
      </c>
      <c r="N3772" s="6">
        <v>44103.0</v>
      </c>
      <c r="Q3772" s="2" t="s">
        <v>6788</v>
      </c>
    </row>
    <row r="3773">
      <c r="A3773" s="2">
        <v>3772.0</v>
      </c>
      <c r="B3773" s="2" t="s">
        <v>6789</v>
      </c>
      <c r="C3773" s="2" t="s">
        <v>23</v>
      </c>
      <c r="N3773" s="6">
        <v>44357.0</v>
      </c>
      <c r="Q3773" s="2" t="s">
        <v>86</v>
      </c>
    </row>
    <row r="3774">
      <c r="A3774" s="2">
        <v>3773.0</v>
      </c>
      <c r="B3774" s="2" t="s">
        <v>6790</v>
      </c>
      <c r="C3774" s="2" t="s">
        <v>23</v>
      </c>
      <c r="N3774" s="6">
        <v>44604.0</v>
      </c>
      <c r="Q3774" s="2" t="s">
        <v>86</v>
      </c>
    </row>
    <row r="3775">
      <c r="A3775" s="2">
        <v>3774.0</v>
      </c>
      <c r="B3775" s="2" t="s">
        <v>6791</v>
      </c>
      <c r="C3775" s="2" t="s">
        <v>23</v>
      </c>
      <c r="N3775" s="6">
        <v>42439.0</v>
      </c>
      <c r="Q3775" s="2" t="s">
        <v>86</v>
      </c>
    </row>
    <row r="3776">
      <c r="A3776" s="2">
        <v>3775.0</v>
      </c>
      <c r="B3776" s="2" t="s">
        <v>6792</v>
      </c>
      <c r="C3776" s="2" t="s">
        <v>23</v>
      </c>
      <c r="N3776" s="6">
        <v>42812.0</v>
      </c>
      <c r="Q3776" s="2" t="s">
        <v>6793</v>
      </c>
    </row>
    <row r="3777">
      <c r="A3777" s="2">
        <v>3776.0</v>
      </c>
      <c r="B3777" s="2" t="s">
        <v>6794</v>
      </c>
      <c r="C3777" s="2" t="s">
        <v>23</v>
      </c>
      <c r="K3777" s="2">
        <v>80.0</v>
      </c>
      <c r="N3777" s="6">
        <v>45723.0</v>
      </c>
      <c r="Q3777" s="2" t="s">
        <v>6795</v>
      </c>
    </row>
    <row r="3778">
      <c r="A3778" s="2">
        <v>3777.0</v>
      </c>
      <c r="B3778" s="2" t="s">
        <v>6796</v>
      </c>
      <c r="C3778" s="2" t="s">
        <v>23</v>
      </c>
      <c r="K3778" s="2">
        <v>30.0</v>
      </c>
      <c r="N3778" s="6">
        <v>44277.0</v>
      </c>
      <c r="Q3778" s="2" t="s">
        <v>2014</v>
      </c>
    </row>
    <row r="3779">
      <c r="A3779" s="2">
        <v>3778.0</v>
      </c>
      <c r="B3779" s="2" t="s">
        <v>6797</v>
      </c>
      <c r="C3779" s="2" t="s">
        <v>23</v>
      </c>
      <c r="K3779" s="2">
        <v>20.0</v>
      </c>
      <c r="N3779" s="6">
        <v>44151.0</v>
      </c>
      <c r="Q3779" s="2" t="s">
        <v>60</v>
      </c>
    </row>
    <row r="3780">
      <c r="A3780" s="2">
        <v>3779.0</v>
      </c>
      <c r="B3780" s="2" t="s">
        <v>6798</v>
      </c>
      <c r="C3780" s="2" t="s">
        <v>23</v>
      </c>
      <c r="K3780" s="2">
        <v>30.0</v>
      </c>
      <c r="N3780" s="6">
        <v>43223.0</v>
      </c>
      <c r="Q3780" s="2" t="s">
        <v>6799</v>
      </c>
    </row>
    <row r="3781">
      <c r="A3781" s="2">
        <v>3780.0</v>
      </c>
      <c r="B3781" s="2" t="s">
        <v>6800</v>
      </c>
      <c r="C3781" s="2" t="s">
        <v>23</v>
      </c>
      <c r="K3781" s="2">
        <v>20.0</v>
      </c>
      <c r="N3781" s="6">
        <v>45601.0</v>
      </c>
      <c r="Q3781" s="2" t="s">
        <v>6801</v>
      </c>
    </row>
    <row r="3782">
      <c r="A3782" s="2">
        <v>3781.0</v>
      </c>
      <c r="B3782" s="2" t="s">
        <v>6802</v>
      </c>
      <c r="C3782" s="2" t="s">
        <v>23</v>
      </c>
      <c r="K3782" s="2">
        <v>100.0</v>
      </c>
      <c r="N3782" s="6">
        <v>44622.0</v>
      </c>
      <c r="Q3782" s="2" t="s">
        <v>6803</v>
      </c>
    </row>
    <row r="3783">
      <c r="A3783" s="2">
        <v>3782.0</v>
      </c>
      <c r="B3783" s="2" t="s">
        <v>6804</v>
      </c>
      <c r="C3783" s="2" t="s">
        <v>23</v>
      </c>
      <c r="K3783" s="2">
        <v>10.0</v>
      </c>
      <c r="N3783" s="6">
        <v>44337.0</v>
      </c>
      <c r="Q3783" s="2" t="s">
        <v>86</v>
      </c>
    </row>
    <row r="3784">
      <c r="A3784" s="2">
        <v>3783.0</v>
      </c>
      <c r="B3784" s="2" t="s">
        <v>6805</v>
      </c>
      <c r="C3784" s="2" t="s">
        <v>23</v>
      </c>
      <c r="K3784" s="2">
        <v>20.0</v>
      </c>
      <c r="N3784" s="6">
        <v>44726.0</v>
      </c>
      <c r="Q3784" s="2" t="s">
        <v>426</v>
      </c>
    </row>
    <row r="3785">
      <c r="A3785" s="2">
        <v>3784.0</v>
      </c>
      <c r="B3785" s="2" t="s">
        <v>6806</v>
      </c>
      <c r="C3785" s="2" t="s">
        <v>23</v>
      </c>
      <c r="K3785" s="2">
        <v>30.0</v>
      </c>
      <c r="N3785" s="6">
        <v>45147.0</v>
      </c>
      <c r="Q3785" s="2" t="s">
        <v>6807</v>
      </c>
    </row>
    <row r="3786">
      <c r="A3786" s="2">
        <v>3785.0</v>
      </c>
      <c r="B3786" s="2" t="s">
        <v>6808</v>
      </c>
      <c r="C3786" s="2" t="s">
        <v>23</v>
      </c>
      <c r="K3786" s="2">
        <v>150.0</v>
      </c>
      <c r="N3786" s="6">
        <v>44102.0</v>
      </c>
      <c r="Q3786" s="2" t="s">
        <v>6809</v>
      </c>
    </row>
    <row r="3787">
      <c r="A3787" s="2">
        <v>3786.0</v>
      </c>
      <c r="B3787" s="2" t="s">
        <v>6810</v>
      </c>
      <c r="C3787" s="2" t="s">
        <v>23</v>
      </c>
      <c r="K3787" s="2">
        <v>80.0</v>
      </c>
      <c r="N3787" s="6">
        <v>45527.0</v>
      </c>
      <c r="Q3787" s="2" t="s">
        <v>6811</v>
      </c>
    </row>
    <row r="3788">
      <c r="A3788" s="2">
        <v>3787.0</v>
      </c>
      <c r="B3788" s="2" t="s">
        <v>6812</v>
      </c>
      <c r="C3788" s="2" t="s">
        <v>23</v>
      </c>
      <c r="N3788" s="6">
        <v>44542.0</v>
      </c>
      <c r="Q3788" s="2" t="s">
        <v>86</v>
      </c>
    </row>
    <row r="3789">
      <c r="A3789" s="2">
        <v>3788.0</v>
      </c>
      <c r="B3789" s="2" t="s">
        <v>6813</v>
      </c>
      <c r="C3789" s="2" t="s">
        <v>23</v>
      </c>
      <c r="K3789" s="2">
        <v>10.0</v>
      </c>
      <c r="N3789" s="6">
        <v>45537.0</v>
      </c>
      <c r="Q3789" s="2" t="s">
        <v>6814</v>
      </c>
    </row>
    <row r="3790">
      <c r="A3790" s="2">
        <v>3789.0</v>
      </c>
      <c r="B3790" s="2" t="s">
        <v>6815</v>
      </c>
      <c r="C3790" s="2" t="s">
        <v>23</v>
      </c>
      <c r="N3790" s="6">
        <v>45010.0</v>
      </c>
      <c r="Q3790" s="2" t="s">
        <v>86</v>
      </c>
    </row>
    <row r="3791">
      <c r="A3791" s="2">
        <v>3790.0</v>
      </c>
      <c r="B3791" s="2" t="s">
        <v>6816</v>
      </c>
      <c r="C3791" s="2" t="s">
        <v>23</v>
      </c>
      <c r="K3791" s="2">
        <v>100.0</v>
      </c>
      <c r="N3791" s="6">
        <v>43879.0</v>
      </c>
      <c r="Q3791" s="2" t="s">
        <v>6817</v>
      </c>
    </row>
    <row r="3792">
      <c r="A3792" s="2">
        <v>3791.0</v>
      </c>
      <c r="B3792" s="2" t="s">
        <v>6818</v>
      </c>
      <c r="C3792" s="2" t="s">
        <v>23</v>
      </c>
      <c r="N3792" s="6">
        <v>45166.0</v>
      </c>
      <c r="Q3792" s="2" t="s">
        <v>86</v>
      </c>
    </row>
    <row r="3793">
      <c r="A3793" s="2">
        <v>3792.0</v>
      </c>
      <c r="B3793" s="2" t="s">
        <v>6819</v>
      </c>
      <c r="C3793" s="2" t="s">
        <v>23</v>
      </c>
      <c r="K3793" s="2">
        <v>50.0</v>
      </c>
      <c r="N3793" s="6">
        <v>43975.0</v>
      </c>
      <c r="Q3793" s="2" t="s">
        <v>2001</v>
      </c>
    </row>
    <row r="3794">
      <c r="A3794" s="2">
        <v>3793.0</v>
      </c>
      <c r="B3794" s="2" t="s">
        <v>6820</v>
      </c>
      <c r="C3794" s="2" t="s">
        <v>23</v>
      </c>
      <c r="N3794" s="6">
        <v>44595.0</v>
      </c>
      <c r="Q3794" s="2" t="s">
        <v>86</v>
      </c>
    </row>
    <row r="3795">
      <c r="A3795" s="2">
        <v>3794.0</v>
      </c>
      <c r="B3795" s="2" t="s">
        <v>6821</v>
      </c>
      <c r="C3795" s="2" t="s">
        <v>23</v>
      </c>
      <c r="K3795" s="2">
        <v>40.0</v>
      </c>
      <c r="N3795" s="6">
        <v>45078.0</v>
      </c>
      <c r="Q3795" s="2" t="s">
        <v>1123</v>
      </c>
    </row>
    <row r="3796">
      <c r="A3796" s="2">
        <v>3795.0</v>
      </c>
      <c r="B3796" s="2" t="s">
        <v>6822</v>
      </c>
      <c r="C3796" s="2" t="s">
        <v>23</v>
      </c>
      <c r="N3796" s="6">
        <v>43979.0</v>
      </c>
      <c r="Q3796" s="2" t="s">
        <v>86</v>
      </c>
    </row>
    <row r="3797">
      <c r="A3797" s="2">
        <v>3796.0</v>
      </c>
      <c r="B3797" s="2" t="s">
        <v>6823</v>
      </c>
      <c r="C3797" s="2" t="s">
        <v>23</v>
      </c>
      <c r="K3797" s="2">
        <v>50.0</v>
      </c>
      <c r="N3797" s="6">
        <v>44606.0</v>
      </c>
      <c r="Q3797" s="2" t="s">
        <v>6824</v>
      </c>
    </row>
    <row r="3798">
      <c r="A3798" s="2">
        <v>3797.0</v>
      </c>
      <c r="B3798" s="2" t="s">
        <v>6825</v>
      </c>
      <c r="C3798" s="2" t="s">
        <v>23</v>
      </c>
      <c r="K3798" s="2">
        <v>100.0</v>
      </c>
      <c r="N3798" s="6">
        <v>45074.0</v>
      </c>
      <c r="Q3798" s="2" t="s">
        <v>6826</v>
      </c>
    </row>
    <row r="3799">
      <c r="A3799" s="2">
        <v>3798.0</v>
      </c>
      <c r="B3799" s="2" t="s">
        <v>6827</v>
      </c>
      <c r="C3799" s="2" t="s">
        <v>23</v>
      </c>
      <c r="N3799" s="6">
        <v>44487.0</v>
      </c>
      <c r="Q3799" s="2" t="s">
        <v>86</v>
      </c>
    </row>
    <row r="3800">
      <c r="A3800" s="2">
        <v>3799.0</v>
      </c>
      <c r="B3800" s="2" t="s">
        <v>6828</v>
      </c>
      <c r="C3800" s="2" t="s">
        <v>23</v>
      </c>
      <c r="K3800" s="2">
        <v>30.0</v>
      </c>
      <c r="N3800" s="6">
        <v>44260.0</v>
      </c>
      <c r="Q3800" s="2" t="s">
        <v>6829</v>
      </c>
    </row>
    <row r="3801">
      <c r="A3801" s="2">
        <v>3800.0</v>
      </c>
      <c r="B3801" s="2" t="s">
        <v>6830</v>
      </c>
      <c r="C3801" s="2" t="s">
        <v>23</v>
      </c>
      <c r="N3801" s="6">
        <v>45259.0</v>
      </c>
      <c r="Q3801" s="2" t="s">
        <v>3934</v>
      </c>
    </row>
    <row r="3802">
      <c r="A3802" s="2">
        <v>3801.0</v>
      </c>
      <c r="B3802" s="2" t="s">
        <v>6831</v>
      </c>
      <c r="C3802" s="2" t="s">
        <v>23</v>
      </c>
      <c r="N3802" s="6">
        <v>44332.0</v>
      </c>
      <c r="Q3802" s="2" t="s">
        <v>86</v>
      </c>
    </row>
    <row r="3803">
      <c r="A3803" s="2">
        <v>3802.0</v>
      </c>
      <c r="B3803" s="2" t="s">
        <v>6832</v>
      </c>
      <c r="C3803" s="2" t="s">
        <v>23</v>
      </c>
      <c r="K3803" s="2">
        <v>150.0</v>
      </c>
      <c r="N3803" s="6">
        <v>45568.0</v>
      </c>
      <c r="Q3803" s="2" t="s">
        <v>6833</v>
      </c>
    </row>
    <row r="3804">
      <c r="A3804" s="2">
        <v>3803.0</v>
      </c>
      <c r="B3804" s="2" t="s">
        <v>6834</v>
      </c>
      <c r="C3804" s="2" t="s">
        <v>23</v>
      </c>
      <c r="K3804" s="2">
        <v>40.0</v>
      </c>
      <c r="N3804" s="6">
        <v>44027.0</v>
      </c>
      <c r="Q3804" s="2" t="s">
        <v>1472</v>
      </c>
    </row>
    <row r="3805">
      <c r="A3805" s="2">
        <v>3804.0</v>
      </c>
      <c r="B3805" s="2" t="s">
        <v>6835</v>
      </c>
      <c r="C3805" s="2" t="s">
        <v>23</v>
      </c>
      <c r="N3805" s="6">
        <v>44543.0</v>
      </c>
      <c r="Q3805" s="2" t="s">
        <v>86</v>
      </c>
    </row>
    <row r="3806">
      <c r="A3806" s="2">
        <v>3805.0</v>
      </c>
      <c r="B3806" s="2" t="s">
        <v>6836</v>
      </c>
      <c r="C3806" s="2" t="s">
        <v>23</v>
      </c>
      <c r="N3806" s="6">
        <v>45464.0</v>
      </c>
      <c r="Q3806" s="2" t="s">
        <v>6837</v>
      </c>
    </row>
    <row r="3807">
      <c r="A3807" s="2">
        <v>3806.0</v>
      </c>
      <c r="B3807" s="2" t="s">
        <v>6838</v>
      </c>
      <c r="C3807" s="2" t="s">
        <v>23</v>
      </c>
      <c r="K3807" s="2">
        <v>90.0</v>
      </c>
      <c r="N3807" s="6">
        <v>44053.0</v>
      </c>
      <c r="Q3807" s="2" t="s">
        <v>5802</v>
      </c>
    </row>
    <row r="3808">
      <c r="A3808" s="2">
        <v>3807.0</v>
      </c>
      <c r="B3808" s="2" t="s">
        <v>6839</v>
      </c>
      <c r="C3808" s="2" t="s">
        <v>23</v>
      </c>
      <c r="N3808" s="6">
        <v>44543.0</v>
      </c>
      <c r="Q3808" s="2" t="s">
        <v>86</v>
      </c>
    </row>
    <row r="3809">
      <c r="A3809" s="2">
        <v>3808.0</v>
      </c>
      <c r="B3809" s="2" t="s">
        <v>6840</v>
      </c>
      <c r="C3809" s="2" t="s">
        <v>23</v>
      </c>
      <c r="N3809" s="6">
        <v>45220.0</v>
      </c>
      <c r="Q3809" s="2" t="s">
        <v>86</v>
      </c>
    </row>
    <row r="3810">
      <c r="A3810" s="2">
        <v>3809.0</v>
      </c>
      <c r="B3810" s="2" t="s">
        <v>6841</v>
      </c>
      <c r="C3810" s="2" t="s">
        <v>23</v>
      </c>
      <c r="N3810" s="6">
        <v>44813.0</v>
      </c>
      <c r="Q3810" s="2" t="s">
        <v>86</v>
      </c>
    </row>
    <row r="3811">
      <c r="A3811" s="2">
        <v>3810.0</v>
      </c>
      <c r="B3811" s="2" t="s">
        <v>6842</v>
      </c>
      <c r="C3811" s="2" t="s">
        <v>23</v>
      </c>
      <c r="N3811" s="6">
        <v>43891.0</v>
      </c>
      <c r="Q3811" s="2" t="s">
        <v>86</v>
      </c>
    </row>
    <row r="3812">
      <c r="A3812" s="2">
        <v>3811.0</v>
      </c>
      <c r="B3812" s="2" t="s">
        <v>6843</v>
      </c>
      <c r="C3812" s="2" t="s">
        <v>23</v>
      </c>
      <c r="K3812" s="2">
        <v>40.0</v>
      </c>
      <c r="N3812" s="6">
        <v>45645.0</v>
      </c>
      <c r="Q3812" s="2" t="s">
        <v>6844</v>
      </c>
    </row>
    <row r="3813">
      <c r="A3813" s="2">
        <v>3812.0</v>
      </c>
      <c r="B3813" s="2" t="s">
        <v>6845</v>
      </c>
      <c r="C3813" s="2" t="s">
        <v>23</v>
      </c>
      <c r="K3813" s="2">
        <v>10.0</v>
      </c>
      <c r="N3813" s="6">
        <v>42331.0</v>
      </c>
      <c r="Q3813" s="2" t="s">
        <v>6846</v>
      </c>
    </row>
    <row r="3814">
      <c r="A3814" s="2">
        <v>3813.0</v>
      </c>
      <c r="B3814" s="2" t="s">
        <v>6847</v>
      </c>
      <c r="C3814" s="2" t="s">
        <v>23</v>
      </c>
      <c r="N3814" s="6">
        <v>45356.0</v>
      </c>
      <c r="Q3814" s="2" t="s">
        <v>401</v>
      </c>
    </row>
    <row r="3815">
      <c r="A3815" s="2">
        <v>3814.0</v>
      </c>
      <c r="B3815" s="2" t="s">
        <v>6848</v>
      </c>
      <c r="C3815" s="2" t="s">
        <v>23</v>
      </c>
      <c r="N3815" s="6">
        <v>45099.0</v>
      </c>
      <c r="Q3815" s="2" t="s">
        <v>86</v>
      </c>
    </row>
    <row r="3816">
      <c r="A3816" s="2">
        <v>3815.0</v>
      </c>
      <c r="B3816" s="2" t="s">
        <v>6849</v>
      </c>
      <c r="C3816" s="2" t="s">
        <v>23</v>
      </c>
      <c r="K3816" s="2">
        <v>10.0</v>
      </c>
      <c r="N3816" s="6">
        <v>44662.0</v>
      </c>
      <c r="Q3816" s="2" t="s">
        <v>6850</v>
      </c>
    </row>
    <row r="3817">
      <c r="A3817" s="2">
        <v>3816.0</v>
      </c>
      <c r="B3817" s="2" t="s">
        <v>6851</v>
      </c>
      <c r="C3817" s="2" t="s">
        <v>23</v>
      </c>
      <c r="K3817" s="2">
        <v>20.0</v>
      </c>
      <c r="N3817" s="6">
        <v>43863.0</v>
      </c>
      <c r="Q3817" s="2" t="s">
        <v>6852</v>
      </c>
    </row>
    <row r="3818">
      <c r="A3818" s="2">
        <v>3817.0</v>
      </c>
      <c r="B3818" s="2" t="s">
        <v>6853</v>
      </c>
      <c r="C3818" s="2" t="s">
        <v>23</v>
      </c>
      <c r="K3818" s="2">
        <v>30.0</v>
      </c>
      <c r="N3818" s="6">
        <v>44026.0</v>
      </c>
      <c r="Q3818" s="2" t="s">
        <v>6854</v>
      </c>
    </row>
    <row r="3819">
      <c r="A3819" s="2">
        <v>3818.0</v>
      </c>
      <c r="B3819" s="2" t="s">
        <v>6855</v>
      </c>
      <c r="C3819" s="2" t="s">
        <v>23</v>
      </c>
      <c r="K3819" s="2">
        <v>100.0</v>
      </c>
      <c r="N3819" s="6">
        <v>43840.0</v>
      </c>
      <c r="Q3819" s="2" t="s">
        <v>6856</v>
      </c>
    </row>
    <row r="3820">
      <c r="A3820" s="2">
        <v>3819.0</v>
      </c>
      <c r="B3820" s="2" t="s">
        <v>6857</v>
      </c>
      <c r="C3820" s="2" t="s">
        <v>23</v>
      </c>
      <c r="K3820" s="2">
        <v>100.0</v>
      </c>
      <c r="N3820" s="6">
        <v>45325.0</v>
      </c>
      <c r="Q3820" s="2" t="s">
        <v>6858</v>
      </c>
    </row>
    <row r="3821">
      <c r="A3821" s="2">
        <v>3820.0</v>
      </c>
      <c r="B3821" s="2" t="s">
        <v>6859</v>
      </c>
      <c r="C3821" s="2" t="s">
        <v>23</v>
      </c>
      <c r="K3821" s="2">
        <v>60.0</v>
      </c>
      <c r="N3821" s="6">
        <v>45705.0</v>
      </c>
      <c r="Q3821" s="2" t="s">
        <v>6860</v>
      </c>
    </row>
    <row r="3822">
      <c r="A3822" s="2">
        <v>3821.0</v>
      </c>
      <c r="B3822" s="2" t="s">
        <v>6861</v>
      </c>
      <c r="C3822" s="2" t="s">
        <v>23</v>
      </c>
      <c r="K3822" s="2">
        <v>10.0</v>
      </c>
      <c r="N3822" s="6">
        <v>44840.0</v>
      </c>
      <c r="Q3822" s="2" t="s">
        <v>86</v>
      </c>
    </row>
    <row r="3823">
      <c r="A3823" s="2">
        <v>3822.0</v>
      </c>
      <c r="B3823" s="2" t="s">
        <v>6862</v>
      </c>
      <c r="C3823" s="2" t="s">
        <v>23</v>
      </c>
      <c r="K3823" s="2">
        <v>20.0</v>
      </c>
      <c r="N3823" s="6">
        <v>45029.0</v>
      </c>
      <c r="Q3823" s="2" t="s">
        <v>6863</v>
      </c>
    </row>
    <row r="3824">
      <c r="A3824" s="2">
        <v>3823.0</v>
      </c>
      <c r="B3824" s="2" t="s">
        <v>6864</v>
      </c>
      <c r="C3824" s="2" t="s">
        <v>23</v>
      </c>
      <c r="K3824" s="2">
        <v>40.0</v>
      </c>
      <c r="N3824" s="6">
        <v>45550.0</v>
      </c>
      <c r="Q3824" s="2" t="s">
        <v>5591</v>
      </c>
    </row>
    <row r="3825">
      <c r="A3825" s="2">
        <v>3824.0</v>
      </c>
      <c r="B3825" s="2" t="s">
        <v>6865</v>
      </c>
      <c r="C3825" s="2" t="s">
        <v>23</v>
      </c>
      <c r="K3825" s="2">
        <v>30.0</v>
      </c>
      <c r="N3825" s="6">
        <v>43974.0</v>
      </c>
      <c r="Q3825" s="2" t="s">
        <v>1437</v>
      </c>
    </row>
    <row r="3826">
      <c r="A3826" s="2">
        <v>3825.0</v>
      </c>
      <c r="B3826" s="2" t="s">
        <v>6866</v>
      </c>
      <c r="C3826" s="2" t="s">
        <v>23</v>
      </c>
      <c r="K3826" s="2">
        <v>30.0</v>
      </c>
      <c r="N3826" s="6">
        <v>44261.0</v>
      </c>
      <c r="Q3826" s="2" t="s">
        <v>6867</v>
      </c>
    </row>
    <row r="3827">
      <c r="A3827" s="2">
        <v>3826.0</v>
      </c>
      <c r="B3827" s="2" t="s">
        <v>6868</v>
      </c>
      <c r="C3827" s="2" t="s">
        <v>23</v>
      </c>
      <c r="K3827" s="2">
        <v>20.0</v>
      </c>
      <c r="N3827" s="6">
        <v>44309.0</v>
      </c>
      <c r="Q3827" s="2" t="s">
        <v>86</v>
      </c>
    </row>
    <row r="3828">
      <c r="A3828" s="2">
        <v>3827.0</v>
      </c>
      <c r="B3828" s="2" t="s">
        <v>6869</v>
      </c>
      <c r="C3828" s="2" t="s">
        <v>23</v>
      </c>
      <c r="N3828" s="6">
        <v>42411.0</v>
      </c>
      <c r="Q3828" s="2" t="s">
        <v>86</v>
      </c>
    </row>
    <row r="3829">
      <c r="A3829" s="2">
        <v>3828.0</v>
      </c>
      <c r="B3829" s="2" t="s">
        <v>6870</v>
      </c>
      <c r="C3829" s="2" t="s">
        <v>23</v>
      </c>
      <c r="K3829" s="2">
        <v>30.0</v>
      </c>
      <c r="N3829" s="6">
        <v>44316.0</v>
      </c>
      <c r="Q3829" s="2" t="s">
        <v>6871</v>
      </c>
    </row>
    <row r="3830">
      <c r="A3830" s="2">
        <v>3829.0</v>
      </c>
      <c r="B3830" s="2" t="s">
        <v>6872</v>
      </c>
      <c r="C3830" s="2" t="s">
        <v>23</v>
      </c>
      <c r="N3830" s="6">
        <v>44571.0</v>
      </c>
      <c r="Q3830" s="2" t="s">
        <v>86</v>
      </c>
    </row>
    <row r="3831">
      <c r="A3831" s="2">
        <v>3830.0</v>
      </c>
      <c r="B3831" s="2" t="s">
        <v>6873</v>
      </c>
      <c r="C3831" s="2" t="s">
        <v>23</v>
      </c>
      <c r="K3831" s="2">
        <v>30.0</v>
      </c>
      <c r="N3831" s="6">
        <v>45733.0</v>
      </c>
      <c r="Q3831" s="2" t="s">
        <v>6874</v>
      </c>
    </row>
    <row r="3832">
      <c r="A3832" s="2">
        <v>3831.0</v>
      </c>
      <c r="B3832" s="2" t="s">
        <v>6875</v>
      </c>
      <c r="C3832" s="2" t="s">
        <v>23</v>
      </c>
      <c r="N3832" s="6">
        <v>43903.0</v>
      </c>
      <c r="Q3832" s="2" t="s">
        <v>86</v>
      </c>
    </row>
    <row r="3833">
      <c r="A3833" s="2">
        <v>3832.0</v>
      </c>
      <c r="B3833" s="2" t="s">
        <v>6876</v>
      </c>
      <c r="C3833" s="2" t="s">
        <v>23</v>
      </c>
      <c r="K3833" s="2">
        <v>20.0</v>
      </c>
      <c r="N3833" s="6">
        <v>44490.0</v>
      </c>
      <c r="Q3833" s="2" t="s">
        <v>86</v>
      </c>
    </row>
    <row r="3834">
      <c r="A3834" s="2">
        <v>3833.0</v>
      </c>
      <c r="B3834" s="2" t="s">
        <v>6877</v>
      </c>
      <c r="C3834" s="2" t="s">
        <v>23</v>
      </c>
      <c r="K3834" s="2">
        <v>40.0</v>
      </c>
      <c r="N3834" s="6">
        <v>44047.0</v>
      </c>
      <c r="Q3834" s="2" t="s">
        <v>1437</v>
      </c>
    </row>
    <row r="3835">
      <c r="A3835" s="2">
        <v>3834.0</v>
      </c>
      <c r="B3835" s="2" t="s">
        <v>6878</v>
      </c>
      <c r="C3835" s="2" t="s">
        <v>23</v>
      </c>
      <c r="N3835" s="6">
        <v>45064.0</v>
      </c>
      <c r="Q3835" s="2" t="s">
        <v>6879</v>
      </c>
    </row>
    <row r="3836">
      <c r="A3836" s="2">
        <v>3835.0</v>
      </c>
      <c r="B3836" s="2" t="s">
        <v>6880</v>
      </c>
      <c r="C3836" s="2" t="s">
        <v>23</v>
      </c>
      <c r="K3836" s="2">
        <v>50.0</v>
      </c>
      <c r="N3836" s="6">
        <v>43970.0</v>
      </c>
      <c r="Q3836" s="2" t="s">
        <v>86</v>
      </c>
    </row>
    <row r="3837">
      <c r="A3837" s="2">
        <v>3836.0</v>
      </c>
      <c r="B3837" s="2" t="s">
        <v>6881</v>
      </c>
      <c r="C3837" s="2" t="s">
        <v>23</v>
      </c>
      <c r="K3837" s="2">
        <v>50.0</v>
      </c>
      <c r="N3837" s="6">
        <v>44632.0</v>
      </c>
      <c r="Q3837" s="2" t="s">
        <v>491</v>
      </c>
    </row>
    <row r="3838">
      <c r="A3838" s="2">
        <v>3837.0</v>
      </c>
      <c r="B3838" s="2" t="s">
        <v>6882</v>
      </c>
      <c r="C3838" s="2" t="s">
        <v>23</v>
      </c>
      <c r="N3838" s="6">
        <v>45910.0</v>
      </c>
      <c r="Q3838" s="2" t="s">
        <v>6883</v>
      </c>
    </row>
    <row r="3839">
      <c r="A3839" s="2">
        <v>3838.0</v>
      </c>
      <c r="B3839" s="2" t="s">
        <v>6884</v>
      </c>
      <c r="C3839" s="2" t="s">
        <v>23</v>
      </c>
      <c r="K3839" s="2">
        <v>30.0</v>
      </c>
      <c r="N3839" s="6">
        <v>43916.0</v>
      </c>
      <c r="Q3839" s="2" t="s">
        <v>6885</v>
      </c>
    </row>
    <row r="3840">
      <c r="A3840" s="2">
        <v>3839.0</v>
      </c>
      <c r="B3840" s="2" t="s">
        <v>6886</v>
      </c>
      <c r="C3840" s="2" t="s">
        <v>23</v>
      </c>
      <c r="K3840" s="2">
        <v>20.0</v>
      </c>
      <c r="N3840" s="6">
        <v>44259.0</v>
      </c>
      <c r="Q3840" s="2" t="s">
        <v>86</v>
      </c>
    </row>
    <row r="3841">
      <c r="A3841" s="2">
        <v>3840.0</v>
      </c>
      <c r="B3841" s="2" t="s">
        <v>6887</v>
      </c>
      <c r="C3841" s="2" t="s">
        <v>23</v>
      </c>
      <c r="K3841" s="2">
        <v>40.0</v>
      </c>
      <c r="N3841" s="6">
        <v>44893.0</v>
      </c>
      <c r="Q3841" s="2" t="s">
        <v>86</v>
      </c>
    </row>
    <row r="3842">
      <c r="A3842" s="2">
        <v>3841.0</v>
      </c>
      <c r="B3842" s="2" t="s">
        <v>6888</v>
      </c>
      <c r="C3842" s="2" t="s">
        <v>23</v>
      </c>
      <c r="K3842" s="2">
        <v>80.0</v>
      </c>
      <c r="N3842" s="6">
        <v>43841.0</v>
      </c>
      <c r="Q3842" s="2" t="s">
        <v>6889</v>
      </c>
    </row>
    <row r="3843">
      <c r="A3843" s="2">
        <v>3842.0</v>
      </c>
      <c r="B3843" s="2" t="s">
        <v>6890</v>
      </c>
      <c r="C3843" s="2" t="s">
        <v>23</v>
      </c>
      <c r="N3843" s="6">
        <v>45754.0</v>
      </c>
      <c r="Q3843" s="2" t="s">
        <v>1635</v>
      </c>
    </row>
    <row r="3844">
      <c r="A3844" s="2">
        <v>3843.0</v>
      </c>
      <c r="B3844" s="2" t="s">
        <v>6891</v>
      </c>
      <c r="C3844" s="2" t="s">
        <v>23</v>
      </c>
      <c r="K3844" s="2">
        <v>20.0</v>
      </c>
      <c r="N3844" s="6">
        <v>45574.0</v>
      </c>
      <c r="Q3844" s="2" t="s">
        <v>3751</v>
      </c>
    </row>
    <row r="3845">
      <c r="A3845" s="2">
        <v>3844.0</v>
      </c>
      <c r="B3845" s="2" t="s">
        <v>6892</v>
      </c>
      <c r="C3845" s="2" t="s">
        <v>23</v>
      </c>
      <c r="K3845" s="2">
        <v>40.0</v>
      </c>
      <c r="N3845" s="6">
        <v>44253.0</v>
      </c>
      <c r="Q3845" s="2" t="s">
        <v>1437</v>
      </c>
    </row>
    <row r="3846">
      <c r="A3846" s="2">
        <v>3845.0</v>
      </c>
      <c r="B3846" s="2" t="s">
        <v>6893</v>
      </c>
      <c r="C3846" s="2" t="s">
        <v>23</v>
      </c>
      <c r="K3846" s="2">
        <v>40.0</v>
      </c>
      <c r="N3846" s="6">
        <v>43888.0</v>
      </c>
      <c r="Q3846" s="2" t="s">
        <v>86</v>
      </c>
    </row>
    <row r="3847">
      <c r="A3847" s="2">
        <v>3846.0</v>
      </c>
      <c r="B3847" s="2" t="s">
        <v>6894</v>
      </c>
      <c r="C3847" s="2" t="s">
        <v>23</v>
      </c>
      <c r="N3847" s="6">
        <v>44509.0</v>
      </c>
      <c r="Q3847" s="2" t="s">
        <v>86</v>
      </c>
    </row>
    <row r="3848">
      <c r="A3848" s="2">
        <v>3847.0</v>
      </c>
      <c r="B3848" s="2" t="s">
        <v>6895</v>
      </c>
      <c r="C3848" s="2" t="s">
        <v>23</v>
      </c>
      <c r="N3848" s="6">
        <v>42675.0</v>
      </c>
      <c r="O3848" s="2" t="s">
        <v>49</v>
      </c>
      <c r="P3848" s="2" t="s">
        <v>36</v>
      </c>
      <c r="Q3848" s="2" t="s">
        <v>86</v>
      </c>
      <c r="S3848" s="2" t="s">
        <v>6896</v>
      </c>
    </row>
    <row r="3849">
      <c r="A3849" s="2">
        <v>3848.0</v>
      </c>
      <c r="B3849" s="2" t="s">
        <v>6897</v>
      </c>
      <c r="C3849" s="2" t="s">
        <v>23</v>
      </c>
      <c r="K3849" s="2">
        <v>90.0</v>
      </c>
      <c r="N3849" s="6">
        <v>44853.0</v>
      </c>
      <c r="Q3849" s="2" t="s">
        <v>6898</v>
      </c>
    </row>
    <row r="3850">
      <c r="A3850" s="2">
        <v>3849.0</v>
      </c>
      <c r="B3850" s="2" t="s">
        <v>6899</v>
      </c>
      <c r="C3850" s="2" t="s">
        <v>23</v>
      </c>
      <c r="K3850" s="2">
        <v>20.0</v>
      </c>
      <c r="N3850" s="6">
        <v>44573.0</v>
      </c>
      <c r="Q3850" s="2" t="s">
        <v>6900</v>
      </c>
    </row>
    <row r="3851">
      <c r="A3851" s="2">
        <v>3850.0</v>
      </c>
      <c r="B3851" s="2" t="s">
        <v>6901</v>
      </c>
      <c r="C3851" s="2" t="s">
        <v>23</v>
      </c>
      <c r="K3851" s="2">
        <v>700.0</v>
      </c>
      <c r="N3851" s="6">
        <v>44758.0</v>
      </c>
      <c r="Q3851" s="2" t="s">
        <v>6902</v>
      </c>
    </row>
    <row r="3852">
      <c r="A3852" s="2">
        <v>3851.0</v>
      </c>
      <c r="B3852" s="2" t="s">
        <v>6903</v>
      </c>
      <c r="C3852" s="2" t="s">
        <v>23</v>
      </c>
      <c r="K3852" s="2">
        <v>20.0</v>
      </c>
      <c r="N3852" s="6">
        <v>44689.0</v>
      </c>
      <c r="Q3852" s="2" t="s">
        <v>86</v>
      </c>
    </row>
    <row r="3853">
      <c r="A3853" s="2">
        <v>3852.0</v>
      </c>
      <c r="B3853" s="2" t="s">
        <v>6904</v>
      </c>
      <c r="C3853" s="2" t="s">
        <v>23</v>
      </c>
      <c r="N3853" s="6">
        <v>44303.0</v>
      </c>
      <c r="Q3853" s="2" t="s">
        <v>1070</v>
      </c>
    </row>
    <row r="3854">
      <c r="A3854" s="2">
        <v>3853.0</v>
      </c>
      <c r="B3854" s="2" t="s">
        <v>6905</v>
      </c>
      <c r="C3854" s="2" t="s">
        <v>23</v>
      </c>
      <c r="K3854" s="2">
        <v>40.0</v>
      </c>
      <c r="N3854" s="6">
        <v>43724.0</v>
      </c>
      <c r="Q3854" s="2" t="s">
        <v>2409</v>
      </c>
    </row>
    <row r="3855">
      <c r="A3855" s="2">
        <v>3854.0</v>
      </c>
      <c r="B3855" s="2" t="s">
        <v>6906</v>
      </c>
      <c r="C3855" s="2" t="s">
        <v>23</v>
      </c>
      <c r="N3855" s="6">
        <v>43842.0</v>
      </c>
      <c r="Q3855" s="2" t="s">
        <v>86</v>
      </c>
    </row>
    <row r="3856">
      <c r="A3856" s="2">
        <v>3855.0</v>
      </c>
      <c r="B3856" s="2" t="s">
        <v>250</v>
      </c>
      <c r="C3856" s="2" t="s">
        <v>23</v>
      </c>
      <c r="K3856" s="2">
        <v>30.0</v>
      </c>
      <c r="N3856" s="6">
        <v>45706.0</v>
      </c>
      <c r="Q3856" s="2" t="s">
        <v>253</v>
      </c>
    </row>
    <row r="3857">
      <c r="A3857" s="2">
        <v>3856.0</v>
      </c>
      <c r="B3857" s="2" t="s">
        <v>6907</v>
      </c>
      <c r="C3857" s="2" t="s">
        <v>23</v>
      </c>
      <c r="N3857" s="6">
        <v>44612.0</v>
      </c>
      <c r="Q3857" s="2" t="s">
        <v>86</v>
      </c>
    </row>
    <row r="3858">
      <c r="A3858" s="2">
        <v>3857.0</v>
      </c>
      <c r="B3858" s="2" t="s">
        <v>6908</v>
      </c>
      <c r="C3858" s="2" t="s">
        <v>23</v>
      </c>
      <c r="N3858" s="6">
        <v>45002.0</v>
      </c>
      <c r="Q3858" s="2" t="s">
        <v>86</v>
      </c>
    </row>
    <row r="3859">
      <c r="A3859" s="2">
        <v>3858.0</v>
      </c>
      <c r="B3859" s="2" t="s">
        <v>6909</v>
      </c>
      <c r="C3859" s="2" t="s">
        <v>23</v>
      </c>
      <c r="N3859" s="6">
        <v>44725.0</v>
      </c>
      <c r="Q3859" s="2" t="s">
        <v>86</v>
      </c>
    </row>
    <row r="3860">
      <c r="A3860" s="2">
        <v>3859.0</v>
      </c>
      <c r="B3860" s="2" t="s">
        <v>6910</v>
      </c>
      <c r="C3860" s="2" t="s">
        <v>23</v>
      </c>
      <c r="N3860" s="6">
        <v>44699.0</v>
      </c>
      <c r="Q3860" s="2" t="s">
        <v>86</v>
      </c>
    </row>
    <row r="3861">
      <c r="A3861" s="2">
        <v>3860.0</v>
      </c>
      <c r="B3861" s="2" t="s">
        <v>6911</v>
      </c>
      <c r="C3861" s="2" t="s">
        <v>23</v>
      </c>
      <c r="N3861" s="6">
        <v>44051.0</v>
      </c>
      <c r="Q3861" s="2" t="s">
        <v>86</v>
      </c>
    </row>
    <row r="3862">
      <c r="A3862" s="2">
        <v>3861.0</v>
      </c>
      <c r="B3862" s="2" t="s">
        <v>6912</v>
      </c>
      <c r="C3862" s="2" t="s">
        <v>23</v>
      </c>
      <c r="N3862" s="6">
        <v>42555.0</v>
      </c>
      <c r="Q3862" s="2" t="s">
        <v>6913</v>
      </c>
    </row>
    <row r="3863">
      <c r="A3863" s="2">
        <v>3862.0</v>
      </c>
      <c r="B3863" s="2" t="s">
        <v>6914</v>
      </c>
      <c r="C3863" s="2" t="s">
        <v>23</v>
      </c>
      <c r="N3863" s="6">
        <v>45050.0</v>
      </c>
      <c r="Q3863" s="2" t="s">
        <v>6915</v>
      </c>
    </row>
    <row r="3864">
      <c r="A3864" s="2">
        <v>3863.0</v>
      </c>
      <c r="B3864" s="2" t="s">
        <v>6916</v>
      </c>
      <c r="C3864" s="2" t="s">
        <v>23</v>
      </c>
      <c r="K3864" s="2">
        <v>150.0</v>
      </c>
      <c r="N3864" s="6">
        <v>44164.0</v>
      </c>
      <c r="Q3864" s="2" t="s">
        <v>200</v>
      </c>
    </row>
    <row r="3865">
      <c r="A3865" s="2">
        <v>3864.0</v>
      </c>
      <c r="B3865" s="2" t="s">
        <v>6917</v>
      </c>
      <c r="C3865" s="2" t="s">
        <v>23</v>
      </c>
      <c r="N3865" s="6">
        <v>43949.0</v>
      </c>
      <c r="Q3865" s="2" t="s">
        <v>86</v>
      </c>
    </row>
    <row r="3866">
      <c r="A3866" s="2">
        <v>3865.0</v>
      </c>
      <c r="B3866" s="2" t="s">
        <v>6918</v>
      </c>
      <c r="C3866" s="2" t="s">
        <v>23</v>
      </c>
      <c r="K3866" s="2">
        <v>10.0</v>
      </c>
      <c r="N3866" s="6">
        <v>44074.0</v>
      </c>
      <c r="Q3866" s="2" t="s">
        <v>6919</v>
      </c>
    </row>
    <row r="3867">
      <c r="A3867" s="2">
        <v>3866.0</v>
      </c>
      <c r="B3867" s="2" t="s">
        <v>6920</v>
      </c>
      <c r="C3867" s="2" t="s">
        <v>23</v>
      </c>
      <c r="K3867" s="2">
        <v>10.0</v>
      </c>
      <c r="N3867" s="6">
        <v>43938.0</v>
      </c>
      <c r="Q3867" s="2" t="s">
        <v>86</v>
      </c>
    </row>
    <row r="3868">
      <c r="A3868" s="2">
        <v>3867.0</v>
      </c>
      <c r="B3868" s="2" t="s">
        <v>6921</v>
      </c>
      <c r="C3868" s="2" t="s">
        <v>23</v>
      </c>
      <c r="N3868" s="6">
        <v>45627.0</v>
      </c>
      <c r="Q3868" s="2" t="s">
        <v>3770</v>
      </c>
    </row>
    <row r="3869">
      <c r="A3869" s="2">
        <v>3868.0</v>
      </c>
      <c r="B3869" s="2" t="s">
        <v>6922</v>
      </c>
      <c r="C3869" s="2" t="s">
        <v>23</v>
      </c>
      <c r="K3869" s="2">
        <v>10.0</v>
      </c>
      <c r="N3869" s="6">
        <v>44819.0</v>
      </c>
      <c r="Q3869" s="2" t="s">
        <v>86</v>
      </c>
    </row>
    <row r="3870">
      <c r="A3870" s="2">
        <v>3869.0</v>
      </c>
      <c r="B3870" s="2" t="s">
        <v>6923</v>
      </c>
      <c r="C3870" s="2" t="s">
        <v>23</v>
      </c>
      <c r="N3870" s="6">
        <v>43860.0</v>
      </c>
      <c r="Q3870" s="2" t="s">
        <v>60</v>
      </c>
    </row>
    <row r="3871">
      <c r="A3871" s="2">
        <v>3870.0</v>
      </c>
      <c r="B3871" s="2" t="s">
        <v>6924</v>
      </c>
      <c r="C3871" s="2" t="s">
        <v>23</v>
      </c>
      <c r="K3871" s="2">
        <v>10.0</v>
      </c>
      <c r="N3871" s="6">
        <v>44735.0</v>
      </c>
      <c r="Q3871" s="2" t="s">
        <v>86</v>
      </c>
    </row>
    <row r="3872">
      <c r="A3872" s="2">
        <v>3871.0</v>
      </c>
      <c r="B3872" s="2" t="s">
        <v>6925</v>
      </c>
      <c r="C3872" s="2" t="s">
        <v>23</v>
      </c>
      <c r="K3872" s="2">
        <v>500.0</v>
      </c>
      <c r="N3872" s="6">
        <v>42745.0</v>
      </c>
      <c r="Q3872" s="2" t="s">
        <v>6926</v>
      </c>
    </row>
    <row r="3873">
      <c r="A3873" s="2">
        <v>3872.0</v>
      </c>
      <c r="B3873" s="2" t="s">
        <v>6927</v>
      </c>
      <c r="C3873" s="2" t="s">
        <v>23</v>
      </c>
      <c r="N3873" s="6">
        <v>44634.0</v>
      </c>
      <c r="Q3873" s="2" t="s">
        <v>491</v>
      </c>
    </row>
    <row r="3874">
      <c r="A3874" s="2">
        <v>3873.0</v>
      </c>
      <c r="B3874" s="2" t="s">
        <v>6928</v>
      </c>
      <c r="C3874" s="2" t="s">
        <v>23</v>
      </c>
      <c r="K3874" s="2">
        <v>10.0</v>
      </c>
      <c r="N3874" s="6">
        <v>44580.0</v>
      </c>
      <c r="Q3874" s="2" t="s">
        <v>6929</v>
      </c>
    </row>
    <row r="3875">
      <c r="A3875" s="2">
        <v>3874.0</v>
      </c>
      <c r="B3875" s="2" t="s">
        <v>6930</v>
      </c>
      <c r="C3875" s="2" t="s">
        <v>23</v>
      </c>
      <c r="K3875" s="2">
        <v>10.0</v>
      </c>
      <c r="N3875" s="6">
        <v>44262.0</v>
      </c>
      <c r="Q3875" s="2" t="s">
        <v>6931</v>
      </c>
    </row>
    <row r="3876">
      <c r="A3876" s="2">
        <v>3875.0</v>
      </c>
      <c r="B3876" s="2" t="s">
        <v>6932</v>
      </c>
      <c r="C3876" s="2" t="s">
        <v>23</v>
      </c>
      <c r="K3876" s="2">
        <v>150.0</v>
      </c>
      <c r="N3876" s="6">
        <v>44861.0</v>
      </c>
      <c r="Q3876" s="2" t="s">
        <v>6933</v>
      </c>
    </row>
    <row r="3877">
      <c r="A3877" s="2">
        <v>3876.0</v>
      </c>
      <c r="B3877" s="2" t="s">
        <v>6934</v>
      </c>
      <c r="C3877" s="2" t="s">
        <v>23</v>
      </c>
      <c r="K3877" s="2">
        <v>50.0</v>
      </c>
      <c r="N3877" s="6">
        <v>45111.0</v>
      </c>
      <c r="Q3877" s="2" t="s">
        <v>5819</v>
      </c>
    </row>
    <row r="3878">
      <c r="A3878" s="2">
        <v>3877.0</v>
      </c>
      <c r="B3878" s="2" t="s">
        <v>6935</v>
      </c>
      <c r="C3878" s="2" t="s">
        <v>23</v>
      </c>
      <c r="K3878" s="2">
        <v>70.0</v>
      </c>
      <c r="N3878" s="6">
        <v>45384.0</v>
      </c>
      <c r="Q3878" s="2" t="s">
        <v>6936</v>
      </c>
    </row>
    <row r="3879">
      <c r="A3879" s="2">
        <v>3878.0</v>
      </c>
      <c r="B3879" s="2" t="s">
        <v>6937</v>
      </c>
      <c r="C3879" s="2" t="s">
        <v>23</v>
      </c>
      <c r="N3879" s="6">
        <v>44119.0</v>
      </c>
      <c r="Q3879" s="2" t="s">
        <v>1116</v>
      </c>
    </row>
    <row r="3880">
      <c r="A3880" s="2">
        <v>3879.0</v>
      </c>
      <c r="B3880" s="2" t="s">
        <v>6938</v>
      </c>
      <c r="C3880" s="2" t="s">
        <v>23</v>
      </c>
      <c r="N3880" s="6">
        <v>43991.0</v>
      </c>
      <c r="Q3880" s="2" t="s">
        <v>1472</v>
      </c>
    </row>
    <row r="3881">
      <c r="A3881" s="2">
        <v>3880.0</v>
      </c>
      <c r="B3881" s="2" t="s">
        <v>6939</v>
      </c>
      <c r="C3881" s="2" t="s">
        <v>23</v>
      </c>
      <c r="N3881" s="6">
        <v>45309.0</v>
      </c>
      <c r="Q3881" s="2" t="s">
        <v>2738</v>
      </c>
    </row>
    <row r="3882">
      <c r="A3882" s="2">
        <v>3881.0</v>
      </c>
      <c r="B3882" s="2" t="s">
        <v>6940</v>
      </c>
      <c r="C3882" s="2" t="s">
        <v>23</v>
      </c>
      <c r="N3882" s="6">
        <v>45222.0</v>
      </c>
      <c r="Q3882" s="2" t="s">
        <v>86</v>
      </c>
    </row>
    <row r="3883">
      <c r="A3883" s="2">
        <v>3882.0</v>
      </c>
      <c r="B3883" s="2" t="s">
        <v>6941</v>
      </c>
      <c r="C3883" s="2" t="s">
        <v>23</v>
      </c>
      <c r="K3883" s="2">
        <v>400.0</v>
      </c>
      <c r="N3883" s="6">
        <v>44173.0</v>
      </c>
      <c r="Q3883" s="2" t="s">
        <v>6942</v>
      </c>
    </row>
    <row r="3884">
      <c r="A3884" s="2">
        <v>3883.0</v>
      </c>
      <c r="B3884" s="2" t="s">
        <v>6943</v>
      </c>
      <c r="C3884" s="2" t="s">
        <v>23</v>
      </c>
      <c r="K3884" s="2">
        <v>150.0</v>
      </c>
      <c r="N3884" s="6">
        <v>44035.0</v>
      </c>
      <c r="Q3884" s="2" t="s">
        <v>6944</v>
      </c>
    </row>
    <row r="3885">
      <c r="A3885" s="2">
        <v>3884.0</v>
      </c>
      <c r="B3885" s="2" t="s">
        <v>6945</v>
      </c>
      <c r="C3885" s="2" t="s">
        <v>23</v>
      </c>
      <c r="K3885" s="2">
        <v>10.0</v>
      </c>
      <c r="N3885" s="6">
        <v>44417.0</v>
      </c>
      <c r="Q3885" s="2" t="s">
        <v>491</v>
      </c>
    </row>
    <row r="3886">
      <c r="A3886" s="2">
        <v>3885.0</v>
      </c>
      <c r="B3886" s="2" t="s">
        <v>6946</v>
      </c>
      <c r="C3886" s="2" t="s">
        <v>23</v>
      </c>
      <c r="K3886" s="2">
        <v>150.0</v>
      </c>
      <c r="N3886" s="6">
        <v>44165.0</v>
      </c>
      <c r="Q3886" s="2" t="s">
        <v>6947</v>
      </c>
    </row>
    <row r="3887">
      <c r="A3887" s="2">
        <v>3886.0</v>
      </c>
      <c r="B3887" s="2" t="s">
        <v>6948</v>
      </c>
      <c r="C3887" s="2" t="s">
        <v>23</v>
      </c>
      <c r="K3887" s="2">
        <v>30.0</v>
      </c>
      <c r="N3887" s="6">
        <v>44256.0</v>
      </c>
      <c r="Q3887" s="2" t="s">
        <v>86</v>
      </c>
    </row>
    <row r="3888">
      <c r="A3888" s="2">
        <v>3887.0</v>
      </c>
      <c r="B3888" s="2" t="s">
        <v>6949</v>
      </c>
      <c r="C3888" s="2" t="s">
        <v>23</v>
      </c>
      <c r="K3888" s="2">
        <v>30.0</v>
      </c>
      <c r="N3888" s="6">
        <v>45065.0</v>
      </c>
      <c r="Q3888" s="2" t="s">
        <v>1675</v>
      </c>
    </row>
    <row r="3889">
      <c r="A3889" s="2">
        <v>3888.0</v>
      </c>
      <c r="B3889" s="2" t="s">
        <v>6950</v>
      </c>
      <c r="C3889" s="2" t="s">
        <v>23</v>
      </c>
      <c r="N3889" s="6">
        <v>44142.0</v>
      </c>
      <c r="Q3889" s="2" t="s">
        <v>86</v>
      </c>
    </row>
    <row r="3890">
      <c r="A3890" s="2">
        <v>3889.0</v>
      </c>
      <c r="B3890" s="2" t="s">
        <v>6951</v>
      </c>
      <c r="C3890" s="2" t="s">
        <v>23</v>
      </c>
      <c r="K3890" s="2">
        <v>100.0</v>
      </c>
      <c r="N3890" s="6">
        <v>43924.0</v>
      </c>
      <c r="Q3890" s="2" t="s">
        <v>86</v>
      </c>
    </row>
    <row r="3891">
      <c r="A3891" s="2">
        <v>3890.0</v>
      </c>
      <c r="B3891" s="2" t="s">
        <v>6952</v>
      </c>
      <c r="C3891" s="2" t="s">
        <v>23</v>
      </c>
      <c r="K3891" s="2">
        <v>10.0</v>
      </c>
      <c r="N3891" s="6">
        <v>46074.0</v>
      </c>
      <c r="Q3891" s="2" t="s">
        <v>6953</v>
      </c>
    </row>
    <row r="3892">
      <c r="A3892" s="2">
        <v>3891.0</v>
      </c>
      <c r="B3892" s="2" t="s">
        <v>6954</v>
      </c>
      <c r="C3892" s="2" t="s">
        <v>23</v>
      </c>
      <c r="K3892" s="2">
        <v>100.0</v>
      </c>
      <c r="N3892" s="6">
        <v>45356.0</v>
      </c>
      <c r="Q3892" s="2" t="s">
        <v>6955</v>
      </c>
    </row>
    <row r="3893">
      <c r="A3893" s="2">
        <v>3892.0</v>
      </c>
      <c r="B3893" s="2" t="s">
        <v>6956</v>
      </c>
      <c r="C3893" s="2" t="s">
        <v>23</v>
      </c>
      <c r="K3893" s="2">
        <v>40.0</v>
      </c>
      <c r="N3893" s="6">
        <v>43887.0</v>
      </c>
      <c r="Q3893" s="2" t="s">
        <v>4589</v>
      </c>
    </row>
    <row r="3894">
      <c r="A3894" s="2">
        <v>3893.0</v>
      </c>
      <c r="B3894" s="2" t="s">
        <v>6957</v>
      </c>
      <c r="C3894" s="2" t="s">
        <v>23</v>
      </c>
      <c r="K3894" s="2">
        <v>200.0</v>
      </c>
      <c r="N3894" s="6">
        <v>45730.0</v>
      </c>
      <c r="Q3894" s="2" t="s">
        <v>6958</v>
      </c>
    </row>
    <row r="3895">
      <c r="A3895" s="2">
        <v>3894.0</v>
      </c>
      <c r="B3895" s="2" t="s">
        <v>6959</v>
      </c>
      <c r="C3895" s="2" t="s">
        <v>23</v>
      </c>
      <c r="K3895" s="2">
        <v>50.0</v>
      </c>
      <c r="N3895" s="6">
        <v>45397.0</v>
      </c>
      <c r="Q3895" s="2" t="s">
        <v>6960</v>
      </c>
    </row>
    <row r="3896">
      <c r="A3896" s="2">
        <v>3895.0</v>
      </c>
      <c r="B3896" s="2" t="s">
        <v>6961</v>
      </c>
      <c r="C3896" s="2" t="s">
        <v>23</v>
      </c>
      <c r="N3896" s="6">
        <v>45358.0</v>
      </c>
      <c r="Q3896" s="2" t="s">
        <v>1116</v>
      </c>
    </row>
    <row r="3897">
      <c r="A3897" s="2">
        <v>3896.0</v>
      </c>
      <c r="B3897" s="2" t="s">
        <v>6962</v>
      </c>
      <c r="C3897" s="2" t="s">
        <v>23</v>
      </c>
      <c r="N3897" s="6">
        <v>42323.0</v>
      </c>
      <c r="Q3897" s="2" t="s">
        <v>86</v>
      </c>
    </row>
    <row r="3898">
      <c r="A3898" s="2">
        <v>3897.0</v>
      </c>
      <c r="B3898" s="2" t="s">
        <v>6963</v>
      </c>
      <c r="C3898" s="2" t="s">
        <v>23</v>
      </c>
      <c r="N3898" s="6">
        <v>44680.0</v>
      </c>
      <c r="Q3898" s="2" t="s">
        <v>86</v>
      </c>
    </row>
    <row r="3899">
      <c r="A3899" s="2">
        <v>3898.0</v>
      </c>
      <c r="B3899" s="2" t="s">
        <v>6964</v>
      </c>
      <c r="C3899" s="2" t="s">
        <v>23</v>
      </c>
      <c r="N3899" s="6">
        <v>45062.0</v>
      </c>
      <c r="Q3899" s="2" t="s">
        <v>6965</v>
      </c>
    </row>
    <row r="3900">
      <c r="A3900" s="2">
        <v>3899.0</v>
      </c>
      <c r="B3900" s="2" t="s">
        <v>6966</v>
      </c>
      <c r="C3900" s="2" t="s">
        <v>23</v>
      </c>
      <c r="K3900" s="2">
        <v>100.0</v>
      </c>
      <c r="N3900" s="6">
        <v>44613.0</v>
      </c>
      <c r="Q3900" s="2" t="s">
        <v>6967</v>
      </c>
    </row>
    <row r="3901">
      <c r="A3901" s="2">
        <v>3900.0</v>
      </c>
      <c r="B3901" s="2" t="s">
        <v>6968</v>
      </c>
      <c r="C3901" s="2" t="s">
        <v>23</v>
      </c>
      <c r="N3901" s="6">
        <v>44598.0</v>
      </c>
      <c r="Q3901" s="2" t="s">
        <v>86</v>
      </c>
    </row>
    <row r="3902">
      <c r="A3902" s="2">
        <v>3901.0</v>
      </c>
      <c r="B3902" s="2" t="s">
        <v>6969</v>
      </c>
      <c r="C3902" s="2" t="s">
        <v>23</v>
      </c>
      <c r="K3902" s="2">
        <v>30.0</v>
      </c>
      <c r="N3902" s="6">
        <v>43939.0</v>
      </c>
      <c r="Q3902" s="2" t="s">
        <v>6970</v>
      </c>
    </row>
    <row r="3903">
      <c r="A3903" s="2">
        <v>3902.0</v>
      </c>
      <c r="B3903" s="2" t="s">
        <v>6971</v>
      </c>
      <c r="C3903" s="2" t="s">
        <v>23</v>
      </c>
      <c r="K3903" s="2">
        <v>150.0</v>
      </c>
      <c r="N3903" s="6">
        <v>43935.0</v>
      </c>
      <c r="Q3903" s="2" t="s">
        <v>60</v>
      </c>
    </row>
    <row r="3904">
      <c r="A3904" s="2">
        <v>3903.0</v>
      </c>
      <c r="B3904" s="2" t="s">
        <v>6972</v>
      </c>
      <c r="C3904" s="2" t="s">
        <v>23</v>
      </c>
      <c r="K3904" s="2">
        <v>10.0</v>
      </c>
      <c r="N3904" s="6">
        <v>42440.0</v>
      </c>
      <c r="Q3904" s="2" t="s">
        <v>6973</v>
      </c>
    </row>
    <row r="3905">
      <c r="A3905" s="2">
        <v>3904.0</v>
      </c>
      <c r="B3905" s="2" t="s">
        <v>6974</v>
      </c>
      <c r="C3905" s="2" t="s">
        <v>23</v>
      </c>
      <c r="K3905" s="2">
        <v>10.0</v>
      </c>
      <c r="N3905" s="6">
        <v>44249.0</v>
      </c>
      <c r="Q3905" s="2" t="s">
        <v>2537</v>
      </c>
    </row>
    <row r="3906">
      <c r="A3906" s="2">
        <v>3905.0</v>
      </c>
      <c r="B3906" s="2" t="s">
        <v>6975</v>
      </c>
      <c r="C3906" s="2" t="s">
        <v>23</v>
      </c>
      <c r="K3906" s="2">
        <v>200.0</v>
      </c>
      <c r="N3906" s="6">
        <v>45036.0</v>
      </c>
      <c r="Q3906" s="2" t="s">
        <v>6976</v>
      </c>
    </row>
    <row r="3907">
      <c r="A3907" s="2">
        <v>3906.0</v>
      </c>
      <c r="B3907" s="2" t="s">
        <v>6977</v>
      </c>
      <c r="C3907" s="2" t="s">
        <v>23</v>
      </c>
      <c r="N3907" s="6">
        <v>45400.0</v>
      </c>
      <c r="Q3907" s="2" t="s">
        <v>86</v>
      </c>
    </row>
    <row r="3908">
      <c r="A3908" s="2">
        <v>3907.0</v>
      </c>
      <c r="B3908" s="2" t="s">
        <v>6978</v>
      </c>
      <c r="C3908" s="2" t="s">
        <v>23</v>
      </c>
      <c r="N3908" s="6">
        <v>43854.0</v>
      </c>
      <c r="Q3908" s="2" t="s">
        <v>86</v>
      </c>
    </row>
    <row r="3909">
      <c r="A3909" s="2">
        <v>3908.0</v>
      </c>
      <c r="B3909" s="2" t="s">
        <v>6979</v>
      </c>
      <c r="C3909" s="2" t="s">
        <v>23</v>
      </c>
      <c r="K3909" s="2">
        <v>40.0</v>
      </c>
      <c r="N3909" s="6">
        <v>43856.0</v>
      </c>
      <c r="Q3909" s="2" t="s">
        <v>86</v>
      </c>
    </row>
    <row r="3910">
      <c r="A3910" s="2">
        <v>3909.0</v>
      </c>
      <c r="B3910" s="2" t="s">
        <v>6980</v>
      </c>
      <c r="C3910" s="2" t="s">
        <v>23</v>
      </c>
      <c r="K3910" s="2">
        <v>30.0</v>
      </c>
      <c r="N3910" s="6">
        <v>44277.0</v>
      </c>
      <c r="Q3910" s="2" t="s">
        <v>1790</v>
      </c>
    </row>
    <row r="3911">
      <c r="A3911" s="2">
        <v>3910.0</v>
      </c>
      <c r="B3911" s="2" t="s">
        <v>6981</v>
      </c>
      <c r="C3911" s="2" t="s">
        <v>23</v>
      </c>
      <c r="N3911" s="6">
        <v>42863.0</v>
      </c>
      <c r="Q3911" s="2" t="s">
        <v>86</v>
      </c>
    </row>
    <row r="3912">
      <c r="A3912" s="2">
        <v>3911.0</v>
      </c>
      <c r="B3912" s="2" t="s">
        <v>6982</v>
      </c>
      <c r="C3912" s="2" t="s">
        <v>23</v>
      </c>
      <c r="N3912" s="6">
        <v>44376.0</v>
      </c>
      <c r="Q3912" s="2" t="s">
        <v>86</v>
      </c>
    </row>
    <row r="3913">
      <c r="A3913" s="2">
        <v>3912.0</v>
      </c>
      <c r="B3913" s="2" t="s">
        <v>6983</v>
      </c>
      <c r="C3913" s="2" t="s">
        <v>23</v>
      </c>
      <c r="K3913" s="2">
        <v>10.0</v>
      </c>
      <c r="N3913" s="6">
        <v>43992.0</v>
      </c>
      <c r="Q3913" s="2" t="s">
        <v>491</v>
      </c>
    </row>
    <row r="3914">
      <c r="A3914" s="2">
        <v>3913.0</v>
      </c>
      <c r="B3914" s="2" t="s">
        <v>6984</v>
      </c>
      <c r="C3914" s="2" t="s">
        <v>23</v>
      </c>
      <c r="K3914" s="2">
        <v>70.0</v>
      </c>
      <c r="N3914" s="6">
        <v>44182.0</v>
      </c>
      <c r="Q3914" s="2" t="s">
        <v>4212</v>
      </c>
    </row>
    <row r="3915">
      <c r="A3915" s="2">
        <v>3914.0</v>
      </c>
      <c r="B3915" s="2" t="s">
        <v>6985</v>
      </c>
      <c r="C3915" s="2" t="s">
        <v>23</v>
      </c>
      <c r="N3915" s="6">
        <v>44850.0</v>
      </c>
      <c r="Q3915" s="2" t="s">
        <v>86</v>
      </c>
    </row>
    <row r="3916">
      <c r="A3916" s="2">
        <v>3915.0</v>
      </c>
      <c r="B3916" s="2" t="s">
        <v>6986</v>
      </c>
      <c r="C3916" s="2" t="s">
        <v>23</v>
      </c>
      <c r="K3916" s="2">
        <v>10.0</v>
      </c>
      <c r="N3916" s="6">
        <v>43741.0</v>
      </c>
      <c r="Q3916" s="2" t="s">
        <v>60</v>
      </c>
    </row>
    <row r="3917">
      <c r="A3917" s="2">
        <v>3916.0</v>
      </c>
      <c r="B3917" s="2" t="s">
        <v>6987</v>
      </c>
      <c r="C3917" s="2" t="s">
        <v>23</v>
      </c>
      <c r="K3917" s="2">
        <v>150.0</v>
      </c>
      <c r="N3917" s="6">
        <v>42387.0</v>
      </c>
      <c r="Q3917" s="2" t="s">
        <v>6988</v>
      </c>
    </row>
    <row r="3918">
      <c r="A3918" s="2">
        <v>3917.0</v>
      </c>
      <c r="B3918" s="2" t="s">
        <v>6989</v>
      </c>
      <c r="C3918" s="2" t="s">
        <v>23</v>
      </c>
      <c r="N3918" s="6">
        <v>44574.0</v>
      </c>
      <c r="Q3918" s="2" t="s">
        <v>86</v>
      </c>
    </row>
    <row r="3919">
      <c r="A3919" s="2">
        <v>3918.0</v>
      </c>
      <c r="B3919" s="2" t="s">
        <v>6990</v>
      </c>
      <c r="C3919" s="2" t="s">
        <v>23</v>
      </c>
      <c r="K3919" s="2">
        <v>70.0</v>
      </c>
      <c r="N3919" s="6">
        <v>42399.0</v>
      </c>
      <c r="Q3919" s="2" t="s">
        <v>6991</v>
      </c>
    </row>
    <row r="3920">
      <c r="A3920" s="2">
        <v>3919.0</v>
      </c>
      <c r="B3920" s="2" t="s">
        <v>6992</v>
      </c>
      <c r="C3920" s="2" t="s">
        <v>23</v>
      </c>
      <c r="N3920" s="6">
        <v>44388.0</v>
      </c>
      <c r="Q3920" s="2" t="s">
        <v>86</v>
      </c>
    </row>
    <row r="3921">
      <c r="A3921" s="2">
        <v>3920.0</v>
      </c>
      <c r="B3921" s="2" t="s">
        <v>6993</v>
      </c>
      <c r="C3921" s="2" t="s">
        <v>23</v>
      </c>
      <c r="K3921" s="2">
        <v>250.0</v>
      </c>
      <c r="N3921" s="6">
        <v>44058.0</v>
      </c>
      <c r="Q3921" s="2" t="s">
        <v>6994</v>
      </c>
    </row>
    <row r="3922">
      <c r="A3922" s="2">
        <v>3921.0</v>
      </c>
      <c r="B3922" s="2" t="s">
        <v>6995</v>
      </c>
      <c r="C3922" s="2" t="s">
        <v>23</v>
      </c>
      <c r="K3922" s="2">
        <v>20.0</v>
      </c>
      <c r="N3922" s="6">
        <v>45609.0</v>
      </c>
      <c r="Q3922" s="2" t="s">
        <v>6996</v>
      </c>
    </row>
    <row r="3923">
      <c r="A3923" s="2">
        <v>3922.0</v>
      </c>
      <c r="B3923" s="2" t="s">
        <v>271</v>
      </c>
      <c r="C3923" s="2" t="s">
        <v>23</v>
      </c>
      <c r="K3923" s="2">
        <v>10.0</v>
      </c>
      <c r="N3923" s="6">
        <v>42819.0</v>
      </c>
      <c r="Q3923" s="2" t="s">
        <v>277</v>
      </c>
    </row>
    <row r="3924">
      <c r="A3924" s="2">
        <v>3923.0</v>
      </c>
      <c r="B3924" s="2" t="s">
        <v>6997</v>
      </c>
      <c r="C3924" s="2" t="s">
        <v>23</v>
      </c>
      <c r="N3924" s="6">
        <v>45966.0</v>
      </c>
      <c r="Q3924" s="2" t="s">
        <v>6998</v>
      </c>
    </row>
    <row r="3925">
      <c r="A3925" s="2">
        <v>3924.0</v>
      </c>
      <c r="B3925" s="2" t="s">
        <v>6999</v>
      </c>
      <c r="C3925" s="2" t="s">
        <v>23</v>
      </c>
      <c r="N3925" s="6">
        <v>46003.0</v>
      </c>
      <c r="Q3925" s="2" t="s">
        <v>3117</v>
      </c>
    </row>
    <row r="3926">
      <c r="A3926" s="2">
        <v>3925.0</v>
      </c>
      <c r="B3926" s="2" t="s">
        <v>7000</v>
      </c>
      <c r="C3926" s="2" t="s">
        <v>23</v>
      </c>
      <c r="K3926" s="2">
        <v>30.0</v>
      </c>
      <c r="N3926" s="6">
        <v>45290.0</v>
      </c>
      <c r="Q3926" s="2" t="s">
        <v>7001</v>
      </c>
    </row>
    <row r="3927">
      <c r="A3927" s="2">
        <v>3926.0</v>
      </c>
      <c r="B3927" s="2" t="s">
        <v>7002</v>
      </c>
      <c r="C3927" s="2" t="s">
        <v>23</v>
      </c>
      <c r="N3927" s="6">
        <v>45602.0</v>
      </c>
      <c r="Q3927" s="2" t="s">
        <v>1711</v>
      </c>
    </row>
    <row r="3928">
      <c r="A3928" s="2">
        <v>3927.0</v>
      </c>
      <c r="B3928" s="2" t="s">
        <v>7003</v>
      </c>
      <c r="C3928" s="2" t="s">
        <v>23</v>
      </c>
      <c r="K3928" s="2">
        <v>80.0</v>
      </c>
      <c r="N3928" s="6">
        <v>45224.0</v>
      </c>
      <c r="Q3928" s="2" t="s">
        <v>6254</v>
      </c>
    </row>
    <row r="3929">
      <c r="A3929" s="2">
        <v>3928.0</v>
      </c>
      <c r="B3929" s="2" t="s">
        <v>7004</v>
      </c>
      <c r="C3929" s="2" t="s">
        <v>23</v>
      </c>
      <c r="K3929" s="2">
        <v>50.0</v>
      </c>
      <c r="N3929" s="6">
        <v>44256.0</v>
      </c>
      <c r="Q3929" s="2" t="s">
        <v>7005</v>
      </c>
    </row>
    <row r="3930">
      <c r="A3930" s="2">
        <v>3929.0</v>
      </c>
      <c r="B3930" s="2" t="s">
        <v>7006</v>
      </c>
      <c r="C3930" s="2" t="s">
        <v>23</v>
      </c>
      <c r="N3930" s="6">
        <v>44345.0</v>
      </c>
      <c r="Q3930" s="2" t="s">
        <v>86</v>
      </c>
    </row>
    <row r="3931">
      <c r="A3931" s="2">
        <v>3930.0</v>
      </c>
      <c r="B3931" s="2" t="s">
        <v>7007</v>
      </c>
      <c r="C3931" s="2" t="s">
        <v>23</v>
      </c>
      <c r="K3931" s="2">
        <v>150.0</v>
      </c>
      <c r="N3931" s="6">
        <v>44080.0</v>
      </c>
      <c r="Q3931" s="2" t="s">
        <v>7008</v>
      </c>
    </row>
    <row r="3932">
      <c r="A3932" s="2">
        <v>3931.0</v>
      </c>
      <c r="B3932" s="2" t="s">
        <v>7009</v>
      </c>
      <c r="C3932" s="2" t="s">
        <v>23</v>
      </c>
      <c r="K3932" s="2">
        <v>10.0</v>
      </c>
      <c r="N3932" s="6">
        <v>45349.0</v>
      </c>
      <c r="Q3932" s="2" t="s">
        <v>7010</v>
      </c>
    </row>
    <row r="3933">
      <c r="A3933" s="2">
        <v>3932.0</v>
      </c>
      <c r="B3933" s="2" t="s">
        <v>7011</v>
      </c>
      <c r="C3933" s="2" t="s">
        <v>23</v>
      </c>
      <c r="K3933" s="2">
        <v>150.0</v>
      </c>
      <c r="N3933" s="6">
        <v>42920.0</v>
      </c>
      <c r="Q3933" s="2" t="s">
        <v>7012</v>
      </c>
    </row>
    <row r="3934">
      <c r="A3934" s="2">
        <v>3933.0</v>
      </c>
      <c r="B3934" s="2" t="s">
        <v>7013</v>
      </c>
      <c r="C3934" s="2" t="s">
        <v>23</v>
      </c>
      <c r="K3934" s="2">
        <v>10.0</v>
      </c>
      <c r="N3934" s="6">
        <v>44108.0</v>
      </c>
      <c r="Q3934" s="2" t="s">
        <v>86</v>
      </c>
    </row>
    <row r="3935">
      <c r="A3935" s="2">
        <v>3934.0</v>
      </c>
      <c r="B3935" s="2" t="s">
        <v>7014</v>
      </c>
      <c r="C3935" s="2" t="s">
        <v>23</v>
      </c>
      <c r="K3935" s="2">
        <v>70.0</v>
      </c>
      <c r="N3935" s="6">
        <v>45722.0</v>
      </c>
      <c r="Q3935" s="2" t="s">
        <v>3764</v>
      </c>
    </row>
    <row r="3936">
      <c r="A3936" s="2">
        <v>3935.0</v>
      </c>
      <c r="B3936" s="2" t="s">
        <v>7015</v>
      </c>
      <c r="C3936" s="2" t="s">
        <v>23</v>
      </c>
      <c r="K3936" s="2">
        <v>30.0</v>
      </c>
      <c r="N3936" s="6">
        <v>44097.0</v>
      </c>
      <c r="Q3936" s="2" t="s">
        <v>7016</v>
      </c>
    </row>
    <row r="3937">
      <c r="A3937" s="2">
        <v>3936.0</v>
      </c>
      <c r="B3937" s="2" t="s">
        <v>7017</v>
      </c>
      <c r="C3937" s="2" t="s">
        <v>23</v>
      </c>
      <c r="N3937" s="6">
        <v>44195.0</v>
      </c>
      <c r="Q3937" s="2" t="s">
        <v>86</v>
      </c>
    </row>
    <row r="3938">
      <c r="A3938" s="2">
        <v>3937.0</v>
      </c>
      <c r="B3938" s="2" t="s">
        <v>7018</v>
      </c>
      <c r="C3938" s="2" t="s">
        <v>23</v>
      </c>
      <c r="K3938" s="2">
        <v>250.0</v>
      </c>
      <c r="N3938" s="6">
        <v>43845.0</v>
      </c>
      <c r="Q3938" s="2" t="s">
        <v>7019</v>
      </c>
    </row>
    <row r="3939">
      <c r="A3939" s="2">
        <v>3938.0</v>
      </c>
      <c r="B3939" s="2" t="s">
        <v>7020</v>
      </c>
      <c r="C3939" s="2" t="s">
        <v>23</v>
      </c>
      <c r="K3939" s="2">
        <v>20.0</v>
      </c>
      <c r="N3939" s="6">
        <v>44205.0</v>
      </c>
      <c r="Q3939" s="2" t="s">
        <v>7021</v>
      </c>
    </row>
    <row r="3940">
      <c r="A3940" s="2">
        <v>3939.0</v>
      </c>
      <c r="B3940" s="2" t="s">
        <v>7022</v>
      </c>
      <c r="C3940" s="2" t="s">
        <v>23</v>
      </c>
      <c r="K3940" s="2">
        <v>40.0</v>
      </c>
      <c r="N3940" s="6">
        <v>43137.0</v>
      </c>
      <c r="Q3940" s="2" t="s">
        <v>7023</v>
      </c>
    </row>
    <row r="3941">
      <c r="A3941" s="2">
        <v>3940.0</v>
      </c>
      <c r="B3941" s="2" t="s">
        <v>7024</v>
      </c>
      <c r="C3941" s="2" t="s">
        <v>23</v>
      </c>
      <c r="K3941" s="2">
        <v>60.0</v>
      </c>
      <c r="N3941" s="6">
        <v>43880.0</v>
      </c>
      <c r="Q3941" s="2" t="s">
        <v>7025</v>
      </c>
    </row>
    <row r="3942">
      <c r="A3942" s="2">
        <v>3941.0</v>
      </c>
      <c r="B3942" s="2" t="s">
        <v>7026</v>
      </c>
      <c r="C3942" s="2" t="s">
        <v>23</v>
      </c>
      <c r="N3942" s="6">
        <v>45064.0</v>
      </c>
      <c r="Q3942" s="2" t="s">
        <v>7027</v>
      </c>
    </row>
    <row r="3943">
      <c r="A3943" s="2">
        <v>3942.0</v>
      </c>
      <c r="B3943" s="2" t="s">
        <v>7028</v>
      </c>
      <c r="C3943" s="2" t="s">
        <v>23</v>
      </c>
      <c r="K3943" s="2">
        <v>100.0</v>
      </c>
      <c r="N3943" s="6">
        <v>44047.0</v>
      </c>
      <c r="Q3943" s="2" t="s">
        <v>7029</v>
      </c>
    </row>
    <row r="3944">
      <c r="A3944" s="2">
        <v>3943.0</v>
      </c>
      <c r="B3944" s="2" t="s">
        <v>7030</v>
      </c>
      <c r="C3944" s="2" t="s">
        <v>23</v>
      </c>
      <c r="N3944" s="6">
        <v>44013.0</v>
      </c>
      <c r="Q3944" s="2" t="s">
        <v>86</v>
      </c>
    </row>
    <row r="3945">
      <c r="A3945" s="2">
        <v>3944.0</v>
      </c>
      <c r="B3945" s="2" t="s">
        <v>7031</v>
      </c>
      <c r="C3945" s="2" t="s">
        <v>23</v>
      </c>
      <c r="K3945" s="2">
        <v>100.0</v>
      </c>
      <c r="N3945" s="6">
        <v>44047.0</v>
      </c>
      <c r="Q3945" s="2" t="s">
        <v>7032</v>
      </c>
    </row>
    <row r="3946">
      <c r="A3946" s="2">
        <v>3945.0</v>
      </c>
      <c r="B3946" s="2" t="s">
        <v>7033</v>
      </c>
      <c r="C3946" s="2" t="s">
        <v>23</v>
      </c>
      <c r="K3946" s="2">
        <v>20.0</v>
      </c>
      <c r="N3946" s="6">
        <v>44012.0</v>
      </c>
      <c r="Q3946" s="2" t="s">
        <v>86</v>
      </c>
    </row>
    <row r="3947">
      <c r="A3947" s="2">
        <v>3946.0</v>
      </c>
      <c r="B3947" s="2" t="s">
        <v>7034</v>
      </c>
      <c r="C3947" s="2" t="s">
        <v>23</v>
      </c>
      <c r="K3947" s="2">
        <v>150.0</v>
      </c>
      <c r="N3947" s="6">
        <v>44599.0</v>
      </c>
      <c r="Q3947" s="2" t="s">
        <v>2919</v>
      </c>
    </row>
    <row r="3948">
      <c r="A3948" s="2">
        <v>3947.0</v>
      </c>
      <c r="B3948" s="2" t="s">
        <v>7035</v>
      </c>
      <c r="C3948" s="2" t="s">
        <v>23</v>
      </c>
      <c r="N3948" s="6">
        <v>44008.0</v>
      </c>
      <c r="Q3948" s="2" t="s">
        <v>86</v>
      </c>
    </row>
    <row r="3949">
      <c r="A3949" s="2">
        <v>3948.0</v>
      </c>
      <c r="B3949" s="2" t="s">
        <v>7036</v>
      </c>
      <c r="C3949" s="2" t="s">
        <v>23</v>
      </c>
      <c r="K3949" s="2">
        <v>10.0</v>
      </c>
      <c r="N3949" s="6">
        <v>44144.0</v>
      </c>
      <c r="Q3949" s="2" t="s">
        <v>295</v>
      </c>
    </row>
    <row r="3950">
      <c r="A3950" s="2">
        <v>3949.0</v>
      </c>
      <c r="B3950" s="2" t="s">
        <v>7037</v>
      </c>
      <c r="C3950" s="2" t="s">
        <v>23</v>
      </c>
      <c r="N3950" s="6">
        <v>44337.0</v>
      </c>
      <c r="Q3950" s="2" t="s">
        <v>86</v>
      </c>
    </row>
    <row r="3951">
      <c r="A3951" s="2">
        <v>3950.0</v>
      </c>
      <c r="B3951" s="2" t="s">
        <v>7038</v>
      </c>
      <c r="C3951" s="2" t="s">
        <v>23</v>
      </c>
      <c r="N3951" s="6">
        <v>45515.0</v>
      </c>
      <c r="Q3951" s="2" t="s">
        <v>7039</v>
      </c>
    </row>
    <row r="3952">
      <c r="A3952" s="2">
        <v>3951.0</v>
      </c>
      <c r="B3952" s="2" t="s">
        <v>7040</v>
      </c>
      <c r="C3952" s="2" t="s">
        <v>23</v>
      </c>
      <c r="N3952" s="6">
        <v>45250.0</v>
      </c>
      <c r="Q3952" s="2" t="s">
        <v>1116</v>
      </c>
    </row>
    <row r="3953">
      <c r="A3953" s="2">
        <v>3952.0</v>
      </c>
      <c r="B3953" s="2" t="s">
        <v>7041</v>
      </c>
      <c r="C3953" s="2" t="s">
        <v>23</v>
      </c>
      <c r="K3953" s="2">
        <v>20.0</v>
      </c>
      <c r="N3953" s="6">
        <v>45341.0</v>
      </c>
      <c r="Q3953" s="2" t="s">
        <v>7042</v>
      </c>
    </row>
    <row r="3954">
      <c r="A3954" s="2">
        <v>3953.0</v>
      </c>
      <c r="B3954" s="2" t="s">
        <v>7043</v>
      </c>
      <c r="C3954" s="2" t="s">
        <v>23</v>
      </c>
      <c r="K3954" s="2">
        <v>30.0</v>
      </c>
      <c r="N3954" s="6">
        <v>45547.0</v>
      </c>
      <c r="Q3954" s="2" t="s">
        <v>7044</v>
      </c>
    </row>
    <row r="3955">
      <c r="A3955" s="2">
        <v>3954.0</v>
      </c>
      <c r="B3955" s="2" t="s">
        <v>7045</v>
      </c>
      <c r="C3955" s="2" t="s">
        <v>23</v>
      </c>
      <c r="K3955" s="2">
        <v>30.0</v>
      </c>
      <c r="N3955" s="6">
        <v>45550.0</v>
      </c>
      <c r="Q3955" s="2" t="s">
        <v>7046</v>
      </c>
    </row>
    <row r="3956">
      <c r="A3956" s="2">
        <v>3955.0</v>
      </c>
      <c r="B3956" s="2" t="s">
        <v>7047</v>
      </c>
      <c r="C3956" s="2" t="s">
        <v>23</v>
      </c>
      <c r="K3956" s="2">
        <v>200.0</v>
      </c>
      <c r="N3956" s="6">
        <v>43976.0</v>
      </c>
      <c r="Q3956" s="2" t="s">
        <v>7048</v>
      </c>
    </row>
    <row r="3957">
      <c r="A3957" s="2">
        <v>3956.0</v>
      </c>
      <c r="B3957" s="2" t="s">
        <v>7049</v>
      </c>
      <c r="C3957" s="2" t="s">
        <v>23</v>
      </c>
      <c r="K3957" s="2">
        <v>50.0</v>
      </c>
      <c r="N3957" s="6">
        <v>42754.0</v>
      </c>
      <c r="Q3957" s="2" t="s">
        <v>7050</v>
      </c>
    </row>
    <row r="3958">
      <c r="A3958" s="2">
        <v>3957.0</v>
      </c>
      <c r="B3958" s="2" t="s">
        <v>7051</v>
      </c>
      <c r="C3958" s="2" t="s">
        <v>23</v>
      </c>
      <c r="N3958" s="6">
        <v>42290.0</v>
      </c>
      <c r="Q3958" s="2" t="s">
        <v>86</v>
      </c>
    </row>
    <row r="3959">
      <c r="A3959" s="2">
        <v>3958.0</v>
      </c>
      <c r="B3959" s="2" t="s">
        <v>7052</v>
      </c>
      <c r="C3959" s="2" t="s">
        <v>23</v>
      </c>
      <c r="N3959" s="6">
        <v>45722.0</v>
      </c>
      <c r="Q3959" s="2" t="s">
        <v>6731</v>
      </c>
    </row>
    <row r="3960">
      <c r="A3960" s="2">
        <v>3959.0</v>
      </c>
      <c r="B3960" s="2" t="s">
        <v>7053</v>
      </c>
      <c r="C3960" s="2" t="s">
        <v>23</v>
      </c>
      <c r="N3960" s="6">
        <v>43965.0</v>
      </c>
      <c r="Q3960" s="2" t="s">
        <v>86</v>
      </c>
    </row>
    <row r="3961">
      <c r="A3961" s="2">
        <v>3960.0</v>
      </c>
      <c r="B3961" s="2" t="s">
        <v>7054</v>
      </c>
      <c r="C3961" s="2" t="s">
        <v>23</v>
      </c>
      <c r="K3961" s="2">
        <v>20.0</v>
      </c>
      <c r="N3961" s="6">
        <v>44495.0</v>
      </c>
      <c r="Q3961" s="2" t="s">
        <v>1437</v>
      </c>
    </row>
    <row r="3962">
      <c r="A3962" s="2">
        <v>3961.0</v>
      </c>
      <c r="B3962" s="2" t="s">
        <v>7055</v>
      </c>
      <c r="C3962" s="2" t="s">
        <v>23</v>
      </c>
      <c r="K3962" s="2">
        <v>150.0</v>
      </c>
      <c r="N3962" s="6">
        <v>44843.0</v>
      </c>
      <c r="Q3962" s="2" t="s">
        <v>7056</v>
      </c>
    </row>
    <row r="3963">
      <c r="A3963" s="2">
        <v>3962.0</v>
      </c>
      <c r="B3963" s="2" t="s">
        <v>7057</v>
      </c>
      <c r="C3963" s="2" t="s">
        <v>23</v>
      </c>
      <c r="K3963" s="2">
        <v>20.0</v>
      </c>
      <c r="N3963" s="6">
        <v>45511.0</v>
      </c>
      <c r="Q3963" s="2" t="s">
        <v>7058</v>
      </c>
    </row>
    <row r="3964">
      <c r="A3964" s="2">
        <v>3963.0</v>
      </c>
      <c r="B3964" s="2" t="s">
        <v>7059</v>
      </c>
      <c r="C3964" s="2" t="s">
        <v>23</v>
      </c>
      <c r="N3964" s="6">
        <v>42789.0</v>
      </c>
      <c r="Q3964" s="2" t="s">
        <v>86</v>
      </c>
    </row>
    <row r="3965">
      <c r="A3965" s="2">
        <v>3964.0</v>
      </c>
      <c r="B3965" s="2" t="s">
        <v>7060</v>
      </c>
      <c r="C3965" s="2" t="s">
        <v>23</v>
      </c>
      <c r="K3965" s="2">
        <v>80.0</v>
      </c>
      <c r="N3965" s="6">
        <v>44026.0</v>
      </c>
      <c r="Q3965" s="2" t="s">
        <v>7061</v>
      </c>
    </row>
    <row r="3966">
      <c r="A3966" s="2">
        <v>3965.0</v>
      </c>
      <c r="B3966" s="2" t="s">
        <v>7062</v>
      </c>
      <c r="C3966" s="2" t="s">
        <v>23</v>
      </c>
      <c r="N3966" s="6">
        <v>44274.0</v>
      </c>
      <c r="Q3966" s="2" t="s">
        <v>86</v>
      </c>
    </row>
    <row r="3967">
      <c r="A3967" s="2">
        <v>3966.0</v>
      </c>
      <c r="B3967" s="2" t="s">
        <v>7063</v>
      </c>
      <c r="C3967" s="2" t="s">
        <v>23</v>
      </c>
      <c r="K3967" s="2">
        <v>40.0</v>
      </c>
      <c r="N3967" s="6">
        <v>45714.0</v>
      </c>
      <c r="Q3967" s="2" t="s">
        <v>2451</v>
      </c>
    </row>
    <row r="3968">
      <c r="A3968" s="2">
        <v>3967.0</v>
      </c>
      <c r="B3968" s="2" t="s">
        <v>7064</v>
      </c>
      <c r="C3968" s="2" t="s">
        <v>23</v>
      </c>
      <c r="N3968" s="6">
        <v>44515.0</v>
      </c>
      <c r="Q3968" s="2" t="s">
        <v>86</v>
      </c>
    </row>
    <row r="3969">
      <c r="A3969" s="2">
        <v>3968.0</v>
      </c>
      <c r="B3969" s="2" t="s">
        <v>7065</v>
      </c>
      <c r="C3969" s="2" t="s">
        <v>23</v>
      </c>
      <c r="N3969" s="6">
        <v>44555.0</v>
      </c>
      <c r="Q3969" s="2" t="s">
        <v>86</v>
      </c>
    </row>
    <row r="3970">
      <c r="A3970" s="2">
        <v>3969.0</v>
      </c>
      <c r="B3970" s="2" t="s">
        <v>7066</v>
      </c>
      <c r="C3970" s="2" t="s">
        <v>23</v>
      </c>
      <c r="K3970" s="2">
        <v>150.0</v>
      </c>
      <c r="N3970" s="6">
        <v>43302.0</v>
      </c>
      <c r="Q3970" s="2" t="s">
        <v>7067</v>
      </c>
    </row>
    <row r="3971">
      <c r="A3971" s="2">
        <v>3970.0</v>
      </c>
      <c r="B3971" s="2" t="s">
        <v>7068</v>
      </c>
      <c r="C3971" s="2" t="s">
        <v>23</v>
      </c>
      <c r="F3971" s="2">
        <v>0.25</v>
      </c>
      <c r="K3971" s="2">
        <v>150.0</v>
      </c>
      <c r="N3971" s="6">
        <v>43113.0</v>
      </c>
      <c r="O3971" s="2" t="s">
        <v>91</v>
      </c>
      <c r="P3971" s="2" t="s">
        <v>36</v>
      </c>
      <c r="Q3971" s="2" t="s">
        <v>7069</v>
      </c>
      <c r="S3971" s="2" t="s">
        <v>7070</v>
      </c>
    </row>
    <row r="3972">
      <c r="A3972" s="2">
        <v>3971.0</v>
      </c>
      <c r="B3972" s="2" t="s">
        <v>7071</v>
      </c>
      <c r="C3972" s="2" t="s">
        <v>23</v>
      </c>
      <c r="K3972" s="2">
        <v>30.0</v>
      </c>
      <c r="N3972" s="6">
        <v>44664.0</v>
      </c>
      <c r="Q3972" s="2" t="s">
        <v>7072</v>
      </c>
    </row>
    <row r="3973">
      <c r="A3973" s="2">
        <v>3972.0</v>
      </c>
      <c r="B3973" s="2" t="s">
        <v>7073</v>
      </c>
      <c r="C3973" s="2" t="s">
        <v>23</v>
      </c>
      <c r="K3973" s="2">
        <v>10.0</v>
      </c>
      <c r="N3973" s="6">
        <v>45559.0</v>
      </c>
      <c r="Q3973" s="2" t="s">
        <v>7074</v>
      </c>
    </row>
    <row r="3974">
      <c r="A3974" s="2">
        <v>3973.0</v>
      </c>
      <c r="B3974" s="2" t="s">
        <v>7075</v>
      </c>
      <c r="C3974" s="2" t="s">
        <v>23</v>
      </c>
      <c r="K3974" s="2">
        <v>50.0</v>
      </c>
      <c r="N3974" s="6">
        <v>44259.0</v>
      </c>
      <c r="Q3974" s="2" t="s">
        <v>3062</v>
      </c>
    </row>
    <row r="3975">
      <c r="A3975" s="2">
        <v>3974.0</v>
      </c>
      <c r="B3975" s="2" t="s">
        <v>7076</v>
      </c>
      <c r="C3975" s="2" t="s">
        <v>23</v>
      </c>
      <c r="N3975" s="6">
        <v>42293.0</v>
      </c>
      <c r="Q3975" s="2" t="s">
        <v>86</v>
      </c>
    </row>
    <row r="3976">
      <c r="A3976" s="2">
        <v>3975.0</v>
      </c>
      <c r="B3976" s="2" t="s">
        <v>7077</v>
      </c>
      <c r="C3976" s="2" t="s">
        <v>23</v>
      </c>
      <c r="N3976" s="6">
        <v>45599.0</v>
      </c>
      <c r="Q3976" s="2" t="s">
        <v>7078</v>
      </c>
    </row>
    <row r="3977">
      <c r="A3977" s="2">
        <v>3976.0</v>
      </c>
      <c r="B3977" s="2" t="s">
        <v>7079</v>
      </c>
      <c r="C3977" s="2" t="s">
        <v>23</v>
      </c>
      <c r="K3977" s="2">
        <v>200.0</v>
      </c>
      <c r="N3977" s="6">
        <v>44311.0</v>
      </c>
      <c r="Q3977" s="2" t="s">
        <v>7080</v>
      </c>
    </row>
    <row r="3978">
      <c r="A3978" s="2">
        <v>3977.0</v>
      </c>
      <c r="B3978" s="2" t="s">
        <v>7081</v>
      </c>
      <c r="C3978" s="2" t="s">
        <v>23</v>
      </c>
      <c r="N3978" s="6">
        <v>44205.0</v>
      </c>
      <c r="Q3978" s="2" t="s">
        <v>1123</v>
      </c>
    </row>
    <row r="3979">
      <c r="A3979" s="2">
        <v>3978.0</v>
      </c>
      <c r="B3979" s="2" t="s">
        <v>7082</v>
      </c>
      <c r="C3979" s="2" t="s">
        <v>23</v>
      </c>
      <c r="N3979" s="6">
        <v>44645.0</v>
      </c>
      <c r="Q3979" s="2" t="s">
        <v>86</v>
      </c>
    </row>
    <row r="3980">
      <c r="A3980" s="2">
        <v>3979.0</v>
      </c>
      <c r="B3980" s="2" t="s">
        <v>7083</v>
      </c>
      <c r="C3980" s="2" t="s">
        <v>23</v>
      </c>
      <c r="N3980" s="6">
        <v>44205.0</v>
      </c>
      <c r="Q3980" s="2" t="s">
        <v>86</v>
      </c>
    </row>
    <row r="3981">
      <c r="A3981" s="2">
        <v>3980.0</v>
      </c>
      <c r="B3981" s="2" t="s">
        <v>7084</v>
      </c>
      <c r="C3981" s="2" t="s">
        <v>23</v>
      </c>
      <c r="K3981" s="2">
        <v>90.0</v>
      </c>
      <c r="N3981" s="6">
        <v>44740.0</v>
      </c>
      <c r="Q3981" s="2" t="s">
        <v>491</v>
      </c>
    </row>
    <row r="3982">
      <c r="A3982" s="2">
        <v>3981.0</v>
      </c>
      <c r="B3982" s="2" t="s">
        <v>7085</v>
      </c>
      <c r="C3982" s="2" t="s">
        <v>23</v>
      </c>
      <c r="K3982" s="2">
        <v>200.0</v>
      </c>
      <c r="N3982" s="6">
        <v>45087.0</v>
      </c>
      <c r="Q3982" s="2" t="s">
        <v>7086</v>
      </c>
    </row>
    <row r="3983">
      <c r="A3983" s="2">
        <v>3982.0</v>
      </c>
      <c r="B3983" s="2" t="s">
        <v>7087</v>
      </c>
      <c r="C3983" s="2" t="s">
        <v>23</v>
      </c>
      <c r="K3983" s="2">
        <v>10.0</v>
      </c>
      <c r="N3983" s="6">
        <v>45393.0</v>
      </c>
      <c r="Q3983" s="2" t="s">
        <v>7088</v>
      </c>
    </row>
    <row r="3984">
      <c r="A3984" s="2">
        <v>3983.0</v>
      </c>
      <c r="B3984" s="2" t="s">
        <v>7089</v>
      </c>
      <c r="C3984" s="2" t="s">
        <v>23</v>
      </c>
      <c r="K3984" s="2">
        <v>60.0</v>
      </c>
      <c r="N3984" s="6">
        <v>45450.0</v>
      </c>
      <c r="Q3984" s="2" t="s">
        <v>3548</v>
      </c>
    </row>
    <row r="3985">
      <c r="A3985" s="2">
        <v>3984.0</v>
      </c>
      <c r="B3985" s="2" t="s">
        <v>7090</v>
      </c>
      <c r="C3985" s="2" t="s">
        <v>23</v>
      </c>
      <c r="K3985" s="2">
        <v>30.0</v>
      </c>
      <c r="N3985" s="6">
        <v>45410.0</v>
      </c>
      <c r="Q3985" s="2" t="s">
        <v>7091</v>
      </c>
    </row>
    <row r="3986">
      <c r="A3986" s="2">
        <v>3985.0</v>
      </c>
      <c r="B3986" s="2" t="s">
        <v>7092</v>
      </c>
      <c r="C3986" s="2" t="s">
        <v>23</v>
      </c>
      <c r="K3986" s="2">
        <v>40.0</v>
      </c>
      <c r="N3986" s="6">
        <v>44022.0</v>
      </c>
      <c r="Q3986" s="2" t="s">
        <v>7093</v>
      </c>
    </row>
    <row r="3987">
      <c r="A3987" s="2">
        <v>3986.0</v>
      </c>
      <c r="B3987" s="2" t="s">
        <v>7094</v>
      </c>
      <c r="C3987" s="2" t="s">
        <v>23</v>
      </c>
      <c r="K3987" s="2">
        <v>50.0</v>
      </c>
      <c r="N3987" s="6">
        <v>44123.0</v>
      </c>
      <c r="Q3987" s="2" t="s">
        <v>4672</v>
      </c>
    </row>
    <row r="3988">
      <c r="A3988" s="2">
        <v>3987.0</v>
      </c>
      <c r="B3988" s="2" t="s">
        <v>7095</v>
      </c>
      <c r="C3988" s="2" t="s">
        <v>23</v>
      </c>
      <c r="K3988" s="2">
        <v>100.0</v>
      </c>
      <c r="N3988" s="6">
        <v>44470.0</v>
      </c>
      <c r="Q3988" s="2" t="s">
        <v>7096</v>
      </c>
    </row>
    <row r="3989">
      <c r="A3989" s="2">
        <v>3988.0</v>
      </c>
      <c r="B3989" s="2" t="s">
        <v>7097</v>
      </c>
      <c r="C3989" s="2" t="s">
        <v>23</v>
      </c>
      <c r="N3989" s="6">
        <v>44097.0</v>
      </c>
      <c r="Q3989" s="2" t="s">
        <v>86</v>
      </c>
    </row>
    <row r="3990">
      <c r="A3990" s="2">
        <v>3989.0</v>
      </c>
      <c r="B3990" s="2" t="s">
        <v>7098</v>
      </c>
      <c r="C3990" s="2" t="s">
        <v>23</v>
      </c>
      <c r="K3990" s="2">
        <v>10.0</v>
      </c>
      <c r="N3990" s="6">
        <v>46118.0</v>
      </c>
      <c r="Q3990" s="2" t="s">
        <v>7099</v>
      </c>
    </row>
    <row r="3991">
      <c r="A3991" s="2">
        <v>3990.0</v>
      </c>
      <c r="B3991" s="2" t="s">
        <v>7100</v>
      </c>
      <c r="C3991" s="2" t="s">
        <v>23</v>
      </c>
      <c r="K3991" s="2">
        <v>20.0</v>
      </c>
      <c r="N3991" s="6">
        <v>44105.0</v>
      </c>
      <c r="Q3991" s="2" t="s">
        <v>86</v>
      </c>
    </row>
    <row r="3992">
      <c r="A3992" s="2">
        <v>3991.0</v>
      </c>
      <c r="B3992" s="2" t="s">
        <v>7101</v>
      </c>
      <c r="C3992" s="2" t="s">
        <v>23</v>
      </c>
      <c r="K3992" s="2">
        <v>40.0</v>
      </c>
      <c r="N3992" s="6">
        <v>45733.0</v>
      </c>
      <c r="Q3992" s="2" t="s">
        <v>267</v>
      </c>
    </row>
    <row r="3993">
      <c r="A3993" s="2">
        <v>3992.0</v>
      </c>
      <c r="B3993" s="2" t="s">
        <v>7102</v>
      </c>
      <c r="C3993" s="2" t="s">
        <v>23</v>
      </c>
      <c r="K3993" s="2">
        <v>30.0</v>
      </c>
      <c r="N3993" s="6">
        <v>44105.0</v>
      </c>
      <c r="Q3993" s="2" t="s">
        <v>86</v>
      </c>
    </row>
    <row r="3994">
      <c r="A3994" s="2">
        <v>3993.0</v>
      </c>
      <c r="B3994" s="2" t="s">
        <v>7103</v>
      </c>
      <c r="C3994" s="2" t="s">
        <v>23</v>
      </c>
      <c r="N3994" s="6">
        <v>45099.0</v>
      </c>
      <c r="Q3994" s="2" t="s">
        <v>7104</v>
      </c>
    </row>
    <row r="3995">
      <c r="A3995" s="2">
        <v>3994.0</v>
      </c>
      <c r="B3995" s="2" t="s">
        <v>7105</v>
      </c>
      <c r="C3995" s="2" t="s">
        <v>23</v>
      </c>
      <c r="N3995" s="6">
        <v>45070.0</v>
      </c>
      <c r="Q3995" s="2" t="s">
        <v>6456</v>
      </c>
    </row>
    <row r="3996">
      <c r="A3996" s="2">
        <v>3995.0</v>
      </c>
      <c r="B3996" s="2" t="s">
        <v>7106</v>
      </c>
      <c r="C3996" s="2" t="s">
        <v>23</v>
      </c>
      <c r="N3996" s="6">
        <v>44006.0</v>
      </c>
      <c r="Q3996" s="2" t="s">
        <v>86</v>
      </c>
    </row>
    <row r="3997">
      <c r="A3997" s="2">
        <v>3996.0</v>
      </c>
      <c r="B3997" s="2" t="s">
        <v>7107</v>
      </c>
      <c r="C3997" s="2" t="s">
        <v>23</v>
      </c>
      <c r="K3997" s="2">
        <v>30.0</v>
      </c>
      <c r="N3997" s="6">
        <v>45463.0</v>
      </c>
      <c r="Q3997" s="2" t="s">
        <v>7108</v>
      </c>
    </row>
    <row r="3998">
      <c r="A3998" s="2">
        <v>3997.0</v>
      </c>
      <c r="B3998" s="2" t="s">
        <v>7109</v>
      </c>
      <c r="C3998" s="2" t="s">
        <v>23</v>
      </c>
      <c r="K3998" s="2">
        <v>30.0</v>
      </c>
      <c r="N3998" s="6">
        <v>44760.0</v>
      </c>
      <c r="Q3998" s="2" t="s">
        <v>7110</v>
      </c>
    </row>
    <row r="3999">
      <c r="A3999" s="2">
        <v>3998.0</v>
      </c>
      <c r="B3999" s="2" t="s">
        <v>7111</v>
      </c>
      <c r="C3999" s="2" t="s">
        <v>23</v>
      </c>
      <c r="K3999" s="2">
        <v>60.0</v>
      </c>
      <c r="N3999" s="6">
        <v>44121.0</v>
      </c>
      <c r="Q3999" s="2" t="s">
        <v>3062</v>
      </c>
    </row>
    <row r="4000">
      <c r="A4000" s="2">
        <v>3999.0</v>
      </c>
      <c r="B4000" s="2" t="s">
        <v>7112</v>
      </c>
      <c r="C4000" s="2" t="s">
        <v>23</v>
      </c>
      <c r="K4000" s="2">
        <v>60.0</v>
      </c>
      <c r="N4000" s="6">
        <v>45366.0</v>
      </c>
      <c r="Q4000" s="2" t="s">
        <v>7113</v>
      </c>
    </row>
    <row r="4001">
      <c r="A4001" s="2">
        <v>4000.0</v>
      </c>
      <c r="B4001" s="2" t="s">
        <v>7114</v>
      </c>
      <c r="C4001" s="2" t="s">
        <v>23</v>
      </c>
      <c r="K4001" s="2">
        <v>10.0</v>
      </c>
      <c r="N4001" s="6">
        <v>45427.0</v>
      </c>
      <c r="Q4001" s="2" t="s">
        <v>513</v>
      </c>
    </row>
    <row r="4002">
      <c r="A4002" s="2">
        <v>4001.0</v>
      </c>
      <c r="B4002" s="2" t="s">
        <v>7115</v>
      </c>
      <c r="C4002" s="2" t="s">
        <v>23</v>
      </c>
      <c r="K4002" s="2">
        <v>30.0</v>
      </c>
      <c r="N4002" s="6">
        <v>45428.0</v>
      </c>
      <c r="Q4002" s="2" t="s">
        <v>3282</v>
      </c>
    </row>
    <row r="4003">
      <c r="A4003" s="2">
        <v>4002.0</v>
      </c>
      <c r="B4003" s="2" t="s">
        <v>7116</v>
      </c>
      <c r="C4003" s="2" t="s">
        <v>23</v>
      </c>
      <c r="K4003" s="2">
        <v>50.0</v>
      </c>
      <c r="N4003" s="6">
        <v>44470.0</v>
      </c>
      <c r="Q4003" s="2" t="s">
        <v>546</v>
      </c>
    </row>
    <row r="4004">
      <c r="A4004" s="2">
        <v>4003.0</v>
      </c>
      <c r="B4004" s="2" t="s">
        <v>7117</v>
      </c>
      <c r="C4004" s="2" t="s">
        <v>23</v>
      </c>
      <c r="K4004" s="2">
        <v>10.0</v>
      </c>
      <c r="N4004" s="6">
        <v>44082.0</v>
      </c>
      <c r="Q4004" s="2" t="s">
        <v>86</v>
      </c>
    </row>
    <row r="4005">
      <c r="A4005" s="2">
        <v>4004.0</v>
      </c>
      <c r="B4005" s="2" t="s">
        <v>7118</v>
      </c>
      <c r="C4005" s="2" t="s">
        <v>23</v>
      </c>
      <c r="N4005" s="6">
        <v>44810.0</v>
      </c>
      <c r="Q4005" s="2" t="s">
        <v>86</v>
      </c>
    </row>
    <row r="4006">
      <c r="A4006" s="2">
        <v>4005.0</v>
      </c>
      <c r="B4006" s="2" t="s">
        <v>7119</v>
      </c>
      <c r="C4006" s="2" t="s">
        <v>23</v>
      </c>
      <c r="K4006" s="2">
        <v>50.0</v>
      </c>
      <c r="N4006" s="6">
        <v>44306.0</v>
      </c>
      <c r="Q4006" s="2" t="s">
        <v>7120</v>
      </c>
    </row>
    <row r="4007">
      <c r="A4007" s="2">
        <v>4006.0</v>
      </c>
      <c r="B4007" s="2" t="s">
        <v>7121</v>
      </c>
      <c r="C4007" s="2" t="s">
        <v>23</v>
      </c>
      <c r="K4007" s="2">
        <v>10.0</v>
      </c>
      <c r="N4007" s="6">
        <v>44681.0</v>
      </c>
      <c r="Q4007" s="2" t="s">
        <v>86</v>
      </c>
    </row>
    <row r="4008">
      <c r="A4008" s="2">
        <v>4007.0</v>
      </c>
      <c r="B4008" s="2" t="s">
        <v>7122</v>
      </c>
      <c r="C4008" s="2" t="s">
        <v>23</v>
      </c>
      <c r="K4008" s="2">
        <v>50.0</v>
      </c>
      <c r="N4008" s="6">
        <v>44150.0</v>
      </c>
      <c r="Q4008" s="2" t="s">
        <v>401</v>
      </c>
    </row>
    <row r="4009">
      <c r="A4009" s="2">
        <v>4008.0</v>
      </c>
      <c r="B4009" s="2" t="s">
        <v>7123</v>
      </c>
      <c r="C4009" s="2" t="s">
        <v>23</v>
      </c>
      <c r="N4009" s="6">
        <v>44883.0</v>
      </c>
      <c r="Q4009" s="2" t="s">
        <v>86</v>
      </c>
    </row>
    <row r="4010">
      <c r="A4010" s="2">
        <v>4009.0</v>
      </c>
      <c r="B4010" s="2" t="s">
        <v>7124</v>
      </c>
      <c r="C4010" s="2" t="s">
        <v>23</v>
      </c>
      <c r="K4010" s="2">
        <v>10.0</v>
      </c>
      <c r="N4010" s="6">
        <v>45445.0</v>
      </c>
      <c r="Q4010" s="2" t="s">
        <v>1675</v>
      </c>
    </row>
    <row r="4011">
      <c r="A4011" s="2">
        <v>4010.0</v>
      </c>
      <c r="B4011" s="2" t="s">
        <v>7125</v>
      </c>
      <c r="C4011" s="2" t="s">
        <v>23</v>
      </c>
      <c r="K4011" s="2">
        <v>40.0</v>
      </c>
      <c r="N4011" s="6">
        <v>44074.0</v>
      </c>
      <c r="Q4011" s="2" t="s">
        <v>200</v>
      </c>
    </row>
    <row r="4012">
      <c r="A4012" s="2">
        <v>4011.0</v>
      </c>
      <c r="B4012" s="2" t="s">
        <v>7126</v>
      </c>
      <c r="C4012" s="2" t="s">
        <v>23</v>
      </c>
      <c r="K4012" s="2">
        <v>150.0</v>
      </c>
      <c r="N4012" s="6">
        <v>45073.0</v>
      </c>
      <c r="Q4012" s="2" t="s">
        <v>7127</v>
      </c>
    </row>
    <row r="4013">
      <c r="A4013" s="2">
        <v>4012.0</v>
      </c>
      <c r="B4013" s="2" t="s">
        <v>7128</v>
      </c>
      <c r="C4013" s="2" t="s">
        <v>23</v>
      </c>
      <c r="K4013" s="2">
        <v>60.0</v>
      </c>
      <c r="N4013" s="6">
        <v>44388.0</v>
      </c>
      <c r="Q4013" s="2" t="s">
        <v>7129</v>
      </c>
    </row>
    <row r="4014">
      <c r="A4014" s="2">
        <v>4013.0</v>
      </c>
      <c r="B4014" s="2" t="s">
        <v>7130</v>
      </c>
      <c r="C4014" s="2" t="s">
        <v>23</v>
      </c>
      <c r="K4014" s="2">
        <v>10.0</v>
      </c>
      <c r="N4014" s="6">
        <v>44154.0</v>
      </c>
      <c r="Q4014" s="2" t="s">
        <v>2313</v>
      </c>
    </row>
    <row r="4015">
      <c r="A4015" s="2">
        <v>4014.0</v>
      </c>
      <c r="B4015" s="2" t="s">
        <v>7131</v>
      </c>
      <c r="C4015" s="2" t="s">
        <v>23</v>
      </c>
      <c r="N4015" s="6">
        <v>45341.0</v>
      </c>
      <c r="Q4015" s="2" t="s">
        <v>86</v>
      </c>
    </row>
    <row r="4016">
      <c r="A4016" s="2">
        <v>4015.0</v>
      </c>
      <c r="B4016" s="2" t="s">
        <v>7132</v>
      </c>
      <c r="C4016" s="2" t="s">
        <v>23</v>
      </c>
      <c r="K4016" s="2">
        <v>40.0</v>
      </c>
      <c r="N4016" s="6">
        <v>42942.0</v>
      </c>
      <c r="Q4016" s="2" t="s">
        <v>7133</v>
      </c>
    </row>
    <row r="4017">
      <c r="A4017" s="2">
        <v>4016.0</v>
      </c>
      <c r="B4017" s="2" t="s">
        <v>7134</v>
      </c>
      <c r="C4017" s="2" t="s">
        <v>23</v>
      </c>
      <c r="N4017" s="6">
        <v>44119.0</v>
      </c>
      <c r="Q4017" s="2" t="s">
        <v>86</v>
      </c>
    </row>
    <row r="4018">
      <c r="A4018" s="2">
        <v>4017.0</v>
      </c>
      <c r="B4018" s="2" t="s">
        <v>7135</v>
      </c>
      <c r="C4018" s="2" t="s">
        <v>23</v>
      </c>
      <c r="N4018" s="6">
        <v>44253.0</v>
      </c>
      <c r="Q4018" s="2" t="s">
        <v>86</v>
      </c>
    </row>
    <row r="4019">
      <c r="A4019" s="2">
        <v>4018.0</v>
      </c>
      <c r="B4019" s="2" t="s">
        <v>7136</v>
      </c>
      <c r="C4019" s="2" t="s">
        <v>23</v>
      </c>
      <c r="K4019" s="2">
        <v>20.0</v>
      </c>
      <c r="N4019" s="6">
        <v>43983.0</v>
      </c>
      <c r="Q4019" s="2" t="s">
        <v>7137</v>
      </c>
    </row>
    <row r="4020">
      <c r="A4020" s="2">
        <v>4019.0</v>
      </c>
      <c r="B4020" s="2" t="s">
        <v>7138</v>
      </c>
      <c r="C4020" s="2" t="s">
        <v>23</v>
      </c>
      <c r="K4020" s="2">
        <v>50.0</v>
      </c>
      <c r="N4020" s="6">
        <v>45209.0</v>
      </c>
      <c r="Q4020" s="2" t="s">
        <v>7139</v>
      </c>
    </row>
    <row r="4021">
      <c r="A4021" s="2">
        <v>4020.0</v>
      </c>
      <c r="B4021" s="2" t="s">
        <v>7140</v>
      </c>
      <c r="C4021" s="2" t="s">
        <v>23</v>
      </c>
      <c r="K4021" s="2">
        <v>100.0</v>
      </c>
      <c r="N4021" s="6">
        <v>44138.0</v>
      </c>
      <c r="Q4021" s="2" t="s">
        <v>7141</v>
      </c>
    </row>
    <row r="4022">
      <c r="A4022" s="2">
        <v>4021.0</v>
      </c>
      <c r="B4022" s="2" t="s">
        <v>7142</v>
      </c>
      <c r="C4022" s="2" t="s">
        <v>23</v>
      </c>
      <c r="N4022" s="6">
        <v>44419.0</v>
      </c>
      <c r="Q4022" s="2" t="s">
        <v>86</v>
      </c>
    </row>
    <row r="4023">
      <c r="A4023" s="2">
        <v>4022.0</v>
      </c>
      <c r="B4023" s="2" t="s">
        <v>7143</v>
      </c>
      <c r="C4023" s="2" t="s">
        <v>23</v>
      </c>
      <c r="K4023" s="2">
        <v>20.0</v>
      </c>
      <c r="N4023" s="6">
        <v>44595.0</v>
      </c>
      <c r="Q4023" s="2" t="s">
        <v>401</v>
      </c>
    </row>
    <row r="4024">
      <c r="A4024" s="2">
        <v>4023.0</v>
      </c>
      <c r="B4024" s="2" t="s">
        <v>7144</v>
      </c>
      <c r="C4024" s="2" t="s">
        <v>23</v>
      </c>
      <c r="K4024" s="2">
        <v>70.0</v>
      </c>
      <c r="N4024" s="6">
        <v>43917.0</v>
      </c>
      <c r="Q4024" s="2" t="s">
        <v>86</v>
      </c>
    </row>
    <row r="4025">
      <c r="A4025" s="2">
        <v>4024.0</v>
      </c>
      <c r="B4025" s="2" t="s">
        <v>7145</v>
      </c>
      <c r="C4025" s="2" t="s">
        <v>23</v>
      </c>
      <c r="N4025" s="6">
        <v>45074.0</v>
      </c>
      <c r="Q4025" s="2" t="s">
        <v>1131</v>
      </c>
    </row>
    <row r="4026">
      <c r="A4026" s="2">
        <v>4025.0</v>
      </c>
      <c r="B4026" s="2" t="s">
        <v>7146</v>
      </c>
      <c r="C4026" s="2" t="s">
        <v>23</v>
      </c>
      <c r="K4026" s="2">
        <v>90.0</v>
      </c>
      <c r="N4026" s="6">
        <v>43868.0</v>
      </c>
      <c r="Q4026" s="2" t="s">
        <v>2362</v>
      </c>
    </row>
    <row r="4027">
      <c r="A4027" s="2">
        <v>4026.0</v>
      </c>
      <c r="B4027" s="2" t="s">
        <v>7147</v>
      </c>
      <c r="C4027" s="2" t="s">
        <v>23</v>
      </c>
      <c r="K4027" s="2">
        <v>50.0</v>
      </c>
      <c r="N4027" s="6">
        <v>45656.0</v>
      </c>
      <c r="Q4027" s="2" t="s">
        <v>7148</v>
      </c>
    </row>
    <row r="4028">
      <c r="A4028" s="2">
        <v>4027.0</v>
      </c>
      <c r="B4028" s="2" t="s">
        <v>7149</v>
      </c>
      <c r="C4028" s="2" t="s">
        <v>23</v>
      </c>
      <c r="N4028" s="6">
        <v>44301.0</v>
      </c>
      <c r="Q4028" s="2" t="s">
        <v>86</v>
      </c>
    </row>
    <row r="4029">
      <c r="A4029" s="2">
        <v>4028.0</v>
      </c>
      <c r="B4029" s="2" t="s">
        <v>7150</v>
      </c>
      <c r="C4029" s="2" t="s">
        <v>23</v>
      </c>
      <c r="K4029" s="2">
        <v>40.0</v>
      </c>
      <c r="N4029" s="6">
        <v>45789.0</v>
      </c>
      <c r="Q4029" s="2" t="s">
        <v>7151</v>
      </c>
    </row>
    <row r="4030">
      <c r="A4030" s="2">
        <v>4029.0</v>
      </c>
      <c r="B4030" s="2" t="s">
        <v>7152</v>
      </c>
      <c r="C4030" s="2" t="s">
        <v>23</v>
      </c>
      <c r="K4030" s="2">
        <v>70.0</v>
      </c>
      <c r="N4030" s="6">
        <v>44233.0</v>
      </c>
      <c r="Q4030" s="2" t="s">
        <v>7153</v>
      </c>
    </row>
    <row r="4031">
      <c r="A4031" s="2">
        <v>4030.0</v>
      </c>
      <c r="B4031" s="2" t="s">
        <v>7154</v>
      </c>
      <c r="C4031" s="2" t="s">
        <v>23</v>
      </c>
      <c r="K4031" s="2">
        <v>40.0</v>
      </c>
      <c r="N4031" s="6">
        <v>43952.0</v>
      </c>
      <c r="Q4031" s="2" t="s">
        <v>60</v>
      </c>
    </row>
    <row r="4032">
      <c r="A4032" s="2">
        <v>4031.0</v>
      </c>
      <c r="B4032" s="2" t="s">
        <v>7155</v>
      </c>
      <c r="C4032" s="2" t="s">
        <v>23</v>
      </c>
      <c r="N4032" s="6">
        <v>43114.0</v>
      </c>
      <c r="Q4032" s="2" t="s">
        <v>86</v>
      </c>
    </row>
    <row r="4033">
      <c r="A4033" s="2">
        <v>4032.0</v>
      </c>
      <c r="B4033" s="2" t="s">
        <v>7156</v>
      </c>
      <c r="C4033" s="2" t="s">
        <v>23</v>
      </c>
      <c r="N4033" s="6">
        <v>44622.0</v>
      </c>
      <c r="Q4033" s="2" t="s">
        <v>86</v>
      </c>
    </row>
    <row r="4034">
      <c r="A4034" s="2">
        <v>4033.0</v>
      </c>
      <c r="B4034" s="2" t="s">
        <v>7157</v>
      </c>
      <c r="C4034" s="2" t="s">
        <v>23</v>
      </c>
      <c r="K4034" s="2">
        <v>200.0</v>
      </c>
      <c r="N4034" s="6">
        <v>44585.0</v>
      </c>
      <c r="Q4034" s="2" t="s">
        <v>7158</v>
      </c>
    </row>
    <row r="4035">
      <c r="A4035" s="2">
        <v>4034.0</v>
      </c>
      <c r="B4035" s="2" t="s">
        <v>7159</v>
      </c>
      <c r="C4035" s="2" t="s">
        <v>23</v>
      </c>
      <c r="N4035" s="6">
        <v>44624.0</v>
      </c>
      <c r="Q4035" s="2" t="s">
        <v>86</v>
      </c>
    </row>
    <row r="4036">
      <c r="A4036" s="2">
        <v>4035.0</v>
      </c>
      <c r="B4036" s="2" t="s">
        <v>7160</v>
      </c>
      <c r="C4036" s="2" t="s">
        <v>23</v>
      </c>
      <c r="N4036" s="6">
        <v>45996.0</v>
      </c>
      <c r="Q4036" s="2" t="s">
        <v>7161</v>
      </c>
    </row>
    <row r="4037">
      <c r="A4037" s="2">
        <v>4036.0</v>
      </c>
      <c r="B4037" s="2" t="s">
        <v>7162</v>
      </c>
      <c r="C4037" s="2" t="s">
        <v>23</v>
      </c>
      <c r="K4037" s="2">
        <v>20.0</v>
      </c>
      <c r="N4037" s="6">
        <v>44537.0</v>
      </c>
      <c r="Q4037" s="2" t="s">
        <v>86</v>
      </c>
    </row>
    <row r="4038">
      <c r="A4038" s="2">
        <v>4037.0</v>
      </c>
      <c r="B4038" s="2" t="s">
        <v>7163</v>
      </c>
      <c r="C4038" s="2" t="s">
        <v>23</v>
      </c>
      <c r="N4038" s="6">
        <v>43972.0</v>
      </c>
      <c r="Q4038" s="2" t="s">
        <v>86</v>
      </c>
    </row>
    <row r="4039">
      <c r="A4039" s="2">
        <v>4038.0</v>
      </c>
      <c r="B4039" s="2" t="s">
        <v>280</v>
      </c>
      <c r="C4039" s="2" t="s">
        <v>23</v>
      </c>
      <c r="K4039" s="2">
        <v>10.0</v>
      </c>
      <c r="N4039" s="6">
        <v>44859.0</v>
      </c>
      <c r="Q4039" s="2" t="s">
        <v>283</v>
      </c>
    </row>
    <row r="4040">
      <c r="A4040" s="2">
        <v>4039.0</v>
      </c>
      <c r="B4040" s="2" t="s">
        <v>7164</v>
      </c>
      <c r="C4040" s="2" t="s">
        <v>23</v>
      </c>
      <c r="N4040" s="6">
        <v>44240.0</v>
      </c>
      <c r="Q4040" s="2" t="s">
        <v>86</v>
      </c>
    </row>
    <row r="4041">
      <c r="A4041" s="2">
        <v>4040.0</v>
      </c>
      <c r="B4041" s="2" t="s">
        <v>7165</v>
      </c>
      <c r="C4041" s="2" t="s">
        <v>23</v>
      </c>
      <c r="K4041" s="2">
        <v>60.0</v>
      </c>
      <c r="N4041" s="6">
        <v>44507.0</v>
      </c>
      <c r="Q4041" s="2" t="s">
        <v>86</v>
      </c>
    </row>
    <row r="4042">
      <c r="A4042" s="2">
        <v>4041.0</v>
      </c>
      <c r="B4042" s="2" t="s">
        <v>7166</v>
      </c>
      <c r="C4042" s="2" t="s">
        <v>23</v>
      </c>
      <c r="N4042" s="6">
        <v>43945.0</v>
      </c>
      <c r="Q4042" s="2" t="s">
        <v>4514</v>
      </c>
    </row>
    <row r="4043">
      <c r="A4043" s="2">
        <v>4042.0</v>
      </c>
      <c r="B4043" s="2" t="s">
        <v>7167</v>
      </c>
      <c r="C4043" s="2" t="s">
        <v>23</v>
      </c>
      <c r="K4043" s="2">
        <v>100.0</v>
      </c>
      <c r="N4043" s="6">
        <v>44603.0</v>
      </c>
      <c r="Q4043" s="2" t="s">
        <v>200</v>
      </c>
    </row>
    <row r="4044">
      <c r="A4044" s="2">
        <v>4043.0</v>
      </c>
      <c r="B4044" s="2" t="s">
        <v>7168</v>
      </c>
      <c r="C4044" s="2" t="s">
        <v>23</v>
      </c>
      <c r="K4044" s="2">
        <v>90.0</v>
      </c>
      <c r="N4044" s="6">
        <v>43914.0</v>
      </c>
      <c r="Q4044" s="2" t="s">
        <v>7169</v>
      </c>
    </row>
    <row r="4045">
      <c r="A4045" s="2">
        <v>4044.0</v>
      </c>
      <c r="B4045" s="2" t="s">
        <v>7170</v>
      </c>
      <c r="C4045" s="2" t="s">
        <v>23</v>
      </c>
      <c r="K4045" s="2">
        <v>70.0</v>
      </c>
      <c r="N4045" s="6">
        <v>44762.0</v>
      </c>
      <c r="Q4045" s="2" t="s">
        <v>7171</v>
      </c>
    </row>
    <row r="4046">
      <c r="A4046" s="2">
        <v>4045.0</v>
      </c>
      <c r="B4046" s="2" t="s">
        <v>7172</v>
      </c>
      <c r="C4046" s="2" t="s">
        <v>23</v>
      </c>
      <c r="K4046" s="2">
        <v>50.0</v>
      </c>
      <c r="N4046" s="6">
        <v>44238.0</v>
      </c>
      <c r="Q4046" s="2" t="s">
        <v>7173</v>
      </c>
    </row>
    <row r="4047">
      <c r="A4047" s="2">
        <v>4046.0</v>
      </c>
      <c r="B4047" s="2" t="s">
        <v>7174</v>
      </c>
      <c r="C4047" s="2" t="s">
        <v>23</v>
      </c>
      <c r="N4047" s="6">
        <v>44332.0</v>
      </c>
      <c r="Q4047" s="2" t="s">
        <v>86</v>
      </c>
    </row>
    <row r="4048">
      <c r="A4048" s="2">
        <v>4047.0</v>
      </c>
      <c r="B4048" s="2" t="s">
        <v>7175</v>
      </c>
      <c r="C4048" s="2" t="s">
        <v>23</v>
      </c>
      <c r="N4048" s="6">
        <v>43994.0</v>
      </c>
      <c r="Q4048" s="2" t="s">
        <v>4384</v>
      </c>
    </row>
    <row r="4049">
      <c r="A4049" s="2">
        <v>4048.0</v>
      </c>
      <c r="B4049" s="2" t="s">
        <v>7176</v>
      </c>
      <c r="C4049" s="2" t="s">
        <v>23</v>
      </c>
      <c r="K4049" s="2">
        <v>20.0</v>
      </c>
      <c r="N4049" s="6">
        <v>44719.0</v>
      </c>
      <c r="Q4049" s="2" t="s">
        <v>86</v>
      </c>
    </row>
    <row r="4050">
      <c r="A4050" s="2">
        <v>4049.0</v>
      </c>
      <c r="B4050" s="2" t="s">
        <v>7177</v>
      </c>
      <c r="C4050" s="2" t="s">
        <v>23</v>
      </c>
      <c r="K4050" s="2">
        <v>30.0</v>
      </c>
      <c r="N4050" s="6">
        <v>44634.0</v>
      </c>
      <c r="Q4050" s="2" t="s">
        <v>7178</v>
      </c>
    </row>
    <row r="4051">
      <c r="A4051" s="2">
        <v>4050.0</v>
      </c>
      <c r="B4051" s="2" t="s">
        <v>7179</v>
      </c>
      <c r="C4051" s="2" t="s">
        <v>23</v>
      </c>
      <c r="K4051" s="2">
        <v>300.0</v>
      </c>
      <c r="N4051" s="6">
        <v>44382.0</v>
      </c>
      <c r="Q4051" s="2" t="s">
        <v>7180</v>
      </c>
    </row>
    <row r="4052">
      <c r="A4052" s="2">
        <v>4051.0</v>
      </c>
      <c r="B4052" s="2" t="s">
        <v>286</v>
      </c>
      <c r="C4052" s="2" t="s">
        <v>23</v>
      </c>
      <c r="N4052" s="6">
        <v>44249.0</v>
      </c>
      <c r="Q4052" s="2" t="s">
        <v>290</v>
      </c>
    </row>
    <row r="4053">
      <c r="A4053" s="2">
        <v>4052.0</v>
      </c>
      <c r="B4053" s="2" t="s">
        <v>7181</v>
      </c>
      <c r="C4053" s="2" t="s">
        <v>23</v>
      </c>
      <c r="N4053" s="6">
        <v>42749.0</v>
      </c>
      <c r="Q4053" s="2" t="s">
        <v>86</v>
      </c>
    </row>
    <row r="4054">
      <c r="A4054" s="2">
        <v>4053.0</v>
      </c>
      <c r="B4054" s="2" t="s">
        <v>7182</v>
      </c>
      <c r="C4054" s="2" t="s">
        <v>23</v>
      </c>
      <c r="K4054" s="2">
        <v>150.0</v>
      </c>
      <c r="N4054" s="6">
        <v>43880.0</v>
      </c>
      <c r="Q4054" s="2" t="s">
        <v>7183</v>
      </c>
    </row>
    <row r="4055">
      <c r="A4055" s="2">
        <v>4054.0</v>
      </c>
      <c r="B4055" s="2" t="s">
        <v>7184</v>
      </c>
      <c r="C4055" s="2" t="s">
        <v>23</v>
      </c>
      <c r="K4055" s="2">
        <v>30.0</v>
      </c>
      <c r="N4055" s="6">
        <v>44336.0</v>
      </c>
      <c r="Q4055" s="2" t="s">
        <v>1249</v>
      </c>
    </row>
    <row r="4056">
      <c r="A4056" s="2">
        <v>4055.0</v>
      </c>
      <c r="B4056" s="2" t="s">
        <v>7185</v>
      </c>
      <c r="C4056" s="2" t="s">
        <v>23</v>
      </c>
      <c r="K4056" s="2">
        <v>20.0</v>
      </c>
      <c r="N4056" s="6">
        <v>44777.0</v>
      </c>
      <c r="Q4056" s="2" t="s">
        <v>60</v>
      </c>
    </row>
    <row r="4057">
      <c r="A4057" s="2">
        <v>4056.0</v>
      </c>
      <c r="B4057" s="2" t="s">
        <v>7186</v>
      </c>
      <c r="C4057" s="2" t="s">
        <v>23</v>
      </c>
      <c r="K4057" s="2">
        <v>10.0</v>
      </c>
      <c r="N4057" s="6">
        <v>45817.0</v>
      </c>
      <c r="Q4057" s="2" t="s">
        <v>7187</v>
      </c>
    </row>
    <row r="4058">
      <c r="A4058" s="2">
        <v>4057.0</v>
      </c>
      <c r="B4058" s="2" t="s">
        <v>7188</v>
      </c>
      <c r="C4058" s="2" t="s">
        <v>23</v>
      </c>
      <c r="N4058" s="6">
        <v>44732.0</v>
      </c>
      <c r="Q4058" s="2" t="s">
        <v>1249</v>
      </c>
    </row>
    <row r="4059">
      <c r="A4059" s="2">
        <v>4058.0</v>
      </c>
      <c r="B4059" s="2" t="s">
        <v>7189</v>
      </c>
      <c r="C4059" s="2" t="s">
        <v>23</v>
      </c>
      <c r="K4059" s="2">
        <v>50.0</v>
      </c>
      <c r="N4059" s="6">
        <v>45728.0</v>
      </c>
      <c r="Q4059" s="2" t="s">
        <v>3196</v>
      </c>
    </row>
    <row r="4060">
      <c r="A4060" s="2">
        <v>4059.0</v>
      </c>
      <c r="B4060" s="2" t="s">
        <v>7190</v>
      </c>
      <c r="C4060" s="2" t="s">
        <v>23</v>
      </c>
      <c r="K4060" s="2">
        <v>80.0</v>
      </c>
      <c r="N4060" s="6">
        <v>44088.0</v>
      </c>
      <c r="Q4060" s="2" t="s">
        <v>7191</v>
      </c>
    </row>
    <row r="4061">
      <c r="A4061" s="2">
        <v>4060.0</v>
      </c>
      <c r="B4061" s="2" t="s">
        <v>7192</v>
      </c>
      <c r="C4061" s="2" t="s">
        <v>23</v>
      </c>
      <c r="N4061" s="6">
        <v>44121.0</v>
      </c>
      <c r="Q4061" s="2" t="s">
        <v>86</v>
      </c>
    </row>
    <row r="4062">
      <c r="A4062" s="2">
        <v>4061.0</v>
      </c>
      <c r="B4062" s="2" t="s">
        <v>7193</v>
      </c>
      <c r="C4062" s="2" t="s">
        <v>23</v>
      </c>
      <c r="N4062" s="6">
        <v>45261.0</v>
      </c>
      <c r="Q4062" s="2" t="s">
        <v>86</v>
      </c>
    </row>
    <row r="4063">
      <c r="A4063" s="2">
        <v>4062.0</v>
      </c>
      <c r="B4063" s="2" t="s">
        <v>7194</v>
      </c>
      <c r="C4063" s="2" t="s">
        <v>23</v>
      </c>
      <c r="N4063" s="6">
        <v>42751.0</v>
      </c>
      <c r="Q4063" s="2" t="s">
        <v>86</v>
      </c>
    </row>
    <row r="4064">
      <c r="A4064" s="2">
        <v>4063.0</v>
      </c>
      <c r="B4064" s="2" t="s">
        <v>7195</v>
      </c>
      <c r="C4064" s="2" t="s">
        <v>23</v>
      </c>
      <c r="N4064" s="6">
        <v>44418.0</v>
      </c>
      <c r="Q4064" s="2" t="s">
        <v>86</v>
      </c>
    </row>
    <row r="4065">
      <c r="A4065" s="2">
        <v>4064.0</v>
      </c>
      <c r="B4065" s="2" t="s">
        <v>7196</v>
      </c>
      <c r="C4065" s="2" t="s">
        <v>23</v>
      </c>
      <c r="N4065" s="6">
        <v>44425.0</v>
      </c>
      <c r="Q4065" s="2" t="s">
        <v>86</v>
      </c>
    </row>
    <row r="4066">
      <c r="A4066" s="2">
        <v>4065.0</v>
      </c>
      <c r="B4066" s="2" t="s">
        <v>7197</v>
      </c>
      <c r="C4066" s="2" t="s">
        <v>23</v>
      </c>
      <c r="N4066" s="6">
        <v>44647.0</v>
      </c>
      <c r="Q4066" s="2" t="s">
        <v>86</v>
      </c>
    </row>
    <row r="4067">
      <c r="A4067" s="2">
        <v>4066.0</v>
      </c>
      <c r="B4067" s="2" t="s">
        <v>7198</v>
      </c>
      <c r="C4067" s="2" t="s">
        <v>23</v>
      </c>
      <c r="N4067" s="6">
        <v>45837.0</v>
      </c>
      <c r="Q4067" s="2" t="s">
        <v>7199</v>
      </c>
    </row>
    <row r="4068">
      <c r="A4068" s="2">
        <v>4067.0</v>
      </c>
      <c r="B4068" s="2" t="s">
        <v>7200</v>
      </c>
      <c r="C4068" s="2" t="s">
        <v>23</v>
      </c>
      <c r="K4068" s="2">
        <v>10.0</v>
      </c>
      <c r="N4068" s="6">
        <v>44578.0</v>
      </c>
      <c r="Q4068" s="2" t="s">
        <v>7201</v>
      </c>
    </row>
    <row r="4069">
      <c r="A4069" s="2">
        <v>4068.0</v>
      </c>
      <c r="B4069" s="2" t="s">
        <v>7202</v>
      </c>
      <c r="C4069" s="2" t="s">
        <v>23</v>
      </c>
      <c r="K4069" s="2">
        <v>10.0</v>
      </c>
      <c r="N4069" s="6">
        <v>44370.0</v>
      </c>
      <c r="Q4069" s="2" t="s">
        <v>7203</v>
      </c>
    </row>
    <row r="4070">
      <c r="A4070" s="2">
        <v>4069.0</v>
      </c>
      <c r="B4070" s="2" t="s">
        <v>7204</v>
      </c>
      <c r="C4070" s="2" t="s">
        <v>23</v>
      </c>
      <c r="K4070" s="2">
        <v>10.0</v>
      </c>
      <c r="N4070" s="6">
        <v>43866.0</v>
      </c>
      <c r="Q4070" s="2" t="s">
        <v>7205</v>
      </c>
    </row>
    <row r="4071">
      <c r="A4071" s="2">
        <v>4070.0</v>
      </c>
      <c r="B4071" s="2" t="s">
        <v>7206</v>
      </c>
      <c r="C4071" s="2" t="s">
        <v>23</v>
      </c>
      <c r="N4071" s="6">
        <v>44732.0</v>
      </c>
      <c r="Q4071" s="2" t="s">
        <v>86</v>
      </c>
    </row>
    <row r="4072">
      <c r="A4072" s="2">
        <v>4071.0</v>
      </c>
      <c r="B4072" s="2" t="s">
        <v>7207</v>
      </c>
      <c r="C4072" s="2" t="s">
        <v>23</v>
      </c>
      <c r="N4072" s="6">
        <v>44676.0</v>
      </c>
      <c r="Q4072" s="2" t="s">
        <v>86</v>
      </c>
    </row>
    <row r="4073">
      <c r="A4073" s="2">
        <v>4072.0</v>
      </c>
      <c r="B4073" s="2" t="s">
        <v>7208</v>
      </c>
      <c r="C4073" s="2" t="s">
        <v>23</v>
      </c>
      <c r="N4073" s="6">
        <v>44209.0</v>
      </c>
      <c r="Q4073" s="2" t="s">
        <v>86</v>
      </c>
    </row>
    <row r="4074">
      <c r="A4074" s="2">
        <v>4073.0</v>
      </c>
      <c r="B4074" s="2" t="s">
        <v>7209</v>
      </c>
      <c r="C4074" s="2" t="s">
        <v>23</v>
      </c>
      <c r="N4074" s="6">
        <v>45103.0</v>
      </c>
      <c r="Q4074" s="2" t="s">
        <v>86</v>
      </c>
    </row>
    <row r="4075">
      <c r="A4075" s="2">
        <v>4074.0</v>
      </c>
      <c r="B4075" s="2" t="s">
        <v>7210</v>
      </c>
      <c r="C4075" s="2" t="s">
        <v>23</v>
      </c>
      <c r="K4075" s="2">
        <v>20.0</v>
      </c>
      <c r="N4075" s="6">
        <v>44566.0</v>
      </c>
      <c r="Q4075" s="2" t="s">
        <v>401</v>
      </c>
    </row>
    <row r="4076">
      <c r="A4076" s="2">
        <v>4075.0</v>
      </c>
      <c r="B4076" s="2" t="s">
        <v>7211</v>
      </c>
      <c r="C4076" s="2" t="s">
        <v>23</v>
      </c>
      <c r="K4076" s="2">
        <v>10.0</v>
      </c>
      <c r="N4076" s="6">
        <v>45843.0</v>
      </c>
      <c r="Q4076" s="2" t="s">
        <v>7212</v>
      </c>
    </row>
    <row r="4077">
      <c r="A4077" s="2">
        <v>4076.0</v>
      </c>
      <c r="B4077" s="2" t="s">
        <v>7213</v>
      </c>
      <c r="C4077" s="2" t="s">
        <v>23</v>
      </c>
      <c r="K4077" s="2">
        <v>20.0</v>
      </c>
      <c r="N4077" s="6">
        <v>44717.0</v>
      </c>
      <c r="Q4077" s="2" t="s">
        <v>86</v>
      </c>
    </row>
    <row r="4078">
      <c r="A4078" s="2">
        <v>4077.0</v>
      </c>
      <c r="B4078" s="2" t="s">
        <v>7214</v>
      </c>
      <c r="C4078" s="2" t="s">
        <v>23</v>
      </c>
      <c r="K4078" s="2">
        <v>30.0</v>
      </c>
      <c r="N4078" s="6">
        <v>44702.0</v>
      </c>
      <c r="Q4078" s="2" t="s">
        <v>86</v>
      </c>
    </row>
    <row r="4079">
      <c r="A4079" s="2">
        <v>4078.0</v>
      </c>
      <c r="B4079" s="2" t="s">
        <v>7215</v>
      </c>
      <c r="C4079" s="2" t="s">
        <v>23</v>
      </c>
      <c r="N4079" s="6">
        <v>44341.0</v>
      </c>
      <c r="Q4079" s="2" t="s">
        <v>86</v>
      </c>
    </row>
    <row r="4080">
      <c r="A4080" s="2">
        <v>4079.0</v>
      </c>
      <c r="B4080" s="2" t="s">
        <v>7216</v>
      </c>
      <c r="C4080" s="2" t="s">
        <v>23</v>
      </c>
      <c r="K4080" s="2">
        <v>150.0</v>
      </c>
      <c r="N4080" s="6">
        <v>45165.0</v>
      </c>
      <c r="Q4080" s="2" t="s">
        <v>7217</v>
      </c>
    </row>
    <row r="4081">
      <c r="A4081" s="2">
        <v>4080.0</v>
      </c>
      <c r="B4081" s="2" t="s">
        <v>7218</v>
      </c>
      <c r="C4081" s="2" t="s">
        <v>23</v>
      </c>
      <c r="K4081" s="2">
        <v>50.0</v>
      </c>
      <c r="N4081" s="6">
        <v>44501.0</v>
      </c>
      <c r="Q4081" s="2" t="s">
        <v>401</v>
      </c>
    </row>
    <row r="4082">
      <c r="A4082" s="2">
        <v>4081.0</v>
      </c>
      <c r="B4082" s="2" t="s">
        <v>7219</v>
      </c>
      <c r="C4082" s="2" t="s">
        <v>23</v>
      </c>
      <c r="F4082" s="2">
        <v>0.03</v>
      </c>
      <c r="K4082" s="2">
        <v>10.0</v>
      </c>
      <c r="N4082" s="6">
        <v>44171.0</v>
      </c>
      <c r="O4082" s="2" t="s">
        <v>655</v>
      </c>
      <c r="P4082" s="2" t="s">
        <v>36</v>
      </c>
      <c r="Q4082" s="2" t="s">
        <v>7220</v>
      </c>
      <c r="S4082" s="2" t="s">
        <v>658</v>
      </c>
    </row>
    <row r="4083">
      <c r="A4083" s="2">
        <v>4082.0</v>
      </c>
      <c r="B4083" s="2" t="s">
        <v>7221</v>
      </c>
      <c r="C4083" s="2" t="s">
        <v>23</v>
      </c>
      <c r="K4083" s="2">
        <v>80.0</v>
      </c>
      <c r="N4083" s="6">
        <v>45570.0</v>
      </c>
      <c r="Q4083" s="2" t="s">
        <v>7222</v>
      </c>
    </row>
    <row r="4084">
      <c r="A4084" s="2">
        <v>4083.0</v>
      </c>
      <c r="B4084" s="2" t="s">
        <v>7223</v>
      </c>
      <c r="C4084" s="2" t="s">
        <v>23</v>
      </c>
      <c r="K4084" s="2">
        <v>30.0</v>
      </c>
      <c r="N4084" s="6">
        <v>44976.0</v>
      </c>
      <c r="Q4084" s="2" t="s">
        <v>4158</v>
      </c>
    </row>
    <row r="4085">
      <c r="A4085" s="2">
        <v>4084.0</v>
      </c>
      <c r="B4085" s="2" t="s">
        <v>7224</v>
      </c>
      <c r="C4085" s="2" t="s">
        <v>23</v>
      </c>
      <c r="K4085" s="2">
        <v>30.0</v>
      </c>
      <c r="N4085" s="6">
        <v>44040.0</v>
      </c>
      <c r="Q4085" s="2" t="s">
        <v>5852</v>
      </c>
    </row>
    <row r="4086">
      <c r="A4086" s="2">
        <v>4085.0</v>
      </c>
      <c r="B4086" s="2" t="s">
        <v>7225</v>
      </c>
      <c r="C4086" s="2" t="s">
        <v>23</v>
      </c>
      <c r="K4086" s="2">
        <v>100.0</v>
      </c>
      <c r="N4086" s="6">
        <v>44039.0</v>
      </c>
      <c r="Q4086" s="2" t="s">
        <v>7226</v>
      </c>
    </row>
    <row r="4087">
      <c r="A4087" s="2">
        <v>4086.0</v>
      </c>
      <c r="B4087" s="2" t="s">
        <v>7227</v>
      </c>
      <c r="C4087" s="2" t="s">
        <v>23</v>
      </c>
      <c r="K4087" s="2">
        <v>20.0</v>
      </c>
      <c r="N4087" s="6">
        <v>44579.0</v>
      </c>
      <c r="Q4087" s="2" t="s">
        <v>86</v>
      </c>
    </row>
    <row r="4088">
      <c r="A4088" s="2">
        <v>4087.0</v>
      </c>
      <c r="B4088" s="2" t="s">
        <v>7228</v>
      </c>
      <c r="C4088" s="2" t="s">
        <v>23</v>
      </c>
      <c r="K4088" s="2">
        <v>150.0</v>
      </c>
      <c r="N4088" s="6">
        <v>44095.0</v>
      </c>
      <c r="Q4088" s="2" t="s">
        <v>7229</v>
      </c>
    </row>
    <row r="4089">
      <c r="A4089" s="2">
        <v>4088.0</v>
      </c>
      <c r="B4089" s="2" t="s">
        <v>7230</v>
      </c>
      <c r="C4089" s="2" t="s">
        <v>23</v>
      </c>
      <c r="K4089" s="2">
        <v>10.0</v>
      </c>
      <c r="N4089" s="6">
        <v>43998.0</v>
      </c>
      <c r="Q4089" s="2" t="s">
        <v>86</v>
      </c>
    </row>
    <row r="4090">
      <c r="A4090" s="2">
        <v>4089.0</v>
      </c>
      <c r="B4090" s="2" t="s">
        <v>7231</v>
      </c>
      <c r="C4090" s="2" t="s">
        <v>23</v>
      </c>
      <c r="N4090" s="6">
        <v>44305.0</v>
      </c>
      <c r="Q4090" s="2" t="s">
        <v>86</v>
      </c>
    </row>
    <row r="4091">
      <c r="A4091" s="2">
        <v>4090.0</v>
      </c>
      <c r="B4091" s="2" t="s">
        <v>7232</v>
      </c>
      <c r="C4091" s="2" t="s">
        <v>23</v>
      </c>
      <c r="K4091" s="2">
        <v>40.0</v>
      </c>
      <c r="N4091" s="6">
        <v>44070.0</v>
      </c>
      <c r="Q4091" s="2" t="s">
        <v>7233</v>
      </c>
    </row>
    <row r="4092">
      <c r="A4092" s="2">
        <v>4091.0</v>
      </c>
      <c r="B4092" s="2" t="s">
        <v>7234</v>
      </c>
      <c r="C4092" s="2" t="s">
        <v>23</v>
      </c>
      <c r="K4092" s="2">
        <v>50.0</v>
      </c>
      <c r="N4092" s="6">
        <v>44642.0</v>
      </c>
      <c r="Q4092" s="2" t="s">
        <v>3321</v>
      </c>
    </row>
    <row r="4093">
      <c r="A4093" s="2">
        <v>4092.0</v>
      </c>
      <c r="B4093" s="2" t="s">
        <v>7235</v>
      </c>
      <c r="C4093" s="2" t="s">
        <v>23</v>
      </c>
      <c r="N4093" s="6">
        <v>44118.0</v>
      </c>
      <c r="Q4093" s="2" t="s">
        <v>86</v>
      </c>
    </row>
    <row r="4094">
      <c r="A4094" s="2">
        <v>4093.0</v>
      </c>
      <c r="B4094" s="2" t="s">
        <v>7236</v>
      </c>
      <c r="C4094" s="2" t="s">
        <v>23</v>
      </c>
      <c r="N4094" s="6">
        <v>44878.0</v>
      </c>
      <c r="Q4094" s="2" t="s">
        <v>7237</v>
      </c>
    </row>
    <row r="4095">
      <c r="A4095" s="2">
        <v>4094.0</v>
      </c>
      <c r="B4095" s="2" t="s">
        <v>7238</v>
      </c>
      <c r="C4095" s="2" t="s">
        <v>23</v>
      </c>
      <c r="K4095" s="2">
        <v>40.0</v>
      </c>
      <c r="N4095" s="6">
        <v>45729.0</v>
      </c>
      <c r="Q4095" s="2" t="s">
        <v>6467</v>
      </c>
    </row>
    <row r="4096">
      <c r="A4096" s="2">
        <v>4095.0</v>
      </c>
      <c r="B4096" s="2" t="s">
        <v>7239</v>
      </c>
      <c r="C4096" s="2" t="s">
        <v>23</v>
      </c>
      <c r="N4096" s="6">
        <v>45607.0</v>
      </c>
      <c r="Q4096" s="2" t="s">
        <v>7240</v>
      </c>
    </row>
    <row r="4097">
      <c r="A4097" s="2">
        <v>4096.0</v>
      </c>
      <c r="B4097" s="2" t="s">
        <v>7241</v>
      </c>
      <c r="C4097" s="2" t="s">
        <v>23</v>
      </c>
      <c r="K4097" s="2">
        <v>70.0</v>
      </c>
      <c r="N4097" s="6">
        <v>45315.0</v>
      </c>
      <c r="Q4097" s="2" t="s">
        <v>7242</v>
      </c>
    </row>
    <row r="4098">
      <c r="A4098" s="2">
        <v>4097.0</v>
      </c>
      <c r="B4098" s="2" t="s">
        <v>7243</v>
      </c>
      <c r="C4098" s="2" t="s">
        <v>23</v>
      </c>
      <c r="K4098" s="2">
        <v>40.0</v>
      </c>
      <c r="N4098" s="6">
        <v>44276.0</v>
      </c>
      <c r="Q4098" s="2" t="s">
        <v>7244</v>
      </c>
    </row>
    <row r="4099">
      <c r="A4099" s="2">
        <v>4098.0</v>
      </c>
      <c r="B4099" s="2" t="s">
        <v>7245</v>
      </c>
      <c r="C4099" s="2" t="s">
        <v>23</v>
      </c>
      <c r="K4099" s="2">
        <v>10.0</v>
      </c>
      <c r="N4099" s="6">
        <v>44592.0</v>
      </c>
      <c r="Q4099" s="2" t="s">
        <v>3232</v>
      </c>
    </row>
    <row r="4100">
      <c r="A4100" s="2">
        <v>4099.0</v>
      </c>
      <c r="B4100" s="2" t="s">
        <v>7246</v>
      </c>
      <c r="C4100" s="2" t="s">
        <v>23</v>
      </c>
      <c r="K4100" s="2">
        <v>50.0</v>
      </c>
      <c r="N4100" s="6">
        <v>45634.0</v>
      </c>
      <c r="Q4100" s="2" t="s">
        <v>7247</v>
      </c>
    </row>
    <row r="4101">
      <c r="A4101" s="2">
        <v>4100.0</v>
      </c>
      <c r="B4101" s="2" t="s">
        <v>7248</v>
      </c>
      <c r="C4101" s="2" t="s">
        <v>23</v>
      </c>
      <c r="N4101" s="6">
        <v>45055.0</v>
      </c>
      <c r="Q4101" s="2" t="s">
        <v>235</v>
      </c>
    </row>
    <row r="4102">
      <c r="A4102" s="2">
        <v>4101.0</v>
      </c>
      <c r="B4102" s="2" t="s">
        <v>7249</v>
      </c>
      <c r="C4102" s="2" t="s">
        <v>23</v>
      </c>
      <c r="N4102" s="6">
        <v>44575.0</v>
      </c>
      <c r="Q4102" s="2" t="s">
        <v>86</v>
      </c>
    </row>
    <row r="4103">
      <c r="A4103" s="2">
        <v>4102.0</v>
      </c>
      <c r="B4103" s="2" t="s">
        <v>7250</v>
      </c>
      <c r="C4103" s="2" t="s">
        <v>23</v>
      </c>
      <c r="N4103" s="6">
        <v>44117.0</v>
      </c>
      <c r="Q4103" s="2" t="s">
        <v>94</v>
      </c>
    </row>
    <row r="4104">
      <c r="A4104" s="2">
        <v>4103.0</v>
      </c>
      <c r="B4104" s="2" t="s">
        <v>7251</v>
      </c>
      <c r="C4104" s="2" t="s">
        <v>23</v>
      </c>
      <c r="K4104" s="2">
        <v>40.0</v>
      </c>
      <c r="N4104" s="6">
        <v>44275.0</v>
      </c>
      <c r="Q4104" s="2" t="s">
        <v>7252</v>
      </c>
    </row>
    <row r="4105">
      <c r="A4105" s="2">
        <v>4104.0</v>
      </c>
      <c r="B4105" s="2" t="s">
        <v>7253</v>
      </c>
      <c r="C4105" s="2" t="s">
        <v>23</v>
      </c>
      <c r="K4105" s="2">
        <v>10.0</v>
      </c>
      <c r="N4105" s="6">
        <v>45590.0</v>
      </c>
      <c r="Q4105" s="2" t="s">
        <v>5323</v>
      </c>
    </row>
    <row r="4106">
      <c r="A4106" s="2">
        <v>4105.0</v>
      </c>
      <c r="B4106" s="2" t="s">
        <v>7254</v>
      </c>
      <c r="C4106" s="2" t="s">
        <v>23</v>
      </c>
      <c r="K4106" s="2">
        <v>90.0</v>
      </c>
      <c r="N4106" s="6">
        <v>45766.0</v>
      </c>
      <c r="Q4106" s="2" t="s">
        <v>7255</v>
      </c>
    </row>
    <row r="4107">
      <c r="A4107" s="2">
        <v>4106.0</v>
      </c>
      <c r="B4107" s="2" t="s">
        <v>7256</v>
      </c>
      <c r="C4107" s="2" t="s">
        <v>23</v>
      </c>
      <c r="N4107" s="6">
        <v>46153.0</v>
      </c>
      <c r="Q4107" s="2" t="s">
        <v>4468</v>
      </c>
    </row>
    <row r="4108">
      <c r="A4108" s="2">
        <v>4107.0</v>
      </c>
      <c r="B4108" s="2" t="s">
        <v>7257</v>
      </c>
      <c r="C4108" s="2" t="s">
        <v>23</v>
      </c>
      <c r="K4108" s="2">
        <v>40.0</v>
      </c>
      <c r="N4108" s="6">
        <v>43867.0</v>
      </c>
      <c r="Q4108" s="2" t="s">
        <v>86</v>
      </c>
    </row>
    <row r="4109">
      <c r="A4109" s="2">
        <v>4108.0</v>
      </c>
      <c r="B4109" s="2" t="s">
        <v>7258</v>
      </c>
      <c r="C4109" s="2" t="s">
        <v>23</v>
      </c>
      <c r="K4109" s="2">
        <v>150.0</v>
      </c>
      <c r="N4109" s="6">
        <v>44530.0</v>
      </c>
      <c r="Q4109" s="2" t="s">
        <v>7259</v>
      </c>
    </row>
    <row r="4110">
      <c r="A4110" s="2">
        <v>4109.0</v>
      </c>
      <c r="B4110" s="2" t="s">
        <v>7260</v>
      </c>
      <c r="C4110" s="2" t="s">
        <v>23</v>
      </c>
      <c r="K4110" s="2">
        <v>40.0</v>
      </c>
      <c r="N4110" s="6">
        <v>43773.0</v>
      </c>
      <c r="Q4110" s="2" t="s">
        <v>7261</v>
      </c>
    </row>
    <row r="4111">
      <c r="A4111" s="2">
        <v>4110.0</v>
      </c>
      <c r="B4111" s="2" t="s">
        <v>7262</v>
      </c>
      <c r="C4111" s="2" t="s">
        <v>23</v>
      </c>
      <c r="K4111" s="2">
        <v>30.0</v>
      </c>
      <c r="N4111" s="6">
        <v>44815.0</v>
      </c>
      <c r="Q4111" s="2" t="s">
        <v>401</v>
      </c>
    </row>
    <row r="4112">
      <c r="A4112" s="2">
        <v>4111.0</v>
      </c>
      <c r="B4112" s="2" t="s">
        <v>7263</v>
      </c>
      <c r="C4112" s="2" t="s">
        <v>23</v>
      </c>
      <c r="K4112" s="2">
        <v>20.0</v>
      </c>
      <c r="N4112" s="6">
        <v>44005.0</v>
      </c>
      <c r="Q4112" s="2" t="s">
        <v>86</v>
      </c>
    </row>
    <row r="4113">
      <c r="A4113" s="2">
        <v>4112.0</v>
      </c>
      <c r="B4113" s="2" t="s">
        <v>7264</v>
      </c>
      <c r="C4113" s="2" t="s">
        <v>23</v>
      </c>
      <c r="K4113" s="2">
        <v>90.0</v>
      </c>
      <c r="N4113" s="6">
        <v>45243.0</v>
      </c>
      <c r="Q4113" s="2" t="s">
        <v>7265</v>
      </c>
    </row>
    <row r="4114">
      <c r="A4114" s="2">
        <v>4113.0</v>
      </c>
      <c r="B4114" s="2" t="s">
        <v>7266</v>
      </c>
      <c r="C4114" s="2" t="s">
        <v>23</v>
      </c>
      <c r="K4114" s="2">
        <v>250.0</v>
      </c>
      <c r="N4114" s="6">
        <v>43999.0</v>
      </c>
      <c r="Q4114" s="2" t="s">
        <v>7267</v>
      </c>
    </row>
    <row r="4115">
      <c r="A4115" s="2">
        <v>4114.0</v>
      </c>
      <c r="B4115" s="2" t="s">
        <v>7268</v>
      </c>
      <c r="C4115" s="2" t="s">
        <v>23</v>
      </c>
      <c r="K4115" s="2">
        <v>10.0</v>
      </c>
      <c r="N4115" s="6">
        <v>43877.0</v>
      </c>
      <c r="Q4115" s="2" t="s">
        <v>126</v>
      </c>
    </row>
    <row r="4116">
      <c r="A4116" s="2">
        <v>4115.0</v>
      </c>
      <c r="B4116" s="2" t="s">
        <v>7269</v>
      </c>
      <c r="C4116" s="2" t="s">
        <v>23</v>
      </c>
      <c r="K4116" s="2">
        <v>20.0</v>
      </c>
      <c r="N4116" s="6">
        <v>45218.0</v>
      </c>
      <c r="Q4116" s="2" t="s">
        <v>7270</v>
      </c>
    </row>
    <row r="4117">
      <c r="A4117" s="2">
        <v>4116.0</v>
      </c>
      <c r="B4117" s="2" t="s">
        <v>7271</v>
      </c>
      <c r="C4117" s="2" t="s">
        <v>23</v>
      </c>
      <c r="K4117" s="2">
        <v>40.0</v>
      </c>
      <c r="N4117" s="6">
        <v>43930.0</v>
      </c>
      <c r="Q4117" s="2" t="s">
        <v>1472</v>
      </c>
    </row>
    <row r="4118">
      <c r="A4118" s="2">
        <v>4117.0</v>
      </c>
      <c r="B4118" s="2" t="s">
        <v>7272</v>
      </c>
      <c r="C4118" s="2" t="s">
        <v>23</v>
      </c>
      <c r="K4118" s="2">
        <v>20.0</v>
      </c>
      <c r="N4118" s="6">
        <v>44517.0</v>
      </c>
      <c r="Q4118" s="2" t="s">
        <v>1249</v>
      </c>
    </row>
    <row r="4119">
      <c r="A4119" s="2">
        <v>4118.0</v>
      </c>
      <c r="B4119" s="2" t="s">
        <v>7273</v>
      </c>
      <c r="C4119" s="2" t="s">
        <v>23</v>
      </c>
      <c r="K4119" s="2">
        <v>250.0</v>
      </c>
      <c r="N4119" s="6">
        <v>43890.0</v>
      </c>
      <c r="Q4119" s="2" t="s">
        <v>7274</v>
      </c>
    </row>
    <row r="4120">
      <c r="A4120" s="2">
        <v>4119.0</v>
      </c>
      <c r="B4120" s="2" t="s">
        <v>7275</v>
      </c>
      <c r="C4120" s="2" t="s">
        <v>23</v>
      </c>
      <c r="N4120" s="6">
        <v>44099.0</v>
      </c>
      <c r="Q4120" s="2" t="s">
        <v>86</v>
      </c>
    </row>
    <row r="4121">
      <c r="A4121" s="2">
        <v>4120.0</v>
      </c>
      <c r="B4121" s="2" t="s">
        <v>7276</v>
      </c>
      <c r="C4121" s="2" t="s">
        <v>23</v>
      </c>
      <c r="N4121" s="6">
        <v>43154.0</v>
      </c>
      <c r="Q4121" s="2" t="s">
        <v>86</v>
      </c>
    </row>
    <row r="4122">
      <c r="A4122" s="2">
        <v>4121.0</v>
      </c>
      <c r="B4122" s="2" t="s">
        <v>7277</v>
      </c>
      <c r="C4122" s="2" t="s">
        <v>23</v>
      </c>
      <c r="K4122" s="2">
        <v>40.0</v>
      </c>
      <c r="N4122" s="6">
        <v>45228.0</v>
      </c>
      <c r="Q4122" s="2" t="s">
        <v>5587</v>
      </c>
    </row>
    <row r="4123">
      <c r="A4123" s="2">
        <v>4122.0</v>
      </c>
      <c r="B4123" s="2" t="s">
        <v>7278</v>
      </c>
      <c r="C4123" s="2" t="s">
        <v>23</v>
      </c>
      <c r="K4123" s="2">
        <v>10.0</v>
      </c>
      <c r="N4123" s="6">
        <v>45110.0</v>
      </c>
      <c r="Q4123" s="2" t="s">
        <v>7279</v>
      </c>
    </row>
    <row r="4124">
      <c r="A4124" s="2">
        <v>4123.0</v>
      </c>
      <c r="B4124" s="2" t="s">
        <v>7280</v>
      </c>
      <c r="C4124" s="2" t="s">
        <v>23</v>
      </c>
      <c r="N4124" s="6">
        <v>44769.0</v>
      </c>
      <c r="Q4124" s="2" t="s">
        <v>86</v>
      </c>
    </row>
    <row r="4125">
      <c r="A4125" s="2">
        <v>4124.0</v>
      </c>
      <c r="B4125" s="2" t="s">
        <v>7281</v>
      </c>
      <c r="C4125" s="2" t="s">
        <v>23</v>
      </c>
      <c r="N4125" s="6">
        <v>44993.0</v>
      </c>
      <c r="Q4125" s="2" t="s">
        <v>86</v>
      </c>
    </row>
    <row r="4126">
      <c r="A4126" s="2">
        <v>4125.0</v>
      </c>
      <c r="B4126" s="2" t="s">
        <v>7282</v>
      </c>
      <c r="C4126" s="2" t="s">
        <v>23</v>
      </c>
      <c r="K4126" s="2">
        <v>20.0</v>
      </c>
      <c r="N4126" s="6">
        <v>45603.0</v>
      </c>
      <c r="Q4126" s="2" t="s">
        <v>7283</v>
      </c>
    </row>
    <row r="4127">
      <c r="A4127" s="2">
        <v>4126.0</v>
      </c>
      <c r="B4127" s="2" t="s">
        <v>7284</v>
      </c>
      <c r="C4127" s="2" t="s">
        <v>23</v>
      </c>
      <c r="K4127" s="2">
        <v>20.0</v>
      </c>
      <c r="N4127" s="6">
        <v>42286.0</v>
      </c>
      <c r="Q4127" s="2" t="s">
        <v>7285</v>
      </c>
    </row>
    <row r="4128">
      <c r="A4128" s="2">
        <v>4127.0</v>
      </c>
      <c r="B4128" s="2" t="s">
        <v>7286</v>
      </c>
      <c r="C4128" s="2" t="s">
        <v>23</v>
      </c>
      <c r="K4128" s="2">
        <v>20.0</v>
      </c>
      <c r="N4128" s="6">
        <v>45176.0</v>
      </c>
      <c r="Q4128" s="2" t="s">
        <v>7287</v>
      </c>
    </row>
    <row r="4129">
      <c r="A4129" s="2">
        <v>4128.0</v>
      </c>
      <c r="B4129" s="2" t="s">
        <v>7288</v>
      </c>
      <c r="C4129" s="2" t="s">
        <v>23</v>
      </c>
      <c r="N4129" s="6">
        <v>45135.0</v>
      </c>
      <c r="Q4129" s="2" t="s">
        <v>546</v>
      </c>
    </row>
    <row r="4130">
      <c r="A4130" s="2">
        <v>4129.0</v>
      </c>
      <c r="B4130" s="2" t="s">
        <v>7289</v>
      </c>
      <c r="C4130" s="2" t="s">
        <v>23</v>
      </c>
      <c r="N4130" s="6">
        <v>44193.0</v>
      </c>
      <c r="Q4130" s="2" t="s">
        <v>1466</v>
      </c>
    </row>
    <row r="4131">
      <c r="A4131" s="2">
        <v>4130.0</v>
      </c>
      <c r="B4131" s="2" t="s">
        <v>7290</v>
      </c>
      <c r="C4131" s="2" t="s">
        <v>23</v>
      </c>
      <c r="N4131" s="6">
        <v>42384.0</v>
      </c>
      <c r="Q4131" s="2" t="s">
        <v>86</v>
      </c>
    </row>
    <row r="4132">
      <c r="A4132" s="2">
        <v>4131.0</v>
      </c>
      <c r="B4132" s="2" t="s">
        <v>7291</v>
      </c>
      <c r="C4132" s="2" t="s">
        <v>23</v>
      </c>
      <c r="K4132" s="2">
        <v>60.0</v>
      </c>
      <c r="N4132" s="6">
        <v>44452.0</v>
      </c>
      <c r="Q4132" s="2" t="s">
        <v>7292</v>
      </c>
    </row>
    <row r="4133">
      <c r="A4133" s="2">
        <v>4132.0</v>
      </c>
      <c r="B4133" s="2" t="s">
        <v>7293</v>
      </c>
      <c r="C4133" s="2" t="s">
        <v>23</v>
      </c>
      <c r="K4133" s="2">
        <v>60.0</v>
      </c>
      <c r="N4133" s="6">
        <v>44579.0</v>
      </c>
      <c r="Q4133" s="2" t="s">
        <v>89</v>
      </c>
    </row>
    <row r="4134">
      <c r="A4134" s="2">
        <v>4133.0</v>
      </c>
      <c r="B4134" s="2" t="s">
        <v>7294</v>
      </c>
      <c r="C4134" s="2" t="s">
        <v>23</v>
      </c>
      <c r="K4134" s="2">
        <v>100.0</v>
      </c>
      <c r="N4134" s="6">
        <v>44304.0</v>
      </c>
      <c r="Q4134" s="2" t="s">
        <v>7295</v>
      </c>
    </row>
    <row r="4135">
      <c r="A4135" s="2">
        <v>4134.0</v>
      </c>
      <c r="B4135" s="2" t="s">
        <v>7296</v>
      </c>
      <c r="C4135" s="2" t="s">
        <v>23</v>
      </c>
      <c r="K4135" s="2">
        <v>10.0</v>
      </c>
      <c r="N4135" s="6">
        <v>44382.0</v>
      </c>
      <c r="Q4135" s="2" t="s">
        <v>3062</v>
      </c>
    </row>
    <row r="4136">
      <c r="A4136" s="2">
        <v>4135.0</v>
      </c>
      <c r="B4136" s="2" t="s">
        <v>7297</v>
      </c>
      <c r="C4136" s="2" t="s">
        <v>23</v>
      </c>
      <c r="K4136" s="2">
        <v>150.0</v>
      </c>
      <c r="N4136" s="6">
        <v>43935.0</v>
      </c>
      <c r="Q4136" s="2" t="s">
        <v>1466</v>
      </c>
    </row>
    <row r="4137">
      <c r="A4137" s="2">
        <v>4136.0</v>
      </c>
      <c r="B4137" s="2" t="s">
        <v>7298</v>
      </c>
      <c r="C4137" s="2" t="s">
        <v>23</v>
      </c>
      <c r="N4137" s="6">
        <v>44343.0</v>
      </c>
      <c r="Q4137" s="2" t="s">
        <v>86</v>
      </c>
    </row>
    <row r="4138">
      <c r="A4138" s="2">
        <v>4137.0</v>
      </c>
      <c r="B4138" s="2" t="s">
        <v>7299</v>
      </c>
      <c r="C4138" s="2" t="s">
        <v>23</v>
      </c>
      <c r="N4138" s="6">
        <v>45058.0</v>
      </c>
      <c r="Q4138" s="2" t="s">
        <v>86</v>
      </c>
    </row>
    <row r="4139">
      <c r="A4139" s="2">
        <v>4138.0</v>
      </c>
      <c r="B4139" s="2" t="s">
        <v>7300</v>
      </c>
      <c r="C4139" s="2" t="s">
        <v>23</v>
      </c>
      <c r="N4139" s="6">
        <v>42649.0</v>
      </c>
      <c r="Q4139" s="2" t="s">
        <v>86</v>
      </c>
    </row>
    <row r="4140">
      <c r="A4140" s="2">
        <v>4139.0</v>
      </c>
      <c r="B4140" s="2" t="s">
        <v>7301</v>
      </c>
      <c r="C4140" s="2" t="s">
        <v>23</v>
      </c>
      <c r="N4140" s="6">
        <v>44634.0</v>
      </c>
      <c r="Q4140" s="2" t="s">
        <v>86</v>
      </c>
    </row>
    <row r="4141">
      <c r="A4141" s="2">
        <v>4140.0</v>
      </c>
      <c r="B4141" s="2" t="s">
        <v>7302</v>
      </c>
      <c r="C4141" s="2" t="s">
        <v>23</v>
      </c>
      <c r="K4141" s="2">
        <v>90.0</v>
      </c>
      <c r="N4141" s="6">
        <v>44928.0</v>
      </c>
      <c r="Q4141" s="2" t="s">
        <v>86</v>
      </c>
    </row>
    <row r="4142">
      <c r="A4142" s="2">
        <v>4141.0</v>
      </c>
      <c r="B4142" s="2" t="s">
        <v>7303</v>
      </c>
      <c r="C4142" s="2" t="s">
        <v>23</v>
      </c>
      <c r="K4142" s="2">
        <v>30.0</v>
      </c>
      <c r="N4142" s="6">
        <v>44027.0</v>
      </c>
      <c r="Q4142" s="2" t="s">
        <v>7304</v>
      </c>
    </row>
    <row r="4143">
      <c r="A4143" s="2">
        <v>4142.0</v>
      </c>
      <c r="B4143" s="2" t="s">
        <v>7305</v>
      </c>
      <c r="C4143" s="2" t="s">
        <v>23</v>
      </c>
      <c r="K4143" s="2">
        <v>10.0</v>
      </c>
      <c r="N4143" s="6">
        <v>44125.0</v>
      </c>
      <c r="Q4143" s="2" t="s">
        <v>7306</v>
      </c>
    </row>
    <row r="4144">
      <c r="A4144" s="2">
        <v>4143.0</v>
      </c>
      <c r="B4144" s="2" t="s">
        <v>7307</v>
      </c>
      <c r="C4144" s="2" t="s">
        <v>23</v>
      </c>
      <c r="N4144" s="6">
        <v>45691.0</v>
      </c>
      <c r="Q4144" s="2" t="s">
        <v>4192</v>
      </c>
    </row>
    <row r="4145">
      <c r="A4145" s="2">
        <v>4144.0</v>
      </c>
      <c r="B4145" s="2" t="s">
        <v>7308</v>
      </c>
      <c r="C4145" s="2" t="s">
        <v>23</v>
      </c>
      <c r="K4145" s="2">
        <v>1800.0</v>
      </c>
      <c r="N4145" s="6">
        <v>42604.0</v>
      </c>
      <c r="Q4145" s="2" t="s">
        <v>7309</v>
      </c>
    </row>
    <row r="4146">
      <c r="A4146" s="2">
        <v>4145.0</v>
      </c>
      <c r="B4146" s="2" t="s">
        <v>7310</v>
      </c>
      <c r="C4146" s="2" t="s">
        <v>23</v>
      </c>
      <c r="N4146" s="6">
        <v>45475.0</v>
      </c>
      <c r="Q4146" s="2" t="s">
        <v>1070</v>
      </c>
    </row>
    <row r="4147">
      <c r="A4147" s="2">
        <v>4146.0</v>
      </c>
      <c r="B4147" s="2" t="s">
        <v>7311</v>
      </c>
      <c r="C4147" s="2" t="s">
        <v>23</v>
      </c>
      <c r="K4147" s="2">
        <v>150.0</v>
      </c>
      <c r="N4147" s="6">
        <v>45369.0</v>
      </c>
      <c r="Q4147" s="2" t="s">
        <v>7312</v>
      </c>
    </row>
    <row r="4148">
      <c r="A4148" s="2">
        <v>4147.0</v>
      </c>
      <c r="B4148" s="2" t="s">
        <v>7313</v>
      </c>
      <c r="C4148" s="2" t="s">
        <v>23</v>
      </c>
      <c r="K4148" s="2">
        <v>90.0</v>
      </c>
      <c r="N4148" s="6">
        <v>44498.0</v>
      </c>
      <c r="Q4148" s="2" t="s">
        <v>7314</v>
      </c>
    </row>
    <row r="4149">
      <c r="A4149" s="2">
        <v>4148.0</v>
      </c>
      <c r="B4149" s="2" t="s">
        <v>7315</v>
      </c>
      <c r="C4149" s="2" t="s">
        <v>23</v>
      </c>
      <c r="N4149" s="6">
        <v>43923.0</v>
      </c>
      <c r="Q4149" s="2" t="s">
        <v>2372</v>
      </c>
    </row>
    <row r="4150">
      <c r="A4150" s="2">
        <v>4149.0</v>
      </c>
      <c r="B4150" s="2" t="s">
        <v>7316</v>
      </c>
      <c r="C4150" s="2" t="s">
        <v>23</v>
      </c>
      <c r="K4150" s="2">
        <v>100.0</v>
      </c>
      <c r="N4150" s="6">
        <v>43886.0</v>
      </c>
      <c r="Q4150" s="2" t="s">
        <v>7317</v>
      </c>
    </row>
    <row r="4151">
      <c r="A4151" s="2">
        <v>4150.0</v>
      </c>
      <c r="B4151" s="2" t="s">
        <v>7318</v>
      </c>
      <c r="C4151" s="2" t="s">
        <v>23</v>
      </c>
      <c r="K4151" s="2">
        <v>200.0</v>
      </c>
      <c r="N4151" s="6">
        <v>45587.0</v>
      </c>
      <c r="Q4151" s="2" t="s">
        <v>7319</v>
      </c>
    </row>
    <row r="4152">
      <c r="A4152" s="2">
        <v>4151.0</v>
      </c>
      <c r="B4152" s="2" t="s">
        <v>7320</v>
      </c>
      <c r="C4152" s="2" t="s">
        <v>23</v>
      </c>
      <c r="K4152" s="2">
        <v>150.0</v>
      </c>
      <c r="N4152" s="6">
        <v>45140.0</v>
      </c>
      <c r="Q4152" s="2" t="s">
        <v>7321</v>
      </c>
    </row>
    <row r="4153">
      <c r="A4153" s="2">
        <v>4152.0</v>
      </c>
      <c r="B4153" s="2" t="s">
        <v>7322</v>
      </c>
      <c r="C4153" s="2" t="s">
        <v>23</v>
      </c>
      <c r="K4153" s="2">
        <v>150.0</v>
      </c>
      <c r="N4153" s="6">
        <v>44430.0</v>
      </c>
      <c r="Q4153" s="2" t="s">
        <v>7323</v>
      </c>
    </row>
    <row r="4154">
      <c r="A4154" s="2">
        <v>4153.0</v>
      </c>
      <c r="B4154" s="2" t="s">
        <v>7324</v>
      </c>
      <c r="C4154" s="2" t="s">
        <v>23</v>
      </c>
      <c r="K4154" s="2">
        <v>10.0</v>
      </c>
      <c r="N4154" s="6">
        <v>44142.0</v>
      </c>
      <c r="Q4154" s="2" t="s">
        <v>86</v>
      </c>
    </row>
    <row r="4155">
      <c r="A4155" s="2">
        <v>4154.0</v>
      </c>
      <c r="B4155" s="2" t="s">
        <v>7325</v>
      </c>
      <c r="C4155" s="2" t="s">
        <v>23</v>
      </c>
      <c r="K4155" s="2">
        <v>40.0</v>
      </c>
      <c r="N4155" s="6">
        <v>43438.0</v>
      </c>
      <c r="Q4155" s="2" t="s">
        <v>7326</v>
      </c>
    </row>
    <row r="4156">
      <c r="A4156" s="2">
        <v>4155.0</v>
      </c>
      <c r="B4156" s="2" t="s">
        <v>7327</v>
      </c>
      <c r="C4156" s="2" t="s">
        <v>23</v>
      </c>
      <c r="K4156" s="2">
        <v>150.0</v>
      </c>
      <c r="N4156" s="6">
        <v>43982.0</v>
      </c>
      <c r="Q4156" s="2" t="s">
        <v>7328</v>
      </c>
    </row>
    <row r="4157">
      <c r="A4157" s="2">
        <v>4156.0</v>
      </c>
      <c r="B4157" s="2" t="s">
        <v>7329</v>
      </c>
      <c r="C4157" s="2" t="s">
        <v>23</v>
      </c>
      <c r="K4157" s="2">
        <v>10.0</v>
      </c>
      <c r="N4157" s="6">
        <v>44307.0</v>
      </c>
      <c r="Q4157" s="2" t="s">
        <v>89</v>
      </c>
    </row>
    <row r="4158">
      <c r="A4158" s="2">
        <v>4157.0</v>
      </c>
      <c r="B4158" s="2" t="s">
        <v>7330</v>
      </c>
      <c r="C4158" s="2" t="s">
        <v>23</v>
      </c>
      <c r="N4158" s="6">
        <v>45333.0</v>
      </c>
      <c r="Q4158" s="2" t="s">
        <v>86</v>
      </c>
    </row>
    <row r="4159">
      <c r="A4159" s="2">
        <v>4158.0</v>
      </c>
      <c r="B4159" s="2" t="s">
        <v>7331</v>
      </c>
      <c r="C4159" s="2" t="s">
        <v>23</v>
      </c>
      <c r="K4159" s="2">
        <v>10.0</v>
      </c>
      <c r="N4159" s="6">
        <v>44032.0</v>
      </c>
      <c r="Q4159" s="2" t="s">
        <v>1156</v>
      </c>
    </row>
    <row r="4160">
      <c r="A4160" s="2">
        <v>4159.0</v>
      </c>
      <c r="B4160" s="2" t="s">
        <v>7332</v>
      </c>
      <c r="C4160" s="2" t="s">
        <v>23</v>
      </c>
      <c r="K4160" s="2">
        <v>30.0</v>
      </c>
      <c r="N4160" s="6">
        <v>44691.0</v>
      </c>
      <c r="Q4160" s="2" t="s">
        <v>86</v>
      </c>
    </row>
    <row r="4161">
      <c r="A4161" s="2">
        <v>4160.0</v>
      </c>
      <c r="B4161" s="2" t="s">
        <v>7333</v>
      </c>
      <c r="C4161" s="2" t="s">
        <v>23</v>
      </c>
      <c r="K4161" s="2">
        <v>80.0</v>
      </c>
      <c r="N4161" s="6">
        <v>43853.0</v>
      </c>
      <c r="Q4161" s="2" t="s">
        <v>7334</v>
      </c>
    </row>
    <row r="4162">
      <c r="A4162" s="2">
        <v>4161.0</v>
      </c>
      <c r="B4162" s="2" t="s">
        <v>7335</v>
      </c>
      <c r="C4162" s="2" t="s">
        <v>23</v>
      </c>
      <c r="N4162" s="6">
        <v>44789.0</v>
      </c>
      <c r="Q4162" s="2" t="s">
        <v>86</v>
      </c>
    </row>
    <row r="4163">
      <c r="A4163" s="2">
        <v>4162.0</v>
      </c>
      <c r="B4163" s="2" t="s">
        <v>7336</v>
      </c>
      <c r="C4163" s="2" t="s">
        <v>23</v>
      </c>
      <c r="K4163" s="2">
        <v>70.0</v>
      </c>
      <c r="N4163" s="6">
        <v>44366.0</v>
      </c>
      <c r="Q4163" s="2" t="s">
        <v>86</v>
      </c>
    </row>
    <row r="4164">
      <c r="A4164" s="2">
        <v>4163.0</v>
      </c>
      <c r="B4164" s="2" t="s">
        <v>7337</v>
      </c>
      <c r="C4164" s="2" t="s">
        <v>23</v>
      </c>
      <c r="K4164" s="2">
        <v>20.0</v>
      </c>
      <c r="N4164" s="6">
        <v>44730.0</v>
      </c>
      <c r="Q4164" s="2" t="s">
        <v>86</v>
      </c>
    </row>
    <row r="4165">
      <c r="A4165" s="2">
        <v>4164.0</v>
      </c>
      <c r="B4165" s="2" t="s">
        <v>7338</v>
      </c>
      <c r="C4165" s="2" t="s">
        <v>23</v>
      </c>
      <c r="K4165" s="2">
        <v>50.0</v>
      </c>
      <c r="N4165" s="6">
        <v>43876.0</v>
      </c>
      <c r="Q4165" s="2" t="s">
        <v>7339</v>
      </c>
    </row>
    <row r="4166">
      <c r="A4166" s="2">
        <v>4165.0</v>
      </c>
      <c r="B4166" s="2" t="s">
        <v>7340</v>
      </c>
      <c r="C4166" s="2" t="s">
        <v>23</v>
      </c>
      <c r="N4166" s="6">
        <v>44509.0</v>
      </c>
      <c r="Q4166" s="2" t="s">
        <v>86</v>
      </c>
    </row>
    <row r="4167">
      <c r="A4167" s="2">
        <v>4166.0</v>
      </c>
      <c r="B4167" s="2" t="s">
        <v>7341</v>
      </c>
      <c r="C4167" s="2" t="s">
        <v>23</v>
      </c>
      <c r="N4167" s="6">
        <v>44716.0</v>
      </c>
      <c r="Q4167" s="2" t="s">
        <v>86</v>
      </c>
    </row>
    <row r="4168">
      <c r="A4168" s="2">
        <v>4167.0</v>
      </c>
      <c r="B4168" s="2" t="s">
        <v>7342</v>
      </c>
      <c r="C4168" s="2" t="s">
        <v>23</v>
      </c>
      <c r="K4168" s="2">
        <v>30.0</v>
      </c>
      <c r="N4168" s="6">
        <v>44248.0</v>
      </c>
      <c r="Q4168" s="2" t="s">
        <v>3664</v>
      </c>
    </row>
    <row r="4169">
      <c r="A4169" s="2">
        <v>4168.0</v>
      </c>
      <c r="B4169" s="2" t="s">
        <v>7343</v>
      </c>
      <c r="C4169" s="2" t="s">
        <v>23</v>
      </c>
      <c r="K4169" s="2">
        <v>20.0</v>
      </c>
      <c r="N4169" s="6">
        <v>44437.0</v>
      </c>
      <c r="Q4169" s="2" t="s">
        <v>60</v>
      </c>
    </row>
    <row r="4170">
      <c r="A4170" s="2">
        <v>4169.0</v>
      </c>
      <c r="B4170" s="2" t="s">
        <v>7344</v>
      </c>
      <c r="C4170" s="2" t="s">
        <v>23</v>
      </c>
      <c r="K4170" s="2">
        <v>20.0</v>
      </c>
      <c r="N4170" s="6">
        <v>45861.0</v>
      </c>
      <c r="Q4170" s="2" t="s">
        <v>7345</v>
      </c>
    </row>
    <row r="4171">
      <c r="A4171" s="2">
        <v>4170.0</v>
      </c>
      <c r="B4171" s="2" t="s">
        <v>7346</v>
      </c>
      <c r="C4171" s="2" t="s">
        <v>23</v>
      </c>
      <c r="K4171" s="2">
        <v>100.0</v>
      </c>
      <c r="N4171" s="6">
        <v>44363.0</v>
      </c>
      <c r="Q4171" s="2" t="s">
        <v>7347</v>
      </c>
    </row>
    <row r="4172">
      <c r="A4172" s="2">
        <v>4171.0</v>
      </c>
      <c r="B4172" s="2" t="s">
        <v>7348</v>
      </c>
      <c r="C4172" s="2" t="s">
        <v>23</v>
      </c>
      <c r="K4172" s="2">
        <v>50.0</v>
      </c>
      <c r="N4172" s="6">
        <v>45790.0</v>
      </c>
      <c r="Q4172" s="2" t="s">
        <v>7349</v>
      </c>
    </row>
    <row r="4173">
      <c r="A4173" s="2">
        <v>4172.0</v>
      </c>
      <c r="B4173" s="2" t="s">
        <v>7350</v>
      </c>
      <c r="C4173" s="2" t="s">
        <v>23</v>
      </c>
      <c r="N4173" s="6">
        <v>44437.0</v>
      </c>
      <c r="Q4173" s="2" t="s">
        <v>86</v>
      </c>
    </row>
    <row r="4174">
      <c r="A4174" s="2">
        <v>4173.0</v>
      </c>
      <c r="B4174" s="2" t="s">
        <v>7351</v>
      </c>
      <c r="C4174" s="2" t="s">
        <v>23</v>
      </c>
      <c r="K4174" s="2">
        <v>200.0</v>
      </c>
      <c r="N4174" s="6">
        <v>43994.0</v>
      </c>
      <c r="Q4174" s="2" t="s">
        <v>7352</v>
      </c>
    </row>
    <row r="4175">
      <c r="A4175" s="2">
        <v>4174.0</v>
      </c>
      <c r="B4175" s="2" t="s">
        <v>7353</v>
      </c>
      <c r="C4175" s="2" t="s">
        <v>23</v>
      </c>
      <c r="K4175" s="2">
        <v>50.0</v>
      </c>
      <c r="N4175" s="6">
        <v>44027.0</v>
      </c>
      <c r="Q4175" s="2" t="s">
        <v>7354</v>
      </c>
    </row>
    <row r="4176">
      <c r="A4176" s="2">
        <v>4175.0</v>
      </c>
      <c r="B4176" s="2" t="s">
        <v>7355</v>
      </c>
      <c r="C4176" s="2" t="s">
        <v>23</v>
      </c>
      <c r="N4176" s="6">
        <v>45172.0</v>
      </c>
      <c r="Q4176" s="2" t="s">
        <v>86</v>
      </c>
    </row>
    <row r="4177">
      <c r="A4177" s="2">
        <v>4176.0</v>
      </c>
      <c r="B4177" s="2" t="s">
        <v>7356</v>
      </c>
      <c r="C4177" s="2" t="s">
        <v>23</v>
      </c>
      <c r="K4177" s="2">
        <v>50.0</v>
      </c>
      <c r="N4177" s="6">
        <v>45722.0</v>
      </c>
      <c r="Q4177" s="2" t="s">
        <v>7357</v>
      </c>
    </row>
    <row r="4178">
      <c r="A4178" s="2">
        <v>4177.0</v>
      </c>
      <c r="B4178" s="2" t="s">
        <v>7358</v>
      </c>
      <c r="C4178" s="2" t="s">
        <v>23</v>
      </c>
      <c r="N4178" s="6">
        <v>45005.0</v>
      </c>
      <c r="Q4178" s="2" t="s">
        <v>86</v>
      </c>
    </row>
    <row r="4179">
      <c r="A4179" s="2">
        <v>4178.0</v>
      </c>
      <c r="B4179" s="2" t="s">
        <v>7359</v>
      </c>
      <c r="C4179" s="2" t="s">
        <v>23</v>
      </c>
      <c r="K4179" s="2">
        <v>10.0</v>
      </c>
      <c r="N4179" s="6">
        <v>43898.0</v>
      </c>
      <c r="Q4179" s="2" t="s">
        <v>86</v>
      </c>
    </row>
    <row r="4180">
      <c r="A4180" s="2">
        <v>4179.0</v>
      </c>
      <c r="B4180" s="2" t="s">
        <v>7360</v>
      </c>
      <c r="C4180" s="2" t="s">
        <v>23</v>
      </c>
      <c r="N4180" s="6">
        <v>44340.0</v>
      </c>
      <c r="Q4180" s="2" t="s">
        <v>86</v>
      </c>
    </row>
    <row r="4181">
      <c r="A4181" s="2">
        <v>4180.0</v>
      </c>
      <c r="B4181" s="2" t="s">
        <v>7361</v>
      </c>
      <c r="C4181" s="2" t="s">
        <v>23</v>
      </c>
      <c r="K4181" s="2">
        <v>20.0</v>
      </c>
      <c r="N4181" s="6">
        <v>44459.0</v>
      </c>
      <c r="Q4181" s="2" t="s">
        <v>3185</v>
      </c>
    </row>
    <row r="4182">
      <c r="A4182" s="2">
        <v>4181.0</v>
      </c>
      <c r="B4182" s="2" t="s">
        <v>7362</v>
      </c>
      <c r="C4182" s="2" t="s">
        <v>23</v>
      </c>
      <c r="N4182" s="6">
        <v>43997.0</v>
      </c>
      <c r="Q4182" s="2" t="s">
        <v>86</v>
      </c>
    </row>
    <row r="4183">
      <c r="A4183" s="2">
        <v>4182.0</v>
      </c>
      <c r="B4183" s="2" t="s">
        <v>7363</v>
      </c>
      <c r="C4183" s="2" t="s">
        <v>23</v>
      </c>
      <c r="N4183" s="6">
        <v>44254.0</v>
      </c>
      <c r="Q4183" s="2" t="s">
        <v>86</v>
      </c>
    </row>
    <row r="4184">
      <c r="A4184" s="2">
        <v>4183.0</v>
      </c>
      <c r="B4184" s="2" t="s">
        <v>7364</v>
      </c>
      <c r="C4184" s="2" t="s">
        <v>23</v>
      </c>
      <c r="K4184" s="2">
        <v>70.0</v>
      </c>
      <c r="N4184" s="6">
        <v>43925.0</v>
      </c>
      <c r="Q4184" s="2" t="s">
        <v>1521</v>
      </c>
    </row>
    <row r="4185">
      <c r="A4185" s="2">
        <v>4184.0</v>
      </c>
      <c r="B4185" s="2" t="s">
        <v>7365</v>
      </c>
      <c r="C4185" s="2" t="s">
        <v>23</v>
      </c>
      <c r="N4185" s="6">
        <v>42346.0</v>
      </c>
      <c r="Q4185" s="2" t="s">
        <v>86</v>
      </c>
    </row>
    <row r="4186">
      <c r="A4186" s="2">
        <v>4185.0</v>
      </c>
      <c r="B4186" s="2" t="s">
        <v>7366</v>
      </c>
      <c r="C4186" s="2" t="s">
        <v>23</v>
      </c>
      <c r="N4186" s="6">
        <v>44130.0</v>
      </c>
      <c r="Q4186" s="2" t="s">
        <v>86</v>
      </c>
    </row>
    <row r="4187">
      <c r="A4187" s="2">
        <v>4186.0</v>
      </c>
      <c r="B4187" s="2" t="s">
        <v>7367</v>
      </c>
      <c r="C4187" s="2" t="s">
        <v>23</v>
      </c>
      <c r="K4187" s="2">
        <v>100.0</v>
      </c>
      <c r="N4187" s="6">
        <v>44433.0</v>
      </c>
      <c r="Q4187" s="2" t="s">
        <v>86</v>
      </c>
    </row>
    <row r="4188">
      <c r="A4188" s="2">
        <v>4187.0</v>
      </c>
      <c r="B4188" s="2" t="s">
        <v>7368</v>
      </c>
      <c r="C4188" s="2" t="s">
        <v>23</v>
      </c>
      <c r="K4188" s="2">
        <v>60.0</v>
      </c>
      <c r="N4188" s="6">
        <v>45661.0</v>
      </c>
      <c r="Q4188" s="2" t="s">
        <v>7369</v>
      </c>
    </row>
    <row r="4189">
      <c r="A4189" s="2">
        <v>4188.0</v>
      </c>
      <c r="B4189" s="2" t="s">
        <v>7370</v>
      </c>
      <c r="C4189" s="2" t="s">
        <v>23</v>
      </c>
      <c r="K4189" s="2">
        <v>10.0</v>
      </c>
      <c r="N4189" s="6">
        <v>42394.0</v>
      </c>
      <c r="Q4189" s="2" t="s">
        <v>86</v>
      </c>
    </row>
    <row r="4190">
      <c r="A4190" s="2">
        <v>4189.0</v>
      </c>
      <c r="B4190" s="2" t="s">
        <v>7371</v>
      </c>
      <c r="C4190" s="2" t="s">
        <v>23</v>
      </c>
      <c r="K4190" s="2">
        <v>10.0</v>
      </c>
      <c r="N4190" s="6">
        <v>43937.0</v>
      </c>
      <c r="Q4190" s="2" t="s">
        <v>86</v>
      </c>
    </row>
    <row r="4191">
      <c r="A4191" s="2">
        <v>4190.0</v>
      </c>
      <c r="B4191" s="2" t="s">
        <v>7372</v>
      </c>
      <c r="C4191" s="2" t="s">
        <v>23</v>
      </c>
      <c r="N4191" s="6">
        <v>44249.0</v>
      </c>
      <c r="Q4191" s="2" t="s">
        <v>86</v>
      </c>
    </row>
    <row r="4192">
      <c r="A4192" s="2">
        <v>4191.0</v>
      </c>
      <c r="B4192" s="2" t="s">
        <v>7373</v>
      </c>
      <c r="C4192" s="2" t="s">
        <v>23</v>
      </c>
      <c r="K4192" s="2">
        <v>200.0</v>
      </c>
      <c r="N4192" s="6">
        <v>44310.0</v>
      </c>
      <c r="Q4192" s="2" t="s">
        <v>7374</v>
      </c>
    </row>
    <row r="4193">
      <c r="A4193" s="2">
        <v>4192.0</v>
      </c>
      <c r="B4193" s="2" t="s">
        <v>7375</v>
      </c>
      <c r="C4193" s="2" t="s">
        <v>23</v>
      </c>
      <c r="K4193" s="2">
        <v>90.0</v>
      </c>
      <c r="N4193" s="6">
        <v>43850.0</v>
      </c>
      <c r="Q4193" s="2" t="s">
        <v>7376</v>
      </c>
    </row>
    <row r="4194">
      <c r="A4194" s="2">
        <v>4193.0</v>
      </c>
      <c r="B4194" s="2" t="s">
        <v>7377</v>
      </c>
      <c r="C4194" s="2" t="s">
        <v>23</v>
      </c>
      <c r="K4194" s="2">
        <v>20.0</v>
      </c>
      <c r="N4194" s="6">
        <v>45051.0</v>
      </c>
      <c r="Q4194" s="2" t="s">
        <v>3645</v>
      </c>
    </row>
    <row r="4195">
      <c r="A4195" s="2">
        <v>4194.0</v>
      </c>
      <c r="B4195" s="2" t="s">
        <v>7378</v>
      </c>
      <c r="C4195" s="2" t="s">
        <v>23</v>
      </c>
      <c r="N4195" s="6">
        <v>45520.0</v>
      </c>
      <c r="Q4195" s="2" t="s">
        <v>7379</v>
      </c>
    </row>
    <row r="4196">
      <c r="A4196" s="2">
        <v>4195.0</v>
      </c>
      <c r="B4196" s="2" t="s">
        <v>7380</v>
      </c>
      <c r="C4196" s="2" t="s">
        <v>23</v>
      </c>
      <c r="K4196" s="2">
        <v>150.0</v>
      </c>
      <c r="N4196" s="6">
        <v>43933.0</v>
      </c>
      <c r="Q4196" s="2" t="s">
        <v>7381</v>
      </c>
    </row>
    <row r="4197">
      <c r="A4197" s="2">
        <v>4196.0</v>
      </c>
      <c r="B4197" s="2" t="s">
        <v>7382</v>
      </c>
      <c r="C4197" s="2" t="s">
        <v>23</v>
      </c>
      <c r="K4197" s="2">
        <v>60.0</v>
      </c>
      <c r="N4197" s="6">
        <v>43948.0</v>
      </c>
      <c r="Q4197" s="2" t="s">
        <v>7383</v>
      </c>
    </row>
    <row r="4198">
      <c r="A4198" s="2">
        <v>4197.0</v>
      </c>
      <c r="B4198" s="2" t="s">
        <v>7384</v>
      </c>
      <c r="C4198" s="2" t="s">
        <v>23</v>
      </c>
      <c r="K4198" s="2">
        <v>20.0</v>
      </c>
      <c r="N4198" s="6">
        <v>45319.0</v>
      </c>
      <c r="Q4198" s="2" t="s">
        <v>7385</v>
      </c>
    </row>
    <row r="4199">
      <c r="A4199" s="2">
        <v>4198.0</v>
      </c>
      <c r="B4199" s="2" t="s">
        <v>7386</v>
      </c>
      <c r="C4199" s="2" t="s">
        <v>23</v>
      </c>
      <c r="N4199" s="6">
        <v>45062.0</v>
      </c>
      <c r="Q4199" s="2" t="s">
        <v>86</v>
      </c>
    </row>
    <row r="4200">
      <c r="A4200" s="2">
        <v>4199.0</v>
      </c>
      <c r="B4200" s="2" t="s">
        <v>7387</v>
      </c>
      <c r="C4200" s="2" t="s">
        <v>23</v>
      </c>
      <c r="K4200" s="2">
        <v>150.0</v>
      </c>
      <c r="N4200" s="6">
        <v>44405.0</v>
      </c>
      <c r="Q4200" s="2" t="s">
        <v>7388</v>
      </c>
    </row>
    <row r="4201">
      <c r="A4201" s="2">
        <v>4200.0</v>
      </c>
      <c r="B4201" s="2" t="s">
        <v>7389</v>
      </c>
      <c r="C4201" s="2" t="s">
        <v>23</v>
      </c>
      <c r="K4201" s="2">
        <v>200.0</v>
      </c>
      <c r="N4201" s="6">
        <v>43984.0</v>
      </c>
      <c r="Q4201" s="2" t="s">
        <v>7390</v>
      </c>
    </row>
    <row r="4202">
      <c r="A4202" s="2">
        <v>4201.0</v>
      </c>
      <c r="B4202" s="2" t="s">
        <v>7391</v>
      </c>
      <c r="C4202" s="2" t="s">
        <v>23</v>
      </c>
      <c r="K4202" s="2">
        <v>200.0</v>
      </c>
      <c r="N4202" s="6">
        <v>44420.0</v>
      </c>
      <c r="Q4202" s="2" t="s">
        <v>7392</v>
      </c>
    </row>
    <row r="4203">
      <c r="A4203" s="2">
        <v>4202.0</v>
      </c>
      <c r="B4203" s="2" t="s">
        <v>7393</v>
      </c>
      <c r="C4203" s="2" t="s">
        <v>23</v>
      </c>
      <c r="K4203" s="2">
        <v>60.0</v>
      </c>
      <c r="N4203" s="6">
        <v>43943.0</v>
      </c>
      <c r="Q4203" s="2" t="s">
        <v>7394</v>
      </c>
    </row>
    <row r="4204">
      <c r="A4204" s="2">
        <v>4203.0</v>
      </c>
      <c r="B4204" s="2" t="s">
        <v>7395</v>
      </c>
      <c r="C4204" s="2" t="s">
        <v>23</v>
      </c>
      <c r="K4204" s="2">
        <v>10.0</v>
      </c>
      <c r="N4204" s="6">
        <v>45290.0</v>
      </c>
      <c r="Q4204" s="2" t="s">
        <v>86</v>
      </c>
    </row>
    <row r="4205">
      <c r="A4205" s="2">
        <v>4204.0</v>
      </c>
      <c r="B4205" s="2" t="s">
        <v>7396</v>
      </c>
      <c r="C4205" s="2" t="s">
        <v>23</v>
      </c>
      <c r="K4205" s="2">
        <v>100.0</v>
      </c>
      <c r="N4205" s="6">
        <v>44257.0</v>
      </c>
      <c r="Q4205" s="2" t="s">
        <v>1277</v>
      </c>
    </row>
    <row r="4206">
      <c r="A4206" s="2">
        <v>4205.0</v>
      </c>
      <c r="B4206" s="2" t="s">
        <v>7397</v>
      </c>
      <c r="C4206" s="2" t="s">
        <v>23</v>
      </c>
      <c r="K4206" s="2">
        <v>10.0</v>
      </c>
      <c r="N4206" s="6">
        <v>45676.0</v>
      </c>
      <c r="Q4206" s="2" t="s">
        <v>2738</v>
      </c>
    </row>
    <row r="4207">
      <c r="A4207" s="2">
        <v>4206.0</v>
      </c>
      <c r="B4207" s="2" t="s">
        <v>7398</v>
      </c>
      <c r="C4207" s="2" t="s">
        <v>23</v>
      </c>
      <c r="K4207" s="2">
        <v>20.0</v>
      </c>
      <c r="N4207" s="6">
        <v>45112.0</v>
      </c>
      <c r="Q4207" s="2" t="s">
        <v>86</v>
      </c>
    </row>
    <row r="4208">
      <c r="A4208" s="2">
        <v>4207.0</v>
      </c>
      <c r="B4208" s="2" t="s">
        <v>7399</v>
      </c>
      <c r="C4208" s="2" t="s">
        <v>23</v>
      </c>
      <c r="K4208" s="2">
        <v>150.0</v>
      </c>
      <c r="N4208" s="6">
        <v>45583.0</v>
      </c>
      <c r="Q4208" s="2" t="s">
        <v>7400</v>
      </c>
    </row>
    <row r="4209">
      <c r="A4209" s="2">
        <v>4208.0</v>
      </c>
      <c r="B4209" s="2" t="s">
        <v>7401</v>
      </c>
      <c r="C4209" s="2" t="s">
        <v>23</v>
      </c>
      <c r="N4209" s="6">
        <v>45268.0</v>
      </c>
      <c r="Q4209" s="2" t="s">
        <v>7402</v>
      </c>
    </row>
    <row r="4210">
      <c r="A4210" s="2">
        <v>4209.0</v>
      </c>
      <c r="B4210" s="2" t="s">
        <v>7403</v>
      </c>
      <c r="C4210" s="2" t="s">
        <v>23</v>
      </c>
      <c r="K4210" s="2">
        <v>150.0</v>
      </c>
      <c r="N4210" s="6">
        <v>44027.0</v>
      </c>
      <c r="Q4210" s="2" t="s">
        <v>7404</v>
      </c>
    </row>
    <row r="4211">
      <c r="A4211" s="2">
        <v>4210.0</v>
      </c>
      <c r="B4211" s="2" t="s">
        <v>7405</v>
      </c>
      <c r="C4211" s="2" t="s">
        <v>23</v>
      </c>
      <c r="N4211" s="6">
        <v>42836.0</v>
      </c>
      <c r="Q4211" s="2" t="s">
        <v>86</v>
      </c>
    </row>
    <row r="4212">
      <c r="A4212" s="2">
        <v>4211.0</v>
      </c>
      <c r="B4212" s="2" t="s">
        <v>7406</v>
      </c>
      <c r="C4212" s="2" t="s">
        <v>23</v>
      </c>
      <c r="K4212" s="2">
        <v>300.0</v>
      </c>
      <c r="N4212" s="6">
        <v>43963.0</v>
      </c>
      <c r="Q4212" s="2" t="s">
        <v>7407</v>
      </c>
    </row>
    <row r="4213">
      <c r="A4213" s="2">
        <v>4212.0</v>
      </c>
      <c r="B4213" s="2" t="s">
        <v>7408</v>
      </c>
      <c r="C4213" s="2" t="s">
        <v>23</v>
      </c>
      <c r="K4213" s="2">
        <v>60.0</v>
      </c>
      <c r="N4213" s="6">
        <v>44678.0</v>
      </c>
      <c r="Q4213" s="2" t="s">
        <v>1437</v>
      </c>
    </row>
    <row r="4214">
      <c r="A4214" s="2">
        <v>4213.0</v>
      </c>
      <c r="B4214" s="2" t="s">
        <v>293</v>
      </c>
      <c r="C4214" s="2" t="s">
        <v>23</v>
      </c>
      <c r="K4214" s="2">
        <v>10.0</v>
      </c>
      <c r="N4214" s="6">
        <v>44244.0</v>
      </c>
      <c r="Q4214" s="2" t="s">
        <v>296</v>
      </c>
    </row>
    <row r="4215">
      <c r="A4215" s="2">
        <v>4214.0</v>
      </c>
      <c r="B4215" s="2" t="s">
        <v>7409</v>
      </c>
      <c r="C4215" s="2" t="s">
        <v>23</v>
      </c>
      <c r="K4215" s="2">
        <v>80.0</v>
      </c>
      <c r="N4215" s="6">
        <v>45092.0</v>
      </c>
      <c r="Q4215" s="2" t="s">
        <v>7410</v>
      </c>
    </row>
    <row r="4216">
      <c r="A4216" s="2">
        <v>4215.0</v>
      </c>
      <c r="B4216" s="2" t="s">
        <v>7411</v>
      </c>
      <c r="C4216" s="2" t="s">
        <v>23</v>
      </c>
      <c r="K4216" s="2">
        <v>20.0</v>
      </c>
      <c r="N4216" s="6">
        <v>45188.0</v>
      </c>
      <c r="Q4216" s="2" t="s">
        <v>1466</v>
      </c>
    </row>
    <row r="4217">
      <c r="A4217" s="2">
        <v>4216.0</v>
      </c>
      <c r="B4217" s="2" t="s">
        <v>7412</v>
      </c>
      <c r="C4217" s="2" t="s">
        <v>23</v>
      </c>
      <c r="N4217" s="6">
        <v>45146.0</v>
      </c>
      <c r="Q4217" s="2" t="s">
        <v>546</v>
      </c>
    </row>
    <row r="4218">
      <c r="A4218" s="2">
        <v>4217.0</v>
      </c>
      <c r="B4218" s="2" t="s">
        <v>7413</v>
      </c>
      <c r="C4218" s="2" t="s">
        <v>23</v>
      </c>
      <c r="N4218" s="6">
        <v>43185.0</v>
      </c>
      <c r="Q4218" s="2" t="s">
        <v>491</v>
      </c>
    </row>
    <row r="4219">
      <c r="A4219" s="2">
        <v>4218.0</v>
      </c>
      <c r="B4219" s="2" t="s">
        <v>7414</v>
      </c>
      <c r="C4219" s="2" t="s">
        <v>23</v>
      </c>
      <c r="K4219" s="2">
        <v>20.0</v>
      </c>
      <c r="N4219" s="6">
        <v>44868.0</v>
      </c>
      <c r="Q4219" s="2" t="s">
        <v>3321</v>
      </c>
    </row>
    <row r="4220">
      <c r="A4220" s="2">
        <v>4219.0</v>
      </c>
      <c r="B4220" s="2" t="s">
        <v>7415</v>
      </c>
      <c r="C4220" s="2" t="s">
        <v>23</v>
      </c>
      <c r="K4220" s="2">
        <v>20.0</v>
      </c>
      <c r="N4220" s="6">
        <v>45021.0</v>
      </c>
      <c r="Q4220" s="2" t="s">
        <v>7416</v>
      </c>
    </row>
    <row r="4221">
      <c r="A4221" s="2">
        <v>4220.0</v>
      </c>
      <c r="B4221" s="2" t="s">
        <v>7417</v>
      </c>
      <c r="C4221" s="2" t="s">
        <v>23</v>
      </c>
      <c r="K4221" s="2">
        <v>150.0</v>
      </c>
      <c r="N4221" s="6">
        <v>45676.0</v>
      </c>
      <c r="Q4221" s="2" t="s">
        <v>7418</v>
      </c>
    </row>
    <row r="4222">
      <c r="A4222" s="2">
        <v>4221.0</v>
      </c>
      <c r="B4222" s="2" t="s">
        <v>7419</v>
      </c>
      <c r="C4222" s="2" t="s">
        <v>23</v>
      </c>
      <c r="N4222" s="6">
        <v>45238.0</v>
      </c>
      <c r="Q4222" s="2" t="s">
        <v>86</v>
      </c>
    </row>
    <row r="4223">
      <c r="A4223" s="2">
        <v>4222.0</v>
      </c>
      <c r="B4223" s="2" t="s">
        <v>7420</v>
      </c>
      <c r="C4223" s="2" t="s">
        <v>23</v>
      </c>
      <c r="N4223" s="6">
        <v>43566.0</v>
      </c>
      <c r="Q4223" s="2" t="s">
        <v>1070</v>
      </c>
    </row>
    <row r="4224">
      <c r="A4224" s="2">
        <v>4223.0</v>
      </c>
      <c r="B4224" s="2" t="s">
        <v>7421</v>
      </c>
      <c r="C4224" s="2" t="s">
        <v>23</v>
      </c>
      <c r="K4224" s="2">
        <v>50.0</v>
      </c>
      <c r="N4224" s="6">
        <v>44156.0</v>
      </c>
      <c r="Q4224" s="2" t="s">
        <v>200</v>
      </c>
    </row>
    <row r="4225">
      <c r="A4225" s="2">
        <v>4224.0</v>
      </c>
      <c r="B4225" s="2" t="s">
        <v>7422</v>
      </c>
      <c r="C4225" s="2" t="s">
        <v>23</v>
      </c>
      <c r="N4225" s="6">
        <v>42415.0</v>
      </c>
      <c r="Q4225" s="2" t="s">
        <v>86</v>
      </c>
    </row>
    <row r="4226">
      <c r="A4226" s="2">
        <v>4225.0</v>
      </c>
      <c r="B4226" s="2" t="s">
        <v>7423</v>
      </c>
      <c r="C4226" s="2" t="s">
        <v>23</v>
      </c>
      <c r="K4226" s="2">
        <v>50.0</v>
      </c>
      <c r="N4226" s="6">
        <v>45728.0</v>
      </c>
      <c r="Q4226" s="2" t="s">
        <v>7424</v>
      </c>
    </row>
    <row r="4227">
      <c r="A4227" s="2">
        <v>4226.0</v>
      </c>
      <c r="B4227" s="2" t="s">
        <v>7425</v>
      </c>
      <c r="C4227" s="2" t="s">
        <v>23</v>
      </c>
      <c r="N4227" s="6">
        <v>44729.0</v>
      </c>
      <c r="Q4227" s="2" t="s">
        <v>86</v>
      </c>
    </row>
    <row r="4228">
      <c r="A4228" s="2">
        <v>4227.0</v>
      </c>
      <c r="B4228" s="2" t="s">
        <v>7426</v>
      </c>
      <c r="C4228" s="2" t="s">
        <v>23</v>
      </c>
      <c r="K4228" s="2">
        <v>90.0</v>
      </c>
      <c r="N4228" s="6">
        <v>42934.0</v>
      </c>
      <c r="Q4228" s="2" t="s">
        <v>7427</v>
      </c>
    </row>
    <row r="4229">
      <c r="A4229" s="2">
        <v>4228.0</v>
      </c>
      <c r="B4229" s="2" t="s">
        <v>7428</v>
      </c>
      <c r="C4229" s="2" t="s">
        <v>23</v>
      </c>
      <c r="K4229" s="2">
        <v>150.0</v>
      </c>
      <c r="N4229" s="6">
        <v>44040.0</v>
      </c>
      <c r="Q4229" s="2" t="s">
        <v>5554</v>
      </c>
    </row>
    <row r="4230">
      <c r="A4230" s="2">
        <v>4229.0</v>
      </c>
      <c r="B4230" s="2" t="s">
        <v>7429</v>
      </c>
      <c r="C4230" s="2" t="s">
        <v>23</v>
      </c>
      <c r="K4230" s="2">
        <v>70.0</v>
      </c>
      <c r="N4230" s="6">
        <v>45296.0</v>
      </c>
      <c r="Q4230" s="2" t="s">
        <v>7430</v>
      </c>
    </row>
    <row r="4231">
      <c r="A4231" s="2">
        <v>4230.0</v>
      </c>
      <c r="B4231" s="2" t="s">
        <v>7431</v>
      </c>
      <c r="C4231" s="2" t="s">
        <v>23</v>
      </c>
      <c r="N4231" s="6">
        <v>44838.0</v>
      </c>
      <c r="Q4231" s="2" t="s">
        <v>546</v>
      </c>
    </row>
    <row r="4232">
      <c r="A4232" s="2">
        <v>4231.0</v>
      </c>
      <c r="B4232" s="2" t="s">
        <v>7432</v>
      </c>
      <c r="C4232" s="2" t="s">
        <v>23</v>
      </c>
      <c r="N4232" s="6">
        <v>44670.0</v>
      </c>
      <c r="Q4232" s="2" t="s">
        <v>86</v>
      </c>
    </row>
    <row r="4233">
      <c r="A4233" s="2">
        <v>4232.0</v>
      </c>
      <c r="B4233" s="2" t="s">
        <v>7433</v>
      </c>
      <c r="C4233" s="2" t="s">
        <v>23</v>
      </c>
      <c r="K4233" s="2">
        <v>20.0</v>
      </c>
      <c r="N4233" s="6">
        <v>45705.0</v>
      </c>
      <c r="Q4233" s="2" t="s">
        <v>7434</v>
      </c>
    </row>
    <row r="4234">
      <c r="A4234" s="2">
        <v>4233.0</v>
      </c>
      <c r="B4234" s="2" t="s">
        <v>7435</v>
      </c>
      <c r="C4234" s="2" t="s">
        <v>23</v>
      </c>
      <c r="K4234" s="2">
        <v>150.0</v>
      </c>
      <c r="N4234" s="6">
        <v>44654.0</v>
      </c>
      <c r="Q4234" s="2" t="s">
        <v>200</v>
      </c>
    </row>
    <row r="4235">
      <c r="A4235" s="2">
        <v>4234.0</v>
      </c>
      <c r="B4235" s="2" t="s">
        <v>7436</v>
      </c>
      <c r="C4235" s="2" t="s">
        <v>23</v>
      </c>
      <c r="K4235" s="2">
        <v>20.0</v>
      </c>
      <c r="N4235" s="6">
        <v>43642.0</v>
      </c>
      <c r="Q4235" s="2" t="s">
        <v>7437</v>
      </c>
    </row>
    <row r="4236">
      <c r="A4236" s="2">
        <v>4235.0</v>
      </c>
      <c r="B4236" s="2" t="s">
        <v>7438</v>
      </c>
      <c r="C4236" s="2" t="s">
        <v>23</v>
      </c>
      <c r="K4236" s="2">
        <v>10.0</v>
      </c>
      <c r="N4236" s="6">
        <v>44206.0</v>
      </c>
      <c r="Q4236" s="2" t="s">
        <v>5806</v>
      </c>
    </row>
    <row r="4237">
      <c r="A4237" s="2">
        <v>4236.0</v>
      </c>
      <c r="B4237" s="2" t="s">
        <v>7439</v>
      </c>
      <c r="C4237" s="2" t="s">
        <v>23</v>
      </c>
      <c r="N4237" s="6">
        <v>45987.0</v>
      </c>
      <c r="Q4237" s="2" t="s">
        <v>7440</v>
      </c>
    </row>
    <row r="4238">
      <c r="A4238" s="2">
        <v>4237.0</v>
      </c>
      <c r="B4238" s="2" t="s">
        <v>7441</v>
      </c>
      <c r="C4238" s="2" t="s">
        <v>23</v>
      </c>
      <c r="N4238" s="6">
        <v>44429.0</v>
      </c>
      <c r="Q4238" s="2" t="s">
        <v>86</v>
      </c>
    </row>
    <row r="4239">
      <c r="A4239" s="2">
        <v>4238.0</v>
      </c>
      <c r="B4239" s="2" t="s">
        <v>7442</v>
      </c>
      <c r="C4239" s="2" t="s">
        <v>23</v>
      </c>
      <c r="K4239" s="2">
        <v>300.0</v>
      </c>
      <c r="N4239" s="6">
        <v>44051.0</v>
      </c>
      <c r="Q4239" s="2" t="s">
        <v>7443</v>
      </c>
    </row>
    <row r="4240">
      <c r="A4240" s="2">
        <v>4239.0</v>
      </c>
      <c r="B4240" s="2" t="s">
        <v>7444</v>
      </c>
      <c r="C4240" s="2" t="s">
        <v>23</v>
      </c>
      <c r="K4240" s="2">
        <v>30.0</v>
      </c>
      <c r="N4240" s="6">
        <v>44432.0</v>
      </c>
      <c r="Q4240" s="2" t="s">
        <v>401</v>
      </c>
    </row>
    <row r="4241">
      <c r="A4241" s="2">
        <v>4240.0</v>
      </c>
      <c r="B4241" s="2" t="s">
        <v>7445</v>
      </c>
      <c r="C4241" s="2" t="s">
        <v>23</v>
      </c>
      <c r="N4241" s="6">
        <v>44149.0</v>
      </c>
      <c r="Q4241" s="2" t="s">
        <v>86</v>
      </c>
    </row>
    <row r="4242">
      <c r="A4242" s="2">
        <v>4241.0</v>
      </c>
      <c r="B4242" s="2" t="s">
        <v>7446</v>
      </c>
      <c r="C4242" s="2" t="s">
        <v>23</v>
      </c>
      <c r="K4242" s="2">
        <v>100.0</v>
      </c>
      <c r="N4242" s="6">
        <v>44281.0</v>
      </c>
      <c r="Q4242" s="2" t="s">
        <v>7447</v>
      </c>
    </row>
    <row r="4243">
      <c r="A4243" s="2">
        <v>4242.0</v>
      </c>
      <c r="B4243" s="2" t="s">
        <v>7448</v>
      </c>
      <c r="C4243" s="2" t="s">
        <v>23</v>
      </c>
      <c r="K4243" s="2">
        <v>30.0</v>
      </c>
      <c r="N4243" s="6">
        <v>44556.0</v>
      </c>
      <c r="Q4243" s="2" t="s">
        <v>7449</v>
      </c>
    </row>
    <row r="4244">
      <c r="A4244" s="2">
        <v>4243.0</v>
      </c>
      <c r="B4244" s="2" t="s">
        <v>7450</v>
      </c>
      <c r="C4244" s="2" t="s">
        <v>23</v>
      </c>
      <c r="K4244" s="2">
        <v>30.0</v>
      </c>
      <c r="N4244" s="6">
        <v>45085.0</v>
      </c>
      <c r="Q4244" s="2" t="s">
        <v>7451</v>
      </c>
    </row>
    <row r="4245">
      <c r="A4245" s="2">
        <v>4244.0</v>
      </c>
      <c r="B4245" s="2" t="s">
        <v>7452</v>
      </c>
      <c r="C4245" s="2" t="s">
        <v>23</v>
      </c>
      <c r="K4245" s="2">
        <v>50.0</v>
      </c>
      <c r="N4245" s="6">
        <v>44816.0</v>
      </c>
      <c r="Q4245" s="2" t="s">
        <v>1249</v>
      </c>
    </row>
    <row r="4246">
      <c r="A4246" s="2">
        <v>4245.0</v>
      </c>
      <c r="B4246" s="2" t="s">
        <v>7453</v>
      </c>
      <c r="C4246" s="2" t="s">
        <v>23</v>
      </c>
      <c r="K4246" s="2">
        <v>150.0</v>
      </c>
      <c r="N4246" s="6">
        <v>44256.0</v>
      </c>
      <c r="Q4246" s="2" t="s">
        <v>7454</v>
      </c>
    </row>
    <row r="4247">
      <c r="A4247" s="2">
        <v>4246.0</v>
      </c>
      <c r="B4247" s="2" t="s">
        <v>7455</v>
      </c>
      <c r="C4247" s="2" t="s">
        <v>23</v>
      </c>
      <c r="K4247" s="2">
        <v>20.0</v>
      </c>
      <c r="N4247" s="6">
        <v>44659.0</v>
      </c>
      <c r="Q4247" s="2" t="s">
        <v>7456</v>
      </c>
    </row>
    <row r="4248">
      <c r="A4248" s="2">
        <v>4247.0</v>
      </c>
      <c r="B4248" s="2" t="s">
        <v>7457</v>
      </c>
      <c r="C4248" s="2" t="s">
        <v>23</v>
      </c>
      <c r="K4248" s="2">
        <v>30.0</v>
      </c>
      <c r="N4248" s="6">
        <v>44192.0</v>
      </c>
      <c r="Q4248" s="2" t="s">
        <v>7458</v>
      </c>
    </row>
    <row r="4249">
      <c r="A4249" s="2">
        <v>4248.0</v>
      </c>
      <c r="B4249" s="2" t="s">
        <v>7459</v>
      </c>
      <c r="C4249" s="2" t="s">
        <v>23</v>
      </c>
      <c r="N4249" s="6">
        <v>44816.0</v>
      </c>
      <c r="Q4249" s="2" t="s">
        <v>86</v>
      </c>
    </row>
    <row r="4250">
      <c r="A4250" s="2">
        <v>4249.0</v>
      </c>
      <c r="B4250" s="2" t="s">
        <v>7460</v>
      </c>
      <c r="C4250" s="2" t="s">
        <v>23</v>
      </c>
      <c r="N4250" s="6">
        <v>42615.0</v>
      </c>
      <c r="Q4250" s="2" t="s">
        <v>86</v>
      </c>
    </row>
    <row r="4251">
      <c r="A4251" s="2">
        <v>4250.0</v>
      </c>
      <c r="B4251" s="2" t="s">
        <v>7461</v>
      </c>
      <c r="C4251" s="2" t="s">
        <v>23</v>
      </c>
      <c r="K4251" s="2">
        <v>30.0</v>
      </c>
      <c r="N4251" s="6">
        <v>42891.0</v>
      </c>
      <c r="Q4251" s="2" t="s">
        <v>7462</v>
      </c>
    </row>
    <row r="4252">
      <c r="A4252" s="2">
        <v>4251.0</v>
      </c>
      <c r="B4252" s="2" t="s">
        <v>7463</v>
      </c>
      <c r="C4252" s="2" t="s">
        <v>23</v>
      </c>
      <c r="K4252" s="2">
        <v>30.0</v>
      </c>
      <c r="N4252" s="6">
        <v>45689.0</v>
      </c>
      <c r="Q4252" s="2" t="s">
        <v>7464</v>
      </c>
    </row>
    <row r="4253">
      <c r="A4253" s="2">
        <v>4252.0</v>
      </c>
      <c r="B4253" s="2" t="s">
        <v>7465</v>
      </c>
      <c r="C4253" s="2" t="s">
        <v>23</v>
      </c>
      <c r="N4253" s="6">
        <v>45486.0</v>
      </c>
      <c r="Q4253" s="2" t="s">
        <v>7466</v>
      </c>
    </row>
    <row r="4254">
      <c r="A4254" s="2">
        <v>4253.0</v>
      </c>
      <c r="B4254" s="2" t="s">
        <v>7467</v>
      </c>
      <c r="C4254" s="2" t="s">
        <v>23</v>
      </c>
      <c r="K4254" s="2">
        <v>150.0</v>
      </c>
      <c r="N4254" s="6">
        <v>45747.0</v>
      </c>
      <c r="Q4254" s="2" t="s">
        <v>7468</v>
      </c>
    </row>
    <row r="4255">
      <c r="A4255" s="2">
        <v>4254.0</v>
      </c>
      <c r="B4255" s="2" t="s">
        <v>7469</v>
      </c>
      <c r="C4255" s="2" t="s">
        <v>23</v>
      </c>
      <c r="N4255" s="6">
        <v>43924.0</v>
      </c>
      <c r="Q4255" s="2" t="s">
        <v>86</v>
      </c>
    </row>
    <row r="4256">
      <c r="A4256" s="2">
        <v>4255.0</v>
      </c>
      <c r="B4256" s="2" t="s">
        <v>7470</v>
      </c>
      <c r="C4256" s="2" t="s">
        <v>23</v>
      </c>
      <c r="K4256" s="2">
        <v>30.0</v>
      </c>
      <c r="N4256" s="6">
        <v>43858.0</v>
      </c>
      <c r="Q4256" s="2" t="s">
        <v>3548</v>
      </c>
    </row>
    <row r="4257">
      <c r="A4257" s="2">
        <v>4256.0</v>
      </c>
      <c r="B4257" s="2" t="s">
        <v>7471</v>
      </c>
      <c r="C4257" s="2" t="s">
        <v>23</v>
      </c>
      <c r="N4257" s="6">
        <v>45405.0</v>
      </c>
      <c r="Q4257" s="2" t="s">
        <v>86</v>
      </c>
    </row>
    <row r="4258">
      <c r="A4258" s="2">
        <v>4257.0</v>
      </c>
      <c r="B4258" s="2" t="s">
        <v>7472</v>
      </c>
      <c r="C4258" s="2" t="s">
        <v>23</v>
      </c>
      <c r="K4258" s="2">
        <v>50.0</v>
      </c>
      <c r="N4258" s="6">
        <v>44987.0</v>
      </c>
      <c r="Q4258" s="2" t="s">
        <v>7473</v>
      </c>
    </row>
    <row r="4259">
      <c r="A4259" s="2">
        <v>4258.0</v>
      </c>
      <c r="B4259" s="2" t="s">
        <v>7474</v>
      </c>
      <c r="C4259" s="2" t="s">
        <v>23</v>
      </c>
      <c r="K4259" s="2">
        <v>400.0</v>
      </c>
      <c r="N4259" s="6">
        <v>44015.0</v>
      </c>
      <c r="Q4259" s="2" t="s">
        <v>7475</v>
      </c>
    </row>
    <row r="4260">
      <c r="A4260" s="2">
        <v>4259.0</v>
      </c>
      <c r="B4260" s="2" t="s">
        <v>7476</v>
      </c>
      <c r="C4260" s="2" t="s">
        <v>23</v>
      </c>
      <c r="K4260" s="2">
        <v>80.0</v>
      </c>
      <c r="N4260" s="6">
        <v>45791.0</v>
      </c>
      <c r="Q4260" s="2" t="s">
        <v>7477</v>
      </c>
    </row>
    <row r="4261">
      <c r="A4261" s="2">
        <v>4260.0</v>
      </c>
      <c r="B4261" s="2" t="s">
        <v>7478</v>
      </c>
      <c r="C4261" s="2" t="s">
        <v>23</v>
      </c>
      <c r="K4261" s="2">
        <v>50.0</v>
      </c>
      <c r="N4261" s="6">
        <v>45626.0</v>
      </c>
      <c r="Q4261" s="2" t="s">
        <v>7479</v>
      </c>
    </row>
    <row r="4262">
      <c r="A4262" s="2">
        <v>4261.0</v>
      </c>
      <c r="B4262" s="2" t="s">
        <v>7480</v>
      </c>
      <c r="C4262" s="2" t="s">
        <v>23</v>
      </c>
      <c r="K4262" s="2">
        <v>250.0</v>
      </c>
      <c r="N4262" s="6">
        <v>45182.0</v>
      </c>
      <c r="Q4262" s="2" t="s">
        <v>2992</v>
      </c>
    </row>
    <row r="4263">
      <c r="A4263" s="2">
        <v>4262.0</v>
      </c>
      <c r="B4263" s="2" t="s">
        <v>7481</v>
      </c>
      <c r="C4263" s="2" t="s">
        <v>23</v>
      </c>
      <c r="K4263" s="2">
        <v>10.0</v>
      </c>
      <c r="N4263" s="6">
        <v>44793.0</v>
      </c>
      <c r="Q4263" s="2" t="s">
        <v>7482</v>
      </c>
    </row>
    <row r="4264">
      <c r="A4264" s="2">
        <v>4263.0</v>
      </c>
      <c r="B4264" s="2" t="s">
        <v>7483</v>
      </c>
      <c r="C4264" s="2" t="s">
        <v>23</v>
      </c>
      <c r="N4264" s="6">
        <v>44802.0</v>
      </c>
      <c r="Q4264" s="2" t="s">
        <v>7484</v>
      </c>
    </row>
    <row r="4265">
      <c r="A4265" s="2">
        <v>4264.0</v>
      </c>
      <c r="B4265" s="2" t="s">
        <v>7485</v>
      </c>
      <c r="C4265" s="2" t="s">
        <v>23</v>
      </c>
      <c r="N4265" s="6">
        <v>44091.0</v>
      </c>
      <c r="Q4265" s="2" t="s">
        <v>86</v>
      </c>
    </row>
    <row r="4266">
      <c r="A4266" s="2">
        <v>4265.0</v>
      </c>
      <c r="B4266" s="2" t="s">
        <v>7486</v>
      </c>
      <c r="C4266" s="2" t="s">
        <v>23</v>
      </c>
      <c r="N4266" s="6">
        <v>44104.0</v>
      </c>
      <c r="Q4266" s="2" t="s">
        <v>7487</v>
      </c>
    </row>
    <row r="4267">
      <c r="A4267" s="2">
        <v>4266.0</v>
      </c>
      <c r="B4267" s="2" t="s">
        <v>7488</v>
      </c>
      <c r="C4267" s="2" t="s">
        <v>23</v>
      </c>
      <c r="K4267" s="2">
        <v>20.0</v>
      </c>
      <c r="N4267" s="6">
        <v>44818.0</v>
      </c>
      <c r="Q4267" s="2" t="s">
        <v>2771</v>
      </c>
    </row>
    <row r="4268">
      <c r="A4268" s="2">
        <v>4267.0</v>
      </c>
      <c r="B4268" s="2" t="s">
        <v>7489</v>
      </c>
      <c r="C4268" s="2" t="s">
        <v>23</v>
      </c>
      <c r="N4268" s="6">
        <v>44690.0</v>
      </c>
      <c r="Q4268" s="2" t="s">
        <v>86</v>
      </c>
    </row>
    <row r="4269">
      <c r="A4269" s="2">
        <v>4268.0</v>
      </c>
      <c r="B4269" s="2" t="s">
        <v>7490</v>
      </c>
      <c r="C4269" s="2" t="s">
        <v>23</v>
      </c>
      <c r="N4269" s="6">
        <v>44146.0</v>
      </c>
      <c r="Q4269" s="2" t="s">
        <v>1131</v>
      </c>
    </row>
    <row r="4270">
      <c r="A4270" s="2">
        <v>4269.0</v>
      </c>
      <c r="B4270" s="2" t="s">
        <v>7491</v>
      </c>
      <c r="C4270" s="2" t="s">
        <v>23</v>
      </c>
      <c r="K4270" s="2">
        <v>20.0</v>
      </c>
      <c r="N4270" s="6">
        <v>44077.0</v>
      </c>
      <c r="Q4270" s="2" t="s">
        <v>86</v>
      </c>
    </row>
    <row r="4271">
      <c r="A4271" s="2">
        <v>4270.0</v>
      </c>
      <c r="B4271" s="2" t="s">
        <v>7492</v>
      </c>
      <c r="C4271" s="2" t="s">
        <v>23</v>
      </c>
      <c r="K4271" s="2">
        <v>20.0</v>
      </c>
      <c r="N4271" s="6">
        <v>44099.0</v>
      </c>
      <c r="Q4271" s="2" t="s">
        <v>7493</v>
      </c>
    </row>
    <row r="4272">
      <c r="A4272" s="2">
        <v>4271.0</v>
      </c>
      <c r="B4272" s="2" t="s">
        <v>7494</v>
      </c>
      <c r="C4272" s="2" t="s">
        <v>23</v>
      </c>
      <c r="K4272" s="2">
        <v>20.0</v>
      </c>
      <c r="N4272" s="6">
        <v>44371.0</v>
      </c>
      <c r="Q4272" s="2" t="s">
        <v>7495</v>
      </c>
    </row>
    <row r="4273">
      <c r="A4273" s="2">
        <v>4272.0</v>
      </c>
      <c r="B4273" s="2" t="s">
        <v>7496</v>
      </c>
      <c r="C4273" s="2" t="s">
        <v>23</v>
      </c>
      <c r="K4273" s="2">
        <v>60.0</v>
      </c>
      <c r="N4273" s="6">
        <v>45084.0</v>
      </c>
      <c r="Q4273" s="2" t="s">
        <v>7497</v>
      </c>
    </row>
    <row r="4274">
      <c r="A4274" s="2">
        <v>4273.0</v>
      </c>
      <c r="B4274" s="2" t="s">
        <v>7498</v>
      </c>
      <c r="C4274" s="2" t="s">
        <v>23</v>
      </c>
      <c r="N4274" s="6">
        <v>44138.0</v>
      </c>
      <c r="Q4274" s="2" t="s">
        <v>86</v>
      </c>
    </row>
    <row r="4275">
      <c r="A4275" s="2">
        <v>4274.0</v>
      </c>
      <c r="B4275" s="2" t="s">
        <v>7499</v>
      </c>
      <c r="C4275" s="2" t="s">
        <v>23</v>
      </c>
      <c r="K4275" s="2">
        <v>80.0</v>
      </c>
      <c r="N4275" s="6">
        <v>44044.0</v>
      </c>
      <c r="Q4275" s="2" t="s">
        <v>7500</v>
      </c>
    </row>
    <row r="4276">
      <c r="A4276" s="2">
        <v>4275.0</v>
      </c>
      <c r="B4276" s="2" t="s">
        <v>7501</v>
      </c>
      <c r="C4276" s="2" t="s">
        <v>23</v>
      </c>
      <c r="N4276" s="6">
        <v>45472.0</v>
      </c>
      <c r="Q4276" s="2" t="s">
        <v>7502</v>
      </c>
    </row>
    <row r="4277">
      <c r="A4277" s="2">
        <v>4276.0</v>
      </c>
      <c r="B4277" s="2" t="s">
        <v>7503</v>
      </c>
      <c r="C4277" s="2" t="s">
        <v>23</v>
      </c>
      <c r="K4277" s="2">
        <v>10.0</v>
      </c>
      <c r="N4277" s="6">
        <v>44030.0</v>
      </c>
      <c r="Q4277" s="2" t="s">
        <v>86</v>
      </c>
    </row>
    <row r="4278">
      <c r="A4278" s="2">
        <v>4277.0</v>
      </c>
      <c r="B4278" s="2" t="s">
        <v>7504</v>
      </c>
      <c r="C4278" s="2" t="s">
        <v>23</v>
      </c>
      <c r="K4278" s="2">
        <v>50.0</v>
      </c>
      <c r="N4278" s="6">
        <v>45761.0</v>
      </c>
      <c r="Q4278" s="2" t="s">
        <v>7505</v>
      </c>
    </row>
    <row r="4279">
      <c r="A4279" s="2">
        <v>4278.0</v>
      </c>
      <c r="B4279" s="2" t="s">
        <v>7506</v>
      </c>
      <c r="C4279" s="2" t="s">
        <v>23</v>
      </c>
      <c r="N4279" s="6">
        <v>45670.0</v>
      </c>
      <c r="Q4279" s="2" t="s">
        <v>7507</v>
      </c>
    </row>
    <row r="4280">
      <c r="A4280" s="2">
        <v>4279.0</v>
      </c>
      <c r="B4280" s="2" t="s">
        <v>7508</v>
      </c>
      <c r="C4280" s="2" t="s">
        <v>23</v>
      </c>
      <c r="K4280" s="2">
        <v>30.0</v>
      </c>
      <c r="N4280" s="6">
        <v>44350.0</v>
      </c>
      <c r="Q4280" s="2" t="s">
        <v>7509</v>
      </c>
    </row>
    <row r="4281">
      <c r="A4281" s="2">
        <v>4280.0</v>
      </c>
      <c r="B4281" s="2" t="s">
        <v>7510</v>
      </c>
      <c r="C4281" s="2" t="s">
        <v>23</v>
      </c>
      <c r="N4281" s="6">
        <v>44455.0</v>
      </c>
      <c r="Q4281" s="2" t="s">
        <v>86</v>
      </c>
    </row>
    <row r="4282">
      <c r="A4282" s="2">
        <v>4281.0</v>
      </c>
      <c r="B4282" s="2" t="s">
        <v>7511</v>
      </c>
      <c r="C4282" s="2" t="s">
        <v>23</v>
      </c>
      <c r="K4282" s="2">
        <v>200.0</v>
      </c>
      <c r="N4282" s="6">
        <v>45161.0</v>
      </c>
      <c r="Q4282" s="2" t="s">
        <v>7512</v>
      </c>
    </row>
    <row r="4283">
      <c r="A4283" s="2">
        <v>4282.0</v>
      </c>
      <c r="B4283" s="2" t="s">
        <v>7513</v>
      </c>
      <c r="C4283" s="2" t="s">
        <v>23</v>
      </c>
      <c r="K4283" s="2">
        <v>100.0</v>
      </c>
      <c r="N4283" s="6">
        <v>44136.0</v>
      </c>
      <c r="Q4283" s="2" t="s">
        <v>7514</v>
      </c>
    </row>
    <row r="4284">
      <c r="A4284" s="2">
        <v>4283.0</v>
      </c>
      <c r="B4284" s="2" t="s">
        <v>7515</v>
      </c>
      <c r="C4284" s="2" t="s">
        <v>23</v>
      </c>
      <c r="N4284" s="6">
        <v>42250.0</v>
      </c>
      <c r="Q4284" s="2" t="s">
        <v>86</v>
      </c>
    </row>
    <row r="4285">
      <c r="A4285" s="2">
        <v>4284.0</v>
      </c>
      <c r="B4285" s="2" t="s">
        <v>7516</v>
      </c>
      <c r="C4285" s="2" t="s">
        <v>23</v>
      </c>
      <c r="N4285" s="6">
        <v>44243.0</v>
      </c>
      <c r="Q4285" s="2" t="s">
        <v>86</v>
      </c>
    </row>
    <row r="4286">
      <c r="A4286" s="2">
        <v>4285.0</v>
      </c>
      <c r="B4286" s="2" t="s">
        <v>7517</v>
      </c>
      <c r="C4286" s="2" t="s">
        <v>23</v>
      </c>
      <c r="K4286" s="2">
        <v>60.0</v>
      </c>
      <c r="N4286" s="6">
        <v>44784.0</v>
      </c>
      <c r="Q4286" s="2" t="s">
        <v>7518</v>
      </c>
    </row>
    <row r="4287">
      <c r="A4287" s="2">
        <v>4286.0</v>
      </c>
      <c r="B4287" s="2" t="s">
        <v>7519</v>
      </c>
      <c r="C4287" s="2" t="s">
        <v>23</v>
      </c>
      <c r="N4287" s="6">
        <v>42362.0</v>
      </c>
      <c r="Q4287" s="2" t="s">
        <v>86</v>
      </c>
    </row>
    <row r="4288">
      <c r="A4288" s="2">
        <v>4287.0</v>
      </c>
      <c r="B4288" s="2" t="s">
        <v>7520</v>
      </c>
      <c r="C4288" s="2" t="s">
        <v>23</v>
      </c>
      <c r="K4288" s="2">
        <v>150.0</v>
      </c>
      <c r="N4288" s="6">
        <v>45098.0</v>
      </c>
      <c r="Q4288" s="2" t="s">
        <v>7521</v>
      </c>
    </row>
    <row r="4289">
      <c r="A4289" s="2">
        <v>4288.0</v>
      </c>
      <c r="B4289" s="2" t="s">
        <v>7522</v>
      </c>
      <c r="C4289" s="2" t="s">
        <v>23</v>
      </c>
      <c r="K4289" s="2">
        <v>80.0</v>
      </c>
      <c r="N4289" s="6">
        <v>45478.0</v>
      </c>
      <c r="Q4289" s="2" t="s">
        <v>7523</v>
      </c>
    </row>
    <row r="4290">
      <c r="A4290" s="2">
        <v>4289.0</v>
      </c>
      <c r="B4290" s="2" t="s">
        <v>7524</v>
      </c>
      <c r="C4290" s="2" t="s">
        <v>23</v>
      </c>
      <c r="K4290" s="2">
        <v>100.0</v>
      </c>
      <c r="N4290" s="6">
        <v>45564.0</v>
      </c>
      <c r="Q4290" s="2" t="s">
        <v>7525</v>
      </c>
    </row>
    <row r="4291">
      <c r="A4291" s="2">
        <v>4290.0</v>
      </c>
      <c r="B4291" s="2" t="s">
        <v>7526</v>
      </c>
      <c r="C4291" s="2" t="s">
        <v>23</v>
      </c>
      <c r="K4291" s="2">
        <v>50.0</v>
      </c>
      <c r="N4291" s="6">
        <v>45571.0</v>
      </c>
      <c r="Q4291" s="2" t="s">
        <v>7527</v>
      </c>
    </row>
    <row r="4292">
      <c r="A4292" s="2">
        <v>4291.0</v>
      </c>
      <c r="B4292" s="2" t="s">
        <v>7528</v>
      </c>
      <c r="C4292" s="2" t="s">
        <v>23</v>
      </c>
      <c r="K4292" s="2">
        <v>10.0</v>
      </c>
      <c r="N4292" s="6">
        <v>44253.0</v>
      </c>
      <c r="Q4292" s="2" t="s">
        <v>7141</v>
      </c>
    </row>
    <row r="4293">
      <c r="A4293" s="2">
        <v>4292.0</v>
      </c>
      <c r="B4293" s="2" t="s">
        <v>7529</v>
      </c>
      <c r="C4293" s="2" t="s">
        <v>23</v>
      </c>
      <c r="K4293" s="2">
        <v>20.0</v>
      </c>
      <c r="N4293" s="6">
        <v>45004.0</v>
      </c>
      <c r="Q4293" s="2" t="s">
        <v>7530</v>
      </c>
    </row>
    <row r="4294">
      <c r="A4294" s="2">
        <v>4293.0</v>
      </c>
      <c r="B4294" s="2" t="s">
        <v>7531</v>
      </c>
      <c r="C4294" s="2" t="s">
        <v>23</v>
      </c>
      <c r="K4294" s="2">
        <v>150.0</v>
      </c>
      <c r="N4294" s="6">
        <v>43855.0</v>
      </c>
      <c r="Q4294" s="2" t="s">
        <v>7532</v>
      </c>
    </row>
    <row r="4295">
      <c r="A4295" s="2">
        <v>4294.0</v>
      </c>
      <c r="B4295" s="2" t="s">
        <v>7533</v>
      </c>
      <c r="C4295" s="2" t="s">
        <v>23</v>
      </c>
      <c r="K4295" s="2">
        <v>40.0</v>
      </c>
      <c r="N4295" s="6">
        <v>44409.0</v>
      </c>
      <c r="Q4295" s="2" t="s">
        <v>6551</v>
      </c>
    </row>
    <row r="4296">
      <c r="A4296" s="2">
        <v>4295.0</v>
      </c>
      <c r="B4296" s="2" t="s">
        <v>7534</v>
      </c>
      <c r="C4296" s="2" t="s">
        <v>23</v>
      </c>
      <c r="K4296" s="2">
        <v>100.0</v>
      </c>
      <c r="N4296" s="6">
        <v>43851.0</v>
      </c>
      <c r="Q4296" s="2" t="s">
        <v>7535</v>
      </c>
    </row>
    <row r="4297">
      <c r="A4297" s="2">
        <v>4296.0</v>
      </c>
      <c r="B4297" s="2" t="s">
        <v>7536</v>
      </c>
      <c r="C4297" s="2" t="s">
        <v>23</v>
      </c>
      <c r="K4297" s="2">
        <v>10.0</v>
      </c>
      <c r="N4297" s="6">
        <v>45344.0</v>
      </c>
      <c r="Q4297" s="2" t="s">
        <v>7537</v>
      </c>
    </row>
    <row r="4298">
      <c r="A4298" s="2">
        <v>4297.0</v>
      </c>
      <c r="B4298" s="2" t="s">
        <v>7538</v>
      </c>
      <c r="C4298" s="2" t="s">
        <v>23</v>
      </c>
      <c r="K4298" s="2">
        <v>50.0</v>
      </c>
      <c r="N4298" s="6">
        <v>44941.0</v>
      </c>
      <c r="Q4298" s="2" t="s">
        <v>7539</v>
      </c>
    </row>
    <row r="4299">
      <c r="A4299" s="2">
        <v>4298.0</v>
      </c>
      <c r="B4299" s="2" t="s">
        <v>7540</v>
      </c>
      <c r="C4299" s="2" t="s">
        <v>23</v>
      </c>
      <c r="N4299" s="6">
        <v>45187.0</v>
      </c>
      <c r="Q4299" s="2" t="s">
        <v>4212</v>
      </c>
    </row>
    <row r="4300">
      <c r="A4300" s="2">
        <v>4299.0</v>
      </c>
      <c r="B4300" s="2" t="s">
        <v>7541</v>
      </c>
      <c r="C4300" s="2" t="s">
        <v>23</v>
      </c>
      <c r="N4300" s="6">
        <v>44511.0</v>
      </c>
      <c r="Q4300" s="2" t="s">
        <v>86</v>
      </c>
    </row>
    <row r="4301">
      <c r="A4301" s="2">
        <v>4300.0</v>
      </c>
      <c r="B4301" s="2" t="s">
        <v>7542</v>
      </c>
      <c r="C4301" s="2" t="s">
        <v>23</v>
      </c>
      <c r="K4301" s="2">
        <v>200.0</v>
      </c>
      <c r="N4301" s="6">
        <v>43856.0</v>
      </c>
      <c r="Q4301" s="2" t="s">
        <v>7543</v>
      </c>
    </row>
    <row r="4302">
      <c r="A4302" s="2">
        <v>4301.0</v>
      </c>
      <c r="B4302" s="2" t="s">
        <v>7544</v>
      </c>
      <c r="C4302" s="2" t="s">
        <v>23</v>
      </c>
      <c r="K4302" s="2">
        <v>150.0</v>
      </c>
      <c r="N4302" s="6">
        <v>44020.0</v>
      </c>
      <c r="Q4302" s="2" t="s">
        <v>7545</v>
      </c>
    </row>
    <row r="4303">
      <c r="A4303" s="2">
        <v>4302.0</v>
      </c>
      <c r="B4303" s="2" t="s">
        <v>7546</v>
      </c>
      <c r="C4303" s="2" t="s">
        <v>23</v>
      </c>
      <c r="K4303" s="2">
        <v>20.0</v>
      </c>
      <c r="N4303" s="6">
        <v>44453.0</v>
      </c>
      <c r="Q4303" s="2" t="s">
        <v>89</v>
      </c>
    </row>
    <row r="4304">
      <c r="A4304" s="2">
        <v>4303.0</v>
      </c>
      <c r="B4304" s="2" t="s">
        <v>7547</v>
      </c>
      <c r="C4304" s="2" t="s">
        <v>23</v>
      </c>
      <c r="K4304" s="2">
        <v>20.0</v>
      </c>
      <c r="N4304" s="6">
        <v>44448.0</v>
      </c>
      <c r="Q4304" s="2" t="s">
        <v>1437</v>
      </c>
    </row>
    <row r="4305">
      <c r="A4305" s="2">
        <v>4304.0</v>
      </c>
      <c r="B4305" s="2" t="s">
        <v>7548</v>
      </c>
      <c r="C4305" s="2" t="s">
        <v>23</v>
      </c>
      <c r="N4305" s="6">
        <v>44324.0</v>
      </c>
      <c r="Q4305" s="2" t="s">
        <v>86</v>
      </c>
    </row>
    <row r="4306">
      <c r="A4306" s="2">
        <v>4305.0</v>
      </c>
      <c r="B4306" s="2" t="s">
        <v>7549</v>
      </c>
      <c r="C4306" s="2" t="s">
        <v>23</v>
      </c>
      <c r="K4306" s="2">
        <v>40.0</v>
      </c>
      <c r="N4306" s="6">
        <v>45706.0</v>
      </c>
      <c r="Q4306" s="2" t="s">
        <v>7550</v>
      </c>
    </row>
    <row r="4307">
      <c r="A4307" s="2">
        <v>4306.0</v>
      </c>
      <c r="B4307" s="2" t="s">
        <v>7551</v>
      </c>
      <c r="C4307" s="2" t="s">
        <v>23</v>
      </c>
      <c r="N4307" s="6">
        <v>44312.0</v>
      </c>
      <c r="Q4307" s="2" t="s">
        <v>86</v>
      </c>
    </row>
    <row r="4308">
      <c r="A4308" s="2">
        <v>4307.0</v>
      </c>
      <c r="B4308" s="2" t="s">
        <v>7552</v>
      </c>
      <c r="C4308" s="2" t="s">
        <v>23</v>
      </c>
      <c r="K4308" s="2">
        <v>100.0</v>
      </c>
      <c r="N4308" s="6">
        <v>43852.0</v>
      </c>
      <c r="Q4308" s="2" t="s">
        <v>7553</v>
      </c>
    </row>
    <row r="4309">
      <c r="A4309" s="2">
        <v>4308.0</v>
      </c>
      <c r="B4309" s="2" t="s">
        <v>7554</v>
      </c>
      <c r="C4309" s="2" t="s">
        <v>23</v>
      </c>
      <c r="K4309" s="2">
        <v>40.0</v>
      </c>
      <c r="N4309" s="6">
        <v>45493.0</v>
      </c>
      <c r="Q4309" s="2" t="s">
        <v>5589</v>
      </c>
    </row>
    <row r="4310">
      <c r="A4310" s="2">
        <v>4309.0</v>
      </c>
      <c r="B4310" s="2" t="s">
        <v>7555</v>
      </c>
      <c r="C4310" s="2" t="s">
        <v>23</v>
      </c>
      <c r="N4310" s="6">
        <v>44548.0</v>
      </c>
      <c r="Q4310" s="2" t="s">
        <v>86</v>
      </c>
    </row>
    <row r="4311">
      <c r="A4311" s="2">
        <v>4310.0</v>
      </c>
      <c r="B4311" s="2" t="s">
        <v>7556</v>
      </c>
      <c r="C4311" s="2" t="s">
        <v>23</v>
      </c>
      <c r="K4311" s="2">
        <v>40.0</v>
      </c>
      <c r="N4311" s="6">
        <v>44435.0</v>
      </c>
      <c r="Q4311" s="2" t="s">
        <v>60</v>
      </c>
    </row>
    <row r="4312">
      <c r="A4312" s="2">
        <v>4311.0</v>
      </c>
      <c r="B4312" s="2" t="s">
        <v>7557</v>
      </c>
      <c r="C4312" s="2" t="s">
        <v>23</v>
      </c>
      <c r="K4312" s="2">
        <v>150.0</v>
      </c>
      <c r="N4312" s="6">
        <v>45551.0</v>
      </c>
      <c r="Q4312" s="2" t="s">
        <v>7558</v>
      </c>
    </row>
    <row r="4313">
      <c r="A4313" s="2">
        <v>4312.0</v>
      </c>
      <c r="B4313" s="2" t="s">
        <v>7559</v>
      </c>
      <c r="C4313" s="2" t="s">
        <v>23</v>
      </c>
      <c r="N4313" s="6">
        <v>44644.0</v>
      </c>
      <c r="Q4313" s="2" t="s">
        <v>86</v>
      </c>
    </row>
    <row r="4314">
      <c r="A4314" s="2">
        <v>4313.0</v>
      </c>
      <c r="B4314" s="2" t="s">
        <v>7560</v>
      </c>
      <c r="C4314" s="2" t="s">
        <v>23</v>
      </c>
      <c r="K4314" s="2">
        <v>10.0</v>
      </c>
      <c r="N4314" s="6">
        <v>44338.0</v>
      </c>
      <c r="Q4314" s="2" t="s">
        <v>86</v>
      </c>
    </row>
    <row r="4315">
      <c r="A4315" s="2">
        <v>4314.0</v>
      </c>
      <c r="B4315" s="2" t="s">
        <v>7561</v>
      </c>
      <c r="C4315" s="2" t="s">
        <v>23</v>
      </c>
      <c r="K4315" s="2">
        <v>10.0</v>
      </c>
      <c r="N4315" s="6">
        <v>43893.0</v>
      </c>
      <c r="Q4315" s="2" t="s">
        <v>4713</v>
      </c>
    </row>
    <row r="4316">
      <c r="A4316" s="2">
        <v>4315.0</v>
      </c>
      <c r="B4316" s="2" t="s">
        <v>7562</v>
      </c>
      <c r="C4316" s="2" t="s">
        <v>23</v>
      </c>
      <c r="K4316" s="2">
        <v>200.0</v>
      </c>
      <c r="N4316" s="6">
        <v>44008.0</v>
      </c>
      <c r="Q4316" s="2" t="s">
        <v>7563</v>
      </c>
    </row>
    <row r="4317">
      <c r="A4317" s="2">
        <v>4316.0</v>
      </c>
      <c r="B4317" s="2" t="s">
        <v>7564</v>
      </c>
      <c r="C4317" s="2" t="s">
        <v>23</v>
      </c>
      <c r="K4317" s="2">
        <v>10.0</v>
      </c>
      <c r="N4317" s="6">
        <v>45047.0</v>
      </c>
      <c r="Q4317" s="2" t="s">
        <v>2001</v>
      </c>
    </row>
    <row r="4318">
      <c r="A4318" s="2">
        <v>4317.0</v>
      </c>
      <c r="B4318" s="2" t="s">
        <v>7565</v>
      </c>
      <c r="C4318" s="2" t="s">
        <v>23</v>
      </c>
      <c r="N4318" s="6">
        <v>42442.0</v>
      </c>
      <c r="Q4318" s="2" t="s">
        <v>86</v>
      </c>
    </row>
    <row r="4319">
      <c r="A4319" s="2">
        <v>4318.0</v>
      </c>
      <c r="B4319" s="2" t="s">
        <v>7566</v>
      </c>
      <c r="C4319" s="2" t="s">
        <v>23</v>
      </c>
      <c r="K4319" s="2">
        <v>20.0</v>
      </c>
      <c r="N4319" s="6">
        <v>42309.0</v>
      </c>
      <c r="Q4319" s="2" t="s">
        <v>7567</v>
      </c>
    </row>
    <row r="4320">
      <c r="A4320" s="2">
        <v>4319.0</v>
      </c>
      <c r="B4320" s="2" t="s">
        <v>7568</v>
      </c>
      <c r="C4320" s="2" t="s">
        <v>23</v>
      </c>
      <c r="K4320" s="2">
        <v>10.0</v>
      </c>
      <c r="N4320" s="6">
        <v>43906.0</v>
      </c>
      <c r="Q4320" s="2" t="s">
        <v>86</v>
      </c>
    </row>
    <row r="4321">
      <c r="A4321" s="2">
        <v>4320.0</v>
      </c>
      <c r="B4321" s="2" t="s">
        <v>7569</v>
      </c>
      <c r="C4321" s="2" t="s">
        <v>23</v>
      </c>
      <c r="N4321" s="6">
        <v>43885.0</v>
      </c>
      <c r="Q4321" s="2" t="s">
        <v>86</v>
      </c>
    </row>
    <row r="4322">
      <c r="A4322" s="2">
        <v>4321.0</v>
      </c>
      <c r="B4322" s="2" t="s">
        <v>7570</v>
      </c>
      <c r="C4322" s="2" t="s">
        <v>23</v>
      </c>
      <c r="K4322" s="2">
        <v>200.0</v>
      </c>
      <c r="N4322" s="6">
        <v>44000.0</v>
      </c>
      <c r="Q4322" s="2" t="s">
        <v>7571</v>
      </c>
    </row>
    <row r="4323">
      <c r="A4323" s="2">
        <v>4322.0</v>
      </c>
      <c r="B4323" s="2" t="s">
        <v>7572</v>
      </c>
      <c r="C4323" s="2" t="s">
        <v>23</v>
      </c>
      <c r="N4323" s="6">
        <v>44931.0</v>
      </c>
      <c r="Q4323" s="2" t="s">
        <v>86</v>
      </c>
    </row>
    <row r="4324">
      <c r="A4324" s="2">
        <v>4323.0</v>
      </c>
      <c r="B4324" s="2" t="s">
        <v>7573</v>
      </c>
      <c r="C4324" s="2" t="s">
        <v>23</v>
      </c>
      <c r="K4324" s="2">
        <v>20.0</v>
      </c>
      <c r="N4324" s="6">
        <v>44998.0</v>
      </c>
      <c r="Q4324" s="2" t="s">
        <v>7574</v>
      </c>
    </row>
    <row r="4325">
      <c r="A4325" s="2">
        <v>4324.0</v>
      </c>
      <c r="B4325" s="2" t="s">
        <v>7575</v>
      </c>
      <c r="C4325" s="2" t="s">
        <v>23</v>
      </c>
      <c r="N4325" s="6">
        <v>44285.0</v>
      </c>
      <c r="Q4325" s="2" t="s">
        <v>86</v>
      </c>
    </row>
    <row r="4326">
      <c r="A4326" s="2">
        <v>4325.0</v>
      </c>
      <c r="B4326" s="2" t="s">
        <v>7576</v>
      </c>
      <c r="C4326" s="2" t="s">
        <v>23</v>
      </c>
      <c r="K4326" s="2">
        <v>30.0</v>
      </c>
      <c r="N4326" s="6">
        <v>45660.0</v>
      </c>
      <c r="Q4326" s="2" t="s">
        <v>7577</v>
      </c>
    </row>
    <row r="4327">
      <c r="A4327" s="2">
        <v>4326.0</v>
      </c>
      <c r="B4327" s="2" t="s">
        <v>298</v>
      </c>
      <c r="C4327" s="2" t="s">
        <v>23</v>
      </c>
      <c r="K4327" s="2">
        <v>40.0</v>
      </c>
      <c r="N4327" s="6">
        <v>44430.0</v>
      </c>
      <c r="Q4327" s="2" t="s">
        <v>302</v>
      </c>
    </row>
    <row r="4328">
      <c r="A4328" s="2">
        <v>4327.0</v>
      </c>
      <c r="B4328" s="2" t="s">
        <v>7578</v>
      </c>
      <c r="C4328" s="2" t="s">
        <v>23</v>
      </c>
      <c r="K4328" s="2">
        <v>50.0</v>
      </c>
      <c r="N4328" s="6">
        <v>42576.0</v>
      </c>
      <c r="Q4328" s="2" t="s">
        <v>7579</v>
      </c>
    </row>
    <row r="4329">
      <c r="A4329" s="2">
        <v>4328.0</v>
      </c>
      <c r="B4329" s="2" t="s">
        <v>7580</v>
      </c>
      <c r="C4329" s="2" t="s">
        <v>23</v>
      </c>
      <c r="K4329" s="2">
        <v>10.0</v>
      </c>
      <c r="N4329" s="6">
        <v>44805.0</v>
      </c>
      <c r="Q4329" s="2" t="s">
        <v>2782</v>
      </c>
    </row>
    <row r="4330">
      <c r="A4330" s="2">
        <v>4329.0</v>
      </c>
      <c r="B4330" s="2" t="s">
        <v>7581</v>
      </c>
      <c r="C4330" s="2" t="s">
        <v>23</v>
      </c>
      <c r="K4330" s="2">
        <v>20.0</v>
      </c>
      <c r="N4330" s="6">
        <v>44469.0</v>
      </c>
      <c r="Q4330" s="2" t="s">
        <v>3232</v>
      </c>
    </row>
    <row r="4331">
      <c r="A4331" s="2">
        <v>4330.0</v>
      </c>
      <c r="B4331" s="2" t="s">
        <v>7582</v>
      </c>
      <c r="C4331" s="2" t="s">
        <v>23</v>
      </c>
      <c r="K4331" s="2">
        <v>10.0</v>
      </c>
      <c r="N4331" s="6">
        <v>44542.0</v>
      </c>
      <c r="Q4331" s="2" t="s">
        <v>7583</v>
      </c>
    </row>
    <row r="4332">
      <c r="A4332" s="2">
        <v>4331.0</v>
      </c>
      <c r="B4332" s="2" t="s">
        <v>7584</v>
      </c>
      <c r="C4332" s="2" t="s">
        <v>23</v>
      </c>
      <c r="N4332" s="6">
        <v>44023.0</v>
      </c>
      <c r="Q4332" s="2" t="s">
        <v>86</v>
      </c>
    </row>
    <row r="4333">
      <c r="A4333" s="2">
        <v>4332.0</v>
      </c>
      <c r="B4333" s="2" t="s">
        <v>7585</v>
      </c>
      <c r="C4333" s="2" t="s">
        <v>23</v>
      </c>
      <c r="N4333" s="6">
        <v>44389.0</v>
      </c>
      <c r="Q4333" s="2" t="s">
        <v>6362</v>
      </c>
    </row>
    <row r="4334">
      <c r="A4334" s="2">
        <v>4333.0</v>
      </c>
      <c r="B4334" s="2" t="s">
        <v>7586</v>
      </c>
      <c r="C4334" s="2" t="s">
        <v>23</v>
      </c>
      <c r="N4334" s="6">
        <v>45483.0</v>
      </c>
      <c r="Q4334" s="2" t="s">
        <v>1116</v>
      </c>
    </row>
    <row r="4335">
      <c r="A4335" s="2">
        <v>4334.0</v>
      </c>
      <c r="B4335" s="2" t="s">
        <v>7587</v>
      </c>
      <c r="C4335" s="2" t="s">
        <v>23</v>
      </c>
      <c r="K4335" s="2">
        <v>40.0</v>
      </c>
      <c r="N4335" s="6">
        <v>45594.0</v>
      </c>
      <c r="Q4335" s="2" t="s">
        <v>7588</v>
      </c>
    </row>
    <row r="4336">
      <c r="A4336" s="2">
        <v>4335.0</v>
      </c>
      <c r="B4336" s="2" t="s">
        <v>7589</v>
      </c>
      <c r="C4336" s="2" t="s">
        <v>23</v>
      </c>
      <c r="K4336" s="2">
        <v>40.0</v>
      </c>
      <c r="N4336" s="6">
        <v>44773.0</v>
      </c>
      <c r="Q4336" s="2" t="s">
        <v>86</v>
      </c>
    </row>
    <row r="4337">
      <c r="A4337" s="2">
        <v>4336.0</v>
      </c>
      <c r="B4337" s="2" t="s">
        <v>7590</v>
      </c>
      <c r="C4337" s="2" t="s">
        <v>23</v>
      </c>
      <c r="K4337" s="2">
        <v>10.0</v>
      </c>
      <c r="N4337" s="6">
        <v>43853.0</v>
      </c>
      <c r="Q4337" s="2" t="s">
        <v>7591</v>
      </c>
    </row>
    <row r="4338">
      <c r="A4338" s="2">
        <v>4337.0</v>
      </c>
      <c r="B4338" s="2" t="s">
        <v>7592</v>
      </c>
      <c r="C4338" s="2" t="s">
        <v>23</v>
      </c>
      <c r="N4338" s="6">
        <v>42913.0</v>
      </c>
      <c r="Q4338" s="2" t="s">
        <v>86</v>
      </c>
    </row>
    <row r="4339">
      <c r="A4339" s="2">
        <v>4338.0</v>
      </c>
      <c r="B4339" s="2" t="s">
        <v>7593</v>
      </c>
      <c r="C4339" s="2" t="s">
        <v>23</v>
      </c>
      <c r="K4339" s="2">
        <v>30.0</v>
      </c>
      <c r="N4339" s="6">
        <v>44296.0</v>
      </c>
      <c r="Q4339" s="2" t="s">
        <v>1116</v>
      </c>
    </row>
    <row r="4340">
      <c r="A4340" s="2">
        <v>4339.0</v>
      </c>
      <c r="B4340" s="2" t="s">
        <v>7594</v>
      </c>
      <c r="C4340" s="2" t="s">
        <v>23</v>
      </c>
      <c r="K4340" s="2">
        <v>10.0</v>
      </c>
      <c r="N4340" s="6">
        <v>45032.0</v>
      </c>
      <c r="Q4340" s="2" t="s">
        <v>491</v>
      </c>
    </row>
    <row r="4341">
      <c r="A4341" s="2">
        <v>4340.0</v>
      </c>
      <c r="B4341" s="2" t="s">
        <v>7595</v>
      </c>
      <c r="C4341" s="2" t="s">
        <v>23</v>
      </c>
      <c r="K4341" s="2">
        <v>40.0</v>
      </c>
      <c r="N4341" s="6">
        <v>45273.0</v>
      </c>
      <c r="Q4341" s="2" t="s">
        <v>7596</v>
      </c>
    </row>
    <row r="4342">
      <c r="A4342" s="2">
        <v>4341.0</v>
      </c>
      <c r="B4342" s="2" t="s">
        <v>7597</v>
      </c>
      <c r="C4342" s="2" t="s">
        <v>23</v>
      </c>
      <c r="K4342" s="2">
        <v>20.0</v>
      </c>
      <c r="N4342" s="6">
        <v>43629.0</v>
      </c>
      <c r="Q4342" s="2" t="s">
        <v>1249</v>
      </c>
    </row>
    <row r="4343">
      <c r="A4343" s="2">
        <v>4342.0</v>
      </c>
      <c r="B4343" s="2" t="s">
        <v>7598</v>
      </c>
      <c r="C4343" s="2" t="s">
        <v>23</v>
      </c>
      <c r="K4343" s="2">
        <v>30.0</v>
      </c>
      <c r="N4343" s="6">
        <v>45350.0</v>
      </c>
      <c r="Q4343" s="2" t="s">
        <v>7599</v>
      </c>
    </row>
    <row r="4344">
      <c r="A4344" s="2">
        <v>4343.0</v>
      </c>
      <c r="B4344" s="2" t="s">
        <v>7600</v>
      </c>
      <c r="C4344" s="2" t="s">
        <v>23</v>
      </c>
      <c r="K4344" s="2">
        <v>30.0</v>
      </c>
      <c r="N4344" s="6">
        <v>45471.0</v>
      </c>
      <c r="Q4344" s="2" t="s">
        <v>7601</v>
      </c>
    </row>
    <row r="4345">
      <c r="A4345" s="2">
        <v>4344.0</v>
      </c>
      <c r="B4345" s="2" t="s">
        <v>7602</v>
      </c>
      <c r="C4345" s="2" t="s">
        <v>23</v>
      </c>
      <c r="K4345" s="2">
        <v>700.0</v>
      </c>
      <c r="N4345" s="6">
        <v>44750.0</v>
      </c>
      <c r="Q4345" s="2" t="s">
        <v>7603</v>
      </c>
    </row>
    <row r="4346">
      <c r="A4346" s="2">
        <v>4345.0</v>
      </c>
      <c r="B4346" s="2" t="s">
        <v>7604</v>
      </c>
      <c r="C4346" s="2" t="s">
        <v>23</v>
      </c>
      <c r="K4346" s="2">
        <v>10.0</v>
      </c>
      <c r="N4346" s="6">
        <v>44222.0</v>
      </c>
      <c r="Q4346" s="2" t="s">
        <v>86</v>
      </c>
    </row>
    <row r="4347">
      <c r="A4347" s="2">
        <v>4346.0</v>
      </c>
      <c r="B4347" s="2" t="s">
        <v>7605</v>
      </c>
      <c r="C4347" s="2" t="s">
        <v>23</v>
      </c>
      <c r="K4347" s="2">
        <v>30.0</v>
      </c>
      <c r="N4347" s="6">
        <v>45245.0</v>
      </c>
      <c r="Q4347" s="2" t="s">
        <v>7606</v>
      </c>
    </row>
    <row r="4348">
      <c r="A4348" s="2">
        <v>4347.0</v>
      </c>
      <c r="B4348" s="2" t="s">
        <v>7607</v>
      </c>
      <c r="C4348" s="2" t="s">
        <v>23</v>
      </c>
      <c r="K4348" s="2">
        <v>20.0</v>
      </c>
      <c r="N4348" s="6">
        <v>44144.0</v>
      </c>
      <c r="Q4348" s="2" t="s">
        <v>7608</v>
      </c>
    </row>
    <row r="4349">
      <c r="A4349" s="2">
        <v>4348.0</v>
      </c>
      <c r="B4349" s="2" t="s">
        <v>7609</v>
      </c>
      <c r="C4349" s="2" t="s">
        <v>23</v>
      </c>
      <c r="K4349" s="2">
        <v>150.0</v>
      </c>
      <c r="N4349" s="6">
        <v>44081.0</v>
      </c>
      <c r="Q4349" s="2" t="s">
        <v>7610</v>
      </c>
    </row>
    <row r="4350">
      <c r="A4350" s="2">
        <v>4349.0</v>
      </c>
      <c r="B4350" s="2" t="s">
        <v>7611</v>
      </c>
      <c r="C4350" s="2" t="s">
        <v>23</v>
      </c>
      <c r="K4350" s="2">
        <v>30.0</v>
      </c>
      <c r="N4350" s="6">
        <v>44012.0</v>
      </c>
      <c r="Q4350" s="2" t="s">
        <v>546</v>
      </c>
    </row>
    <row r="4351">
      <c r="A4351" s="2">
        <v>4350.0</v>
      </c>
      <c r="B4351" s="2" t="s">
        <v>7612</v>
      </c>
      <c r="C4351" s="2" t="s">
        <v>23</v>
      </c>
      <c r="K4351" s="2">
        <v>100.0</v>
      </c>
      <c r="N4351" s="6">
        <v>43912.0</v>
      </c>
      <c r="Q4351" s="2" t="s">
        <v>7613</v>
      </c>
    </row>
    <row r="4352">
      <c r="A4352" s="2">
        <v>4351.0</v>
      </c>
      <c r="B4352" s="2" t="s">
        <v>7614</v>
      </c>
      <c r="C4352" s="2" t="s">
        <v>23</v>
      </c>
      <c r="K4352" s="2">
        <v>90.0</v>
      </c>
      <c r="N4352" s="6">
        <v>45526.0</v>
      </c>
      <c r="Q4352" s="2" t="s">
        <v>7615</v>
      </c>
    </row>
    <row r="4353">
      <c r="A4353" s="2">
        <v>4352.0</v>
      </c>
      <c r="B4353" s="2" t="s">
        <v>7616</v>
      </c>
      <c r="C4353" s="2" t="s">
        <v>23</v>
      </c>
      <c r="N4353" s="6">
        <v>44309.0</v>
      </c>
      <c r="Q4353" s="2" t="s">
        <v>86</v>
      </c>
    </row>
    <row r="4354">
      <c r="A4354" s="2">
        <v>4353.0</v>
      </c>
      <c r="B4354" s="2" t="s">
        <v>7617</v>
      </c>
      <c r="C4354" s="2" t="s">
        <v>23</v>
      </c>
      <c r="K4354" s="2">
        <v>150.0</v>
      </c>
      <c r="N4354" s="6">
        <v>44634.0</v>
      </c>
      <c r="Q4354" s="2" t="s">
        <v>7618</v>
      </c>
    </row>
    <row r="4355">
      <c r="A4355" s="2">
        <v>4354.0</v>
      </c>
      <c r="B4355" s="2" t="s">
        <v>7619</v>
      </c>
      <c r="C4355" s="2" t="s">
        <v>23</v>
      </c>
      <c r="K4355" s="2">
        <v>40.0</v>
      </c>
      <c r="N4355" s="6">
        <v>45710.0</v>
      </c>
      <c r="Q4355" s="2" t="s">
        <v>7620</v>
      </c>
    </row>
    <row r="4356">
      <c r="A4356" s="2">
        <v>4355.0</v>
      </c>
      <c r="B4356" s="2" t="s">
        <v>7621</v>
      </c>
      <c r="C4356" s="2" t="s">
        <v>23</v>
      </c>
      <c r="K4356" s="2">
        <v>30.0</v>
      </c>
      <c r="N4356" s="6">
        <v>44026.0</v>
      </c>
      <c r="Q4356" s="2" t="s">
        <v>1437</v>
      </c>
    </row>
    <row r="4357">
      <c r="A4357" s="2">
        <v>4356.0</v>
      </c>
      <c r="B4357" s="2" t="s">
        <v>7622</v>
      </c>
      <c r="C4357" s="2" t="s">
        <v>23</v>
      </c>
      <c r="K4357" s="2">
        <v>200.0</v>
      </c>
      <c r="N4357" s="6">
        <v>43907.0</v>
      </c>
      <c r="Q4357" s="2" t="s">
        <v>7623</v>
      </c>
    </row>
    <row r="4358">
      <c r="A4358" s="2">
        <v>4357.0</v>
      </c>
      <c r="B4358" s="2" t="s">
        <v>7624</v>
      </c>
      <c r="C4358" s="2" t="s">
        <v>23</v>
      </c>
      <c r="K4358" s="2">
        <v>250.0</v>
      </c>
      <c r="N4358" s="6">
        <v>44732.0</v>
      </c>
      <c r="Q4358" s="2" t="s">
        <v>7625</v>
      </c>
    </row>
    <row r="4359">
      <c r="A4359" s="2">
        <v>4358.0</v>
      </c>
      <c r="B4359" s="2" t="s">
        <v>7626</v>
      </c>
      <c r="C4359" s="2" t="s">
        <v>23</v>
      </c>
      <c r="K4359" s="2">
        <v>400.0</v>
      </c>
      <c r="N4359" s="6">
        <v>44838.0</v>
      </c>
      <c r="Q4359" s="2" t="s">
        <v>7627</v>
      </c>
    </row>
    <row r="4360">
      <c r="A4360" s="2">
        <v>4359.0</v>
      </c>
      <c r="B4360" s="2" t="s">
        <v>7628</v>
      </c>
      <c r="C4360" s="2" t="s">
        <v>23</v>
      </c>
      <c r="N4360" s="6">
        <v>44249.0</v>
      </c>
      <c r="Q4360" s="2" t="s">
        <v>7629</v>
      </c>
    </row>
    <row r="4361">
      <c r="A4361" s="2">
        <v>4360.0</v>
      </c>
      <c r="B4361" s="2" t="s">
        <v>7630</v>
      </c>
      <c r="C4361" s="2" t="s">
        <v>23</v>
      </c>
      <c r="K4361" s="2">
        <v>20.0</v>
      </c>
      <c r="N4361" s="6">
        <v>45175.0</v>
      </c>
      <c r="Q4361" s="2" t="s">
        <v>7631</v>
      </c>
    </row>
    <row r="4362">
      <c r="A4362" s="2">
        <v>4361.0</v>
      </c>
      <c r="B4362" s="2" t="s">
        <v>7632</v>
      </c>
      <c r="C4362" s="2" t="s">
        <v>23</v>
      </c>
      <c r="K4362" s="2">
        <v>10.0</v>
      </c>
      <c r="N4362" s="6">
        <v>44227.0</v>
      </c>
      <c r="Q4362" s="2" t="s">
        <v>86</v>
      </c>
    </row>
    <row r="4363">
      <c r="A4363" s="2">
        <v>4362.0</v>
      </c>
      <c r="B4363" s="2" t="s">
        <v>7633</v>
      </c>
      <c r="C4363" s="2" t="s">
        <v>23</v>
      </c>
      <c r="N4363" s="6">
        <v>43026.0</v>
      </c>
      <c r="Q4363" s="2" t="s">
        <v>7634</v>
      </c>
    </row>
    <row r="4364">
      <c r="A4364" s="2">
        <v>4363.0</v>
      </c>
      <c r="B4364" s="2" t="s">
        <v>7635</v>
      </c>
      <c r="C4364" s="2" t="s">
        <v>23</v>
      </c>
      <c r="K4364" s="2">
        <v>50.0</v>
      </c>
      <c r="N4364" s="6">
        <v>44701.0</v>
      </c>
      <c r="Q4364" s="2" t="s">
        <v>2869</v>
      </c>
    </row>
    <row r="4365">
      <c r="A4365" s="2">
        <v>4364.0</v>
      </c>
      <c r="B4365" s="2" t="s">
        <v>7636</v>
      </c>
      <c r="C4365" s="2" t="s">
        <v>23</v>
      </c>
      <c r="N4365" s="6">
        <v>43326.0</v>
      </c>
      <c r="Q4365" s="2" t="s">
        <v>86</v>
      </c>
    </row>
    <row r="4366">
      <c r="A4366" s="2">
        <v>4365.0</v>
      </c>
      <c r="B4366" s="2" t="s">
        <v>7637</v>
      </c>
      <c r="C4366" s="2" t="s">
        <v>23</v>
      </c>
      <c r="K4366" s="2">
        <v>30.0</v>
      </c>
      <c r="N4366" s="6">
        <v>45646.0</v>
      </c>
      <c r="Q4366" s="2" t="s">
        <v>7638</v>
      </c>
    </row>
    <row r="4367">
      <c r="A4367" s="2">
        <v>4366.0</v>
      </c>
      <c r="B4367" s="2" t="s">
        <v>7639</v>
      </c>
      <c r="C4367" s="2" t="s">
        <v>23</v>
      </c>
      <c r="K4367" s="2">
        <v>150.0</v>
      </c>
      <c r="N4367" s="6">
        <v>45603.0</v>
      </c>
      <c r="Q4367" s="2" t="s">
        <v>7640</v>
      </c>
    </row>
    <row r="4368">
      <c r="A4368" s="2">
        <v>4367.0</v>
      </c>
      <c r="B4368" s="2" t="s">
        <v>7641</v>
      </c>
      <c r="C4368" s="2" t="s">
        <v>23</v>
      </c>
      <c r="K4368" s="2">
        <v>350.0</v>
      </c>
      <c r="N4368" s="6">
        <v>43839.0</v>
      </c>
      <c r="Q4368" s="2" t="s">
        <v>7642</v>
      </c>
    </row>
    <row r="4369">
      <c r="A4369" s="2">
        <v>4368.0</v>
      </c>
      <c r="B4369" s="2" t="s">
        <v>7643</v>
      </c>
      <c r="C4369" s="2" t="s">
        <v>23</v>
      </c>
      <c r="K4369" s="2">
        <v>90.0</v>
      </c>
      <c r="N4369" s="6">
        <v>45567.0</v>
      </c>
      <c r="Q4369" s="2" t="s">
        <v>7644</v>
      </c>
    </row>
    <row r="4370">
      <c r="A4370" s="2">
        <v>4369.0</v>
      </c>
      <c r="B4370" s="2" t="s">
        <v>7645</v>
      </c>
      <c r="C4370" s="2" t="s">
        <v>23</v>
      </c>
      <c r="N4370" s="6">
        <v>43168.0</v>
      </c>
      <c r="Q4370" s="2" t="s">
        <v>86</v>
      </c>
    </row>
    <row r="4371">
      <c r="A4371" s="2">
        <v>4370.0</v>
      </c>
      <c r="B4371" s="2" t="s">
        <v>7646</v>
      </c>
      <c r="C4371" s="2" t="s">
        <v>23</v>
      </c>
      <c r="K4371" s="2">
        <v>10.0</v>
      </c>
      <c r="N4371" s="6">
        <v>44080.0</v>
      </c>
      <c r="Q4371" s="2" t="s">
        <v>1481</v>
      </c>
    </row>
    <row r="4372">
      <c r="A4372" s="2">
        <v>4371.0</v>
      </c>
      <c r="B4372" s="2" t="s">
        <v>7647</v>
      </c>
      <c r="C4372" s="2" t="s">
        <v>23</v>
      </c>
      <c r="N4372" s="6">
        <v>44778.0</v>
      </c>
      <c r="Q4372" s="2" t="s">
        <v>86</v>
      </c>
    </row>
    <row r="4373">
      <c r="A4373" s="2">
        <v>4372.0</v>
      </c>
      <c r="B4373" s="2" t="s">
        <v>7648</v>
      </c>
      <c r="C4373" s="2" t="s">
        <v>23</v>
      </c>
      <c r="N4373" s="6">
        <v>45358.0</v>
      </c>
      <c r="Q4373" s="2" t="s">
        <v>86</v>
      </c>
    </row>
    <row r="4374">
      <c r="A4374" s="2">
        <v>4373.0</v>
      </c>
      <c r="B4374" s="2" t="s">
        <v>7649</v>
      </c>
      <c r="C4374" s="2" t="s">
        <v>23</v>
      </c>
      <c r="K4374" s="2">
        <v>20.0</v>
      </c>
      <c r="N4374" s="6">
        <v>45020.0</v>
      </c>
      <c r="Q4374" s="2" t="s">
        <v>86</v>
      </c>
    </row>
    <row r="4375">
      <c r="A4375" s="2">
        <v>4374.0</v>
      </c>
      <c r="B4375" s="2" t="s">
        <v>7650</v>
      </c>
      <c r="C4375" s="2" t="s">
        <v>23</v>
      </c>
      <c r="K4375" s="2">
        <v>10.0</v>
      </c>
      <c r="N4375" s="6">
        <v>45149.0</v>
      </c>
      <c r="Q4375" s="2" t="s">
        <v>1116</v>
      </c>
    </row>
    <row r="4376">
      <c r="A4376" s="2">
        <v>4375.0</v>
      </c>
      <c r="B4376" s="2" t="s">
        <v>7651</v>
      </c>
      <c r="C4376" s="2" t="s">
        <v>23</v>
      </c>
      <c r="N4376" s="6">
        <v>45690.0</v>
      </c>
      <c r="Q4376" s="2" t="s">
        <v>7652</v>
      </c>
    </row>
    <row r="4377">
      <c r="A4377" s="2">
        <v>4376.0</v>
      </c>
      <c r="B4377" s="2" t="s">
        <v>7653</v>
      </c>
      <c r="C4377" s="2" t="s">
        <v>23</v>
      </c>
      <c r="N4377" s="6">
        <v>43978.0</v>
      </c>
      <c r="Q4377" s="2" t="s">
        <v>1790</v>
      </c>
    </row>
    <row r="4378">
      <c r="A4378" s="2">
        <v>4377.0</v>
      </c>
      <c r="B4378" s="2" t="s">
        <v>7654</v>
      </c>
      <c r="C4378" s="2" t="s">
        <v>23</v>
      </c>
      <c r="K4378" s="2">
        <v>150.0</v>
      </c>
      <c r="N4378" s="6">
        <v>44207.0</v>
      </c>
      <c r="Q4378" s="2" t="s">
        <v>1437</v>
      </c>
    </row>
    <row r="4379">
      <c r="A4379" s="2">
        <v>4378.0</v>
      </c>
      <c r="B4379" s="2" t="s">
        <v>7655</v>
      </c>
      <c r="C4379" s="2" t="s">
        <v>23</v>
      </c>
      <c r="K4379" s="2">
        <v>30.0</v>
      </c>
      <c r="N4379" s="6">
        <v>44521.0</v>
      </c>
      <c r="Q4379" s="2" t="s">
        <v>86</v>
      </c>
    </row>
    <row r="4380">
      <c r="A4380" s="2">
        <v>4379.0</v>
      </c>
      <c r="B4380" s="2" t="s">
        <v>7656</v>
      </c>
      <c r="C4380" s="2" t="s">
        <v>23</v>
      </c>
      <c r="K4380" s="2">
        <v>30.0</v>
      </c>
      <c r="N4380" s="6">
        <v>44884.0</v>
      </c>
      <c r="Q4380" s="2" t="s">
        <v>401</v>
      </c>
    </row>
    <row r="4381">
      <c r="A4381" s="2">
        <v>4380.0</v>
      </c>
      <c r="B4381" s="2" t="s">
        <v>7657</v>
      </c>
      <c r="C4381" s="2" t="s">
        <v>23</v>
      </c>
      <c r="K4381" s="2">
        <v>70.0</v>
      </c>
      <c r="N4381" s="6">
        <v>44366.0</v>
      </c>
      <c r="Q4381" s="2" t="s">
        <v>7658</v>
      </c>
    </row>
    <row r="4382">
      <c r="A4382" s="2">
        <v>4381.0</v>
      </c>
      <c r="B4382" s="2" t="s">
        <v>7659</v>
      </c>
      <c r="C4382" s="2" t="s">
        <v>23</v>
      </c>
      <c r="K4382" s="2">
        <v>20.0</v>
      </c>
      <c r="N4382" s="6">
        <v>42336.0</v>
      </c>
      <c r="Q4382" s="2" t="s">
        <v>7660</v>
      </c>
    </row>
    <row r="4383">
      <c r="A4383" s="2">
        <v>4382.0</v>
      </c>
      <c r="B4383" s="2" t="s">
        <v>7661</v>
      </c>
      <c r="C4383" s="2" t="s">
        <v>23</v>
      </c>
      <c r="K4383" s="2">
        <v>10.0</v>
      </c>
      <c r="N4383" s="6">
        <v>44714.0</v>
      </c>
      <c r="Q4383" s="2" t="s">
        <v>2448</v>
      </c>
    </row>
    <row r="4384">
      <c r="A4384" s="2">
        <v>4383.0</v>
      </c>
      <c r="B4384" s="2" t="s">
        <v>7662</v>
      </c>
      <c r="C4384" s="2" t="s">
        <v>23</v>
      </c>
      <c r="F4384" s="2">
        <v>0.2</v>
      </c>
      <c r="K4384" s="2">
        <v>400.0</v>
      </c>
      <c r="N4384" s="6">
        <v>43651.0</v>
      </c>
      <c r="O4384" s="2" t="s">
        <v>49</v>
      </c>
      <c r="P4384" s="2" t="s">
        <v>36</v>
      </c>
      <c r="Q4384" s="2" t="s">
        <v>7663</v>
      </c>
      <c r="S4384" s="2" t="s">
        <v>848</v>
      </c>
    </row>
    <row r="4385">
      <c r="A4385" s="2">
        <v>4384.0</v>
      </c>
      <c r="B4385" s="2" t="s">
        <v>7664</v>
      </c>
      <c r="C4385" s="2" t="s">
        <v>23</v>
      </c>
      <c r="N4385" s="6">
        <v>44201.0</v>
      </c>
      <c r="Q4385" s="2" t="s">
        <v>86</v>
      </c>
    </row>
    <row r="4386">
      <c r="A4386" s="2">
        <v>4385.0</v>
      </c>
      <c r="B4386" s="2" t="s">
        <v>7665</v>
      </c>
      <c r="C4386" s="2" t="s">
        <v>23</v>
      </c>
      <c r="K4386" s="2">
        <v>50.0</v>
      </c>
      <c r="N4386" s="6">
        <v>45703.0</v>
      </c>
      <c r="Q4386" s="2" t="s">
        <v>7666</v>
      </c>
    </row>
    <row r="4387">
      <c r="A4387" s="2">
        <v>4386.0</v>
      </c>
      <c r="B4387" s="2" t="s">
        <v>7667</v>
      </c>
      <c r="C4387" s="2" t="s">
        <v>23</v>
      </c>
      <c r="K4387" s="2">
        <v>10.0</v>
      </c>
      <c r="N4387" s="6">
        <v>43851.0</v>
      </c>
      <c r="Q4387" s="2" t="s">
        <v>1466</v>
      </c>
    </row>
    <row r="4388">
      <c r="A4388" s="2">
        <v>4387.0</v>
      </c>
      <c r="B4388" s="2" t="s">
        <v>7668</v>
      </c>
      <c r="C4388" s="2" t="s">
        <v>23</v>
      </c>
      <c r="N4388" s="6">
        <v>45237.0</v>
      </c>
      <c r="Q4388" s="2" t="s">
        <v>7669</v>
      </c>
    </row>
    <row r="4389">
      <c r="A4389" s="2">
        <v>4388.0</v>
      </c>
      <c r="B4389" s="2" t="s">
        <v>7670</v>
      </c>
      <c r="C4389" s="2" t="s">
        <v>23</v>
      </c>
      <c r="K4389" s="2">
        <v>10.0</v>
      </c>
      <c r="N4389" s="6">
        <v>42399.0</v>
      </c>
      <c r="Q4389" s="2" t="s">
        <v>7671</v>
      </c>
    </row>
    <row r="4390">
      <c r="A4390" s="2">
        <v>4389.0</v>
      </c>
      <c r="B4390" s="2" t="s">
        <v>7672</v>
      </c>
      <c r="C4390" s="2" t="s">
        <v>23</v>
      </c>
      <c r="N4390" s="6">
        <v>45972.0</v>
      </c>
      <c r="Q4390" s="2" t="s">
        <v>7673</v>
      </c>
    </row>
    <row r="4391">
      <c r="A4391" s="2">
        <v>4390.0</v>
      </c>
      <c r="B4391" s="2" t="s">
        <v>7674</v>
      </c>
      <c r="C4391" s="2" t="s">
        <v>23</v>
      </c>
      <c r="N4391" s="6">
        <v>45635.0</v>
      </c>
      <c r="Q4391" s="2" t="s">
        <v>6291</v>
      </c>
    </row>
    <row r="4392">
      <c r="A4392" s="2">
        <v>4391.0</v>
      </c>
      <c r="B4392" s="2" t="s">
        <v>7675</v>
      </c>
      <c r="C4392" s="2" t="s">
        <v>23</v>
      </c>
      <c r="K4392" s="2">
        <v>70.0</v>
      </c>
      <c r="N4392" s="6">
        <v>45033.0</v>
      </c>
      <c r="Q4392" s="2" t="s">
        <v>7676</v>
      </c>
    </row>
    <row r="4393">
      <c r="A4393" s="2">
        <v>4392.0</v>
      </c>
      <c r="B4393" s="2" t="s">
        <v>7677</v>
      </c>
      <c r="C4393" s="2" t="s">
        <v>23</v>
      </c>
      <c r="N4393" s="6">
        <v>44162.0</v>
      </c>
      <c r="Q4393" s="2" t="s">
        <v>86</v>
      </c>
    </row>
    <row r="4394">
      <c r="A4394" s="2">
        <v>4393.0</v>
      </c>
      <c r="B4394" s="2" t="s">
        <v>7678</v>
      </c>
      <c r="C4394" s="2" t="s">
        <v>23</v>
      </c>
      <c r="K4394" s="2">
        <v>40.0</v>
      </c>
      <c r="N4394" s="6">
        <v>43950.0</v>
      </c>
      <c r="Q4394" s="2" t="s">
        <v>7679</v>
      </c>
    </row>
    <row r="4395">
      <c r="A4395" s="2">
        <v>4394.0</v>
      </c>
      <c r="B4395" s="2" t="s">
        <v>7680</v>
      </c>
      <c r="C4395" s="2" t="s">
        <v>23</v>
      </c>
      <c r="K4395" s="2">
        <v>20.0</v>
      </c>
      <c r="N4395" s="6">
        <v>45653.0</v>
      </c>
      <c r="Q4395" s="2" t="s">
        <v>7681</v>
      </c>
    </row>
    <row r="4396">
      <c r="A4396" s="2">
        <v>4395.0</v>
      </c>
      <c r="B4396" s="2" t="s">
        <v>7682</v>
      </c>
      <c r="C4396" s="2" t="s">
        <v>23</v>
      </c>
      <c r="K4396" s="2">
        <v>20.0</v>
      </c>
      <c r="N4396" s="6">
        <v>44826.0</v>
      </c>
      <c r="Q4396" s="2" t="s">
        <v>86</v>
      </c>
    </row>
    <row r="4397">
      <c r="A4397" s="2">
        <v>4396.0</v>
      </c>
      <c r="B4397" s="2" t="s">
        <v>7683</v>
      </c>
      <c r="C4397" s="2" t="s">
        <v>23</v>
      </c>
      <c r="K4397" s="2">
        <v>30.0</v>
      </c>
      <c r="N4397" s="6">
        <v>45138.0</v>
      </c>
      <c r="Q4397" s="2" t="s">
        <v>7684</v>
      </c>
    </row>
    <row r="4398">
      <c r="A4398" s="2">
        <v>4397.0</v>
      </c>
      <c r="B4398" s="2" t="s">
        <v>7685</v>
      </c>
      <c r="C4398" s="2" t="s">
        <v>23</v>
      </c>
      <c r="K4398" s="2">
        <v>200.0</v>
      </c>
      <c r="N4398" s="6">
        <v>45288.0</v>
      </c>
      <c r="Q4398" s="2" t="s">
        <v>7686</v>
      </c>
    </row>
    <row r="4399">
      <c r="A4399" s="2">
        <v>4398.0</v>
      </c>
      <c r="B4399" s="2" t="s">
        <v>7687</v>
      </c>
      <c r="C4399" s="2" t="s">
        <v>23</v>
      </c>
      <c r="K4399" s="2">
        <v>30.0</v>
      </c>
      <c r="N4399" s="6">
        <v>45686.0</v>
      </c>
      <c r="Q4399" s="2" t="s">
        <v>6291</v>
      </c>
    </row>
    <row r="4400">
      <c r="A4400" s="2">
        <v>4399.0</v>
      </c>
      <c r="B4400" s="2" t="s">
        <v>7688</v>
      </c>
      <c r="C4400" s="2" t="s">
        <v>23</v>
      </c>
      <c r="K4400" s="2">
        <v>80.0</v>
      </c>
      <c r="N4400" s="6">
        <v>44537.0</v>
      </c>
      <c r="Q4400" s="2" t="s">
        <v>86</v>
      </c>
    </row>
    <row r="4401">
      <c r="A4401" s="2">
        <v>4400.0</v>
      </c>
      <c r="B4401" s="2" t="s">
        <v>7689</v>
      </c>
      <c r="C4401" s="2" t="s">
        <v>23</v>
      </c>
      <c r="K4401" s="2">
        <v>30.0</v>
      </c>
      <c r="N4401" s="6">
        <v>45074.0</v>
      </c>
      <c r="Q4401" s="2" t="s">
        <v>7690</v>
      </c>
    </row>
    <row r="4402">
      <c r="A4402" s="2">
        <v>4401.0</v>
      </c>
      <c r="B4402" s="2" t="s">
        <v>7691</v>
      </c>
      <c r="C4402" s="2" t="s">
        <v>23</v>
      </c>
      <c r="N4402" s="6">
        <v>43992.0</v>
      </c>
      <c r="Q4402" s="2" t="s">
        <v>86</v>
      </c>
    </row>
    <row r="4403">
      <c r="A4403" s="2">
        <v>4402.0</v>
      </c>
      <c r="B4403" s="2" t="s">
        <v>7692</v>
      </c>
      <c r="C4403" s="2" t="s">
        <v>23</v>
      </c>
      <c r="N4403" s="6">
        <v>44697.0</v>
      </c>
      <c r="Q4403" s="2" t="s">
        <v>86</v>
      </c>
    </row>
    <row r="4404">
      <c r="A4404" s="2">
        <v>4403.0</v>
      </c>
      <c r="B4404" s="2" t="s">
        <v>7693</v>
      </c>
      <c r="C4404" s="2" t="s">
        <v>23</v>
      </c>
      <c r="N4404" s="6">
        <v>42632.0</v>
      </c>
      <c r="Q4404" s="2" t="s">
        <v>86</v>
      </c>
    </row>
    <row r="4405">
      <c r="A4405" s="2">
        <v>4404.0</v>
      </c>
      <c r="B4405" s="2" t="s">
        <v>7694</v>
      </c>
      <c r="C4405" s="2" t="s">
        <v>23</v>
      </c>
      <c r="N4405" s="6">
        <v>44620.0</v>
      </c>
      <c r="Q4405" s="2" t="s">
        <v>86</v>
      </c>
    </row>
    <row r="4406">
      <c r="A4406" s="2">
        <v>4405.0</v>
      </c>
      <c r="B4406" s="2" t="s">
        <v>7695</v>
      </c>
      <c r="C4406" s="2" t="s">
        <v>23</v>
      </c>
      <c r="K4406" s="2">
        <v>10.0</v>
      </c>
      <c r="N4406" s="6">
        <v>43966.0</v>
      </c>
      <c r="Q4406" s="2" t="s">
        <v>86</v>
      </c>
    </row>
    <row r="4407">
      <c r="A4407" s="2">
        <v>4406.0</v>
      </c>
      <c r="B4407" s="2" t="s">
        <v>7696</v>
      </c>
      <c r="C4407" s="2" t="s">
        <v>23</v>
      </c>
      <c r="K4407" s="2">
        <v>10.0</v>
      </c>
      <c r="N4407" s="6">
        <v>43994.0</v>
      </c>
      <c r="Q4407" s="2" t="s">
        <v>7697</v>
      </c>
    </row>
    <row r="4408">
      <c r="A4408" s="2">
        <v>4407.0</v>
      </c>
      <c r="B4408" s="2" t="s">
        <v>7698</v>
      </c>
      <c r="C4408" s="2" t="s">
        <v>23</v>
      </c>
      <c r="K4408" s="2">
        <v>10.0</v>
      </c>
      <c r="N4408" s="6">
        <v>45379.0</v>
      </c>
      <c r="Q4408" s="2" t="s">
        <v>7699</v>
      </c>
    </row>
    <row r="4409">
      <c r="A4409" s="2">
        <v>4408.0</v>
      </c>
      <c r="B4409" s="2" t="s">
        <v>7700</v>
      </c>
      <c r="C4409" s="2" t="s">
        <v>23</v>
      </c>
      <c r="K4409" s="2">
        <v>40.0</v>
      </c>
      <c r="N4409" s="6">
        <v>45641.0</v>
      </c>
      <c r="Q4409" s="2" t="s">
        <v>7701</v>
      </c>
    </row>
    <row r="4410">
      <c r="A4410" s="2">
        <v>4409.0</v>
      </c>
      <c r="B4410" s="2" t="s">
        <v>7702</v>
      </c>
      <c r="C4410" s="2" t="s">
        <v>23</v>
      </c>
      <c r="N4410" s="6">
        <v>44142.0</v>
      </c>
      <c r="Q4410" s="2" t="s">
        <v>86</v>
      </c>
    </row>
    <row r="4411">
      <c r="A4411" s="2">
        <v>4410.0</v>
      </c>
      <c r="B4411" s="2" t="s">
        <v>7703</v>
      </c>
      <c r="C4411" s="2" t="s">
        <v>23</v>
      </c>
      <c r="K4411" s="2">
        <v>100.0</v>
      </c>
      <c r="N4411" s="6">
        <v>45054.0</v>
      </c>
      <c r="Q4411" s="2" t="s">
        <v>86</v>
      </c>
    </row>
    <row r="4412">
      <c r="A4412" s="2">
        <v>4411.0</v>
      </c>
      <c r="B4412" s="2" t="s">
        <v>7704</v>
      </c>
      <c r="C4412" s="2" t="s">
        <v>23</v>
      </c>
      <c r="K4412" s="2">
        <v>30.0</v>
      </c>
      <c r="N4412" s="6">
        <v>43948.0</v>
      </c>
      <c r="Q4412" s="2" t="s">
        <v>7705</v>
      </c>
    </row>
    <row r="4413">
      <c r="A4413" s="2">
        <v>4412.0</v>
      </c>
      <c r="B4413" s="2" t="s">
        <v>7706</v>
      </c>
      <c r="C4413" s="2" t="s">
        <v>23</v>
      </c>
      <c r="N4413" s="6">
        <v>45230.0</v>
      </c>
      <c r="Q4413" s="2" t="s">
        <v>86</v>
      </c>
    </row>
    <row r="4414">
      <c r="A4414" s="2">
        <v>4413.0</v>
      </c>
      <c r="B4414" s="2" t="s">
        <v>7707</v>
      </c>
      <c r="C4414" s="2" t="s">
        <v>23</v>
      </c>
      <c r="K4414" s="2">
        <v>10.0</v>
      </c>
      <c r="N4414" s="6">
        <v>44455.0</v>
      </c>
      <c r="Q4414" s="2" t="s">
        <v>7708</v>
      </c>
    </row>
    <row r="4415">
      <c r="A4415" s="2">
        <v>4414.0</v>
      </c>
      <c r="B4415" s="2" t="s">
        <v>7709</v>
      </c>
      <c r="C4415" s="2" t="s">
        <v>23</v>
      </c>
      <c r="N4415" s="6">
        <v>44803.0</v>
      </c>
      <c r="Q4415" s="2" t="s">
        <v>86</v>
      </c>
    </row>
    <row r="4416">
      <c r="A4416" s="2">
        <v>4415.0</v>
      </c>
      <c r="B4416" s="2" t="s">
        <v>7710</v>
      </c>
      <c r="C4416" s="2" t="s">
        <v>23</v>
      </c>
      <c r="K4416" s="2">
        <v>100.0</v>
      </c>
      <c r="N4416" s="6">
        <v>44119.0</v>
      </c>
      <c r="Q4416" s="2" t="s">
        <v>3062</v>
      </c>
    </row>
    <row r="4417">
      <c r="A4417" s="2">
        <v>4416.0</v>
      </c>
      <c r="B4417" s="2" t="s">
        <v>7711</v>
      </c>
      <c r="C4417" s="2" t="s">
        <v>23</v>
      </c>
      <c r="K4417" s="2">
        <v>80.0</v>
      </c>
      <c r="N4417" s="6">
        <v>44682.0</v>
      </c>
      <c r="Q4417" s="2" t="s">
        <v>7712</v>
      </c>
    </row>
    <row r="4418">
      <c r="A4418" s="2">
        <v>4417.0</v>
      </c>
      <c r="B4418" s="2" t="s">
        <v>7713</v>
      </c>
      <c r="C4418" s="2" t="s">
        <v>23</v>
      </c>
      <c r="K4418" s="2">
        <v>70.0</v>
      </c>
      <c r="N4418" s="6">
        <v>44038.0</v>
      </c>
      <c r="Q4418" s="2" t="s">
        <v>139</v>
      </c>
    </row>
    <row r="4419">
      <c r="A4419" s="2">
        <v>4418.0</v>
      </c>
      <c r="B4419" s="2" t="s">
        <v>7714</v>
      </c>
      <c r="C4419" s="2" t="s">
        <v>23</v>
      </c>
      <c r="N4419" s="6">
        <v>45289.0</v>
      </c>
      <c r="Q4419" s="2" t="s">
        <v>3062</v>
      </c>
    </row>
    <row r="4420">
      <c r="A4420" s="2">
        <v>4419.0</v>
      </c>
      <c r="B4420" s="2" t="s">
        <v>7715</v>
      </c>
      <c r="C4420" s="2" t="s">
        <v>23</v>
      </c>
      <c r="K4420" s="2">
        <v>50.0</v>
      </c>
      <c r="N4420" s="6">
        <v>45698.0</v>
      </c>
      <c r="Q4420" s="2" t="s">
        <v>7716</v>
      </c>
    </row>
    <row r="4421">
      <c r="A4421" s="2">
        <v>4420.0</v>
      </c>
      <c r="B4421" s="2" t="s">
        <v>7717</v>
      </c>
      <c r="C4421" s="2" t="s">
        <v>23</v>
      </c>
      <c r="K4421" s="2">
        <v>20.0</v>
      </c>
      <c r="N4421" s="6">
        <v>45336.0</v>
      </c>
      <c r="Q4421" s="2" t="s">
        <v>2049</v>
      </c>
    </row>
    <row r="4422">
      <c r="A4422" s="2">
        <v>4421.0</v>
      </c>
      <c r="B4422" s="2" t="s">
        <v>7718</v>
      </c>
      <c r="C4422" s="2" t="s">
        <v>23</v>
      </c>
      <c r="K4422" s="2">
        <v>40.0</v>
      </c>
      <c r="N4422" s="6">
        <v>43860.0</v>
      </c>
      <c r="Q4422" s="2" t="s">
        <v>7719</v>
      </c>
    </row>
    <row r="4423">
      <c r="A4423" s="2">
        <v>4422.0</v>
      </c>
      <c r="B4423" s="2" t="s">
        <v>7720</v>
      </c>
      <c r="C4423" s="2" t="s">
        <v>23</v>
      </c>
      <c r="N4423" s="6">
        <v>44837.0</v>
      </c>
      <c r="Q4423" s="2" t="s">
        <v>86</v>
      </c>
    </row>
    <row r="4424">
      <c r="A4424" s="2">
        <v>4423.0</v>
      </c>
      <c r="B4424" s="2" t="s">
        <v>7721</v>
      </c>
      <c r="C4424" s="2" t="s">
        <v>23</v>
      </c>
      <c r="K4424" s="2">
        <v>20.0</v>
      </c>
      <c r="N4424" s="6">
        <v>45579.0</v>
      </c>
      <c r="Q4424" s="2" t="s">
        <v>7722</v>
      </c>
    </row>
    <row r="4425">
      <c r="A4425" s="2">
        <v>4424.0</v>
      </c>
      <c r="B4425" s="2" t="s">
        <v>7723</v>
      </c>
      <c r="C4425" s="2" t="s">
        <v>23</v>
      </c>
      <c r="N4425" s="6">
        <v>45911.0</v>
      </c>
      <c r="Q4425" s="2" t="s">
        <v>7724</v>
      </c>
    </row>
    <row r="4426">
      <c r="A4426" s="2">
        <v>4425.0</v>
      </c>
      <c r="B4426" s="2" t="s">
        <v>7725</v>
      </c>
      <c r="C4426" s="2" t="s">
        <v>23</v>
      </c>
      <c r="K4426" s="2">
        <v>200.0</v>
      </c>
      <c r="N4426" s="6">
        <v>44782.0</v>
      </c>
      <c r="Q4426" s="2" t="s">
        <v>7726</v>
      </c>
    </row>
    <row r="4427">
      <c r="A4427" s="2">
        <v>4426.0</v>
      </c>
      <c r="B4427" s="2" t="s">
        <v>7727</v>
      </c>
      <c r="C4427" s="2" t="s">
        <v>23</v>
      </c>
      <c r="N4427" s="6">
        <v>42412.0</v>
      </c>
      <c r="Q4427" s="2" t="s">
        <v>86</v>
      </c>
    </row>
    <row r="4428">
      <c r="A4428" s="2">
        <v>4427.0</v>
      </c>
      <c r="B4428" s="2" t="s">
        <v>7728</v>
      </c>
      <c r="C4428" s="2" t="s">
        <v>23</v>
      </c>
      <c r="K4428" s="2">
        <v>20.0</v>
      </c>
      <c r="N4428" s="6">
        <v>45522.0</v>
      </c>
      <c r="Q4428" s="2" t="s">
        <v>7729</v>
      </c>
    </row>
    <row r="4429">
      <c r="A4429" s="2">
        <v>4428.0</v>
      </c>
      <c r="B4429" s="2" t="s">
        <v>7730</v>
      </c>
      <c r="C4429" s="2" t="s">
        <v>23</v>
      </c>
      <c r="N4429" s="6">
        <v>43941.0</v>
      </c>
      <c r="Q4429" s="2" t="s">
        <v>86</v>
      </c>
    </row>
    <row r="4430">
      <c r="A4430" s="2">
        <v>4429.0</v>
      </c>
      <c r="B4430" s="2" t="s">
        <v>7731</v>
      </c>
      <c r="C4430" s="2" t="s">
        <v>23</v>
      </c>
      <c r="N4430" s="6">
        <v>43935.0</v>
      </c>
      <c r="Q4430" s="2" t="s">
        <v>86</v>
      </c>
    </row>
    <row r="4431">
      <c r="A4431" s="2">
        <v>4430.0</v>
      </c>
      <c r="B4431" s="2" t="s">
        <v>7732</v>
      </c>
      <c r="C4431" s="2" t="s">
        <v>23</v>
      </c>
      <c r="N4431" s="6">
        <v>44885.0</v>
      </c>
      <c r="Q4431" s="2" t="s">
        <v>86</v>
      </c>
    </row>
    <row r="4432">
      <c r="A4432" s="2">
        <v>4431.0</v>
      </c>
      <c r="B4432" s="2" t="s">
        <v>7733</v>
      </c>
      <c r="C4432" s="2" t="s">
        <v>23</v>
      </c>
      <c r="K4432" s="2">
        <v>250.0</v>
      </c>
      <c r="N4432" s="6">
        <v>44804.0</v>
      </c>
      <c r="Q4432" s="2" t="s">
        <v>7734</v>
      </c>
    </row>
    <row r="4433">
      <c r="A4433" s="2">
        <v>4432.0</v>
      </c>
      <c r="B4433" s="2" t="s">
        <v>7735</v>
      </c>
      <c r="C4433" s="2" t="s">
        <v>23</v>
      </c>
      <c r="K4433" s="2">
        <v>200.0</v>
      </c>
      <c r="N4433" s="6">
        <v>43848.0</v>
      </c>
      <c r="Q4433" s="2" t="s">
        <v>7736</v>
      </c>
    </row>
    <row r="4434">
      <c r="A4434" s="2">
        <v>4433.0</v>
      </c>
      <c r="B4434" s="2" t="s">
        <v>7737</v>
      </c>
      <c r="C4434" s="2" t="s">
        <v>23</v>
      </c>
      <c r="N4434" s="6">
        <v>46006.0</v>
      </c>
      <c r="Q4434" s="2" t="s">
        <v>2531</v>
      </c>
    </row>
    <row r="4435">
      <c r="A4435" s="2">
        <v>4434.0</v>
      </c>
      <c r="B4435" s="2" t="s">
        <v>7738</v>
      </c>
      <c r="C4435" s="2" t="s">
        <v>23</v>
      </c>
      <c r="N4435" s="6">
        <v>44741.0</v>
      </c>
      <c r="Q4435" s="2" t="s">
        <v>86</v>
      </c>
    </row>
    <row r="4436">
      <c r="A4436" s="2">
        <v>4435.0</v>
      </c>
      <c r="B4436" s="2" t="s">
        <v>7739</v>
      </c>
      <c r="C4436" s="2" t="s">
        <v>23</v>
      </c>
      <c r="K4436" s="2">
        <v>10.0</v>
      </c>
      <c r="N4436" s="6">
        <v>45805.0</v>
      </c>
      <c r="Q4436" s="2" t="s">
        <v>7740</v>
      </c>
    </row>
    <row r="4437">
      <c r="A4437" s="2">
        <v>4436.0</v>
      </c>
      <c r="B4437" s="2" t="s">
        <v>7741</v>
      </c>
      <c r="C4437" s="2" t="s">
        <v>23</v>
      </c>
      <c r="N4437" s="6">
        <v>44848.0</v>
      </c>
      <c r="Q4437" s="2" t="s">
        <v>86</v>
      </c>
    </row>
    <row r="4438">
      <c r="A4438" s="2">
        <v>4437.0</v>
      </c>
      <c r="B4438" s="2" t="s">
        <v>7742</v>
      </c>
      <c r="C4438" s="2" t="s">
        <v>23</v>
      </c>
      <c r="N4438" s="6">
        <v>44688.0</v>
      </c>
      <c r="Q4438" s="2" t="s">
        <v>86</v>
      </c>
    </row>
    <row r="4439">
      <c r="A4439" s="2">
        <v>4438.0</v>
      </c>
      <c r="B4439" s="2" t="s">
        <v>7743</v>
      </c>
      <c r="C4439" s="2" t="s">
        <v>23</v>
      </c>
      <c r="N4439" s="6">
        <v>44820.0</v>
      </c>
      <c r="Q4439" s="2" t="s">
        <v>86</v>
      </c>
    </row>
    <row r="4440">
      <c r="A4440" s="2">
        <v>4439.0</v>
      </c>
      <c r="B4440" s="2" t="s">
        <v>7744</v>
      </c>
      <c r="C4440" s="2" t="s">
        <v>23</v>
      </c>
      <c r="K4440" s="2">
        <v>40.0</v>
      </c>
      <c r="N4440" s="6">
        <v>44158.0</v>
      </c>
      <c r="Q4440" s="2" t="s">
        <v>86</v>
      </c>
    </row>
    <row r="4441">
      <c r="A4441" s="2">
        <v>4440.0</v>
      </c>
      <c r="B4441" s="2" t="s">
        <v>7745</v>
      </c>
      <c r="C4441" s="2" t="s">
        <v>23</v>
      </c>
      <c r="K4441" s="2">
        <v>70.0</v>
      </c>
      <c r="N4441" s="6">
        <v>44318.0</v>
      </c>
      <c r="Q4441" s="2" t="s">
        <v>7746</v>
      </c>
    </row>
    <row r="4442">
      <c r="A4442" s="2">
        <v>4441.0</v>
      </c>
      <c r="B4442" s="2" t="s">
        <v>7747</v>
      </c>
      <c r="C4442" s="2" t="s">
        <v>23</v>
      </c>
      <c r="N4442" s="6">
        <v>44135.0</v>
      </c>
      <c r="Q4442" s="2" t="s">
        <v>86</v>
      </c>
    </row>
    <row r="4443">
      <c r="A4443" s="2">
        <v>4442.0</v>
      </c>
      <c r="B4443" s="2" t="s">
        <v>7748</v>
      </c>
      <c r="C4443" s="2" t="s">
        <v>23</v>
      </c>
      <c r="K4443" s="2">
        <v>300.0</v>
      </c>
      <c r="N4443" s="6">
        <v>45773.0</v>
      </c>
      <c r="Q4443" s="2" t="s">
        <v>7749</v>
      </c>
    </row>
    <row r="4444">
      <c r="A4444" s="2">
        <v>4443.0</v>
      </c>
      <c r="B4444" s="2" t="s">
        <v>7750</v>
      </c>
      <c r="C4444" s="2" t="s">
        <v>23</v>
      </c>
      <c r="N4444" s="6">
        <v>44386.0</v>
      </c>
      <c r="Q4444" s="2" t="s">
        <v>86</v>
      </c>
    </row>
    <row r="4445">
      <c r="A4445" s="2">
        <v>4444.0</v>
      </c>
      <c r="B4445" s="2" t="s">
        <v>7751</v>
      </c>
      <c r="C4445" s="2" t="s">
        <v>23</v>
      </c>
      <c r="K4445" s="2">
        <v>150.0</v>
      </c>
      <c r="N4445" s="6">
        <v>43962.0</v>
      </c>
      <c r="Q4445" s="2" t="s">
        <v>7752</v>
      </c>
    </row>
    <row r="4446">
      <c r="A4446" s="2">
        <v>4445.0</v>
      </c>
      <c r="B4446" s="2" t="s">
        <v>7753</v>
      </c>
      <c r="C4446" s="2" t="s">
        <v>23</v>
      </c>
      <c r="K4446" s="2">
        <v>150.0</v>
      </c>
      <c r="N4446" s="6">
        <v>44353.0</v>
      </c>
      <c r="Q4446" s="2" t="s">
        <v>1605</v>
      </c>
    </row>
    <row r="4447">
      <c r="A4447" s="2">
        <v>4446.0</v>
      </c>
      <c r="B4447" s="2" t="s">
        <v>7754</v>
      </c>
      <c r="C4447" s="2" t="s">
        <v>23</v>
      </c>
      <c r="N4447" s="6">
        <v>42912.0</v>
      </c>
      <c r="Q4447" s="2" t="s">
        <v>7755</v>
      </c>
    </row>
    <row r="4448">
      <c r="A4448" s="2">
        <v>4447.0</v>
      </c>
      <c r="B4448" s="2" t="s">
        <v>7756</v>
      </c>
      <c r="C4448" s="2" t="s">
        <v>23</v>
      </c>
      <c r="N4448" s="6">
        <v>42289.0</v>
      </c>
      <c r="Q4448" s="2" t="s">
        <v>7757</v>
      </c>
    </row>
    <row r="4449">
      <c r="A4449" s="2">
        <v>4448.0</v>
      </c>
      <c r="B4449" s="2" t="s">
        <v>7758</v>
      </c>
      <c r="C4449" s="2" t="s">
        <v>23</v>
      </c>
      <c r="K4449" s="2">
        <v>20.0</v>
      </c>
      <c r="N4449" s="6">
        <v>43601.0</v>
      </c>
      <c r="Q4449" s="2" t="s">
        <v>7759</v>
      </c>
    </row>
    <row r="4450">
      <c r="A4450" s="2">
        <v>4449.0</v>
      </c>
      <c r="B4450" s="2" t="s">
        <v>7760</v>
      </c>
      <c r="C4450" s="2" t="s">
        <v>23</v>
      </c>
      <c r="K4450" s="2">
        <v>50.0</v>
      </c>
      <c r="N4450" s="6">
        <v>44083.0</v>
      </c>
      <c r="Q4450" s="2" t="s">
        <v>7761</v>
      </c>
    </row>
    <row r="4451">
      <c r="A4451" s="2">
        <v>4450.0</v>
      </c>
      <c r="B4451" s="2" t="s">
        <v>7762</v>
      </c>
      <c r="C4451" s="2" t="s">
        <v>23</v>
      </c>
      <c r="K4451" s="2">
        <v>40.0</v>
      </c>
      <c r="N4451" s="6">
        <v>44694.0</v>
      </c>
      <c r="Q4451" s="2" t="s">
        <v>86</v>
      </c>
    </row>
    <row r="4452">
      <c r="A4452" s="2">
        <v>4451.0</v>
      </c>
      <c r="B4452" s="2" t="s">
        <v>7763</v>
      </c>
      <c r="C4452" s="2" t="s">
        <v>23</v>
      </c>
      <c r="K4452" s="2">
        <v>10.0</v>
      </c>
      <c r="N4452" s="6">
        <v>43899.0</v>
      </c>
      <c r="Q4452" s="2" t="s">
        <v>1048</v>
      </c>
    </row>
    <row r="4453">
      <c r="A4453" s="2">
        <v>4452.0</v>
      </c>
      <c r="B4453" s="2" t="s">
        <v>7764</v>
      </c>
      <c r="C4453" s="2" t="s">
        <v>23</v>
      </c>
      <c r="K4453" s="2">
        <v>30.0</v>
      </c>
      <c r="N4453" s="6">
        <v>45334.0</v>
      </c>
      <c r="Q4453" s="2" t="s">
        <v>7765</v>
      </c>
    </row>
    <row r="4454">
      <c r="A4454" s="2">
        <v>4453.0</v>
      </c>
      <c r="B4454" s="2" t="s">
        <v>7766</v>
      </c>
      <c r="C4454" s="2" t="s">
        <v>23</v>
      </c>
      <c r="N4454" s="6">
        <v>43990.0</v>
      </c>
      <c r="Q4454" s="2" t="s">
        <v>86</v>
      </c>
    </row>
    <row r="4455">
      <c r="A4455" s="2">
        <v>4454.0</v>
      </c>
      <c r="B4455" s="2" t="s">
        <v>7767</v>
      </c>
      <c r="C4455" s="2" t="s">
        <v>23</v>
      </c>
      <c r="K4455" s="2">
        <v>90.0</v>
      </c>
      <c r="N4455" s="6">
        <v>45456.0</v>
      </c>
      <c r="Q4455" s="2" t="s">
        <v>7768</v>
      </c>
    </row>
    <row r="4456">
      <c r="A4456" s="2">
        <v>4455.0</v>
      </c>
      <c r="B4456" s="2" t="s">
        <v>7769</v>
      </c>
      <c r="C4456" s="2" t="s">
        <v>23</v>
      </c>
      <c r="N4456" s="6">
        <v>44665.0</v>
      </c>
      <c r="Q4456" s="2" t="s">
        <v>86</v>
      </c>
    </row>
    <row r="4457">
      <c r="A4457" s="2">
        <v>4456.0</v>
      </c>
      <c r="B4457" s="2" t="s">
        <v>7770</v>
      </c>
      <c r="C4457" s="2" t="s">
        <v>23</v>
      </c>
      <c r="N4457" s="6">
        <v>43133.0</v>
      </c>
      <c r="Q4457" s="2" t="s">
        <v>86</v>
      </c>
    </row>
    <row r="4458">
      <c r="A4458" s="2">
        <v>4457.0</v>
      </c>
      <c r="B4458" s="2" t="s">
        <v>7771</v>
      </c>
      <c r="C4458" s="2" t="s">
        <v>23</v>
      </c>
      <c r="K4458" s="2">
        <v>100.0</v>
      </c>
      <c r="N4458" s="6">
        <v>43944.0</v>
      </c>
      <c r="Q4458" s="2" t="s">
        <v>7772</v>
      </c>
    </row>
    <row r="4459">
      <c r="A4459" s="2">
        <v>4458.0</v>
      </c>
      <c r="B4459" s="2" t="s">
        <v>7773</v>
      </c>
      <c r="C4459" s="2" t="s">
        <v>23</v>
      </c>
      <c r="K4459" s="2">
        <v>10.0</v>
      </c>
      <c r="N4459" s="6">
        <v>45598.0</v>
      </c>
      <c r="Q4459" s="2" t="s">
        <v>7774</v>
      </c>
    </row>
    <row r="4460">
      <c r="A4460" s="2">
        <v>4459.0</v>
      </c>
      <c r="B4460" s="2" t="s">
        <v>7775</v>
      </c>
      <c r="C4460" s="2" t="s">
        <v>23</v>
      </c>
      <c r="K4460" s="2">
        <v>10.0</v>
      </c>
      <c r="N4460" s="6">
        <v>44808.0</v>
      </c>
      <c r="Q4460" s="2" t="s">
        <v>7776</v>
      </c>
    </row>
    <row r="4461">
      <c r="A4461" s="2">
        <v>4460.0</v>
      </c>
      <c r="B4461" s="2" t="s">
        <v>7777</v>
      </c>
      <c r="C4461" s="2" t="s">
        <v>23</v>
      </c>
      <c r="K4461" s="2">
        <v>70.0</v>
      </c>
      <c r="N4461" s="6">
        <v>43881.0</v>
      </c>
      <c r="Q4461" s="2" t="s">
        <v>2135</v>
      </c>
    </row>
    <row r="4462">
      <c r="A4462" s="2">
        <v>4461.0</v>
      </c>
      <c r="B4462" s="2" t="s">
        <v>7778</v>
      </c>
      <c r="C4462" s="2" t="s">
        <v>23</v>
      </c>
      <c r="K4462" s="2">
        <v>80.0</v>
      </c>
      <c r="N4462" s="6">
        <v>44484.0</v>
      </c>
      <c r="Q4462" s="2" t="s">
        <v>7779</v>
      </c>
    </row>
    <row r="4463">
      <c r="A4463" s="2">
        <v>4462.0</v>
      </c>
      <c r="B4463" s="2" t="s">
        <v>7780</v>
      </c>
      <c r="C4463" s="2" t="s">
        <v>23</v>
      </c>
      <c r="K4463" s="2">
        <v>150.0</v>
      </c>
      <c r="N4463" s="6">
        <v>44035.0</v>
      </c>
      <c r="Q4463" s="2" t="s">
        <v>7781</v>
      </c>
    </row>
    <row r="4464">
      <c r="A4464" s="2">
        <v>4463.0</v>
      </c>
      <c r="B4464" s="2" t="s">
        <v>7782</v>
      </c>
      <c r="C4464" s="2" t="s">
        <v>23</v>
      </c>
      <c r="K4464" s="2">
        <v>100.0</v>
      </c>
      <c r="N4464" s="6">
        <v>44362.0</v>
      </c>
      <c r="Q4464" s="2" t="s">
        <v>2573</v>
      </c>
    </row>
    <row r="4465">
      <c r="A4465" s="2">
        <v>4464.0</v>
      </c>
      <c r="B4465" s="2" t="s">
        <v>7783</v>
      </c>
      <c r="C4465" s="2" t="s">
        <v>23</v>
      </c>
      <c r="K4465" s="2">
        <v>100.0</v>
      </c>
      <c r="N4465" s="6">
        <v>45062.0</v>
      </c>
      <c r="Q4465" s="2" t="s">
        <v>2794</v>
      </c>
    </row>
    <row r="4466">
      <c r="A4466" s="2">
        <v>4465.0</v>
      </c>
      <c r="B4466" s="2" t="s">
        <v>7784</v>
      </c>
      <c r="C4466" s="2" t="s">
        <v>23</v>
      </c>
      <c r="K4466" s="2">
        <v>20.0</v>
      </c>
      <c r="N4466" s="6">
        <v>45502.0</v>
      </c>
      <c r="Q4466" s="2" t="s">
        <v>3512</v>
      </c>
    </row>
    <row r="4467">
      <c r="A4467" s="2">
        <v>4466.0</v>
      </c>
      <c r="B4467" s="2" t="s">
        <v>7785</v>
      </c>
      <c r="C4467" s="2" t="s">
        <v>23</v>
      </c>
      <c r="K4467" s="2">
        <v>250.0</v>
      </c>
      <c r="N4467" s="6">
        <v>44129.0</v>
      </c>
      <c r="Q4467" s="2" t="s">
        <v>7786</v>
      </c>
    </row>
    <row r="4468">
      <c r="A4468" s="2">
        <v>4467.0</v>
      </c>
      <c r="B4468" s="2" t="s">
        <v>7787</v>
      </c>
      <c r="C4468" s="2" t="s">
        <v>23</v>
      </c>
      <c r="K4468" s="2">
        <v>30.0</v>
      </c>
      <c r="N4468" s="6">
        <v>44425.0</v>
      </c>
      <c r="Q4468" s="2" t="s">
        <v>1466</v>
      </c>
    </row>
    <row r="4469">
      <c r="A4469" s="2">
        <v>4468.0</v>
      </c>
      <c r="B4469" s="2" t="s">
        <v>7788</v>
      </c>
      <c r="C4469" s="2" t="s">
        <v>23</v>
      </c>
      <c r="N4469" s="6">
        <v>44318.0</v>
      </c>
      <c r="Q4469" s="2" t="s">
        <v>86</v>
      </c>
    </row>
    <row r="4470">
      <c r="A4470" s="2">
        <v>4469.0</v>
      </c>
      <c r="B4470" s="2" t="s">
        <v>7789</v>
      </c>
      <c r="C4470" s="2" t="s">
        <v>23</v>
      </c>
      <c r="K4470" s="2">
        <v>30.0</v>
      </c>
      <c r="N4470" s="6">
        <v>44613.0</v>
      </c>
      <c r="Q4470" s="2" t="s">
        <v>7790</v>
      </c>
    </row>
    <row r="4471">
      <c r="A4471" s="2">
        <v>4470.0</v>
      </c>
      <c r="B4471" s="2" t="s">
        <v>7791</v>
      </c>
      <c r="C4471" s="2" t="s">
        <v>23</v>
      </c>
      <c r="N4471" s="6">
        <v>45080.0</v>
      </c>
      <c r="Q4471" s="2" t="s">
        <v>86</v>
      </c>
    </row>
    <row r="4472">
      <c r="A4472" s="2">
        <v>4471.0</v>
      </c>
      <c r="B4472" s="2" t="s">
        <v>7792</v>
      </c>
      <c r="C4472" s="2" t="s">
        <v>23</v>
      </c>
      <c r="N4472" s="6">
        <v>44011.0</v>
      </c>
      <c r="Q4472" s="2" t="s">
        <v>3122</v>
      </c>
    </row>
    <row r="4473">
      <c r="A4473" s="2">
        <v>4472.0</v>
      </c>
      <c r="B4473" s="2" t="s">
        <v>7793</v>
      </c>
      <c r="C4473" s="2" t="s">
        <v>23</v>
      </c>
      <c r="K4473" s="2">
        <v>20.0</v>
      </c>
      <c r="N4473" s="6">
        <v>44574.0</v>
      </c>
      <c r="Q4473" s="2" t="s">
        <v>86</v>
      </c>
    </row>
    <row r="4474">
      <c r="A4474" s="2">
        <v>4473.0</v>
      </c>
      <c r="B4474" s="2" t="s">
        <v>7794</v>
      </c>
      <c r="C4474" s="2" t="s">
        <v>23</v>
      </c>
      <c r="N4474" s="6">
        <v>45465.0</v>
      </c>
      <c r="Q4474" s="2" t="s">
        <v>4759</v>
      </c>
    </row>
    <row r="4475">
      <c r="A4475" s="2">
        <v>4474.0</v>
      </c>
      <c r="B4475" s="2" t="s">
        <v>7795</v>
      </c>
      <c r="C4475" s="2" t="s">
        <v>23</v>
      </c>
      <c r="K4475" s="2">
        <v>10.0</v>
      </c>
      <c r="N4475" s="6">
        <v>44804.0</v>
      </c>
      <c r="Q4475" s="2" t="s">
        <v>1466</v>
      </c>
    </row>
    <row r="4476">
      <c r="A4476" s="2">
        <v>4475.0</v>
      </c>
      <c r="B4476" s="2" t="s">
        <v>7796</v>
      </c>
      <c r="C4476" s="2" t="s">
        <v>23</v>
      </c>
      <c r="K4476" s="2">
        <v>200.0</v>
      </c>
      <c r="N4476" s="6">
        <v>43897.0</v>
      </c>
      <c r="Q4476" s="2" t="s">
        <v>7797</v>
      </c>
    </row>
    <row r="4477">
      <c r="A4477" s="2">
        <v>4476.0</v>
      </c>
      <c r="B4477" s="2" t="s">
        <v>7798</v>
      </c>
      <c r="C4477" s="2" t="s">
        <v>23</v>
      </c>
      <c r="N4477" s="6">
        <v>45475.0</v>
      </c>
      <c r="Q4477" s="2" t="s">
        <v>7799</v>
      </c>
    </row>
    <row r="4478">
      <c r="A4478" s="2">
        <v>4477.0</v>
      </c>
      <c r="B4478" s="2" t="s">
        <v>7800</v>
      </c>
      <c r="C4478" s="2" t="s">
        <v>23</v>
      </c>
      <c r="N4478" s="6">
        <v>43951.0</v>
      </c>
      <c r="Q4478" s="2" t="s">
        <v>86</v>
      </c>
    </row>
    <row r="4479">
      <c r="A4479" s="2">
        <v>4478.0</v>
      </c>
      <c r="B4479" s="2" t="s">
        <v>7801</v>
      </c>
      <c r="C4479" s="2" t="s">
        <v>23</v>
      </c>
      <c r="K4479" s="2">
        <v>10.0</v>
      </c>
      <c r="N4479" s="6">
        <v>43143.0</v>
      </c>
      <c r="Q4479" s="2" t="s">
        <v>175</v>
      </c>
    </row>
    <row r="4480">
      <c r="A4480" s="2">
        <v>4479.0</v>
      </c>
      <c r="B4480" s="2" t="s">
        <v>7802</v>
      </c>
      <c r="C4480" s="2" t="s">
        <v>23</v>
      </c>
      <c r="K4480" s="2">
        <v>1100.0</v>
      </c>
      <c r="N4480" s="6">
        <v>42391.0</v>
      </c>
      <c r="Q4480" s="2" t="s">
        <v>7803</v>
      </c>
    </row>
    <row r="4481">
      <c r="A4481" s="2">
        <v>4480.0</v>
      </c>
      <c r="B4481" s="2" t="s">
        <v>7804</v>
      </c>
      <c r="C4481" s="2" t="s">
        <v>23</v>
      </c>
      <c r="K4481" s="2">
        <v>50.0</v>
      </c>
      <c r="N4481" s="6">
        <v>44486.0</v>
      </c>
      <c r="Q4481" s="2" t="s">
        <v>3558</v>
      </c>
    </row>
    <row r="4482">
      <c r="A4482" s="2">
        <v>4481.0</v>
      </c>
      <c r="B4482" s="2" t="s">
        <v>7805</v>
      </c>
      <c r="C4482" s="2" t="s">
        <v>23</v>
      </c>
      <c r="N4482" s="6">
        <v>43867.0</v>
      </c>
      <c r="Q4482" s="2" t="s">
        <v>86</v>
      </c>
    </row>
    <row r="4483">
      <c r="A4483" s="2">
        <v>4482.0</v>
      </c>
      <c r="B4483" s="2" t="s">
        <v>7806</v>
      </c>
      <c r="C4483" s="2" t="s">
        <v>23</v>
      </c>
      <c r="F4483" s="2">
        <v>0.07</v>
      </c>
      <c r="K4483" s="2">
        <v>200.0</v>
      </c>
      <c r="N4483" s="6">
        <v>42942.0</v>
      </c>
      <c r="Q4483" s="2" t="s">
        <v>7807</v>
      </c>
    </row>
    <row r="4484">
      <c r="A4484" s="2">
        <v>4483.0</v>
      </c>
      <c r="B4484" s="2" t="s">
        <v>7808</v>
      </c>
      <c r="C4484" s="2" t="s">
        <v>23</v>
      </c>
      <c r="K4484" s="2">
        <v>10.0</v>
      </c>
      <c r="N4484" s="6">
        <v>43941.0</v>
      </c>
      <c r="Q4484" s="2" t="s">
        <v>7809</v>
      </c>
    </row>
    <row r="4485">
      <c r="A4485" s="2">
        <v>4484.0</v>
      </c>
      <c r="B4485" s="2" t="s">
        <v>7810</v>
      </c>
      <c r="C4485" s="2" t="s">
        <v>23</v>
      </c>
      <c r="N4485" s="6">
        <v>44570.0</v>
      </c>
      <c r="Q4485" s="2" t="s">
        <v>86</v>
      </c>
    </row>
    <row r="4486">
      <c r="A4486" s="2">
        <v>4485.0</v>
      </c>
      <c r="B4486" s="2" t="s">
        <v>7811</v>
      </c>
      <c r="C4486" s="2" t="s">
        <v>23</v>
      </c>
      <c r="K4486" s="2">
        <v>40.0</v>
      </c>
      <c r="N4486" s="6">
        <v>44133.0</v>
      </c>
      <c r="Q4486" s="2" t="s">
        <v>3548</v>
      </c>
    </row>
    <row r="4487">
      <c r="A4487" s="2">
        <v>4486.0</v>
      </c>
      <c r="B4487" s="2" t="s">
        <v>7812</v>
      </c>
      <c r="C4487" s="2" t="s">
        <v>23</v>
      </c>
      <c r="K4487" s="2">
        <v>20.0</v>
      </c>
      <c r="N4487" s="6">
        <v>45756.0</v>
      </c>
      <c r="Q4487" s="2" t="s">
        <v>7813</v>
      </c>
    </row>
    <row r="4488">
      <c r="A4488" s="2">
        <v>4487.0</v>
      </c>
      <c r="B4488" s="2" t="s">
        <v>7814</v>
      </c>
      <c r="C4488" s="2" t="s">
        <v>23</v>
      </c>
      <c r="K4488" s="2">
        <v>30.0</v>
      </c>
      <c r="N4488" s="6">
        <v>44713.0</v>
      </c>
      <c r="Q4488" s="2" t="s">
        <v>7815</v>
      </c>
    </row>
    <row r="4489">
      <c r="A4489" s="2">
        <v>4488.0</v>
      </c>
      <c r="B4489" s="2" t="s">
        <v>7816</v>
      </c>
      <c r="C4489" s="2" t="s">
        <v>23</v>
      </c>
      <c r="K4489" s="2">
        <v>60.0</v>
      </c>
      <c r="N4489" s="6">
        <v>44477.0</v>
      </c>
      <c r="Q4489" s="2" t="s">
        <v>7817</v>
      </c>
    </row>
    <row r="4490">
      <c r="A4490" s="2">
        <v>4489.0</v>
      </c>
      <c r="B4490" s="2" t="s">
        <v>7818</v>
      </c>
      <c r="C4490" s="2" t="s">
        <v>23</v>
      </c>
      <c r="N4490" s="6">
        <v>44571.0</v>
      </c>
      <c r="Q4490" s="2" t="s">
        <v>86</v>
      </c>
    </row>
    <row r="4491">
      <c r="A4491" s="2">
        <v>4490.0</v>
      </c>
      <c r="B4491" s="2" t="s">
        <v>7819</v>
      </c>
      <c r="C4491" s="2" t="s">
        <v>23</v>
      </c>
      <c r="N4491" s="6">
        <v>44564.0</v>
      </c>
      <c r="Q4491" s="2" t="s">
        <v>86</v>
      </c>
    </row>
    <row r="4492">
      <c r="A4492" s="2">
        <v>4491.0</v>
      </c>
      <c r="B4492" s="2" t="s">
        <v>7820</v>
      </c>
      <c r="C4492" s="2" t="s">
        <v>23</v>
      </c>
      <c r="N4492" s="6">
        <v>44543.0</v>
      </c>
      <c r="Q4492" s="2" t="s">
        <v>86</v>
      </c>
    </row>
    <row r="4493">
      <c r="A4493" s="2">
        <v>4492.0</v>
      </c>
      <c r="B4493" s="2" t="s">
        <v>7821</v>
      </c>
      <c r="C4493" s="2" t="s">
        <v>23</v>
      </c>
      <c r="K4493" s="2">
        <v>20.0</v>
      </c>
      <c r="N4493" s="6">
        <v>44410.0</v>
      </c>
      <c r="Q4493" s="2" t="s">
        <v>7822</v>
      </c>
    </row>
    <row r="4494">
      <c r="A4494" s="2">
        <v>4493.0</v>
      </c>
      <c r="B4494" s="2" t="s">
        <v>7823</v>
      </c>
      <c r="C4494" s="2" t="s">
        <v>23</v>
      </c>
      <c r="N4494" s="6">
        <v>44578.0</v>
      </c>
      <c r="Q4494" s="2" t="s">
        <v>86</v>
      </c>
    </row>
    <row r="4495">
      <c r="A4495" s="2">
        <v>4494.0</v>
      </c>
      <c r="B4495" s="2" t="s">
        <v>7824</v>
      </c>
      <c r="C4495" s="2" t="s">
        <v>23</v>
      </c>
      <c r="N4495" s="6">
        <v>44317.0</v>
      </c>
      <c r="Q4495" s="2" t="s">
        <v>3514</v>
      </c>
    </row>
    <row r="4496">
      <c r="A4496" s="2">
        <v>4495.0</v>
      </c>
      <c r="B4496" s="2" t="s">
        <v>7825</v>
      </c>
      <c r="C4496" s="2" t="s">
        <v>23</v>
      </c>
      <c r="K4496" s="2">
        <v>10.0</v>
      </c>
      <c r="N4496" s="6">
        <v>45104.0</v>
      </c>
      <c r="Q4496" s="2" t="s">
        <v>2573</v>
      </c>
    </row>
    <row r="4497">
      <c r="A4497" s="2">
        <v>4496.0</v>
      </c>
      <c r="B4497" s="2" t="s">
        <v>7826</v>
      </c>
      <c r="C4497" s="2" t="s">
        <v>23</v>
      </c>
      <c r="K4497" s="2">
        <v>10.0</v>
      </c>
      <c r="N4497" s="6">
        <v>43841.0</v>
      </c>
      <c r="Q4497" s="2" t="s">
        <v>86</v>
      </c>
    </row>
    <row r="4498">
      <c r="A4498" s="2">
        <v>4497.0</v>
      </c>
      <c r="B4498" s="2" t="s">
        <v>7827</v>
      </c>
      <c r="C4498" s="2" t="s">
        <v>23</v>
      </c>
      <c r="K4498" s="2">
        <v>10.0</v>
      </c>
      <c r="N4498" s="6">
        <v>44051.0</v>
      </c>
      <c r="Q4498" s="2" t="s">
        <v>1605</v>
      </c>
    </row>
    <row r="4499">
      <c r="A4499" s="2">
        <v>4498.0</v>
      </c>
      <c r="B4499" s="2" t="s">
        <v>7828</v>
      </c>
      <c r="C4499" s="2" t="s">
        <v>23</v>
      </c>
      <c r="K4499" s="2">
        <v>400.0</v>
      </c>
      <c r="N4499" s="6">
        <v>44095.0</v>
      </c>
      <c r="Q4499" s="2" t="s">
        <v>7829</v>
      </c>
    </row>
    <row r="4500">
      <c r="A4500" s="2">
        <v>4499.0</v>
      </c>
      <c r="B4500" s="2" t="s">
        <v>7830</v>
      </c>
      <c r="C4500" s="2" t="s">
        <v>23</v>
      </c>
      <c r="K4500" s="2">
        <v>20.0</v>
      </c>
      <c r="N4500" s="6">
        <v>45251.0</v>
      </c>
      <c r="Q4500" s="2" t="s">
        <v>94</v>
      </c>
    </row>
    <row r="4501">
      <c r="A4501" s="2">
        <v>4500.0</v>
      </c>
      <c r="B4501" s="2" t="s">
        <v>7831</v>
      </c>
      <c r="C4501" s="2" t="s">
        <v>23</v>
      </c>
      <c r="K4501" s="2">
        <v>40.0</v>
      </c>
      <c r="N4501" s="6">
        <v>44422.0</v>
      </c>
      <c r="Q4501" s="2" t="s">
        <v>3290</v>
      </c>
    </row>
    <row r="4502">
      <c r="A4502" s="2">
        <v>4501.0</v>
      </c>
      <c r="B4502" s="2" t="s">
        <v>7832</v>
      </c>
      <c r="C4502" s="2" t="s">
        <v>23</v>
      </c>
      <c r="K4502" s="2">
        <v>20.0</v>
      </c>
      <c r="N4502" s="6">
        <v>45732.0</v>
      </c>
      <c r="Q4502" s="2" t="s">
        <v>3764</v>
      </c>
    </row>
    <row r="4503">
      <c r="A4503" s="2">
        <v>4502.0</v>
      </c>
      <c r="B4503" s="2" t="s">
        <v>7833</v>
      </c>
      <c r="C4503" s="2" t="s">
        <v>23</v>
      </c>
      <c r="N4503" s="6">
        <v>44726.0</v>
      </c>
      <c r="Q4503" s="2" t="s">
        <v>1249</v>
      </c>
    </row>
    <row r="4504">
      <c r="A4504" s="2">
        <v>4503.0</v>
      </c>
      <c r="B4504" s="2" t="s">
        <v>7834</v>
      </c>
      <c r="C4504" s="2" t="s">
        <v>23</v>
      </c>
      <c r="K4504" s="2">
        <v>30.0</v>
      </c>
      <c r="N4504" s="6">
        <v>45515.0</v>
      </c>
      <c r="Q4504" s="2" t="s">
        <v>7835</v>
      </c>
    </row>
    <row r="4505">
      <c r="A4505" s="2">
        <v>4504.0</v>
      </c>
      <c r="B4505" s="2" t="s">
        <v>7836</v>
      </c>
      <c r="C4505" s="2" t="s">
        <v>23</v>
      </c>
      <c r="K4505" s="2">
        <v>20.0</v>
      </c>
      <c r="N4505" s="6">
        <v>44005.0</v>
      </c>
      <c r="Q4505" s="2" t="s">
        <v>86</v>
      </c>
    </row>
    <row r="4506">
      <c r="A4506" s="2">
        <v>4505.0</v>
      </c>
      <c r="B4506" s="2" t="s">
        <v>7837</v>
      </c>
      <c r="C4506" s="2" t="s">
        <v>23</v>
      </c>
      <c r="N4506" s="6">
        <v>43840.0</v>
      </c>
      <c r="Q4506" s="2" t="s">
        <v>86</v>
      </c>
    </row>
    <row r="4507">
      <c r="A4507" s="2">
        <v>4506.0</v>
      </c>
      <c r="B4507" s="2" t="s">
        <v>7838</v>
      </c>
      <c r="C4507" s="2" t="s">
        <v>23</v>
      </c>
      <c r="N4507" s="6">
        <v>45062.0</v>
      </c>
      <c r="Q4507" s="2" t="s">
        <v>1437</v>
      </c>
    </row>
    <row r="4508">
      <c r="A4508" s="2">
        <v>4507.0</v>
      </c>
      <c r="B4508" s="2" t="s">
        <v>7839</v>
      </c>
      <c r="C4508" s="2" t="s">
        <v>23</v>
      </c>
      <c r="K4508" s="2">
        <v>10.0</v>
      </c>
      <c r="N4508" s="6">
        <v>44927.0</v>
      </c>
      <c r="Q4508" s="2" t="s">
        <v>1070</v>
      </c>
    </row>
    <row r="4509">
      <c r="A4509" s="2">
        <v>4508.0</v>
      </c>
      <c r="B4509" s="2" t="s">
        <v>7840</v>
      </c>
      <c r="C4509" s="2" t="s">
        <v>23</v>
      </c>
      <c r="N4509" s="6">
        <v>45253.0</v>
      </c>
      <c r="Q4509" s="2" t="s">
        <v>86</v>
      </c>
    </row>
    <row r="4510">
      <c r="A4510" s="2">
        <v>4509.0</v>
      </c>
      <c r="B4510" s="2" t="s">
        <v>7841</v>
      </c>
      <c r="C4510" s="2" t="s">
        <v>23</v>
      </c>
      <c r="N4510" s="6">
        <v>44612.0</v>
      </c>
      <c r="Q4510" s="2" t="s">
        <v>86</v>
      </c>
    </row>
    <row r="4511">
      <c r="A4511" s="2">
        <v>4510.0</v>
      </c>
      <c r="B4511" s="2" t="s">
        <v>7842</v>
      </c>
      <c r="C4511" s="2" t="s">
        <v>23</v>
      </c>
      <c r="K4511" s="2">
        <v>40.0</v>
      </c>
      <c r="N4511" s="6">
        <v>44150.0</v>
      </c>
      <c r="Q4511" s="2" t="s">
        <v>3082</v>
      </c>
    </row>
    <row r="4512">
      <c r="A4512" s="2">
        <v>4511.0</v>
      </c>
      <c r="B4512" s="2" t="s">
        <v>7843</v>
      </c>
      <c r="C4512" s="2" t="s">
        <v>23</v>
      </c>
      <c r="N4512" s="6">
        <v>44770.0</v>
      </c>
      <c r="Q4512" s="2" t="s">
        <v>7844</v>
      </c>
    </row>
    <row r="4513">
      <c r="A4513" s="2">
        <v>4512.0</v>
      </c>
      <c r="B4513" s="2" t="s">
        <v>7845</v>
      </c>
      <c r="C4513" s="2" t="s">
        <v>23</v>
      </c>
      <c r="K4513" s="2">
        <v>30.0</v>
      </c>
      <c r="N4513" s="6">
        <v>45613.0</v>
      </c>
      <c r="Q4513" s="2" t="s">
        <v>3724</v>
      </c>
    </row>
    <row r="4514">
      <c r="A4514" s="2">
        <v>4513.0</v>
      </c>
      <c r="B4514" s="2" t="s">
        <v>7846</v>
      </c>
      <c r="C4514" s="2" t="s">
        <v>23</v>
      </c>
      <c r="N4514" s="6">
        <v>44122.0</v>
      </c>
      <c r="Q4514" s="2" t="s">
        <v>86</v>
      </c>
    </row>
    <row r="4515">
      <c r="A4515" s="2">
        <v>4514.0</v>
      </c>
      <c r="B4515" s="2" t="s">
        <v>7847</v>
      </c>
      <c r="C4515" s="2" t="s">
        <v>23</v>
      </c>
      <c r="K4515" s="2">
        <v>40.0</v>
      </c>
      <c r="N4515" s="6">
        <v>45643.0</v>
      </c>
      <c r="Q4515" s="2" t="s">
        <v>6426</v>
      </c>
    </row>
    <row r="4516">
      <c r="A4516" s="2">
        <v>4515.0</v>
      </c>
      <c r="B4516" s="2" t="s">
        <v>7848</v>
      </c>
      <c r="C4516" s="2" t="s">
        <v>23</v>
      </c>
      <c r="K4516" s="2">
        <v>10.0</v>
      </c>
      <c r="N4516" s="6">
        <v>44026.0</v>
      </c>
      <c r="Q4516" s="2" t="s">
        <v>7849</v>
      </c>
    </row>
    <row r="4517">
      <c r="A4517" s="2">
        <v>4516.0</v>
      </c>
      <c r="B4517" s="2" t="s">
        <v>7850</v>
      </c>
      <c r="C4517" s="2" t="s">
        <v>23</v>
      </c>
      <c r="K4517" s="2">
        <v>30.0</v>
      </c>
      <c r="N4517" s="6">
        <v>43215.0</v>
      </c>
      <c r="Q4517" s="2" t="s">
        <v>7851</v>
      </c>
    </row>
    <row r="4518">
      <c r="A4518" s="2">
        <v>4517.0</v>
      </c>
      <c r="B4518" s="2" t="s">
        <v>7852</v>
      </c>
      <c r="C4518" s="2" t="s">
        <v>23</v>
      </c>
      <c r="K4518" s="2">
        <v>100.0</v>
      </c>
      <c r="N4518" s="6">
        <v>43969.0</v>
      </c>
      <c r="Q4518" s="2" t="s">
        <v>7853</v>
      </c>
    </row>
    <row r="4519">
      <c r="A4519" s="2">
        <v>4518.0</v>
      </c>
      <c r="B4519" s="2" t="s">
        <v>7854</v>
      </c>
      <c r="C4519" s="2" t="s">
        <v>23</v>
      </c>
      <c r="N4519" s="6">
        <v>44080.0</v>
      </c>
      <c r="Q4519" s="2" t="s">
        <v>86</v>
      </c>
    </row>
    <row r="4520">
      <c r="A4520" s="2">
        <v>4519.0</v>
      </c>
      <c r="B4520" s="2" t="s">
        <v>7855</v>
      </c>
      <c r="C4520" s="2" t="s">
        <v>23</v>
      </c>
      <c r="K4520" s="2">
        <v>90.0</v>
      </c>
      <c r="N4520" s="6">
        <v>44003.0</v>
      </c>
      <c r="Q4520" s="2" t="s">
        <v>7856</v>
      </c>
    </row>
    <row r="4521">
      <c r="A4521" s="2">
        <v>4520.0</v>
      </c>
      <c r="B4521" s="2" t="s">
        <v>7857</v>
      </c>
      <c r="C4521" s="2" t="s">
        <v>23</v>
      </c>
      <c r="N4521" s="6">
        <v>44383.0</v>
      </c>
      <c r="Q4521" s="2" t="s">
        <v>86</v>
      </c>
    </row>
    <row r="4522">
      <c r="A4522" s="2">
        <v>4521.0</v>
      </c>
      <c r="B4522" s="2" t="s">
        <v>7858</v>
      </c>
      <c r="C4522" s="2" t="s">
        <v>23</v>
      </c>
      <c r="K4522" s="2">
        <v>80.0</v>
      </c>
      <c r="N4522" s="6">
        <v>43954.0</v>
      </c>
      <c r="Q4522" s="2" t="s">
        <v>7859</v>
      </c>
    </row>
    <row r="4523">
      <c r="A4523" s="2">
        <v>4522.0</v>
      </c>
      <c r="B4523" s="2" t="s">
        <v>7860</v>
      </c>
      <c r="C4523" s="2" t="s">
        <v>23</v>
      </c>
      <c r="K4523" s="2">
        <v>10.0</v>
      </c>
      <c r="N4523" s="6">
        <v>44899.0</v>
      </c>
      <c r="Q4523" s="2" t="s">
        <v>86</v>
      </c>
    </row>
    <row r="4524">
      <c r="A4524" s="2">
        <v>4523.0</v>
      </c>
      <c r="B4524" s="2" t="s">
        <v>7861</v>
      </c>
      <c r="C4524" s="2" t="s">
        <v>23</v>
      </c>
      <c r="K4524" s="2">
        <v>40.0</v>
      </c>
      <c r="N4524" s="6">
        <v>43878.0</v>
      </c>
      <c r="Q4524" s="2" t="s">
        <v>7862</v>
      </c>
    </row>
    <row r="4525">
      <c r="A4525" s="2">
        <v>4524.0</v>
      </c>
      <c r="B4525" s="2" t="s">
        <v>7863</v>
      </c>
      <c r="C4525" s="2" t="s">
        <v>23</v>
      </c>
      <c r="K4525" s="2">
        <v>50.0</v>
      </c>
      <c r="N4525" s="6">
        <v>44253.0</v>
      </c>
      <c r="Q4525" s="2" t="s">
        <v>86</v>
      </c>
    </row>
    <row r="4526">
      <c r="A4526" s="2">
        <v>4525.0</v>
      </c>
      <c r="B4526" s="2" t="s">
        <v>7864</v>
      </c>
      <c r="C4526" s="2" t="s">
        <v>23</v>
      </c>
      <c r="K4526" s="2">
        <v>40.0</v>
      </c>
      <c r="N4526" s="6">
        <v>43902.0</v>
      </c>
      <c r="Q4526" s="2" t="s">
        <v>86</v>
      </c>
    </row>
    <row r="4527">
      <c r="A4527" s="2">
        <v>4526.0</v>
      </c>
      <c r="B4527" s="2" t="s">
        <v>7865</v>
      </c>
      <c r="C4527" s="2" t="s">
        <v>23</v>
      </c>
      <c r="K4527" s="2">
        <v>100.0</v>
      </c>
      <c r="N4527" s="6">
        <v>43987.0</v>
      </c>
      <c r="Q4527" s="2" t="s">
        <v>7866</v>
      </c>
    </row>
    <row r="4528">
      <c r="A4528" s="2">
        <v>4527.0</v>
      </c>
      <c r="B4528" s="2" t="s">
        <v>7867</v>
      </c>
      <c r="C4528" s="2" t="s">
        <v>23</v>
      </c>
      <c r="N4528" s="6">
        <v>44685.0</v>
      </c>
      <c r="Q4528" s="2" t="s">
        <v>86</v>
      </c>
    </row>
    <row r="4529">
      <c r="A4529" s="2">
        <v>4528.0</v>
      </c>
      <c r="B4529" s="2" t="s">
        <v>7868</v>
      </c>
      <c r="C4529" s="2" t="s">
        <v>23</v>
      </c>
      <c r="N4529" s="6">
        <v>45547.0</v>
      </c>
      <c r="Q4529" s="2" t="s">
        <v>2782</v>
      </c>
    </row>
    <row r="4530">
      <c r="A4530" s="2">
        <v>4529.0</v>
      </c>
      <c r="B4530" s="2" t="s">
        <v>7869</v>
      </c>
      <c r="C4530" s="2" t="s">
        <v>23</v>
      </c>
      <c r="N4530" s="6">
        <v>44490.0</v>
      </c>
      <c r="Q4530" s="2" t="s">
        <v>1958</v>
      </c>
    </row>
    <row r="4531">
      <c r="A4531" s="2">
        <v>4530.0</v>
      </c>
      <c r="B4531" s="2" t="s">
        <v>7870</v>
      </c>
      <c r="C4531" s="2" t="s">
        <v>23</v>
      </c>
      <c r="N4531" s="6">
        <v>43901.0</v>
      </c>
      <c r="Q4531" s="2" t="s">
        <v>86</v>
      </c>
    </row>
    <row r="4532">
      <c r="A4532" s="2">
        <v>4531.0</v>
      </c>
      <c r="B4532" s="2" t="s">
        <v>7871</v>
      </c>
      <c r="C4532" s="2" t="s">
        <v>23</v>
      </c>
      <c r="K4532" s="2">
        <v>10.0</v>
      </c>
      <c r="N4532" s="6">
        <v>44682.0</v>
      </c>
      <c r="Q4532" s="2" t="s">
        <v>1156</v>
      </c>
    </row>
    <row r="4533">
      <c r="A4533" s="2">
        <v>4532.0</v>
      </c>
      <c r="B4533" s="2" t="s">
        <v>7872</v>
      </c>
      <c r="C4533" s="2" t="s">
        <v>23</v>
      </c>
      <c r="N4533" s="6">
        <v>44381.0</v>
      </c>
      <c r="Q4533" s="2" t="s">
        <v>1466</v>
      </c>
    </row>
    <row r="4534">
      <c r="A4534" s="2">
        <v>4533.0</v>
      </c>
      <c r="B4534" s="2" t="s">
        <v>7873</v>
      </c>
      <c r="C4534" s="2" t="s">
        <v>23</v>
      </c>
      <c r="K4534" s="2">
        <v>20.0</v>
      </c>
      <c r="N4534" s="6">
        <v>44123.0</v>
      </c>
      <c r="Q4534" s="2" t="s">
        <v>86</v>
      </c>
    </row>
    <row r="4535">
      <c r="A4535" s="2">
        <v>4534.0</v>
      </c>
      <c r="B4535" s="2" t="s">
        <v>7874</v>
      </c>
      <c r="C4535" s="2" t="s">
        <v>23</v>
      </c>
      <c r="K4535" s="2">
        <v>10.0</v>
      </c>
      <c r="N4535" s="6">
        <v>43843.0</v>
      </c>
      <c r="Q4535" s="2" t="s">
        <v>3882</v>
      </c>
    </row>
    <row r="4536">
      <c r="A4536" s="2">
        <v>4535.0</v>
      </c>
      <c r="B4536" s="2" t="s">
        <v>7875</v>
      </c>
      <c r="C4536" s="2" t="s">
        <v>23</v>
      </c>
      <c r="N4536" s="6">
        <v>44559.0</v>
      </c>
      <c r="Q4536" s="2" t="s">
        <v>86</v>
      </c>
    </row>
    <row r="4537">
      <c r="A4537" s="2">
        <v>4536.0</v>
      </c>
      <c r="B4537" s="2" t="s">
        <v>7876</v>
      </c>
      <c r="C4537" s="2" t="s">
        <v>23</v>
      </c>
      <c r="K4537" s="2">
        <v>90.0</v>
      </c>
      <c r="N4537" s="6">
        <v>42914.0</v>
      </c>
      <c r="Q4537" s="2" t="s">
        <v>7877</v>
      </c>
    </row>
    <row r="4538">
      <c r="A4538" s="2">
        <v>4537.0</v>
      </c>
      <c r="B4538" s="2" t="s">
        <v>7878</v>
      </c>
      <c r="C4538" s="2" t="s">
        <v>23</v>
      </c>
      <c r="K4538" s="2">
        <v>30.0</v>
      </c>
      <c r="N4538" s="6">
        <v>44245.0</v>
      </c>
      <c r="Q4538" s="2" t="s">
        <v>7879</v>
      </c>
    </row>
    <row r="4539">
      <c r="A4539" s="2">
        <v>4538.0</v>
      </c>
      <c r="B4539" s="2" t="s">
        <v>7880</v>
      </c>
      <c r="C4539" s="2" t="s">
        <v>23</v>
      </c>
      <c r="N4539" s="6">
        <v>44027.0</v>
      </c>
      <c r="Q4539" s="2" t="s">
        <v>86</v>
      </c>
    </row>
    <row r="4540">
      <c r="A4540" s="2">
        <v>4539.0</v>
      </c>
      <c r="B4540" s="2" t="s">
        <v>7881</v>
      </c>
      <c r="C4540" s="2" t="s">
        <v>23</v>
      </c>
      <c r="N4540" s="6">
        <v>45613.0</v>
      </c>
      <c r="Q4540" s="2" t="s">
        <v>7882</v>
      </c>
    </row>
    <row r="4541">
      <c r="A4541" s="2">
        <v>4540.0</v>
      </c>
      <c r="B4541" s="2" t="s">
        <v>7883</v>
      </c>
      <c r="C4541" s="2" t="s">
        <v>23</v>
      </c>
      <c r="N4541" s="6">
        <v>43558.0</v>
      </c>
      <c r="Q4541" s="2" t="s">
        <v>86</v>
      </c>
    </row>
    <row r="4542">
      <c r="A4542" s="2">
        <v>4541.0</v>
      </c>
      <c r="B4542" s="2" t="s">
        <v>7884</v>
      </c>
      <c r="C4542" s="2" t="s">
        <v>23</v>
      </c>
      <c r="N4542" s="6">
        <v>44123.0</v>
      </c>
      <c r="Q4542" s="2" t="s">
        <v>86</v>
      </c>
    </row>
    <row r="4543">
      <c r="A4543" s="2">
        <v>4542.0</v>
      </c>
      <c r="B4543" s="2" t="s">
        <v>7885</v>
      </c>
      <c r="C4543" s="2" t="s">
        <v>23</v>
      </c>
      <c r="N4543" s="6">
        <v>44680.0</v>
      </c>
      <c r="Q4543" s="2" t="s">
        <v>86</v>
      </c>
    </row>
    <row r="4544">
      <c r="A4544" s="2">
        <v>4543.0</v>
      </c>
      <c r="B4544" s="2" t="s">
        <v>7886</v>
      </c>
      <c r="C4544" s="2" t="s">
        <v>23</v>
      </c>
      <c r="N4544" s="6">
        <v>44501.0</v>
      </c>
      <c r="Q4544" s="2" t="s">
        <v>86</v>
      </c>
    </row>
    <row r="4545">
      <c r="A4545" s="2">
        <v>4544.0</v>
      </c>
      <c r="B4545" s="2" t="s">
        <v>7887</v>
      </c>
      <c r="C4545" s="2" t="s">
        <v>23</v>
      </c>
      <c r="K4545" s="2">
        <v>10.0</v>
      </c>
      <c r="N4545" s="6">
        <v>43944.0</v>
      </c>
      <c r="Q4545" s="2" t="s">
        <v>7888</v>
      </c>
    </row>
    <row r="4546">
      <c r="A4546" s="2">
        <v>4545.0</v>
      </c>
      <c r="B4546" s="2" t="s">
        <v>7889</v>
      </c>
      <c r="C4546" s="2" t="s">
        <v>23</v>
      </c>
      <c r="K4546" s="2">
        <v>80.0</v>
      </c>
      <c r="N4546" s="6">
        <v>44802.0</v>
      </c>
      <c r="Q4546" s="2" t="s">
        <v>2248</v>
      </c>
    </row>
    <row r="4547">
      <c r="A4547" s="2">
        <v>4546.0</v>
      </c>
      <c r="B4547" s="2" t="s">
        <v>7890</v>
      </c>
      <c r="C4547" s="2" t="s">
        <v>23</v>
      </c>
      <c r="K4547" s="2">
        <v>20.0</v>
      </c>
      <c r="N4547" s="6">
        <v>43608.0</v>
      </c>
      <c r="Q4547" s="2" t="s">
        <v>7891</v>
      </c>
    </row>
    <row r="4548">
      <c r="A4548" s="2">
        <v>4547.0</v>
      </c>
      <c r="B4548" s="2" t="s">
        <v>7892</v>
      </c>
      <c r="C4548" s="2" t="s">
        <v>23</v>
      </c>
      <c r="K4548" s="2">
        <v>50.0</v>
      </c>
      <c r="N4548" s="6">
        <v>44056.0</v>
      </c>
      <c r="Q4548" s="2" t="s">
        <v>7893</v>
      </c>
    </row>
    <row r="4549">
      <c r="A4549" s="2">
        <v>4548.0</v>
      </c>
      <c r="B4549" s="2" t="s">
        <v>7894</v>
      </c>
      <c r="C4549" s="2" t="s">
        <v>23</v>
      </c>
      <c r="K4549" s="2">
        <v>50.0</v>
      </c>
      <c r="N4549" s="6">
        <v>45792.0</v>
      </c>
      <c r="Q4549" s="2" t="s">
        <v>7895</v>
      </c>
    </row>
    <row r="4550">
      <c r="A4550" s="2">
        <v>4549.0</v>
      </c>
      <c r="B4550" s="2" t="s">
        <v>7896</v>
      </c>
      <c r="C4550" s="2" t="s">
        <v>23</v>
      </c>
      <c r="N4550" s="6">
        <v>44585.0</v>
      </c>
      <c r="Q4550" s="2" t="s">
        <v>86</v>
      </c>
    </row>
    <row r="4551">
      <c r="A4551" s="2">
        <v>4550.0</v>
      </c>
      <c r="B4551" s="2" t="s">
        <v>7897</v>
      </c>
      <c r="C4551" s="2" t="s">
        <v>23</v>
      </c>
      <c r="K4551" s="2">
        <v>70.0</v>
      </c>
      <c r="N4551" s="6">
        <v>45823.0</v>
      </c>
      <c r="Q4551" s="2" t="s">
        <v>7898</v>
      </c>
    </row>
    <row r="4552">
      <c r="A4552" s="2">
        <v>4551.0</v>
      </c>
      <c r="B4552" s="2" t="s">
        <v>7899</v>
      </c>
      <c r="C4552" s="2" t="s">
        <v>23</v>
      </c>
      <c r="K4552" s="2">
        <v>60.0</v>
      </c>
      <c r="N4552" s="6">
        <v>45554.0</v>
      </c>
      <c r="Q4552" s="2" t="s">
        <v>7900</v>
      </c>
    </row>
    <row r="4553">
      <c r="A4553" s="2">
        <v>4552.0</v>
      </c>
      <c r="B4553" s="2" t="s">
        <v>7901</v>
      </c>
      <c r="C4553" s="2" t="s">
        <v>23</v>
      </c>
      <c r="K4553" s="2">
        <v>30.0</v>
      </c>
      <c r="N4553" s="6">
        <v>44855.0</v>
      </c>
      <c r="Q4553" s="2" t="s">
        <v>1466</v>
      </c>
    </row>
    <row r="4554">
      <c r="A4554" s="2">
        <v>4553.0</v>
      </c>
      <c r="B4554" s="2" t="s">
        <v>7902</v>
      </c>
      <c r="C4554" s="2" t="s">
        <v>23</v>
      </c>
      <c r="N4554" s="6">
        <v>44546.0</v>
      </c>
      <c r="Q4554" s="2" t="s">
        <v>86</v>
      </c>
    </row>
    <row r="4555">
      <c r="A4555" s="2">
        <v>4554.0</v>
      </c>
      <c r="B4555" s="2" t="s">
        <v>7903</v>
      </c>
      <c r="C4555" s="2" t="s">
        <v>23</v>
      </c>
      <c r="K4555" s="2">
        <v>60.0</v>
      </c>
      <c r="N4555" s="6">
        <v>44279.0</v>
      </c>
      <c r="Q4555" s="2" t="s">
        <v>7904</v>
      </c>
    </row>
    <row r="4556">
      <c r="A4556" s="2">
        <v>4555.0</v>
      </c>
      <c r="B4556" s="2" t="s">
        <v>7905</v>
      </c>
      <c r="C4556" s="2" t="s">
        <v>23</v>
      </c>
      <c r="K4556" s="2">
        <v>30.0</v>
      </c>
      <c r="N4556" s="6">
        <v>44591.0</v>
      </c>
      <c r="Q4556" s="2" t="s">
        <v>7906</v>
      </c>
    </row>
    <row r="4557">
      <c r="A4557" s="2">
        <v>4556.0</v>
      </c>
      <c r="B4557" s="2" t="s">
        <v>7907</v>
      </c>
      <c r="C4557" s="2" t="s">
        <v>23</v>
      </c>
      <c r="K4557" s="2">
        <v>150.0</v>
      </c>
      <c r="N4557" s="6">
        <v>44218.0</v>
      </c>
      <c r="Q4557" s="2" t="s">
        <v>89</v>
      </c>
    </row>
    <row r="4558">
      <c r="A4558" s="2">
        <v>4557.0</v>
      </c>
      <c r="B4558" s="2" t="s">
        <v>7908</v>
      </c>
      <c r="C4558" s="2" t="s">
        <v>23</v>
      </c>
      <c r="N4558" s="6">
        <v>42481.0</v>
      </c>
      <c r="Q4558" s="2" t="s">
        <v>86</v>
      </c>
    </row>
    <row r="4559">
      <c r="A4559" s="2">
        <v>4558.0</v>
      </c>
      <c r="B4559" s="2" t="s">
        <v>7909</v>
      </c>
      <c r="C4559" s="2" t="s">
        <v>23</v>
      </c>
      <c r="K4559" s="2">
        <v>20.0</v>
      </c>
      <c r="N4559" s="6">
        <v>44923.0</v>
      </c>
      <c r="Q4559" s="2" t="s">
        <v>4291</v>
      </c>
    </row>
    <row r="4560">
      <c r="A4560" s="2">
        <v>4559.0</v>
      </c>
      <c r="B4560" s="2" t="s">
        <v>7910</v>
      </c>
      <c r="C4560" s="2" t="s">
        <v>23</v>
      </c>
      <c r="K4560" s="2">
        <v>30.0</v>
      </c>
      <c r="N4560" s="6">
        <v>44645.0</v>
      </c>
      <c r="Q4560" s="2" t="s">
        <v>3218</v>
      </c>
    </row>
    <row r="4561">
      <c r="A4561" s="2">
        <v>4560.0</v>
      </c>
      <c r="B4561" s="2" t="s">
        <v>7911</v>
      </c>
      <c r="C4561" s="2" t="s">
        <v>23</v>
      </c>
      <c r="K4561" s="2">
        <v>20.0</v>
      </c>
      <c r="N4561" s="6">
        <v>44068.0</v>
      </c>
      <c r="Q4561" s="2" t="s">
        <v>401</v>
      </c>
    </row>
    <row r="4562">
      <c r="A4562" s="2">
        <v>4561.0</v>
      </c>
      <c r="B4562" s="2" t="s">
        <v>7912</v>
      </c>
      <c r="C4562" s="2" t="s">
        <v>23</v>
      </c>
      <c r="K4562" s="2">
        <v>70.0</v>
      </c>
      <c r="N4562" s="6">
        <v>45516.0</v>
      </c>
      <c r="Q4562" s="2" t="s">
        <v>7913</v>
      </c>
    </row>
    <row r="4563">
      <c r="A4563" s="2">
        <v>4562.0</v>
      </c>
      <c r="B4563" s="2" t="s">
        <v>254</v>
      </c>
      <c r="C4563" s="2" t="s">
        <v>23</v>
      </c>
      <c r="K4563" s="2">
        <v>350.0</v>
      </c>
      <c r="N4563" s="6">
        <v>44621.0</v>
      </c>
      <c r="Q4563" s="2" t="s">
        <v>257</v>
      </c>
    </row>
    <row r="4564">
      <c r="A4564" s="2">
        <v>4563.0</v>
      </c>
      <c r="B4564" s="2" t="s">
        <v>7914</v>
      </c>
      <c r="C4564" s="2" t="s">
        <v>23</v>
      </c>
      <c r="K4564" s="2">
        <v>50.0</v>
      </c>
      <c r="N4564" s="6">
        <v>45302.0</v>
      </c>
      <c r="Q4564" s="2" t="s">
        <v>86</v>
      </c>
    </row>
    <row r="4565">
      <c r="A4565" s="2">
        <v>4564.0</v>
      </c>
      <c r="B4565" s="2" t="s">
        <v>7915</v>
      </c>
      <c r="C4565" s="2" t="s">
        <v>23</v>
      </c>
      <c r="K4565" s="2">
        <v>40.0</v>
      </c>
      <c r="N4565" s="6">
        <v>45384.0</v>
      </c>
      <c r="Q4565" s="2" t="s">
        <v>7916</v>
      </c>
    </row>
    <row r="4566">
      <c r="A4566" s="2">
        <v>4565.0</v>
      </c>
      <c r="B4566" s="2" t="s">
        <v>7917</v>
      </c>
      <c r="C4566" s="2" t="s">
        <v>23</v>
      </c>
      <c r="K4566" s="2">
        <v>90.0</v>
      </c>
      <c r="N4566" s="6">
        <v>44122.0</v>
      </c>
      <c r="Q4566" s="2" t="s">
        <v>7918</v>
      </c>
    </row>
    <row r="4567">
      <c r="A4567" s="2">
        <v>4566.0</v>
      </c>
      <c r="B4567" s="2" t="s">
        <v>7919</v>
      </c>
      <c r="C4567" s="2" t="s">
        <v>23</v>
      </c>
      <c r="K4567" s="2">
        <v>100.0</v>
      </c>
      <c r="N4567" s="6">
        <v>44130.0</v>
      </c>
      <c r="Q4567" s="2" t="s">
        <v>7920</v>
      </c>
    </row>
    <row r="4568">
      <c r="A4568" s="2">
        <v>4567.0</v>
      </c>
      <c r="B4568" s="2" t="s">
        <v>7921</v>
      </c>
      <c r="C4568" s="2" t="s">
        <v>23</v>
      </c>
      <c r="N4568" s="6">
        <v>44004.0</v>
      </c>
      <c r="Q4568" s="2" t="s">
        <v>2604</v>
      </c>
    </row>
    <row r="4569">
      <c r="A4569" s="2">
        <v>4568.0</v>
      </c>
      <c r="B4569" s="2" t="s">
        <v>7922</v>
      </c>
      <c r="C4569" s="2" t="s">
        <v>23</v>
      </c>
      <c r="K4569" s="2">
        <v>10.0</v>
      </c>
      <c r="N4569" s="6">
        <v>44502.0</v>
      </c>
      <c r="Q4569" s="2" t="s">
        <v>3896</v>
      </c>
    </row>
    <row r="4570">
      <c r="A4570" s="2">
        <v>4569.0</v>
      </c>
      <c r="B4570" s="2" t="s">
        <v>7923</v>
      </c>
      <c r="C4570" s="2" t="s">
        <v>23</v>
      </c>
      <c r="K4570" s="2">
        <v>80.0</v>
      </c>
      <c r="N4570" s="6">
        <v>44138.0</v>
      </c>
      <c r="Q4570" s="2" t="s">
        <v>7924</v>
      </c>
    </row>
    <row r="4571">
      <c r="A4571" s="2">
        <v>4570.0</v>
      </c>
      <c r="B4571" s="2" t="s">
        <v>7925</v>
      </c>
      <c r="C4571" s="2" t="s">
        <v>23</v>
      </c>
      <c r="K4571" s="2">
        <v>100.0</v>
      </c>
      <c r="N4571" s="6">
        <v>45709.0</v>
      </c>
      <c r="Q4571" s="2" t="s">
        <v>6467</v>
      </c>
    </row>
    <row r="4572">
      <c r="A4572" s="2">
        <v>4571.0</v>
      </c>
      <c r="B4572" s="2" t="s">
        <v>7926</v>
      </c>
      <c r="C4572" s="2" t="s">
        <v>23</v>
      </c>
      <c r="K4572" s="2">
        <v>30.0</v>
      </c>
      <c r="N4572" s="6">
        <v>43856.0</v>
      </c>
      <c r="Q4572" s="2" t="s">
        <v>1249</v>
      </c>
    </row>
    <row r="4573">
      <c r="A4573" s="2">
        <v>4572.0</v>
      </c>
      <c r="B4573" s="2" t="s">
        <v>7927</v>
      </c>
      <c r="C4573" s="2" t="s">
        <v>23</v>
      </c>
      <c r="K4573" s="2">
        <v>20.0</v>
      </c>
      <c r="N4573" s="6">
        <v>43960.0</v>
      </c>
      <c r="Q4573" s="2" t="s">
        <v>2869</v>
      </c>
    </row>
    <row r="4574">
      <c r="A4574" s="2">
        <v>4573.0</v>
      </c>
      <c r="B4574" s="2" t="s">
        <v>7928</v>
      </c>
      <c r="C4574" s="2" t="s">
        <v>23</v>
      </c>
      <c r="K4574" s="2">
        <v>100.0</v>
      </c>
      <c r="N4574" s="6">
        <v>43845.0</v>
      </c>
      <c r="Q4574" s="2" t="s">
        <v>7929</v>
      </c>
    </row>
    <row r="4575">
      <c r="A4575" s="2">
        <v>4574.0</v>
      </c>
      <c r="B4575" s="2" t="s">
        <v>7930</v>
      </c>
      <c r="C4575" s="2" t="s">
        <v>23</v>
      </c>
      <c r="K4575" s="2">
        <v>60.0</v>
      </c>
      <c r="N4575" s="6">
        <v>45623.0</v>
      </c>
      <c r="Q4575" s="2" t="s">
        <v>7931</v>
      </c>
    </row>
    <row r="4576">
      <c r="A4576" s="2">
        <v>4575.0</v>
      </c>
      <c r="B4576" s="2" t="s">
        <v>7932</v>
      </c>
      <c r="C4576" s="2" t="s">
        <v>23</v>
      </c>
      <c r="N4576" s="6">
        <v>45868.0</v>
      </c>
      <c r="Q4576" s="2" t="s">
        <v>7933</v>
      </c>
    </row>
    <row r="4577">
      <c r="A4577" s="2">
        <v>4576.0</v>
      </c>
      <c r="B4577" s="2" t="s">
        <v>7934</v>
      </c>
      <c r="C4577" s="2" t="s">
        <v>23</v>
      </c>
      <c r="N4577" s="6">
        <v>44718.0</v>
      </c>
      <c r="Q4577" s="2" t="s">
        <v>86</v>
      </c>
    </row>
    <row r="4578">
      <c r="A4578" s="2">
        <v>4577.0</v>
      </c>
      <c r="B4578" s="2" t="s">
        <v>7935</v>
      </c>
      <c r="C4578" s="2" t="s">
        <v>23</v>
      </c>
      <c r="K4578" s="2">
        <v>80.0</v>
      </c>
      <c r="N4578" s="6">
        <v>45220.0</v>
      </c>
      <c r="Q4578" s="2" t="s">
        <v>7936</v>
      </c>
    </row>
    <row r="4579">
      <c r="A4579" s="2">
        <v>4578.0</v>
      </c>
      <c r="B4579" s="2" t="s">
        <v>7937</v>
      </c>
      <c r="C4579" s="2" t="s">
        <v>23</v>
      </c>
      <c r="K4579" s="2">
        <v>20.0</v>
      </c>
      <c r="N4579" s="6">
        <v>44304.0</v>
      </c>
      <c r="Q4579" s="2" t="s">
        <v>7938</v>
      </c>
    </row>
    <row r="4580">
      <c r="A4580" s="2">
        <v>4579.0</v>
      </c>
      <c r="B4580" s="2" t="s">
        <v>7939</v>
      </c>
      <c r="C4580" s="2" t="s">
        <v>23</v>
      </c>
      <c r="K4580" s="2">
        <v>20.0</v>
      </c>
      <c r="N4580" s="6">
        <v>44613.0</v>
      </c>
      <c r="Q4580" s="2" t="s">
        <v>200</v>
      </c>
    </row>
    <row r="4581">
      <c r="A4581" s="2">
        <v>4580.0</v>
      </c>
      <c r="B4581" s="2" t="s">
        <v>7940</v>
      </c>
      <c r="C4581" s="2" t="s">
        <v>23</v>
      </c>
      <c r="K4581" s="2">
        <v>90.0</v>
      </c>
      <c r="N4581" s="6">
        <v>45946.0</v>
      </c>
      <c r="Q4581" s="2" t="s">
        <v>7941</v>
      </c>
    </row>
    <row r="4582">
      <c r="A4582" s="2">
        <v>4581.0</v>
      </c>
      <c r="B4582" s="2" t="s">
        <v>7942</v>
      </c>
      <c r="C4582" s="2" t="s">
        <v>23</v>
      </c>
      <c r="K4582" s="2">
        <v>20.0</v>
      </c>
      <c r="N4582" s="6">
        <v>45436.0</v>
      </c>
      <c r="Q4582" s="2" t="s">
        <v>6273</v>
      </c>
    </row>
    <row r="4583">
      <c r="A4583" s="2">
        <v>4582.0</v>
      </c>
      <c r="B4583" s="2" t="s">
        <v>7943</v>
      </c>
      <c r="C4583" s="2" t="s">
        <v>23</v>
      </c>
      <c r="N4583" s="6">
        <v>44501.0</v>
      </c>
      <c r="Q4583" s="2" t="s">
        <v>86</v>
      </c>
    </row>
    <row r="4584">
      <c r="A4584" s="2">
        <v>4583.0</v>
      </c>
      <c r="B4584" s="2" t="s">
        <v>7944</v>
      </c>
      <c r="C4584" s="2" t="s">
        <v>23</v>
      </c>
      <c r="N4584" s="6">
        <v>45209.0</v>
      </c>
      <c r="Q4584" s="2" t="s">
        <v>86</v>
      </c>
    </row>
    <row r="4585">
      <c r="A4585" s="2">
        <v>4584.0</v>
      </c>
      <c r="B4585" s="2" t="s">
        <v>7945</v>
      </c>
      <c r="C4585" s="2" t="s">
        <v>23</v>
      </c>
      <c r="K4585" s="2">
        <v>150.0</v>
      </c>
      <c r="N4585" s="6">
        <v>45328.0</v>
      </c>
      <c r="Q4585" s="2" t="s">
        <v>2362</v>
      </c>
    </row>
    <row r="4586">
      <c r="A4586" s="2">
        <v>4585.0</v>
      </c>
      <c r="B4586" s="2" t="s">
        <v>7946</v>
      </c>
      <c r="C4586" s="2" t="s">
        <v>23</v>
      </c>
      <c r="N4586" s="6">
        <v>44627.0</v>
      </c>
      <c r="Q4586" s="2" t="s">
        <v>86</v>
      </c>
    </row>
    <row r="4587">
      <c r="A4587" s="2">
        <v>4586.0</v>
      </c>
      <c r="B4587" s="2" t="s">
        <v>7947</v>
      </c>
      <c r="C4587" s="2" t="s">
        <v>23</v>
      </c>
      <c r="K4587" s="2">
        <v>100.0</v>
      </c>
      <c r="N4587" s="6">
        <v>45737.0</v>
      </c>
      <c r="Q4587" s="2" t="s">
        <v>2840</v>
      </c>
    </row>
    <row r="4588">
      <c r="A4588" s="2">
        <v>4587.0</v>
      </c>
      <c r="B4588" s="2" t="s">
        <v>7948</v>
      </c>
      <c r="C4588" s="2" t="s">
        <v>23</v>
      </c>
      <c r="N4588" s="6">
        <v>44322.0</v>
      </c>
      <c r="Q4588" s="2" t="s">
        <v>86</v>
      </c>
    </row>
    <row r="4589">
      <c r="A4589" s="2">
        <v>4588.0</v>
      </c>
      <c r="B4589" s="2" t="s">
        <v>7949</v>
      </c>
      <c r="C4589" s="2" t="s">
        <v>23</v>
      </c>
      <c r="K4589" s="2">
        <v>10.0</v>
      </c>
      <c r="N4589" s="6">
        <v>45153.0</v>
      </c>
      <c r="Q4589" s="2" t="s">
        <v>86</v>
      </c>
    </row>
    <row r="4590">
      <c r="A4590" s="2">
        <v>4589.0</v>
      </c>
      <c r="B4590" s="2" t="s">
        <v>7950</v>
      </c>
      <c r="C4590" s="2" t="s">
        <v>23</v>
      </c>
      <c r="N4590" s="6">
        <v>43876.0</v>
      </c>
      <c r="Q4590" s="2" t="s">
        <v>7951</v>
      </c>
    </row>
    <row r="4591">
      <c r="A4591" s="2">
        <v>4590.0</v>
      </c>
      <c r="B4591" s="2" t="s">
        <v>7952</v>
      </c>
      <c r="C4591" s="2" t="s">
        <v>23</v>
      </c>
      <c r="K4591" s="2">
        <v>20.0</v>
      </c>
      <c r="N4591" s="6">
        <v>46041.0</v>
      </c>
      <c r="Q4591" s="2" t="s">
        <v>7953</v>
      </c>
    </row>
    <row r="4592">
      <c r="A4592" s="2">
        <v>4591.0</v>
      </c>
      <c r="B4592" s="2" t="s">
        <v>7954</v>
      </c>
      <c r="C4592" s="2" t="s">
        <v>23</v>
      </c>
      <c r="K4592" s="2">
        <v>500.0</v>
      </c>
      <c r="N4592" s="6">
        <v>42254.0</v>
      </c>
      <c r="Q4592" s="2" t="s">
        <v>7955</v>
      </c>
    </row>
    <row r="4593">
      <c r="A4593" s="2">
        <v>4592.0</v>
      </c>
      <c r="B4593" s="2" t="s">
        <v>7956</v>
      </c>
      <c r="C4593" s="2" t="s">
        <v>23</v>
      </c>
      <c r="K4593" s="2">
        <v>50.0</v>
      </c>
      <c r="N4593" s="6">
        <v>44544.0</v>
      </c>
      <c r="Q4593" s="2" t="s">
        <v>2583</v>
      </c>
    </row>
    <row r="4594">
      <c r="A4594" s="2">
        <v>4593.0</v>
      </c>
      <c r="B4594" s="2" t="s">
        <v>7957</v>
      </c>
      <c r="C4594" s="2" t="s">
        <v>23</v>
      </c>
      <c r="N4594" s="6">
        <v>44373.0</v>
      </c>
      <c r="Q4594" s="2" t="s">
        <v>86</v>
      </c>
    </row>
    <row r="4595">
      <c r="A4595" s="2">
        <v>4594.0</v>
      </c>
      <c r="B4595" s="2" t="s">
        <v>7958</v>
      </c>
      <c r="C4595" s="2" t="s">
        <v>23</v>
      </c>
      <c r="K4595" s="2">
        <v>70.0</v>
      </c>
      <c r="N4595" s="6">
        <v>44111.0</v>
      </c>
      <c r="Q4595" s="2" t="s">
        <v>7959</v>
      </c>
    </row>
    <row r="4596">
      <c r="A4596" s="2">
        <v>4595.0</v>
      </c>
      <c r="B4596" s="2" t="s">
        <v>7960</v>
      </c>
      <c r="C4596" s="2" t="s">
        <v>23</v>
      </c>
      <c r="K4596" s="2">
        <v>70.0</v>
      </c>
      <c r="N4596" s="6">
        <v>42431.0</v>
      </c>
      <c r="Q4596" s="2" t="s">
        <v>7961</v>
      </c>
    </row>
    <row r="4597">
      <c r="A4597" s="2">
        <v>4596.0</v>
      </c>
      <c r="B4597" s="2" t="s">
        <v>7962</v>
      </c>
      <c r="C4597" s="2" t="s">
        <v>23</v>
      </c>
      <c r="K4597" s="2">
        <v>10.0</v>
      </c>
      <c r="N4597" s="6">
        <v>44607.0</v>
      </c>
      <c r="Q4597" s="2" t="s">
        <v>1249</v>
      </c>
    </row>
    <row r="4598">
      <c r="A4598" s="2">
        <v>4597.0</v>
      </c>
      <c r="B4598" s="2" t="s">
        <v>7963</v>
      </c>
      <c r="C4598" s="2" t="s">
        <v>23</v>
      </c>
      <c r="K4598" s="2">
        <v>60.0</v>
      </c>
      <c r="N4598" s="6">
        <v>42282.0</v>
      </c>
      <c r="Q4598" s="2" t="s">
        <v>7964</v>
      </c>
    </row>
    <row r="4599">
      <c r="A4599" s="2">
        <v>4598.0</v>
      </c>
      <c r="B4599" s="2" t="s">
        <v>7965</v>
      </c>
      <c r="C4599" s="2" t="s">
        <v>23</v>
      </c>
      <c r="K4599" s="2">
        <v>20.0</v>
      </c>
      <c r="N4599" s="6">
        <v>43895.0</v>
      </c>
      <c r="Q4599" s="2" t="s">
        <v>1156</v>
      </c>
    </row>
    <row r="4600">
      <c r="A4600" s="2">
        <v>4599.0</v>
      </c>
      <c r="B4600" s="2" t="s">
        <v>7966</v>
      </c>
      <c r="C4600" s="2" t="s">
        <v>23</v>
      </c>
      <c r="K4600" s="2">
        <v>30.0</v>
      </c>
      <c r="N4600" s="6">
        <v>44871.0</v>
      </c>
      <c r="Q4600" s="2" t="s">
        <v>7967</v>
      </c>
    </row>
    <row r="4601">
      <c r="A4601" s="2">
        <v>4600.0</v>
      </c>
      <c r="B4601" s="2" t="s">
        <v>7968</v>
      </c>
      <c r="C4601" s="2" t="s">
        <v>23</v>
      </c>
      <c r="K4601" s="2">
        <v>20.0</v>
      </c>
      <c r="N4601" s="6">
        <v>45170.0</v>
      </c>
      <c r="Q4601" s="2" t="s">
        <v>1437</v>
      </c>
    </row>
    <row r="4602">
      <c r="A4602" s="2">
        <v>4601.0</v>
      </c>
      <c r="B4602" s="2" t="s">
        <v>7969</v>
      </c>
      <c r="C4602" s="2" t="s">
        <v>23</v>
      </c>
      <c r="K4602" s="2">
        <v>20.0</v>
      </c>
      <c r="N4602" s="6">
        <v>44027.0</v>
      </c>
      <c r="Q4602" s="2" t="s">
        <v>86</v>
      </c>
    </row>
    <row r="4603">
      <c r="A4603" s="2">
        <v>4602.0</v>
      </c>
      <c r="B4603" s="2" t="s">
        <v>7970</v>
      </c>
      <c r="C4603" s="2" t="s">
        <v>23</v>
      </c>
      <c r="N4603" s="6">
        <v>44651.0</v>
      </c>
      <c r="Q4603" s="2" t="s">
        <v>86</v>
      </c>
    </row>
    <row r="4604">
      <c r="A4604" s="2">
        <v>4603.0</v>
      </c>
      <c r="B4604" s="2" t="s">
        <v>7971</v>
      </c>
      <c r="C4604" s="2" t="s">
        <v>23</v>
      </c>
      <c r="N4604" s="6">
        <v>43982.0</v>
      </c>
      <c r="Q4604" s="2" t="s">
        <v>86</v>
      </c>
    </row>
    <row r="4605">
      <c r="A4605" s="2">
        <v>4604.0</v>
      </c>
      <c r="B4605" s="2" t="s">
        <v>7972</v>
      </c>
      <c r="C4605" s="2" t="s">
        <v>23</v>
      </c>
      <c r="K4605" s="2">
        <v>30.0</v>
      </c>
      <c r="N4605" s="6">
        <v>44736.0</v>
      </c>
      <c r="Q4605" s="2" t="s">
        <v>3075</v>
      </c>
    </row>
    <row r="4606">
      <c r="A4606" s="2">
        <v>4605.0</v>
      </c>
      <c r="B4606" s="2" t="s">
        <v>7973</v>
      </c>
      <c r="C4606" s="2" t="s">
        <v>23</v>
      </c>
      <c r="N4606" s="6">
        <v>44000.0</v>
      </c>
      <c r="Q4606" s="2" t="s">
        <v>7974</v>
      </c>
    </row>
    <row r="4607">
      <c r="A4607" s="2">
        <v>4606.0</v>
      </c>
      <c r="B4607" s="2" t="s">
        <v>7975</v>
      </c>
      <c r="C4607" s="2" t="s">
        <v>23</v>
      </c>
      <c r="K4607" s="2">
        <v>100.0</v>
      </c>
      <c r="N4607" s="6">
        <v>44284.0</v>
      </c>
      <c r="Q4607" s="2" t="s">
        <v>7976</v>
      </c>
    </row>
    <row r="4608">
      <c r="A4608" s="2">
        <v>4607.0</v>
      </c>
      <c r="B4608" s="2" t="s">
        <v>7977</v>
      </c>
      <c r="C4608" s="2" t="s">
        <v>23</v>
      </c>
      <c r="N4608" s="6">
        <v>43942.0</v>
      </c>
      <c r="Q4608" s="2" t="s">
        <v>86</v>
      </c>
    </row>
    <row r="4609">
      <c r="A4609" s="2">
        <v>4608.0</v>
      </c>
      <c r="B4609" s="2" t="s">
        <v>7978</v>
      </c>
      <c r="C4609" s="2" t="s">
        <v>23</v>
      </c>
      <c r="N4609" s="6">
        <v>44747.0</v>
      </c>
      <c r="Q4609" s="2" t="s">
        <v>86</v>
      </c>
    </row>
    <row r="4610">
      <c r="A4610" s="2">
        <v>4609.0</v>
      </c>
      <c r="B4610" s="2" t="s">
        <v>7979</v>
      </c>
      <c r="C4610" s="2" t="s">
        <v>23</v>
      </c>
      <c r="K4610" s="2">
        <v>150.0</v>
      </c>
      <c r="N4610" s="6">
        <v>44274.0</v>
      </c>
      <c r="Q4610" s="2" t="s">
        <v>7980</v>
      </c>
    </row>
    <row r="4611">
      <c r="A4611" s="2">
        <v>4610.0</v>
      </c>
      <c r="B4611" s="2" t="s">
        <v>305</v>
      </c>
      <c r="C4611" s="2" t="s">
        <v>23</v>
      </c>
      <c r="K4611" s="2">
        <v>10.0</v>
      </c>
      <c r="N4611" s="6">
        <v>44965.0</v>
      </c>
      <c r="Q4611" s="2" t="s">
        <v>309</v>
      </c>
    </row>
    <row r="4612">
      <c r="A4612" s="2">
        <v>4611.0</v>
      </c>
      <c r="B4612" s="2" t="s">
        <v>7981</v>
      </c>
      <c r="C4612" s="2" t="s">
        <v>23</v>
      </c>
      <c r="K4612" s="2">
        <v>40.0</v>
      </c>
      <c r="N4612" s="6">
        <v>44655.0</v>
      </c>
      <c r="Q4612" s="2" t="s">
        <v>2448</v>
      </c>
    </row>
    <row r="4613">
      <c r="A4613" s="2">
        <v>4612.0</v>
      </c>
      <c r="B4613" s="2" t="s">
        <v>7982</v>
      </c>
      <c r="C4613" s="2" t="s">
        <v>23</v>
      </c>
      <c r="K4613" s="2">
        <v>40.0</v>
      </c>
      <c r="N4613" s="6">
        <v>43936.0</v>
      </c>
      <c r="Q4613" s="2" t="s">
        <v>401</v>
      </c>
    </row>
    <row r="4614">
      <c r="A4614" s="2">
        <v>4613.0</v>
      </c>
      <c r="B4614" s="2" t="s">
        <v>7983</v>
      </c>
      <c r="C4614" s="2" t="s">
        <v>23</v>
      </c>
      <c r="N4614" s="6">
        <v>44537.0</v>
      </c>
      <c r="Q4614" s="2" t="s">
        <v>86</v>
      </c>
    </row>
    <row r="4615">
      <c r="A4615" s="2">
        <v>4614.0</v>
      </c>
      <c r="B4615" s="2" t="s">
        <v>7984</v>
      </c>
      <c r="C4615" s="2" t="s">
        <v>23</v>
      </c>
      <c r="N4615" s="6">
        <v>45574.0</v>
      </c>
      <c r="Q4615" s="2" t="s">
        <v>3740</v>
      </c>
    </row>
    <row r="4616">
      <c r="A4616" s="2">
        <v>4615.0</v>
      </c>
      <c r="B4616" s="2" t="s">
        <v>7985</v>
      </c>
      <c r="C4616" s="2" t="s">
        <v>23</v>
      </c>
      <c r="K4616" s="2">
        <v>350.0</v>
      </c>
      <c r="N4616" s="6">
        <v>42454.0</v>
      </c>
      <c r="Q4616" s="2" t="s">
        <v>7986</v>
      </c>
    </row>
    <row r="4617">
      <c r="A4617" s="2">
        <v>4616.0</v>
      </c>
      <c r="B4617" s="2" t="s">
        <v>7987</v>
      </c>
      <c r="C4617" s="2" t="s">
        <v>23</v>
      </c>
      <c r="K4617" s="2">
        <v>20.0</v>
      </c>
      <c r="N4617" s="6">
        <v>44181.0</v>
      </c>
      <c r="Q4617" s="2" t="s">
        <v>86</v>
      </c>
    </row>
    <row r="4618">
      <c r="A4618" s="2">
        <v>4617.0</v>
      </c>
      <c r="B4618" s="2" t="s">
        <v>7988</v>
      </c>
      <c r="C4618" s="2" t="s">
        <v>23</v>
      </c>
      <c r="N4618" s="6">
        <v>45292.0</v>
      </c>
      <c r="Q4618" s="2" t="s">
        <v>86</v>
      </c>
    </row>
    <row r="4619">
      <c r="A4619" s="2">
        <v>4618.0</v>
      </c>
      <c r="B4619" s="2" t="s">
        <v>7989</v>
      </c>
      <c r="C4619" s="2" t="s">
        <v>23</v>
      </c>
      <c r="K4619" s="2">
        <v>20.0</v>
      </c>
      <c r="N4619" s="6">
        <v>45480.0</v>
      </c>
      <c r="Q4619" s="2" t="s">
        <v>426</v>
      </c>
    </row>
    <row r="4620">
      <c r="A4620" s="2">
        <v>4619.0</v>
      </c>
      <c r="B4620" s="2" t="s">
        <v>7990</v>
      </c>
      <c r="C4620" s="2" t="s">
        <v>23</v>
      </c>
      <c r="K4620" s="2">
        <v>10.0</v>
      </c>
      <c r="N4620" s="6">
        <v>45000.0</v>
      </c>
      <c r="Q4620" s="2" t="s">
        <v>7991</v>
      </c>
    </row>
    <row r="4621">
      <c r="A4621" s="2">
        <v>4620.0</v>
      </c>
      <c r="B4621" s="2" t="s">
        <v>7992</v>
      </c>
      <c r="C4621" s="2" t="s">
        <v>23</v>
      </c>
      <c r="K4621" s="2">
        <v>20.0</v>
      </c>
      <c r="N4621" s="6">
        <v>43873.0</v>
      </c>
      <c r="Q4621" s="2" t="s">
        <v>7993</v>
      </c>
    </row>
    <row r="4622">
      <c r="A4622" s="2">
        <v>4621.0</v>
      </c>
      <c r="B4622" s="2" t="s">
        <v>7994</v>
      </c>
      <c r="C4622" s="2" t="s">
        <v>23</v>
      </c>
      <c r="K4622" s="2">
        <v>70.0</v>
      </c>
      <c r="N4622" s="6">
        <v>43594.0</v>
      </c>
      <c r="Q4622" s="2" t="s">
        <v>7995</v>
      </c>
    </row>
    <row r="4623">
      <c r="A4623" s="2">
        <v>4622.0</v>
      </c>
      <c r="B4623" s="2" t="s">
        <v>7996</v>
      </c>
      <c r="C4623" s="2" t="s">
        <v>23</v>
      </c>
      <c r="K4623" s="2">
        <v>20.0</v>
      </c>
      <c r="N4623" s="6">
        <v>44397.0</v>
      </c>
      <c r="Q4623" s="2" t="s">
        <v>86</v>
      </c>
    </row>
    <row r="4624">
      <c r="A4624" s="2">
        <v>4623.0</v>
      </c>
      <c r="B4624" s="2" t="s">
        <v>7997</v>
      </c>
      <c r="C4624" s="2" t="s">
        <v>23</v>
      </c>
      <c r="K4624" s="2">
        <v>20.0</v>
      </c>
      <c r="N4624" s="6">
        <v>44910.0</v>
      </c>
      <c r="Q4624" s="2" t="s">
        <v>86</v>
      </c>
    </row>
    <row r="4625">
      <c r="A4625" s="2">
        <v>4624.0</v>
      </c>
      <c r="B4625" s="2" t="s">
        <v>7998</v>
      </c>
      <c r="C4625" s="2" t="s">
        <v>23</v>
      </c>
      <c r="N4625" s="6">
        <v>43968.0</v>
      </c>
      <c r="Q4625" s="2" t="s">
        <v>86</v>
      </c>
    </row>
    <row r="4626">
      <c r="A4626" s="2">
        <v>4625.0</v>
      </c>
      <c r="B4626" s="2" t="s">
        <v>7999</v>
      </c>
      <c r="C4626" s="2" t="s">
        <v>23</v>
      </c>
      <c r="K4626" s="2">
        <v>10.0</v>
      </c>
      <c r="N4626" s="6">
        <v>44621.0</v>
      </c>
      <c r="Q4626" s="2" t="s">
        <v>86</v>
      </c>
    </row>
    <row r="4627">
      <c r="A4627" s="2">
        <v>4626.0</v>
      </c>
      <c r="B4627" s="2" t="s">
        <v>8000</v>
      </c>
      <c r="C4627" s="2" t="s">
        <v>23</v>
      </c>
      <c r="K4627" s="2">
        <v>10.0</v>
      </c>
      <c r="N4627" s="6">
        <v>44924.0</v>
      </c>
      <c r="Q4627" s="2" t="s">
        <v>491</v>
      </c>
    </row>
    <row r="4628">
      <c r="A4628" s="2">
        <v>4627.0</v>
      </c>
      <c r="B4628" s="2" t="s">
        <v>8001</v>
      </c>
      <c r="C4628" s="2" t="s">
        <v>23</v>
      </c>
      <c r="K4628" s="2">
        <v>300.0</v>
      </c>
      <c r="N4628" s="6">
        <v>43854.0</v>
      </c>
      <c r="Q4628" s="2" t="s">
        <v>8002</v>
      </c>
    </row>
    <row r="4629">
      <c r="A4629" s="2">
        <v>4628.0</v>
      </c>
      <c r="B4629" s="2" t="s">
        <v>8003</v>
      </c>
      <c r="C4629" s="2" t="s">
        <v>23</v>
      </c>
      <c r="K4629" s="2">
        <v>100.0</v>
      </c>
      <c r="N4629" s="6">
        <v>44053.0</v>
      </c>
      <c r="Q4629" s="2" t="s">
        <v>8004</v>
      </c>
    </row>
    <row r="4630">
      <c r="A4630" s="2">
        <v>4629.0</v>
      </c>
      <c r="B4630" s="2" t="s">
        <v>8005</v>
      </c>
      <c r="C4630" s="2" t="s">
        <v>23</v>
      </c>
      <c r="K4630" s="2">
        <v>30.0</v>
      </c>
      <c r="N4630" s="6">
        <v>44329.0</v>
      </c>
      <c r="Q4630" s="2" t="s">
        <v>6674</v>
      </c>
    </row>
    <row r="4631">
      <c r="A4631" s="2">
        <v>4630.0</v>
      </c>
      <c r="B4631" s="2" t="s">
        <v>8006</v>
      </c>
      <c r="C4631" s="2" t="s">
        <v>23</v>
      </c>
      <c r="N4631" s="6">
        <v>44073.0</v>
      </c>
      <c r="Q4631" s="2" t="s">
        <v>5039</v>
      </c>
    </row>
    <row r="4632">
      <c r="A4632" s="2">
        <v>4631.0</v>
      </c>
      <c r="B4632" s="2" t="s">
        <v>8007</v>
      </c>
      <c r="C4632" s="2" t="s">
        <v>23</v>
      </c>
      <c r="K4632" s="2">
        <v>150.0</v>
      </c>
      <c r="N4632" s="6">
        <v>44380.0</v>
      </c>
      <c r="Q4632" s="2" t="s">
        <v>4958</v>
      </c>
    </row>
    <row r="4633">
      <c r="A4633" s="2">
        <v>4632.0</v>
      </c>
      <c r="B4633" s="2" t="s">
        <v>8008</v>
      </c>
      <c r="C4633" s="2" t="s">
        <v>23</v>
      </c>
      <c r="N4633" s="6">
        <v>44285.0</v>
      </c>
      <c r="Q4633" s="2" t="s">
        <v>86</v>
      </c>
    </row>
    <row r="4634">
      <c r="A4634" s="2">
        <v>4633.0</v>
      </c>
      <c r="B4634" s="2" t="s">
        <v>8009</v>
      </c>
      <c r="C4634" s="2" t="s">
        <v>23</v>
      </c>
      <c r="K4634" s="2">
        <v>30.0</v>
      </c>
      <c r="N4634" s="6">
        <v>45040.0</v>
      </c>
      <c r="Q4634" s="2" t="s">
        <v>8010</v>
      </c>
    </row>
    <row r="4635">
      <c r="A4635" s="2">
        <v>4634.0</v>
      </c>
      <c r="B4635" s="2" t="s">
        <v>8011</v>
      </c>
      <c r="C4635" s="2" t="s">
        <v>23</v>
      </c>
      <c r="N4635" s="6">
        <v>45640.0</v>
      </c>
      <c r="Q4635" s="2" t="s">
        <v>2494</v>
      </c>
    </row>
    <row r="4636">
      <c r="A4636" s="2">
        <v>4635.0</v>
      </c>
      <c r="B4636" s="2" t="s">
        <v>8012</v>
      </c>
      <c r="C4636" s="2" t="s">
        <v>23</v>
      </c>
      <c r="N4636" s="6">
        <v>44767.0</v>
      </c>
      <c r="Q4636" s="2" t="s">
        <v>86</v>
      </c>
    </row>
    <row r="4637">
      <c r="A4637" s="2">
        <v>4636.0</v>
      </c>
      <c r="B4637" s="2" t="s">
        <v>8013</v>
      </c>
      <c r="C4637" s="2" t="s">
        <v>23</v>
      </c>
      <c r="K4637" s="2">
        <v>80.0</v>
      </c>
      <c r="N4637" s="6">
        <v>44396.0</v>
      </c>
      <c r="Q4637" s="2" t="s">
        <v>8014</v>
      </c>
    </row>
    <row r="4638">
      <c r="A4638" s="2">
        <v>4637.0</v>
      </c>
      <c r="B4638" s="2" t="s">
        <v>8015</v>
      </c>
      <c r="C4638" s="2" t="s">
        <v>23</v>
      </c>
      <c r="K4638" s="2">
        <v>60.0</v>
      </c>
      <c r="N4638" s="6">
        <v>44186.0</v>
      </c>
      <c r="Q4638" s="2" t="s">
        <v>1249</v>
      </c>
    </row>
    <row r="4639">
      <c r="A4639" s="2">
        <v>4638.0</v>
      </c>
      <c r="B4639" s="2" t="s">
        <v>8016</v>
      </c>
      <c r="C4639" s="2" t="s">
        <v>23</v>
      </c>
      <c r="K4639" s="2">
        <v>80.0</v>
      </c>
      <c r="N4639" s="6">
        <v>45578.0</v>
      </c>
      <c r="Q4639" s="2" t="s">
        <v>8017</v>
      </c>
    </row>
    <row r="4640">
      <c r="A4640" s="2">
        <v>4639.0</v>
      </c>
      <c r="B4640" s="2" t="s">
        <v>8018</v>
      </c>
      <c r="C4640" s="2" t="s">
        <v>23</v>
      </c>
      <c r="N4640" s="6">
        <v>43925.0</v>
      </c>
      <c r="Q4640" s="2" t="s">
        <v>86</v>
      </c>
    </row>
    <row r="4641">
      <c r="A4641" s="2">
        <v>4640.0</v>
      </c>
      <c r="B4641" s="2" t="s">
        <v>8019</v>
      </c>
      <c r="C4641" s="2" t="s">
        <v>23</v>
      </c>
      <c r="K4641" s="2">
        <v>10.0</v>
      </c>
      <c r="N4641" s="6">
        <v>45362.0</v>
      </c>
      <c r="Q4641" s="2" t="s">
        <v>8020</v>
      </c>
    </row>
    <row r="4642">
      <c r="A4642" s="2">
        <v>4641.0</v>
      </c>
      <c r="B4642" s="2" t="s">
        <v>8021</v>
      </c>
      <c r="C4642" s="2" t="s">
        <v>23</v>
      </c>
      <c r="K4642" s="2">
        <v>40.0</v>
      </c>
      <c r="N4642" s="6">
        <v>44108.0</v>
      </c>
      <c r="Q4642" s="2" t="s">
        <v>1070</v>
      </c>
    </row>
    <row r="4643">
      <c r="A4643" s="2">
        <v>4642.0</v>
      </c>
      <c r="B4643" s="2" t="s">
        <v>8022</v>
      </c>
      <c r="C4643" s="2" t="s">
        <v>23</v>
      </c>
      <c r="K4643" s="2">
        <v>200.0</v>
      </c>
      <c r="N4643" s="6">
        <v>43916.0</v>
      </c>
      <c r="Q4643" s="2" t="s">
        <v>6502</v>
      </c>
    </row>
    <row r="4644">
      <c r="A4644" s="2">
        <v>4643.0</v>
      </c>
      <c r="B4644" s="2" t="s">
        <v>8023</v>
      </c>
      <c r="C4644" s="2" t="s">
        <v>23</v>
      </c>
      <c r="K4644" s="2">
        <v>30.0</v>
      </c>
      <c r="N4644" s="6">
        <v>44032.0</v>
      </c>
      <c r="Q4644" s="2" t="s">
        <v>4320</v>
      </c>
    </row>
    <row r="4645">
      <c r="A4645" s="2">
        <v>4644.0</v>
      </c>
      <c r="B4645" s="2" t="s">
        <v>8024</v>
      </c>
      <c r="C4645" s="2" t="s">
        <v>23</v>
      </c>
      <c r="N4645" s="6">
        <v>44131.0</v>
      </c>
      <c r="Q4645" s="2" t="s">
        <v>86</v>
      </c>
    </row>
    <row r="4646">
      <c r="A4646" s="2">
        <v>4645.0</v>
      </c>
      <c r="B4646" s="2" t="s">
        <v>8025</v>
      </c>
      <c r="C4646" s="2" t="s">
        <v>23</v>
      </c>
      <c r="K4646" s="2">
        <v>30.0</v>
      </c>
      <c r="N4646" s="6">
        <v>45728.0</v>
      </c>
      <c r="Q4646" s="2" t="s">
        <v>5888</v>
      </c>
    </row>
    <row r="4647">
      <c r="A4647" s="2">
        <v>4646.0</v>
      </c>
      <c r="B4647" s="2" t="s">
        <v>8026</v>
      </c>
      <c r="C4647" s="2" t="s">
        <v>23</v>
      </c>
      <c r="N4647" s="6">
        <v>44218.0</v>
      </c>
      <c r="Q4647" s="2" t="s">
        <v>86</v>
      </c>
    </row>
    <row r="4648">
      <c r="A4648" s="2">
        <v>4647.0</v>
      </c>
      <c r="B4648" s="2" t="s">
        <v>8027</v>
      </c>
      <c r="C4648" s="2" t="s">
        <v>23</v>
      </c>
      <c r="K4648" s="2">
        <v>30.0</v>
      </c>
      <c r="N4648" s="6">
        <v>44753.0</v>
      </c>
      <c r="Q4648" s="2" t="s">
        <v>8028</v>
      </c>
    </row>
    <row r="4649">
      <c r="A4649" s="2">
        <v>4648.0</v>
      </c>
      <c r="B4649" s="2" t="s">
        <v>8029</v>
      </c>
      <c r="C4649" s="2" t="s">
        <v>23</v>
      </c>
      <c r="K4649" s="2">
        <v>10.0</v>
      </c>
      <c r="N4649" s="6">
        <v>43903.0</v>
      </c>
      <c r="Q4649" s="2" t="s">
        <v>8030</v>
      </c>
    </row>
    <row r="4650">
      <c r="A4650" s="2">
        <v>4649.0</v>
      </c>
      <c r="B4650" s="2" t="s">
        <v>8031</v>
      </c>
      <c r="C4650" s="2" t="s">
        <v>23</v>
      </c>
      <c r="N4650" s="6">
        <v>44529.0</v>
      </c>
      <c r="Q4650" s="2" t="s">
        <v>86</v>
      </c>
    </row>
    <row r="4651">
      <c r="A4651" s="2">
        <v>4650.0</v>
      </c>
      <c r="B4651" s="2" t="s">
        <v>8032</v>
      </c>
      <c r="C4651" s="2" t="s">
        <v>23</v>
      </c>
      <c r="K4651" s="2">
        <v>40.0</v>
      </c>
      <c r="N4651" s="6">
        <v>42287.0</v>
      </c>
      <c r="Q4651" s="2" t="s">
        <v>8033</v>
      </c>
    </row>
    <row r="4652">
      <c r="A4652" s="2">
        <v>4651.0</v>
      </c>
      <c r="B4652" s="2" t="s">
        <v>8034</v>
      </c>
      <c r="C4652" s="2" t="s">
        <v>23</v>
      </c>
      <c r="N4652" s="6">
        <v>45694.0</v>
      </c>
      <c r="Q4652" s="2" t="s">
        <v>8035</v>
      </c>
    </row>
    <row r="4653">
      <c r="A4653" s="2">
        <v>4652.0</v>
      </c>
      <c r="B4653" s="2" t="s">
        <v>8036</v>
      </c>
      <c r="C4653" s="2" t="s">
        <v>23</v>
      </c>
      <c r="K4653" s="2">
        <v>250.0</v>
      </c>
      <c r="N4653" s="6">
        <v>45760.0</v>
      </c>
      <c r="Q4653" s="2" t="s">
        <v>4705</v>
      </c>
    </row>
    <row r="4654">
      <c r="A4654" s="2">
        <v>4653.0</v>
      </c>
      <c r="B4654" s="2" t="s">
        <v>8037</v>
      </c>
      <c r="C4654" s="2" t="s">
        <v>23</v>
      </c>
      <c r="K4654" s="2">
        <v>50.0</v>
      </c>
      <c r="N4654" s="6">
        <v>44034.0</v>
      </c>
      <c r="Q4654" s="2" t="s">
        <v>8038</v>
      </c>
    </row>
    <row r="4655">
      <c r="A4655" s="2">
        <v>4654.0</v>
      </c>
      <c r="B4655" s="2" t="s">
        <v>8039</v>
      </c>
      <c r="C4655" s="2" t="s">
        <v>23</v>
      </c>
      <c r="N4655" s="6">
        <v>44500.0</v>
      </c>
      <c r="Q4655" s="2" t="s">
        <v>86</v>
      </c>
    </row>
    <row r="4656">
      <c r="A4656" s="2">
        <v>4655.0</v>
      </c>
      <c r="B4656" s="2" t="s">
        <v>8040</v>
      </c>
      <c r="C4656" s="2" t="s">
        <v>23</v>
      </c>
      <c r="N4656" s="6">
        <v>44367.0</v>
      </c>
      <c r="Q4656" s="2" t="s">
        <v>86</v>
      </c>
    </row>
    <row r="4657">
      <c r="A4657" s="2">
        <v>4656.0</v>
      </c>
      <c r="B4657" s="2" t="s">
        <v>8041</v>
      </c>
      <c r="C4657" s="2" t="s">
        <v>23</v>
      </c>
      <c r="K4657" s="2">
        <v>300.0</v>
      </c>
      <c r="N4657" s="6">
        <v>44170.0</v>
      </c>
      <c r="Q4657" s="2" t="s">
        <v>8042</v>
      </c>
    </row>
    <row r="4658">
      <c r="A4658" s="2">
        <v>4657.0</v>
      </c>
      <c r="B4658" s="2" t="s">
        <v>8043</v>
      </c>
      <c r="C4658" s="2" t="s">
        <v>23</v>
      </c>
      <c r="K4658" s="2">
        <v>20.0</v>
      </c>
      <c r="N4658" s="6">
        <v>44386.0</v>
      </c>
      <c r="Q4658" s="2" t="s">
        <v>86</v>
      </c>
    </row>
    <row r="4659">
      <c r="A4659" s="2">
        <v>4658.0</v>
      </c>
      <c r="B4659" s="2" t="s">
        <v>8044</v>
      </c>
      <c r="C4659" s="2" t="s">
        <v>23</v>
      </c>
      <c r="N4659" s="6">
        <v>44283.0</v>
      </c>
      <c r="Q4659" s="2" t="s">
        <v>86</v>
      </c>
    </row>
    <row r="4660">
      <c r="A4660" s="2">
        <v>4659.0</v>
      </c>
      <c r="B4660" s="2" t="s">
        <v>8045</v>
      </c>
      <c r="C4660" s="2" t="s">
        <v>23</v>
      </c>
      <c r="K4660" s="2">
        <v>90.0</v>
      </c>
      <c r="N4660" s="6">
        <v>44364.0</v>
      </c>
      <c r="Q4660" s="2" t="s">
        <v>8046</v>
      </c>
    </row>
    <row r="4661">
      <c r="A4661" s="2">
        <v>4660.0</v>
      </c>
      <c r="B4661" s="2" t="s">
        <v>8047</v>
      </c>
      <c r="C4661" s="2" t="s">
        <v>23</v>
      </c>
      <c r="K4661" s="2">
        <v>50.0</v>
      </c>
      <c r="N4661" s="6">
        <v>43988.0</v>
      </c>
      <c r="Q4661" s="2" t="s">
        <v>86</v>
      </c>
    </row>
    <row r="4662">
      <c r="A4662" s="2">
        <v>4661.0</v>
      </c>
      <c r="B4662" s="2" t="s">
        <v>8048</v>
      </c>
      <c r="C4662" s="2" t="s">
        <v>23</v>
      </c>
      <c r="N4662" s="6">
        <v>44669.0</v>
      </c>
      <c r="Q4662" s="2" t="s">
        <v>86</v>
      </c>
    </row>
    <row r="4663">
      <c r="A4663" s="2">
        <v>4662.0</v>
      </c>
      <c r="B4663" s="2" t="s">
        <v>8049</v>
      </c>
      <c r="C4663" s="2" t="s">
        <v>23</v>
      </c>
      <c r="K4663" s="2">
        <v>200.0</v>
      </c>
      <c r="N4663" s="6">
        <v>43893.0</v>
      </c>
      <c r="Q4663" s="2" t="s">
        <v>8050</v>
      </c>
    </row>
    <row r="4664">
      <c r="A4664" s="2">
        <v>4663.0</v>
      </c>
      <c r="B4664" s="2" t="s">
        <v>8051</v>
      </c>
      <c r="C4664" s="2" t="s">
        <v>23</v>
      </c>
      <c r="K4664" s="2">
        <v>70.0</v>
      </c>
      <c r="N4664" s="6">
        <v>45721.0</v>
      </c>
      <c r="Q4664" s="2" t="s">
        <v>5192</v>
      </c>
    </row>
    <row r="4665">
      <c r="A4665" s="2">
        <v>4664.0</v>
      </c>
      <c r="B4665" s="2" t="s">
        <v>8052</v>
      </c>
      <c r="C4665" s="2" t="s">
        <v>23</v>
      </c>
      <c r="K4665" s="2">
        <v>150.0</v>
      </c>
      <c r="N4665" s="6">
        <v>44272.0</v>
      </c>
      <c r="Q4665" s="2" t="s">
        <v>8053</v>
      </c>
    </row>
    <row r="4666">
      <c r="A4666" s="2">
        <v>4665.0</v>
      </c>
      <c r="B4666" s="2" t="s">
        <v>8054</v>
      </c>
      <c r="C4666" s="2" t="s">
        <v>23</v>
      </c>
      <c r="N4666" s="6">
        <v>42382.0</v>
      </c>
      <c r="Q4666" s="2" t="s">
        <v>8055</v>
      </c>
    </row>
    <row r="4667">
      <c r="A4667" s="2">
        <v>4666.0</v>
      </c>
      <c r="B4667" s="2" t="s">
        <v>8056</v>
      </c>
      <c r="C4667" s="2" t="s">
        <v>23</v>
      </c>
      <c r="K4667" s="2">
        <v>40.0</v>
      </c>
      <c r="N4667" s="6">
        <v>45615.0</v>
      </c>
      <c r="Q4667" s="2" t="s">
        <v>3724</v>
      </c>
    </row>
    <row r="4668">
      <c r="A4668" s="2">
        <v>4667.0</v>
      </c>
      <c r="B4668" s="2" t="s">
        <v>8057</v>
      </c>
      <c r="C4668" s="2" t="s">
        <v>23</v>
      </c>
      <c r="K4668" s="2">
        <v>50.0</v>
      </c>
      <c r="N4668" s="6">
        <v>45633.0</v>
      </c>
      <c r="Q4668" s="2" t="s">
        <v>8058</v>
      </c>
    </row>
    <row r="4669">
      <c r="A4669" s="2">
        <v>4668.0</v>
      </c>
      <c r="B4669" s="2" t="s">
        <v>8059</v>
      </c>
      <c r="C4669" s="2" t="s">
        <v>23</v>
      </c>
      <c r="K4669" s="2">
        <v>30.0</v>
      </c>
      <c r="N4669" s="6">
        <v>44029.0</v>
      </c>
      <c r="Q4669" s="2" t="s">
        <v>8060</v>
      </c>
    </row>
    <row r="4670">
      <c r="A4670" s="2">
        <v>4669.0</v>
      </c>
      <c r="B4670" s="2" t="s">
        <v>8061</v>
      </c>
      <c r="C4670" s="2" t="s">
        <v>23</v>
      </c>
      <c r="N4670" s="6">
        <v>44424.0</v>
      </c>
      <c r="Q4670" s="2" t="s">
        <v>426</v>
      </c>
    </row>
    <row r="4671">
      <c r="A4671" s="2">
        <v>4670.0</v>
      </c>
      <c r="B4671" s="2" t="s">
        <v>8062</v>
      </c>
      <c r="C4671" s="2" t="s">
        <v>23</v>
      </c>
      <c r="K4671" s="2">
        <v>20.0</v>
      </c>
      <c r="N4671" s="6">
        <v>44449.0</v>
      </c>
      <c r="Q4671" s="2" t="s">
        <v>175</v>
      </c>
    </row>
    <row r="4672">
      <c r="A4672" s="2">
        <v>4671.0</v>
      </c>
      <c r="B4672" s="2" t="s">
        <v>8063</v>
      </c>
      <c r="C4672" s="2" t="s">
        <v>23</v>
      </c>
      <c r="N4672" s="6">
        <v>44655.0</v>
      </c>
      <c r="Q4672" s="2" t="s">
        <v>86</v>
      </c>
    </row>
    <row r="4673">
      <c r="A4673" s="2">
        <v>4672.0</v>
      </c>
      <c r="B4673" s="2" t="s">
        <v>8064</v>
      </c>
      <c r="C4673" s="2" t="s">
        <v>23</v>
      </c>
      <c r="K4673" s="2">
        <v>30.0</v>
      </c>
      <c r="N4673" s="6">
        <v>43983.0</v>
      </c>
      <c r="Q4673" s="2" t="s">
        <v>8065</v>
      </c>
    </row>
    <row r="4674">
      <c r="A4674" s="2">
        <v>4673.0</v>
      </c>
      <c r="B4674" s="2" t="s">
        <v>8066</v>
      </c>
      <c r="C4674" s="2" t="s">
        <v>23</v>
      </c>
      <c r="N4674" s="6">
        <v>44533.0</v>
      </c>
      <c r="Q4674" s="2" t="s">
        <v>86</v>
      </c>
    </row>
    <row r="4675">
      <c r="A4675" s="2">
        <v>4674.0</v>
      </c>
      <c r="B4675" s="2" t="s">
        <v>8067</v>
      </c>
      <c r="C4675" s="2" t="s">
        <v>23</v>
      </c>
      <c r="K4675" s="2">
        <v>100.0</v>
      </c>
      <c r="N4675" s="6">
        <v>44557.0</v>
      </c>
      <c r="Q4675" s="2" t="s">
        <v>8068</v>
      </c>
    </row>
    <row r="4676">
      <c r="A4676" s="2">
        <v>4675.0</v>
      </c>
      <c r="B4676" s="2" t="s">
        <v>8069</v>
      </c>
      <c r="C4676" s="2" t="s">
        <v>23</v>
      </c>
      <c r="K4676" s="2">
        <v>100.0</v>
      </c>
      <c r="N4676" s="6">
        <v>43936.0</v>
      </c>
      <c r="Q4676" s="2" t="s">
        <v>8070</v>
      </c>
    </row>
    <row r="4677">
      <c r="A4677" s="2">
        <v>4676.0</v>
      </c>
      <c r="B4677" s="2" t="s">
        <v>8071</v>
      </c>
      <c r="C4677" s="2" t="s">
        <v>23</v>
      </c>
      <c r="N4677" s="6">
        <v>44114.0</v>
      </c>
      <c r="Q4677" s="2" t="s">
        <v>86</v>
      </c>
    </row>
    <row r="4678">
      <c r="A4678" s="2">
        <v>4677.0</v>
      </c>
      <c r="B4678" s="2" t="s">
        <v>8072</v>
      </c>
      <c r="C4678" s="2" t="s">
        <v>23</v>
      </c>
      <c r="N4678" s="6">
        <v>44147.0</v>
      </c>
      <c r="Q4678" s="2" t="s">
        <v>86</v>
      </c>
    </row>
    <row r="4679">
      <c r="A4679" s="2">
        <v>4678.0</v>
      </c>
      <c r="B4679" s="2" t="s">
        <v>8073</v>
      </c>
      <c r="C4679" s="2" t="s">
        <v>23</v>
      </c>
      <c r="K4679" s="2">
        <v>150.0</v>
      </c>
      <c r="N4679" s="6">
        <v>44382.0</v>
      </c>
      <c r="Q4679" s="2" t="s">
        <v>1437</v>
      </c>
    </row>
    <row r="4680">
      <c r="A4680" s="2">
        <v>4679.0</v>
      </c>
      <c r="B4680" s="2" t="s">
        <v>8074</v>
      </c>
      <c r="C4680" s="2" t="s">
        <v>23</v>
      </c>
      <c r="K4680" s="2">
        <v>20.0</v>
      </c>
      <c r="N4680" s="6">
        <v>45625.0</v>
      </c>
      <c r="Q4680" s="2" t="s">
        <v>540</v>
      </c>
    </row>
    <row r="4681">
      <c r="A4681" s="2">
        <v>4680.0</v>
      </c>
      <c r="B4681" s="2" t="s">
        <v>8075</v>
      </c>
      <c r="C4681" s="2" t="s">
        <v>23</v>
      </c>
      <c r="K4681" s="2">
        <v>10.0</v>
      </c>
      <c r="N4681" s="6">
        <v>44497.0</v>
      </c>
      <c r="Q4681" s="2" t="s">
        <v>86</v>
      </c>
    </row>
    <row r="4682">
      <c r="A4682" s="2">
        <v>4681.0</v>
      </c>
      <c r="B4682" s="2" t="s">
        <v>8076</v>
      </c>
      <c r="C4682" s="2" t="s">
        <v>23</v>
      </c>
      <c r="K4682" s="2">
        <v>50.0</v>
      </c>
      <c r="N4682" s="6">
        <v>44329.0</v>
      </c>
      <c r="Q4682" s="2" t="s">
        <v>1249</v>
      </c>
    </row>
    <row r="4683">
      <c r="A4683" s="2">
        <v>4682.0</v>
      </c>
      <c r="B4683" s="2" t="s">
        <v>8077</v>
      </c>
      <c r="C4683" s="2" t="s">
        <v>23</v>
      </c>
      <c r="K4683" s="2">
        <v>20.0</v>
      </c>
      <c r="N4683" s="6">
        <v>44544.0</v>
      </c>
      <c r="Q4683" s="2" t="s">
        <v>1466</v>
      </c>
    </row>
    <row r="4684">
      <c r="A4684" s="2">
        <v>4683.0</v>
      </c>
      <c r="B4684" s="2" t="s">
        <v>8078</v>
      </c>
      <c r="C4684" s="2" t="s">
        <v>23</v>
      </c>
      <c r="N4684" s="6">
        <v>45596.0</v>
      </c>
      <c r="Q4684" s="2" t="s">
        <v>8079</v>
      </c>
    </row>
    <row r="4685">
      <c r="A4685" s="2">
        <v>4684.0</v>
      </c>
      <c r="B4685" s="2" t="s">
        <v>8080</v>
      </c>
      <c r="C4685" s="2" t="s">
        <v>23</v>
      </c>
      <c r="K4685" s="2">
        <v>150.0</v>
      </c>
      <c r="N4685" s="6">
        <v>45376.0</v>
      </c>
      <c r="Q4685" s="2" t="s">
        <v>8081</v>
      </c>
    </row>
    <row r="4686">
      <c r="A4686" s="2">
        <v>4685.0</v>
      </c>
      <c r="B4686" s="2" t="s">
        <v>8082</v>
      </c>
      <c r="C4686" s="2" t="s">
        <v>23</v>
      </c>
      <c r="N4686" s="6">
        <v>43758.0</v>
      </c>
      <c r="Q4686" s="2" t="s">
        <v>295</v>
      </c>
    </row>
    <row r="4687">
      <c r="A4687" s="2">
        <v>4686.0</v>
      </c>
      <c r="B4687" s="2" t="s">
        <v>8083</v>
      </c>
      <c r="C4687" s="2" t="s">
        <v>23</v>
      </c>
      <c r="K4687" s="2">
        <v>20.0</v>
      </c>
      <c r="N4687" s="6">
        <v>45055.0</v>
      </c>
      <c r="Q4687" s="2" t="s">
        <v>295</v>
      </c>
    </row>
    <row r="4688">
      <c r="A4688" s="2">
        <v>4687.0</v>
      </c>
      <c r="B4688" s="2" t="s">
        <v>8084</v>
      </c>
      <c r="C4688" s="2" t="s">
        <v>23</v>
      </c>
      <c r="K4688" s="2">
        <v>60.0</v>
      </c>
      <c r="N4688" s="6">
        <v>44405.0</v>
      </c>
      <c r="Q4688" s="2" t="s">
        <v>89</v>
      </c>
    </row>
    <row r="4689">
      <c r="A4689" s="2">
        <v>4688.0</v>
      </c>
      <c r="B4689" s="2" t="s">
        <v>8085</v>
      </c>
      <c r="C4689" s="2" t="s">
        <v>23</v>
      </c>
      <c r="N4689" s="6">
        <v>44110.0</v>
      </c>
      <c r="Q4689" s="2" t="s">
        <v>86</v>
      </c>
    </row>
    <row r="4690">
      <c r="A4690" s="2">
        <v>4689.0</v>
      </c>
      <c r="B4690" s="2" t="s">
        <v>8086</v>
      </c>
      <c r="C4690" s="2" t="s">
        <v>23</v>
      </c>
      <c r="K4690" s="2">
        <v>20.0</v>
      </c>
      <c r="N4690" s="6">
        <v>44689.0</v>
      </c>
      <c r="Q4690" s="2" t="s">
        <v>86</v>
      </c>
    </row>
    <row r="4691">
      <c r="A4691" s="2">
        <v>4690.0</v>
      </c>
      <c r="B4691" s="2" t="s">
        <v>8087</v>
      </c>
      <c r="C4691" s="2" t="s">
        <v>23</v>
      </c>
      <c r="K4691" s="2">
        <v>10.0</v>
      </c>
      <c r="N4691" s="6">
        <v>44317.0</v>
      </c>
      <c r="Q4691" s="2" t="s">
        <v>86</v>
      </c>
    </row>
    <row r="4692">
      <c r="A4692" s="2">
        <v>4691.0</v>
      </c>
      <c r="B4692" s="2" t="s">
        <v>8088</v>
      </c>
      <c r="C4692" s="2" t="s">
        <v>23</v>
      </c>
      <c r="K4692" s="2">
        <v>10.0</v>
      </c>
      <c r="N4692" s="6">
        <v>45727.0</v>
      </c>
      <c r="Q4692" s="2" t="s">
        <v>8089</v>
      </c>
    </row>
    <row r="4693">
      <c r="A4693" s="2">
        <v>4692.0</v>
      </c>
      <c r="B4693" s="2" t="s">
        <v>8090</v>
      </c>
      <c r="C4693" s="2" t="s">
        <v>23</v>
      </c>
      <c r="K4693" s="2">
        <v>150.0</v>
      </c>
      <c r="N4693" s="6">
        <v>44015.0</v>
      </c>
      <c r="Q4693" s="2" t="s">
        <v>8091</v>
      </c>
    </row>
    <row r="4694">
      <c r="A4694" s="2">
        <v>4693.0</v>
      </c>
      <c r="B4694" s="2" t="s">
        <v>8092</v>
      </c>
      <c r="C4694" s="2" t="s">
        <v>23</v>
      </c>
      <c r="K4694" s="2">
        <v>10.0</v>
      </c>
      <c r="N4694" s="6">
        <v>44524.0</v>
      </c>
      <c r="Q4694" s="2" t="s">
        <v>86</v>
      </c>
    </row>
    <row r="4695">
      <c r="A4695" s="2">
        <v>4694.0</v>
      </c>
      <c r="B4695" s="2" t="s">
        <v>8093</v>
      </c>
      <c r="C4695" s="2" t="s">
        <v>23</v>
      </c>
      <c r="K4695" s="2">
        <v>10.0</v>
      </c>
      <c r="N4695" s="6">
        <v>44032.0</v>
      </c>
      <c r="Q4695" s="2" t="s">
        <v>8094</v>
      </c>
    </row>
    <row r="4696">
      <c r="A4696" s="2">
        <v>4695.0</v>
      </c>
      <c r="B4696" s="2" t="s">
        <v>8095</v>
      </c>
      <c r="C4696" s="2" t="s">
        <v>23</v>
      </c>
      <c r="K4696" s="2">
        <v>30.0</v>
      </c>
      <c r="N4696" s="6">
        <v>45478.0</v>
      </c>
      <c r="Q4696" s="2" t="s">
        <v>8096</v>
      </c>
    </row>
    <row r="4697">
      <c r="A4697" s="2">
        <v>4696.0</v>
      </c>
      <c r="B4697" s="2" t="s">
        <v>8097</v>
      </c>
      <c r="C4697" s="2" t="s">
        <v>23</v>
      </c>
      <c r="K4697" s="2">
        <v>30.0</v>
      </c>
      <c r="N4697" s="6">
        <v>44659.0</v>
      </c>
      <c r="Q4697" s="2" t="s">
        <v>8098</v>
      </c>
    </row>
    <row r="4698">
      <c r="A4698" s="2">
        <v>4697.0</v>
      </c>
      <c r="B4698" s="2" t="s">
        <v>8099</v>
      </c>
      <c r="C4698" s="2" t="s">
        <v>23</v>
      </c>
      <c r="K4698" s="2">
        <v>10.0</v>
      </c>
      <c r="N4698" s="6">
        <v>43268.0</v>
      </c>
      <c r="Q4698" s="2" t="s">
        <v>8100</v>
      </c>
    </row>
    <row r="4699">
      <c r="A4699" s="2">
        <v>4698.0</v>
      </c>
      <c r="B4699" s="2" t="s">
        <v>8101</v>
      </c>
      <c r="C4699" s="2" t="s">
        <v>23</v>
      </c>
      <c r="K4699" s="2">
        <v>40.0</v>
      </c>
      <c r="N4699" s="6">
        <v>45243.0</v>
      </c>
      <c r="Q4699" s="2" t="s">
        <v>86</v>
      </c>
    </row>
    <row r="4700">
      <c r="A4700" s="2">
        <v>4699.0</v>
      </c>
      <c r="B4700" s="2" t="s">
        <v>8102</v>
      </c>
      <c r="C4700" s="2" t="s">
        <v>23</v>
      </c>
      <c r="K4700" s="2">
        <v>50.0</v>
      </c>
      <c r="N4700" s="6">
        <v>45730.0</v>
      </c>
      <c r="Q4700" s="2" t="s">
        <v>8103</v>
      </c>
    </row>
    <row r="4701">
      <c r="A4701" s="2">
        <v>4700.0</v>
      </c>
      <c r="B4701" s="2" t="s">
        <v>8104</v>
      </c>
      <c r="C4701" s="2" t="s">
        <v>23</v>
      </c>
      <c r="K4701" s="2">
        <v>80.0</v>
      </c>
      <c r="N4701" s="6">
        <v>44008.0</v>
      </c>
      <c r="Q4701" s="2" t="s">
        <v>8105</v>
      </c>
    </row>
    <row r="4702">
      <c r="A4702" s="2">
        <v>4701.0</v>
      </c>
      <c r="B4702" s="2" t="s">
        <v>8106</v>
      </c>
      <c r="C4702" s="2" t="s">
        <v>23</v>
      </c>
      <c r="N4702" s="6">
        <v>44528.0</v>
      </c>
      <c r="Q4702" s="2" t="s">
        <v>86</v>
      </c>
    </row>
    <row r="4703">
      <c r="A4703" s="2">
        <v>4702.0</v>
      </c>
      <c r="B4703" s="2" t="s">
        <v>8107</v>
      </c>
      <c r="C4703" s="2" t="s">
        <v>23</v>
      </c>
      <c r="N4703" s="6">
        <v>43862.0</v>
      </c>
      <c r="Q4703" s="2" t="s">
        <v>86</v>
      </c>
    </row>
    <row r="4704">
      <c r="A4704" s="2">
        <v>4703.0</v>
      </c>
      <c r="B4704" s="2" t="s">
        <v>8108</v>
      </c>
      <c r="C4704" s="2" t="s">
        <v>23</v>
      </c>
      <c r="K4704" s="2">
        <v>30.0</v>
      </c>
      <c r="N4704" s="6">
        <v>45119.0</v>
      </c>
      <c r="Q4704" s="2" t="s">
        <v>546</v>
      </c>
    </row>
    <row r="4705">
      <c r="A4705" s="2">
        <v>4704.0</v>
      </c>
      <c r="B4705" s="2" t="s">
        <v>8109</v>
      </c>
      <c r="C4705" s="2" t="s">
        <v>23</v>
      </c>
      <c r="K4705" s="2">
        <v>10.0</v>
      </c>
      <c r="N4705" s="6">
        <v>45039.0</v>
      </c>
      <c r="Q4705" s="2" t="s">
        <v>86</v>
      </c>
    </row>
    <row r="4706">
      <c r="A4706" s="2">
        <v>4705.0</v>
      </c>
      <c r="B4706" s="2" t="s">
        <v>8110</v>
      </c>
      <c r="C4706" s="2" t="s">
        <v>23</v>
      </c>
      <c r="N4706" s="6">
        <v>44235.0</v>
      </c>
      <c r="Q4706" s="2" t="s">
        <v>86</v>
      </c>
    </row>
    <row r="4707">
      <c r="A4707" s="2">
        <v>4706.0</v>
      </c>
      <c r="B4707" s="2" t="s">
        <v>8111</v>
      </c>
      <c r="C4707" s="2" t="s">
        <v>23</v>
      </c>
      <c r="K4707" s="2">
        <v>30.0</v>
      </c>
      <c r="N4707" s="6">
        <v>44340.0</v>
      </c>
      <c r="Q4707" s="2" t="s">
        <v>86</v>
      </c>
    </row>
    <row r="4708">
      <c r="A4708" s="2">
        <v>4707.0</v>
      </c>
      <c r="B4708" s="2" t="s">
        <v>8112</v>
      </c>
      <c r="C4708" s="2" t="s">
        <v>23</v>
      </c>
      <c r="N4708" s="6">
        <v>45251.0</v>
      </c>
      <c r="Q4708" s="2" t="s">
        <v>86</v>
      </c>
    </row>
    <row r="4709">
      <c r="A4709" s="2">
        <v>4708.0</v>
      </c>
      <c r="B4709" s="2" t="s">
        <v>8113</v>
      </c>
      <c r="C4709" s="2" t="s">
        <v>23</v>
      </c>
      <c r="N4709" s="6">
        <v>44131.0</v>
      </c>
      <c r="Q4709" s="2" t="s">
        <v>118</v>
      </c>
    </row>
    <row r="4710">
      <c r="A4710" s="2">
        <v>4709.0</v>
      </c>
      <c r="B4710" s="2" t="s">
        <v>8114</v>
      </c>
      <c r="C4710" s="2" t="s">
        <v>23</v>
      </c>
      <c r="K4710" s="2">
        <v>20.0</v>
      </c>
      <c r="N4710" s="6">
        <v>44294.0</v>
      </c>
      <c r="Q4710" s="2" t="s">
        <v>1790</v>
      </c>
    </row>
    <row r="4711">
      <c r="A4711" s="2">
        <v>4710.0</v>
      </c>
      <c r="B4711" s="2" t="s">
        <v>8115</v>
      </c>
      <c r="C4711" s="2" t="s">
        <v>23</v>
      </c>
      <c r="K4711" s="2">
        <v>30.0</v>
      </c>
      <c r="N4711" s="6">
        <v>45541.0</v>
      </c>
      <c r="Q4711" s="2" t="s">
        <v>6362</v>
      </c>
    </row>
    <row r="4712">
      <c r="A4712" s="2">
        <v>4711.0</v>
      </c>
      <c r="B4712" s="2" t="s">
        <v>8116</v>
      </c>
      <c r="C4712" s="2" t="s">
        <v>23</v>
      </c>
      <c r="N4712" s="6">
        <v>44736.0</v>
      </c>
      <c r="Q4712" s="2" t="s">
        <v>401</v>
      </c>
    </row>
    <row r="4713">
      <c r="A4713" s="2">
        <v>4712.0</v>
      </c>
      <c r="B4713" s="2" t="s">
        <v>8117</v>
      </c>
      <c r="C4713" s="2" t="s">
        <v>23</v>
      </c>
      <c r="K4713" s="2">
        <v>80.0</v>
      </c>
      <c r="N4713" s="6">
        <v>43939.0</v>
      </c>
      <c r="Q4713" s="2" t="s">
        <v>8118</v>
      </c>
    </row>
    <row r="4714">
      <c r="A4714" s="2">
        <v>4713.0</v>
      </c>
      <c r="B4714" s="2" t="s">
        <v>8119</v>
      </c>
      <c r="C4714" s="2" t="s">
        <v>23</v>
      </c>
      <c r="K4714" s="2">
        <v>20.0</v>
      </c>
      <c r="N4714" s="6">
        <v>44264.0</v>
      </c>
      <c r="Q4714" s="2" t="s">
        <v>2583</v>
      </c>
    </row>
    <row r="4715">
      <c r="A4715" s="2">
        <v>4714.0</v>
      </c>
      <c r="B4715" s="2" t="s">
        <v>312</v>
      </c>
      <c r="C4715" s="2" t="s">
        <v>23</v>
      </c>
      <c r="K4715" s="2">
        <v>30.0</v>
      </c>
      <c r="N4715" s="6">
        <v>43696.0</v>
      </c>
      <c r="Q4715" s="2" t="s">
        <v>315</v>
      </c>
    </row>
    <row r="4716">
      <c r="A4716" s="2">
        <v>4715.0</v>
      </c>
      <c r="B4716" s="2" t="s">
        <v>8120</v>
      </c>
      <c r="C4716" s="2" t="s">
        <v>23</v>
      </c>
      <c r="N4716" s="6">
        <v>45507.0</v>
      </c>
      <c r="Q4716" s="2" t="s">
        <v>8121</v>
      </c>
    </row>
    <row r="4717">
      <c r="A4717" s="2">
        <v>4716.0</v>
      </c>
      <c r="B4717" s="2" t="s">
        <v>8122</v>
      </c>
      <c r="C4717" s="2" t="s">
        <v>23</v>
      </c>
      <c r="K4717" s="2">
        <v>10.0</v>
      </c>
      <c r="N4717" s="6">
        <v>44226.0</v>
      </c>
      <c r="Q4717" s="2" t="s">
        <v>8123</v>
      </c>
    </row>
    <row r="4718">
      <c r="A4718" s="2">
        <v>4717.0</v>
      </c>
      <c r="B4718" s="2" t="s">
        <v>8124</v>
      </c>
      <c r="C4718" s="2" t="s">
        <v>23</v>
      </c>
      <c r="K4718" s="2">
        <v>30.0</v>
      </c>
      <c r="N4718" s="6">
        <v>45577.0</v>
      </c>
      <c r="Q4718" s="2" t="s">
        <v>8125</v>
      </c>
    </row>
    <row r="4719">
      <c r="A4719" s="2">
        <v>4718.0</v>
      </c>
      <c r="B4719" s="2" t="s">
        <v>8126</v>
      </c>
      <c r="C4719" s="2" t="s">
        <v>23</v>
      </c>
      <c r="K4719" s="2">
        <v>60.0</v>
      </c>
      <c r="N4719" s="6">
        <v>44034.0</v>
      </c>
      <c r="Q4719" s="2" t="s">
        <v>8127</v>
      </c>
    </row>
    <row r="4720">
      <c r="A4720" s="2">
        <v>4719.0</v>
      </c>
      <c r="B4720" s="2" t="s">
        <v>8128</v>
      </c>
      <c r="C4720" s="2" t="s">
        <v>23</v>
      </c>
      <c r="N4720" s="6">
        <v>44386.0</v>
      </c>
      <c r="Q4720" s="2" t="s">
        <v>86</v>
      </c>
    </row>
    <row r="4721">
      <c r="A4721" s="2">
        <v>4720.0</v>
      </c>
      <c r="B4721" s="2" t="s">
        <v>8129</v>
      </c>
      <c r="C4721" s="2" t="s">
        <v>23</v>
      </c>
      <c r="K4721" s="2">
        <v>70.0</v>
      </c>
      <c r="N4721" s="6">
        <v>43957.0</v>
      </c>
      <c r="Q4721" s="2" t="s">
        <v>8130</v>
      </c>
    </row>
    <row r="4722">
      <c r="A4722" s="2">
        <v>4721.0</v>
      </c>
      <c r="B4722" s="2" t="s">
        <v>8131</v>
      </c>
      <c r="C4722" s="2" t="s">
        <v>23</v>
      </c>
      <c r="K4722" s="2">
        <v>20.0</v>
      </c>
      <c r="N4722" s="6">
        <v>45004.0</v>
      </c>
      <c r="Q4722" s="2" t="s">
        <v>86</v>
      </c>
    </row>
    <row r="4723">
      <c r="A4723" s="2">
        <v>4722.0</v>
      </c>
      <c r="B4723" s="2" t="s">
        <v>8132</v>
      </c>
      <c r="C4723" s="2" t="s">
        <v>23</v>
      </c>
      <c r="N4723" s="6">
        <v>44293.0</v>
      </c>
      <c r="Q4723" s="2" t="s">
        <v>8133</v>
      </c>
    </row>
    <row r="4724">
      <c r="A4724" s="2">
        <v>4723.0</v>
      </c>
      <c r="B4724" s="2" t="s">
        <v>8134</v>
      </c>
      <c r="C4724" s="2" t="s">
        <v>23</v>
      </c>
      <c r="K4724" s="2">
        <v>30.0</v>
      </c>
      <c r="N4724" s="6">
        <v>44430.0</v>
      </c>
      <c r="Q4724" s="2" t="s">
        <v>546</v>
      </c>
    </row>
    <row r="4725">
      <c r="A4725" s="2">
        <v>4724.0</v>
      </c>
      <c r="B4725" s="2" t="s">
        <v>8135</v>
      </c>
      <c r="C4725" s="2" t="s">
        <v>23</v>
      </c>
      <c r="K4725" s="2">
        <v>10.0</v>
      </c>
      <c r="N4725" s="6">
        <v>42422.0</v>
      </c>
      <c r="Q4725" s="2" t="s">
        <v>8136</v>
      </c>
    </row>
    <row r="4726">
      <c r="A4726" s="2">
        <v>4725.0</v>
      </c>
      <c r="B4726" s="2" t="s">
        <v>8137</v>
      </c>
      <c r="C4726" s="2" t="s">
        <v>23</v>
      </c>
      <c r="K4726" s="2">
        <v>800.0</v>
      </c>
      <c r="N4726" s="6">
        <v>43840.0</v>
      </c>
      <c r="Q4726" s="2" t="s">
        <v>8138</v>
      </c>
    </row>
    <row r="4727">
      <c r="A4727" s="2">
        <v>4726.0</v>
      </c>
      <c r="B4727" s="2" t="s">
        <v>8139</v>
      </c>
      <c r="C4727" s="2" t="s">
        <v>23</v>
      </c>
      <c r="N4727" s="6">
        <v>44547.0</v>
      </c>
      <c r="Q4727" s="2" t="s">
        <v>86</v>
      </c>
    </row>
    <row r="4728">
      <c r="A4728" s="2">
        <v>4727.0</v>
      </c>
      <c r="B4728" s="2" t="s">
        <v>8140</v>
      </c>
      <c r="C4728" s="2" t="s">
        <v>23</v>
      </c>
      <c r="K4728" s="2">
        <v>10.0</v>
      </c>
      <c r="N4728" s="6">
        <v>44776.0</v>
      </c>
      <c r="Q4728" s="2" t="s">
        <v>86</v>
      </c>
    </row>
    <row r="4729">
      <c r="A4729" s="2">
        <v>4728.0</v>
      </c>
      <c r="B4729" s="2" t="s">
        <v>8141</v>
      </c>
      <c r="C4729" s="2" t="s">
        <v>23</v>
      </c>
      <c r="K4729" s="2">
        <v>40.0</v>
      </c>
      <c r="N4729" s="6">
        <v>44379.0</v>
      </c>
      <c r="Q4729" s="2" t="s">
        <v>8142</v>
      </c>
    </row>
    <row r="4730">
      <c r="A4730" s="2">
        <v>4729.0</v>
      </c>
      <c r="B4730" s="2" t="s">
        <v>8143</v>
      </c>
      <c r="C4730" s="2" t="s">
        <v>23</v>
      </c>
      <c r="K4730" s="2">
        <v>10.0</v>
      </c>
      <c r="N4730" s="6">
        <v>45605.0</v>
      </c>
      <c r="Q4730" s="2" t="s">
        <v>5515</v>
      </c>
    </row>
    <row r="4731">
      <c r="A4731" s="2">
        <v>4730.0</v>
      </c>
      <c r="B4731" s="2" t="s">
        <v>8144</v>
      </c>
      <c r="C4731" s="2" t="s">
        <v>23</v>
      </c>
      <c r="K4731" s="2">
        <v>10.0</v>
      </c>
      <c r="N4731" s="6">
        <v>44742.0</v>
      </c>
      <c r="Q4731" s="2" t="s">
        <v>4913</v>
      </c>
    </row>
    <row r="4732">
      <c r="A4732" s="2">
        <v>4731.0</v>
      </c>
      <c r="B4732" s="2" t="s">
        <v>8145</v>
      </c>
      <c r="C4732" s="2" t="s">
        <v>23</v>
      </c>
      <c r="K4732" s="2">
        <v>150.0</v>
      </c>
      <c r="N4732" s="6">
        <v>44171.0</v>
      </c>
      <c r="Q4732" s="2" t="s">
        <v>8146</v>
      </c>
    </row>
    <row r="4733">
      <c r="A4733" s="2">
        <v>4732.0</v>
      </c>
      <c r="B4733" s="2" t="s">
        <v>8147</v>
      </c>
      <c r="C4733" s="2" t="s">
        <v>23</v>
      </c>
      <c r="N4733" s="6">
        <v>45611.0</v>
      </c>
      <c r="Q4733" s="2" t="s">
        <v>3724</v>
      </c>
    </row>
    <row r="4734">
      <c r="A4734" s="2">
        <v>4733.0</v>
      </c>
      <c r="B4734" s="2" t="s">
        <v>8148</v>
      </c>
      <c r="C4734" s="2" t="s">
        <v>23</v>
      </c>
      <c r="K4734" s="2">
        <v>150.0</v>
      </c>
      <c r="N4734" s="6">
        <v>44263.0</v>
      </c>
      <c r="Q4734" s="2" t="s">
        <v>8149</v>
      </c>
    </row>
    <row r="4735">
      <c r="A4735" s="2">
        <v>4734.0</v>
      </c>
      <c r="B4735" s="2" t="s">
        <v>8150</v>
      </c>
      <c r="C4735" s="2" t="s">
        <v>23</v>
      </c>
      <c r="N4735" s="6">
        <v>45452.0</v>
      </c>
      <c r="Q4735" s="2" t="s">
        <v>546</v>
      </c>
    </row>
    <row r="4736">
      <c r="A4736" s="2">
        <v>4735.0</v>
      </c>
      <c r="B4736" s="2" t="s">
        <v>8151</v>
      </c>
      <c r="C4736" s="2" t="s">
        <v>23</v>
      </c>
      <c r="K4736" s="2">
        <v>150.0</v>
      </c>
      <c r="N4736" s="6">
        <v>44257.0</v>
      </c>
      <c r="Q4736" s="2" t="s">
        <v>8152</v>
      </c>
    </row>
    <row r="4737">
      <c r="A4737" s="2">
        <v>4736.0</v>
      </c>
      <c r="B4737" s="2" t="s">
        <v>8153</v>
      </c>
      <c r="C4737" s="2" t="s">
        <v>23</v>
      </c>
      <c r="N4737" s="6">
        <v>44262.0</v>
      </c>
      <c r="Q4737" s="2" t="s">
        <v>546</v>
      </c>
    </row>
    <row r="4738">
      <c r="A4738" s="2">
        <v>4737.0</v>
      </c>
      <c r="B4738" s="2" t="s">
        <v>8154</v>
      </c>
      <c r="C4738" s="2" t="s">
        <v>23</v>
      </c>
      <c r="K4738" s="2">
        <v>10.0</v>
      </c>
      <c r="N4738" s="6">
        <v>46192.0</v>
      </c>
      <c r="Q4738" s="2" t="s">
        <v>8155</v>
      </c>
    </row>
    <row r="4739">
      <c r="A4739" s="2">
        <v>4738.0</v>
      </c>
      <c r="B4739" s="2" t="s">
        <v>8156</v>
      </c>
      <c r="C4739" s="2" t="s">
        <v>23</v>
      </c>
      <c r="K4739" s="2">
        <v>20.0</v>
      </c>
      <c r="N4739" s="6">
        <v>44136.0</v>
      </c>
      <c r="Q4739" s="2" t="s">
        <v>1711</v>
      </c>
    </row>
    <row r="4740">
      <c r="A4740" s="2">
        <v>4739.0</v>
      </c>
      <c r="B4740" s="2" t="s">
        <v>8157</v>
      </c>
      <c r="C4740" s="2" t="s">
        <v>23</v>
      </c>
      <c r="K4740" s="2">
        <v>70.0</v>
      </c>
      <c r="N4740" s="6">
        <v>45566.0</v>
      </c>
      <c r="Q4740" s="2" t="s">
        <v>8158</v>
      </c>
    </row>
    <row r="4741">
      <c r="A4741" s="2">
        <v>4740.0</v>
      </c>
      <c r="B4741" s="2" t="s">
        <v>8159</v>
      </c>
      <c r="C4741" s="2" t="s">
        <v>23</v>
      </c>
      <c r="K4741" s="2">
        <v>70.0</v>
      </c>
      <c r="N4741" s="6">
        <v>44302.0</v>
      </c>
      <c r="Q4741" s="2" t="s">
        <v>4958</v>
      </c>
    </row>
    <row r="4742">
      <c r="A4742" s="2">
        <v>4741.0</v>
      </c>
      <c r="B4742" s="2" t="s">
        <v>8160</v>
      </c>
      <c r="C4742" s="2" t="s">
        <v>23</v>
      </c>
      <c r="N4742" s="6">
        <v>44641.0</v>
      </c>
      <c r="Q4742" s="2" t="s">
        <v>86</v>
      </c>
    </row>
    <row r="4743">
      <c r="A4743" s="2">
        <v>4742.0</v>
      </c>
      <c r="B4743" s="2" t="s">
        <v>8161</v>
      </c>
      <c r="C4743" s="2" t="s">
        <v>23</v>
      </c>
      <c r="K4743" s="2">
        <v>200.0</v>
      </c>
      <c r="N4743" s="6">
        <v>42275.0</v>
      </c>
      <c r="Q4743" s="2" t="s">
        <v>8162</v>
      </c>
    </row>
    <row r="4744">
      <c r="A4744" s="2">
        <v>4743.0</v>
      </c>
      <c r="B4744" s="2" t="s">
        <v>8163</v>
      </c>
      <c r="C4744" s="2" t="s">
        <v>23</v>
      </c>
      <c r="K4744" s="2">
        <v>10.0</v>
      </c>
      <c r="N4744" s="6">
        <v>44183.0</v>
      </c>
      <c r="Q4744" s="2" t="s">
        <v>1249</v>
      </c>
    </row>
    <row r="4745">
      <c r="A4745" s="2">
        <v>4744.0</v>
      </c>
      <c r="B4745" s="2" t="s">
        <v>8164</v>
      </c>
      <c r="C4745" s="2" t="s">
        <v>23</v>
      </c>
      <c r="K4745" s="2">
        <v>30.0</v>
      </c>
      <c r="N4745" s="6">
        <v>44116.0</v>
      </c>
      <c r="Q4745" s="2" t="s">
        <v>1437</v>
      </c>
    </row>
    <row r="4746">
      <c r="A4746" s="2">
        <v>4745.0</v>
      </c>
      <c r="B4746" s="2" t="s">
        <v>8165</v>
      </c>
      <c r="C4746" s="2" t="s">
        <v>23</v>
      </c>
      <c r="K4746" s="2">
        <v>80.0</v>
      </c>
      <c r="N4746" s="6">
        <v>45152.0</v>
      </c>
      <c r="Q4746" s="2" t="s">
        <v>8166</v>
      </c>
    </row>
    <row r="4747">
      <c r="A4747" s="2">
        <v>4746.0</v>
      </c>
      <c r="B4747" s="2" t="s">
        <v>8167</v>
      </c>
      <c r="C4747" s="2" t="s">
        <v>23</v>
      </c>
      <c r="K4747" s="2">
        <v>60.0</v>
      </c>
      <c r="N4747" s="6">
        <v>45501.0</v>
      </c>
      <c r="Q4747" s="2" t="s">
        <v>1675</v>
      </c>
    </row>
    <row r="4748">
      <c r="A4748" s="2">
        <v>4747.0</v>
      </c>
      <c r="B4748" s="2" t="s">
        <v>8168</v>
      </c>
      <c r="C4748" s="2" t="s">
        <v>23</v>
      </c>
      <c r="K4748" s="2">
        <v>20.0</v>
      </c>
      <c r="N4748" s="6">
        <v>45755.0</v>
      </c>
      <c r="Q4748" s="2" t="s">
        <v>8169</v>
      </c>
    </row>
    <row r="4749">
      <c r="A4749" s="2">
        <v>4748.0</v>
      </c>
      <c r="B4749" s="2" t="s">
        <v>8170</v>
      </c>
      <c r="C4749" s="2" t="s">
        <v>23</v>
      </c>
      <c r="K4749" s="2">
        <v>10.0</v>
      </c>
      <c r="N4749" s="6">
        <v>45810.0</v>
      </c>
      <c r="Q4749" s="2" t="s">
        <v>8171</v>
      </c>
    </row>
    <row r="4750">
      <c r="A4750" s="2">
        <v>4749.0</v>
      </c>
      <c r="B4750" s="2" t="s">
        <v>8172</v>
      </c>
      <c r="C4750" s="2" t="s">
        <v>23</v>
      </c>
      <c r="N4750" s="6">
        <v>44683.0</v>
      </c>
      <c r="Q4750" s="2" t="s">
        <v>86</v>
      </c>
    </row>
    <row r="4751">
      <c r="A4751" s="2">
        <v>4750.0</v>
      </c>
      <c r="B4751" s="2" t="s">
        <v>8173</v>
      </c>
      <c r="C4751" s="2" t="s">
        <v>23</v>
      </c>
      <c r="N4751" s="6">
        <v>44682.0</v>
      </c>
      <c r="Q4751" s="2" t="s">
        <v>1116</v>
      </c>
    </row>
    <row r="4752">
      <c r="A4752" s="2">
        <v>4751.0</v>
      </c>
      <c r="B4752" s="2" t="s">
        <v>8174</v>
      </c>
      <c r="C4752" s="2" t="s">
        <v>23</v>
      </c>
      <c r="K4752" s="2">
        <v>10.0</v>
      </c>
      <c r="N4752" s="6">
        <v>43971.0</v>
      </c>
      <c r="Q4752" s="2" t="s">
        <v>86</v>
      </c>
    </row>
    <row r="4753">
      <c r="A4753" s="2">
        <v>4752.0</v>
      </c>
      <c r="B4753" s="2" t="s">
        <v>8175</v>
      </c>
      <c r="C4753" s="2" t="s">
        <v>23</v>
      </c>
      <c r="N4753" s="6">
        <v>44534.0</v>
      </c>
      <c r="Q4753" s="2" t="s">
        <v>86</v>
      </c>
    </row>
    <row r="4754">
      <c r="A4754" s="2">
        <v>4753.0</v>
      </c>
      <c r="B4754" s="2" t="s">
        <v>8176</v>
      </c>
      <c r="C4754" s="2" t="s">
        <v>23</v>
      </c>
      <c r="K4754" s="2">
        <v>10.0</v>
      </c>
      <c r="N4754" s="6">
        <v>44220.0</v>
      </c>
      <c r="Q4754" s="2" t="s">
        <v>401</v>
      </c>
    </row>
    <row r="4755">
      <c r="A4755" s="2">
        <v>4754.0</v>
      </c>
      <c r="B4755" s="2" t="s">
        <v>8177</v>
      </c>
      <c r="C4755" s="2" t="s">
        <v>23</v>
      </c>
      <c r="K4755" s="2">
        <v>80.0</v>
      </c>
      <c r="N4755" s="6">
        <v>45736.0</v>
      </c>
      <c r="Q4755" s="2" t="s">
        <v>8178</v>
      </c>
    </row>
    <row r="4756">
      <c r="A4756" s="2">
        <v>4755.0</v>
      </c>
      <c r="B4756" s="2" t="s">
        <v>8179</v>
      </c>
      <c r="C4756" s="2" t="s">
        <v>23</v>
      </c>
      <c r="N4756" s="6">
        <v>44563.0</v>
      </c>
      <c r="Q4756" s="2" t="s">
        <v>1116</v>
      </c>
    </row>
    <row r="4757">
      <c r="A4757" s="2">
        <v>4756.0</v>
      </c>
      <c r="B4757" s="2" t="s">
        <v>8180</v>
      </c>
      <c r="C4757" s="2" t="s">
        <v>23</v>
      </c>
      <c r="N4757" s="6">
        <v>44885.0</v>
      </c>
      <c r="Q4757" s="2" t="s">
        <v>8181</v>
      </c>
    </row>
    <row r="4758">
      <c r="A4758" s="2">
        <v>4757.0</v>
      </c>
      <c r="B4758" s="2" t="s">
        <v>8182</v>
      </c>
      <c r="C4758" s="2" t="s">
        <v>23</v>
      </c>
      <c r="K4758" s="2">
        <v>70.0</v>
      </c>
      <c r="N4758" s="6">
        <v>44130.0</v>
      </c>
      <c r="Q4758" s="2" t="s">
        <v>5108</v>
      </c>
    </row>
    <row r="4759">
      <c r="A4759" s="2">
        <v>4758.0</v>
      </c>
      <c r="B4759" s="2" t="s">
        <v>8183</v>
      </c>
      <c r="C4759" s="2" t="s">
        <v>23</v>
      </c>
      <c r="K4759" s="2">
        <v>10.0</v>
      </c>
      <c r="N4759" s="6">
        <v>44114.0</v>
      </c>
      <c r="Q4759" s="2" t="s">
        <v>2876</v>
      </c>
    </row>
    <row r="4760">
      <c r="A4760" s="2">
        <v>4759.0</v>
      </c>
      <c r="B4760" s="2" t="s">
        <v>8184</v>
      </c>
      <c r="C4760" s="2" t="s">
        <v>23</v>
      </c>
      <c r="K4760" s="2">
        <v>30.0</v>
      </c>
      <c r="N4760" s="6">
        <v>44472.0</v>
      </c>
      <c r="Q4760" s="2" t="s">
        <v>94</v>
      </c>
    </row>
    <row r="4761">
      <c r="A4761" s="2">
        <v>4760.0</v>
      </c>
      <c r="B4761" s="2" t="s">
        <v>8185</v>
      </c>
      <c r="C4761" s="2" t="s">
        <v>23</v>
      </c>
      <c r="K4761" s="2">
        <v>40.0</v>
      </c>
      <c r="N4761" s="6">
        <v>44832.0</v>
      </c>
      <c r="Q4761" s="2" t="s">
        <v>1156</v>
      </c>
    </row>
    <row r="4762">
      <c r="A4762" s="2">
        <v>4761.0</v>
      </c>
      <c r="B4762" s="2" t="s">
        <v>8186</v>
      </c>
      <c r="C4762" s="2" t="s">
        <v>23</v>
      </c>
      <c r="N4762" s="6">
        <v>44867.0</v>
      </c>
      <c r="Q4762" s="2" t="s">
        <v>1070</v>
      </c>
    </row>
    <row r="4763">
      <c r="A4763" s="2">
        <v>4762.0</v>
      </c>
      <c r="B4763" s="2" t="s">
        <v>8187</v>
      </c>
      <c r="C4763" s="2" t="s">
        <v>23</v>
      </c>
      <c r="K4763" s="2">
        <v>40.0</v>
      </c>
      <c r="N4763" s="6">
        <v>45692.0</v>
      </c>
      <c r="Q4763" s="2" t="s">
        <v>8188</v>
      </c>
    </row>
    <row r="4764">
      <c r="A4764" s="2">
        <v>4763.0</v>
      </c>
      <c r="B4764" s="2" t="s">
        <v>8189</v>
      </c>
      <c r="C4764" s="2" t="s">
        <v>23</v>
      </c>
      <c r="K4764" s="2">
        <v>70.0</v>
      </c>
      <c r="N4764" s="6">
        <v>44235.0</v>
      </c>
      <c r="Q4764" s="2" t="s">
        <v>8190</v>
      </c>
    </row>
    <row r="4765">
      <c r="A4765" s="2">
        <v>4764.0</v>
      </c>
      <c r="B4765" s="2" t="s">
        <v>8191</v>
      </c>
      <c r="C4765" s="2" t="s">
        <v>23</v>
      </c>
      <c r="N4765" s="6">
        <v>44564.0</v>
      </c>
      <c r="Q4765" s="2" t="s">
        <v>3724</v>
      </c>
    </row>
    <row r="4766">
      <c r="A4766" s="2">
        <v>4765.0</v>
      </c>
      <c r="B4766" s="2" t="s">
        <v>8192</v>
      </c>
      <c r="C4766" s="2" t="s">
        <v>23</v>
      </c>
      <c r="N4766" s="6">
        <v>44124.0</v>
      </c>
      <c r="Q4766" s="2" t="s">
        <v>200</v>
      </c>
    </row>
    <row r="4767">
      <c r="A4767" s="2">
        <v>4766.0</v>
      </c>
      <c r="B4767" s="2" t="s">
        <v>8193</v>
      </c>
      <c r="C4767" s="2" t="s">
        <v>23</v>
      </c>
      <c r="N4767" s="6">
        <v>42338.0</v>
      </c>
      <c r="Q4767" s="2" t="s">
        <v>86</v>
      </c>
    </row>
    <row r="4768">
      <c r="A4768" s="2">
        <v>4767.0</v>
      </c>
      <c r="B4768" s="2" t="s">
        <v>8194</v>
      </c>
      <c r="C4768" s="2" t="s">
        <v>23</v>
      </c>
      <c r="K4768" s="2">
        <v>10.0</v>
      </c>
      <c r="N4768" s="6">
        <v>43965.0</v>
      </c>
      <c r="Q4768" s="2" t="s">
        <v>8195</v>
      </c>
    </row>
    <row r="4769">
      <c r="A4769" s="2">
        <v>4768.0</v>
      </c>
      <c r="B4769" s="2" t="s">
        <v>8196</v>
      </c>
      <c r="C4769" s="2" t="s">
        <v>23</v>
      </c>
      <c r="K4769" s="2">
        <v>30.0</v>
      </c>
      <c r="N4769" s="6">
        <v>44556.0</v>
      </c>
      <c r="Q4769" s="2" t="s">
        <v>8197</v>
      </c>
    </row>
    <row r="4770">
      <c r="A4770" s="2">
        <v>4769.0</v>
      </c>
      <c r="B4770" s="2" t="s">
        <v>8198</v>
      </c>
      <c r="C4770" s="2" t="s">
        <v>23</v>
      </c>
      <c r="K4770" s="2">
        <v>40.0</v>
      </c>
      <c r="N4770" s="6">
        <v>44034.0</v>
      </c>
      <c r="Q4770" s="2" t="s">
        <v>8199</v>
      </c>
    </row>
    <row r="4771">
      <c r="A4771" s="2">
        <v>4770.0</v>
      </c>
      <c r="B4771" s="2" t="s">
        <v>8200</v>
      </c>
      <c r="C4771" s="2" t="s">
        <v>23</v>
      </c>
      <c r="K4771" s="2">
        <v>200.0</v>
      </c>
      <c r="N4771" s="6">
        <v>42704.0</v>
      </c>
      <c r="Q4771" s="2" t="s">
        <v>8201</v>
      </c>
    </row>
    <row r="4772">
      <c r="A4772" s="2">
        <v>4771.0</v>
      </c>
      <c r="B4772" s="2" t="s">
        <v>8202</v>
      </c>
      <c r="C4772" s="2" t="s">
        <v>23</v>
      </c>
      <c r="K4772" s="2">
        <v>20.0</v>
      </c>
      <c r="N4772" s="6">
        <v>45735.0</v>
      </c>
      <c r="Q4772" s="2" t="s">
        <v>2840</v>
      </c>
    </row>
    <row r="4773">
      <c r="A4773" s="2">
        <v>4772.0</v>
      </c>
      <c r="B4773" s="2" t="s">
        <v>8203</v>
      </c>
      <c r="C4773" s="2" t="s">
        <v>23</v>
      </c>
      <c r="K4773" s="2">
        <v>30.0</v>
      </c>
      <c r="N4773" s="6">
        <v>44823.0</v>
      </c>
      <c r="Q4773" s="2" t="s">
        <v>8204</v>
      </c>
    </row>
    <row r="4774">
      <c r="A4774" s="2">
        <v>4773.0</v>
      </c>
      <c r="B4774" s="2" t="s">
        <v>8205</v>
      </c>
      <c r="C4774" s="2" t="s">
        <v>23</v>
      </c>
      <c r="K4774" s="2">
        <v>40.0</v>
      </c>
      <c r="N4774" s="6">
        <v>45249.0</v>
      </c>
      <c r="Q4774" s="2" t="s">
        <v>60</v>
      </c>
    </row>
    <row r="4775">
      <c r="A4775" s="2">
        <v>4774.0</v>
      </c>
      <c r="B4775" s="2" t="s">
        <v>8206</v>
      </c>
      <c r="C4775" s="2" t="s">
        <v>23</v>
      </c>
      <c r="K4775" s="2">
        <v>10.0</v>
      </c>
      <c r="N4775" s="6">
        <v>43873.0</v>
      </c>
      <c r="Q4775" s="2" t="s">
        <v>8207</v>
      </c>
    </row>
    <row r="4776">
      <c r="A4776" s="2">
        <v>4775.0</v>
      </c>
      <c r="B4776" s="2" t="s">
        <v>8208</v>
      </c>
      <c r="C4776" s="2" t="s">
        <v>23</v>
      </c>
      <c r="N4776" s="6">
        <v>44345.0</v>
      </c>
      <c r="Q4776" s="2" t="s">
        <v>86</v>
      </c>
    </row>
    <row r="4777">
      <c r="A4777" s="2">
        <v>4776.0</v>
      </c>
      <c r="B4777" s="2" t="s">
        <v>8209</v>
      </c>
      <c r="C4777" s="2" t="s">
        <v>23</v>
      </c>
      <c r="K4777" s="2">
        <v>60.0</v>
      </c>
      <c r="N4777" s="6">
        <v>45549.0</v>
      </c>
      <c r="Q4777" s="2" t="s">
        <v>8210</v>
      </c>
    </row>
    <row r="4778">
      <c r="A4778" s="2">
        <v>4777.0</v>
      </c>
      <c r="B4778" s="2" t="s">
        <v>8211</v>
      </c>
      <c r="C4778" s="2" t="s">
        <v>23</v>
      </c>
      <c r="K4778" s="2">
        <v>100.0</v>
      </c>
      <c r="N4778" s="6">
        <v>44187.0</v>
      </c>
      <c r="Q4778" s="2" t="s">
        <v>1466</v>
      </c>
    </row>
    <row r="4779">
      <c r="A4779" s="2">
        <v>4778.0</v>
      </c>
      <c r="B4779" s="2" t="s">
        <v>8212</v>
      </c>
      <c r="C4779" s="2" t="s">
        <v>23</v>
      </c>
      <c r="N4779" s="6">
        <v>44702.0</v>
      </c>
      <c r="Q4779" s="2" t="s">
        <v>1070</v>
      </c>
    </row>
    <row r="4780">
      <c r="A4780" s="2">
        <v>4779.0</v>
      </c>
      <c r="B4780" s="2" t="s">
        <v>8213</v>
      </c>
      <c r="C4780" s="2" t="s">
        <v>23</v>
      </c>
      <c r="K4780" s="2">
        <v>30.0</v>
      </c>
      <c r="N4780" s="6">
        <v>45194.0</v>
      </c>
      <c r="Q4780" s="2" t="s">
        <v>3745</v>
      </c>
    </row>
    <row r="4781">
      <c r="A4781" s="2">
        <v>4780.0</v>
      </c>
      <c r="B4781" s="2" t="s">
        <v>8214</v>
      </c>
      <c r="C4781" s="2" t="s">
        <v>23</v>
      </c>
      <c r="N4781" s="6">
        <v>44483.0</v>
      </c>
      <c r="Q4781" s="2" t="s">
        <v>86</v>
      </c>
    </row>
    <row r="4782">
      <c r="A4782" s="2">
        <v>4781.0</v>
      </c>
      <c r="B4782" s="2" t="s">
        <v>8215</v>
      </c>
      <c r="C4782" s="2" t="s">
        <v>23</v>
      </c>
      <c r="K4782" s="2">
        <v>10.0</v>
      </c>
      <c r="N4782" s="6">
        <v>43995.0</v>
      </c>
      <c r="Q4782" s="2" t="s">
        <v>1249</v>
      </c>
    </row>
    <row r="4783">
      <c r="A4783" s="2">
        <v>4782.0</v>
      </c>
      <c r="B4783" s="2" t="s">
        <v>8216</v>
      </c>
      <c r="C4783" s="2" t="s">
        <v>23</v>
      </c>
      <c r="N4783" s="6">
        <v>46107.0</v>
      </c>
      <c r="Q4783" s="2" t="s">
        <v>8217</v>
      </c>
    </row>
    <row r="4784">
      <c r="A4784" s="2">
        <v>4783.0</v>
      </c>
      <c r="B4784" s="2" t="s">
        <v>8218</v>
      </c>
      <c r="C4784" s="2" t="s">
        <v>23</v>
      </c>
      <c r="N4784" s="6">
        <v>42450.0</v>
      </c>
      <c r="Q4784" s="2" t="s">
        <v>86</v>
      </c>
    </row>
    <row r="4785">
      <c r="A4785" s="2">
        <v>4784.0</v>
      </c>
      <c r="B4785" s="2" t="s">
        <v>8219</v>
      </c>
      <c r="C4785" s="2" t="s">
        <v>23</v>
      </c>
      <c r="K4785" s="2">
        <v>10.0</v>
      </c>
      <c r="N4785" s="6">
        <v>45161.0</v>
      </c>
      <c r="Q4785" s="2" t="s">
        <v>8220</v>
      </c>
    </row>
    <row r="4786">
      <c r="A4786" s="2">
        <v>4785.0</v>
      </c>
      <c r="B4786" s="2" t="s">
        <v>8221</v>
      </c>
      <c r="C4786" s="2" t="s">
        <v>23</v>
      </c>
      <c r="K4786" s="2">
        <v>150.0</v>
      </c>
      <c r="N4786" s="6">
        <v>44141.0</v>
      </c>
      <c r="Q4786" s="2" t="s">
        <v>8222</v>
      </c>
    </row>
    <row r="4787">
      <c r="A4787" s="2">
        <v>4786.0</v>
      </c>
      <c r="B4787" s="2" t="s">
        <v>8223</v>
      </c>
      <c r="C4787" s="2" t="s">
        <v>23</v>
      </c>
      <c r="K4787" s="2">
        <v>70.0</v>
      </c>
      <c r="N4787" s="6">
        <v>45608.0</v>
      </c>
      <c r="Q4787" s="2" t="s">
        <v>8224</v>
      </c>
    </row>
    <row r="4788">
      <c r="A4788" s="2">
        <v>4787.0</v>
      </c>
      <c r="B4788" s="2" t="s">
        <v>8225</v>
      </c>
      <c r="C4788" s="2" t="s">
        <v>23</v>
      </c>
      <c r="K4788" s="2">
        <v>20.0</v>
      </c>
      <c r="N4788" s="6">
        <v>45005.0</v>
      </c>
      <c r="Q4788" s="2" t="s">
        <v>60</v>
      </c>
    </row>
    <row r="4789">
      <c r="A4789" s="2">
        <v>4788.0</v>
      </c>
      <c r="B4789" s="2" t="s">
        <v>8226</v>
      </c>
      <c r="C4789" s="2" t="s">
        <v>23</v>
      </c>
      <c r="N4789" s="6">
        <v>44124.0</v>
      </c>
      <c r="Q4789" s="2" t="s">
        <v>86</v>
      </c>
    </row>
    <row r="4790">
      <c r="A4790" s="2">
        <v>4789.0</v>
      </c>
      <c r="B4790" s="2" t="s">
        <v>8227</v>
      </c>
      <c r="C4790" s="2" t="s">
        <v>23</v>
      </c>
      <c r="K4790" s="2">
        <v>10.0</v>
      </c>
      <c r="N4790" s="6">
        <v>45309.0</v>
      </c>
      <c r="Q4790" s="2" t="s">
        <v>8228</v>
      </c>
    </row>
    <row r="4791">
      <c r="A4791" s="2">
        <v>4790.0</v>
      </c>
      <c r="B4791" s="2" t="s">
        <v>8229</v>
      </c>
      <c r="C4791" s="2" t="s">
        <v>23</v>
      </c>
      <c r="K4791" s="2">
        <v>20.0</v>
      </c>
      <c r="N4791" s="6">
        <v>44708.0</v>
      </c>
      <c r="Q4791" s="2" t="s">
        <v>4759</v>
      </c>
    </row>
    <row r="4792">
      <c r="A4792" s="2">
        <v>4791.0</v>
      </c>
      <c r="B4792" s="2" t="s">
        <v>8230</v>
      </c>
      <c r="C4792" s="2" t="s">
        <v>23</v>
      </c>
      <c r="K4792" s="2">
        <v>200.0</v>
      </c>
      <c r="N4792" s="6">
        <v>43960.0</v>
      </c>
      <c r="Q4792" s="2" t="s">
        <v>8231</v>
      </c>
    </row>
    <row r="4793">
      <c r="A4793" s="2">
        <v>4792.0</v>
      </c>
      <c r="B4793" s="2" t="s">
        <v>8232</v>
      </c>
      <c r="C4793" s="2" t="s">
        <v>23</v>
      </c>
      <c r="K4793" s="2">
        <v>80.0</v>
      </c>
      <c r="N4793" s="6">
        <v>44059.0</v>
      </c>
      <c r="Q4793" s="2" t="s">
        <v>8233</v>
      </c>
    </row>
    <row r="4794">
      <c r="A4794" s="2">
        <v>4793.0</v>
      </c>
      <c r="B4794" s="2" t="s">
        <v>8234</v>
      </c>
      <c r="C4794" s="2" t="s">
        <v>23</v>
      </c>
      <c r="K4794" s="2">
        <v>30.0</v>
      </c>
      <c r="N4794" s="6">
        <v>45069.0</v>
      </c>
      <c r="Q4794" s="2" t="s">
        <v>3122</v>
      </c>
    </row>
    <row r="4795">
      <c r="A4795" s="2">
        <v>4794.0</v>
      </c>
      <c r="B4795" s="2" t="s">
        <v>8235</v>
      </c>
      <c r="C4795" s="2" t="s">
        <v>23</v>
      </c>
      <c r="N4795" s="6">
        <v>43976.0</v>
      </c>
      <c r="Q4795" s="2" t="s">
        <v>86</v>
      </c>
    </row>
    <row r="4796">
      <c r="A4796" s="2">
        <v>4795.0</v>
      </c>
      <c r="B4796" s="2" t="s">
        <v>8236</v>
      </c>
      <c r="C4796" s="2" t="s">
        <v>23</v>
      </c>
      <c r="N4796" s="6">
        <v>42334.0</v>
      </c>
      <c r="Q4796" s="2" t="s">
        <v>8237</v>
      </c>
    </row>
    <row r="4797">
      <c r="A4797" s="2">
        <v>4796.0</v>
      </c>
      <c r="B4797" s="2" t="s">
        <v>8238</v>
      </c>
      <c r="C4797" s="2" t="s">
        <v>23</v>
      </c>
      <c r="K4797" s="2">
        <v>30.0</v>
      </c>
      <c r="N4797" s="6">
        <v>43963.0</v>
      </c>
      <c r="Q4797" s="2" t="s">
        <v>8239</v>
      </c>
    </row>
    <row r="4798">
      <c r="A4798" s="2">
        <v>4797.0</v>
      </c>
      <c r="B4798" s="2" t="s">
        <v>8240</v>
      </c>
      <c r="C4798" s="2" t="s">
        <v>23</v>
      </c>
      <c r="K4798" s="2">
        <v>50.0</v>
      </c>
      <c r="N4798" s="6">
        <v>45736.0</v>
      </c>
      <c r="Q4798" s="2" t="s">
        <v>8241</v>
      </c>
    </row>
    <row r="4799">
      <c r="A4799" s="2">
        <v>4798.0</v>
      </c>
      <c r="B4799" s="2" t="s">
        <v>8242</v>
      </c>
      <c r="C4799" s="2" t="s">
        <v>23</v>
      </c>
      <c r="K4799" s="2">
        <v>10.0</v>
      </c>
      <c r="N4799" s="6">
        <v>44040.0</v>
      </c>
      <c r="Q4799" s="2" t="s">
        <v>4153</v>
      </c>
    </row>
    <row r="4800">
      <c r="A4800" s="2">
        <v>4799.0</v>
      </c>
      <c r="B4800" s="2" t="s">
        <v>8243</v>
      </c>
      <c r="C4800" s="2" t="s">
        <v>23</v>
      </c>
      <c r="N4800" s="6">
        <v>43061.0</v>
      </c>
      <c r="Q4800" s="2" t="s">
        <v>86</v>
      </c>
    </row>
    <row r="4801">
      <c r="A4801" s="2">
        <v>4800.0</v>
      </c>
      <c r="B4801" s="2" t="s">
        <v>8244</v>
      </c>
      <c r="C4801" s="2" t="s">
        <v>23</v>
      </c>
      <c r="K4801" s="2">
        <v>70.0</v>
      </c>
      <c r="N4801" s="6">
        <v>44300.0</v>
      </c>
      <c r="Q4801" s="2" t="s">
        <v>2448</v>
      </c>
    </row>
    <row r="4802">
      <c r="A4802" s="2">
        <v>4801.0</v>
      </c>
      <c r="B4802" s="2" t="s">
        <v>8245</v>
      </c>
      <c r="C4802" s="2" t="s">
        <v>23</v>
      </c>
      <c r="K4802" s="2">
        <v>30.0</v>
      </c>
      <c r="N4802" s="6">
        <v>44999.0</v>
      </c>
      <c r="Q4802" s="2" t="s">
        <v>8246</v>
      </c>
    </row>
    <row r="4803">
      <c r="A4803" s="2">
        <v>4802.0</v>
      </c>
      <c r="B4803" s="2" t="s">
        <v>8247</v>
      </c>
      <c r="C4803" s="2" t="s">
        <v>23</v>
      </c>
      <c r="K4803" s="2">
        <v>100.0</v>
      </c>
      <c r="N4803" s="6">
        <v>44543.0</v>
      </c>
      <c r="Q4803" s="2" t="s">
        <v>8248</v>
      </c>
    </row>
    <row r="4804">
      <c r="A4804" s="2">
        <v>4803.0</v>
      </c>
      <c r="B4804" s="2" t="s">
        <v>8249</v>
      </c>
      <c r="C4804" s="2" t="s">
        <v>23</v>
      </c>
      <c r="K4804" s="2">
        <v>40.0</v>
      </c>
      <c r="N4804" s="6">
        <v>43862.0</v>
      </c>
      <c r="Q4804" s="2" t="s">
        <v>8250</v>
      </c>
    </row>
    <row r="4805">
      <c r="A4805" s="2">
        <v>4804.0</v>
      </c>
      <c r="B4805" s="2" t="s">
        <v>8251</v>
      </c>
      <c r="C4805" s="2" t="s">
        <v>23</v>
      </c>
      <c r="K4805" s="2">
        <v>40.0</v>
      </c>
      <c r="N4805" s="6">
        <v>44542.0</v>
      </c>
      <c r="Q4805" s="2" t="s">
        <v>1466</v>
      </c>
    </row>
    <row r="4806">
      <c r="A4806" s="2">
        <v>4805.0</v>
      </c>
      <c r="B4806" s="2" t="s">
        <v>8252</v>
      </c>
      <c r="C4806" s="2" t="s">
        <v>23</v>
      </c>
      <c r="K4806" s="2">
        <v>10.0</v>
      </c>
      <c r="N4806" s="6">
        <v>44696.0</v>
      </c>
      <c r="Q4806" s="2" t="s">
        <v>86</v>
      </c>
    </row>
    <row r="4807">
      <c r="A4807" s="2">
        <v>4806.0</v>
      </c>
      <c r="B4807" s="2" t="s">
        <v>8253</v>
      </c>
      <c r="C4807" s="2" t="s">
        <v>23</v>
      </c>
      <c r="N4807" s="6">
        <v>46007.0</v>
      </c>
      <c r="Q4807" s="2" t="s">
        <v>8254</v>
      </c>
    </row>
    <row r="4808">
      <c r="A4808" s="2">
        <v>4807.0</v>
      </c>
      <c r="B4808" s="2" t="s">
        <v>8255</v>
      </c>
      <c r="C4808" s="2" t="s">
        <v>23</v>
      </c>
      <c r="K4808" s="2">
        <v>40.0</v>
      </c>
      <c r="N4808" s="6">
        <v>45656.0</v>
      </c>
      <c r="Q4808" s="2" t="s">
        <v>2483</v>
      </c>
    </row>
    <row r="4809">
      <c r="A4809" s="2">
        <v>4808.0</v>
      </c>
      <c r="B4809" s="2" t="s">
        <v>319</v>
      </c>
      <c r="C4809" s="2" t="s">
        <v>23</v>
      </c>
      <c r="N4809" s="6">
        <v>45705.0</v>
      </c>
      <c r="Q4809" s="2" t="s">
        <v>321</v>
      </c>
    </row>
    <row r="4810">
      <c r="A4810" s="2">
        <v>4809.0</v>
      </c>
      <c r="B4810" s="2" t="s">
        <v>8256</v>
      </c>
      <c r="C4810" s="2" t="s">
        <v>23</v>
      </c>
      <c r="N4810" s="6">
        <v>44557.0</v>
      </c>
      <c r="Q4810" s="2" t="s">
        <v>86</v>
      </c>
    </row>
    <row r="4811">
      <c r="A4811" s="2">
        <v>4810.0</v>
      </c>
      <c r="B4811" s="2" t="s">
        <v>8257</v>
      </c>
      <c r="C4811" s="2" t="s">
        <v>23</v>
      </c>
      <c r="K4811" s="2">
        <v>150.0</v>
      </c>
      <c r="N4811" s="6">
        <v>44573.0</v>
      </c>
      <c r="Q4811" s="2" t="s">
        <v>8258</v>
      </c>
    </row>
    <row r="4812">
      <c r="A4812" s="2">
        <v>4811.0</v>
      </c>
      <c r="B4812" s="2" t="s">
        <v>8259</v>
      </c>
      <c r="C4812" s="2" t="s">
        <v>23</v>
      </c>
      <c r="N4812" s="6">
        <v>44453.0</v>
      </c>
      <c r="Q4812" s="2" t="s">
        <v>86</v>
      </c>
    </row>
    <row r="4813">
      <c r="A4813" s="2">
        <v>4812.0</v>
      </c>
      <c r="B4813" s="2" t="s">
        <v>8260</v>
      </c>
      <c r="C4813" s="2" t="s">
        <v>23</v>
      </c>
      <c r="N4813" s="6">
        <v>44887.0</v>
      </c>
      <c r="Q4813" s="2" t="s">
        <v>1156</v>
      </c>
    </row>
    <row r="4814">
      <c r="A4814" s="2">
        <v>4813.0</v>
      </c>
      <c r="B4814" s="2" t="s">
        <v>8261</v>
      </c>
      <c r="C4814" s="2" t="s">
        <v>23</v>
      </c>
      <c r="K4814" s="2">
        <v>200.0</v>
      </c>
      <c r="N4814" s="6">
        <v>45562.0</v>
      </c>
      <c r="Q4814" s="2" t="s">
        <v>8262</v>
      </c>
    </row>
    <row r="4815">
      <c r="A4815" s="2">
        <v>4814.0</v>
      </c>
      <c r="B4815" s="2" t="s">
        <v>8263</v>
      </c>
      <c r="C4815" s="2" t="s">
        <v>23</v>
      </c>
      <c r="K4815" s="2">
        <v>200.0</v>
      </c>
      <c r="N4815" s="6">
        <v>45778.0</v>
      </c>
      <c r="Q4815" s="2" t="s">
        <v>7514</v>
      </c>
    </row>
    <row r="4816">
      <c r="A4816" s="2">
        <v>4815.0</v>
      </c>
      <c r="B4816" s="2" t="s">
        <v>8264</v>
      </c>
      <c r="C4816" s="2" t="s">
        <v>23</v>
      </c>
      <c r="K4816" s="2">
        <v>90.0</v>
      </c>
      <c r="N4816" s="6">
        <v>44276.0</v>
      </c>
      <c r="Q4816" s="2" t="s">
        <v>3770</v>
      </c>
    </row>
    <row r="4817">
      <c r="A4817" s="2">
        <v>4816.0</v>
      </c>
      <c r="B4817" s="2" t="s">
        <v>8265</v>
      </c>
      <c r="C4817" s="2" t="s">
        <v>23</v>
      </c>
      <c r="K4817" s="2">
        <v>30.0</v>
      </c>
      <c r="N4817" s="6">
        <v>45532.0</v>
      </c>
      <c r="Q4817" s="2" t="s">
        <v>8266</v>
      </c>
    </row>
    <row r="4818">
      <c r="A4818" s="2">
        <v>4817.0</v>
      </c>
      <c r="B4818" s="2" t="s">
        <v>8267</v>
      </c>
      <c r="C4818" s="2" t="s">
        <v>23</v>
      </c>
      <c r="K4818" s="2">
        <v>40.0</v>
      </c>
      <c r="N4818" s="6">
        <v>45773.0</v>
      </c>
      <c r="Q4818" s="2" t="s">
        <v>8268</v>
      </c>
    </row>
    <row r="4819">
      <c r="A4819" s="2">
        <v>4818.0</v>
      </c>
      <c r="B4819" s="2" t="s">
        <v>258</v>
      </c>
      <c r="C4819" s="2" t="s">
        <v>23</v>
      </c>
      <c r="N4819" s="6">
        <v>42345.0</v>
      </c>
      <c r="Q4819" s="2" t="s">
        <v>261</v>
      </c>
    </row>
    <row r="4820">
      <c r="A4820" s="2">
        <v>4819.0</v>
      </c>
      <c r="B4820" s="2" t="s">
        <v>8269</v>
      </c>
      <c r="C4820" s="2" t="s">
        <v>23</v>
      </c>
      <c r="K4820" s="2">
        <v>10.0</v>
      </c>
      <c r="N4820" s="6">
        <v>45133.0</v>
      </c>
      <c r="Q4820" s="2" t="s">
        <v>86</v>
      </c>
    </row>
    <row r="4821">
      <c r="A4821" s="2">
        <v>4820.0</v>
      </c>
      <c r="B4821" s="2" t="s">
        <v>8270</v>
      </c>
      <c r="C4821" s="2" t="s">
        <v>23</v>
      </c>
      <c r="N4821" s="6">
        <v>45614.0</v>
      </c>
      <c r="Q4821" s="2" t="s">
        <v>8271</v>
      </c>
    </row>
    <row r="4822">
      <c r="A4822" s="2">
        <v>4821.0</v>
      </c>
      <c r="B4822" s="2" t="s">
        <v>8272</v>
      </c>
      <c r="C4822" s="2" t="s">
        <v>23</v>
      </c>
      <c r="K4822" s="2">
        <v>30.0</v>
      </c>
      <c r="N4822" s="6">
        <v>45902.0</v>
      </c>
      <c r="Q4822" s="2" t="s">
        <v>8273</v>
      </c>
    </row>
    <row r="4823">
      <c r="A4823" s="2">
        <v>4822.0</v>
      </c>
      <c r="B4823" s="2" t="s">
        <v>8274</v>
      </c>
      <c r="C4823" s="2" t="s">
        <v>23</v>
      </c>
      <c r="N4823" s="6">
        <v>42509.0</v>
      </c>
      <c r="Q4823" s="2" t="s">
        <v>86</v>
      </c>
    </row>
    <row r="4824">
      <c r="A4824" s="2">
        <v>4823.0</v>
      </c>
      <c r="B4824" s="2" t="s">
        <v>8275</v>
      </c>
      <c r="C4824" s="2" t="s">
        <v>23</v>
      </c>
      <c r="K4824" s="2">
        <v>10.0</v>
      </c>
      <c r="N4824" s="6">
        <v>45144.0</v>
      </c>
      <c r="Q4824" s="2" t="s">
        <v>8276</v>
      </c>
    </row>
    <row r="4825">
      <c r="A4825" s="2">
        <v>4824.0</v>
      </c>
      <c r="B4825" s="2" t="s">
        <v>8277</v>
      </c>
      <c r="C4825" s="2" t="s">
        <v>23</v>
      </c>
      <c r="N4825" s="6">
        <v>44139.0</v>
      </c>
      <c r="Q4825" s="2" t="s">
        <v>86</v>
      </c>
    </row>
    <row r="4826">
      <c r="A4826" s="2">
        <v>4825.0</v>
      </c>
      <c r="B4826" s="2" t="s">
        <v>8278</v>
      </c>
      <c r="C4826" s="2" t="s">
        <v>23</v>
      </c>
      <c r="K4826" s="2">
        <v>40.0</v>
      </c>
      <c r="N4826" s="6">
        <v>44033.0</v>
      </c>
      <c r="Q4826" s="2" t="s">
        <v>86</v>
      </c>
    </row>
    <row r="4827">
      <c r="A4827" s="2">
        <v>4826.0</v>
      </c>
      <c r="B4827" s="2" t="s">
        <v>8279</v>
      </c>
      <c r="C4827" s="2" t="s">
        <v>23</v>
      </c>
      <c r="K4827" s="2">
        <v>150.0</v>
      </c>
      <c r="N4827" s="6">
        <v>43857.0</v>
      </c>
      <c r="Q4827" s="2" t="s">
        <v>8280</v>
      </c>
    </row>
    <row r="4828">
      <c r="A4828" s="2">
        <v>4827.0</v>
      </c>
      <c r="B4828" s="2" t="s">
        <v>8281</v>
      </c>
      <c r="C4828" s="2" t="s">
        <v>23</v>
      </c>
      <c r="K4828" s="2">
        <v>30.0</v>
      </c>
      <c r="N4828" s="6">
        <v>44467.0</v>
      </c>
      <c r="Q4828" s="2" t="s">
        <v>2279</v>
      </c>
    </row>
    <row r="4829">
      <c r="A4829" s="2">
        <v>4828.0</v>
      </c>
      <c r="B4829" s="2" t="s">
        <v>8282</v>
      </c>
      <c r="C4829" s="2" t="s">
        <v>23</v>
      </c>
      <c r="N4829" s="6">
        <v>42550.0</v>
      </c>
      <c r="Q4829" s="2" t="s">
        <v>86</v>
      </c>
    </row>
    <row r="4830">
      <c r="A4830" s="2">
        <v>4829.0</v>
      </c>
      <c r="B4830" s="2" t="s">
        <v>8283</v>
      </c>
      <c r="C4830" s="2" t="s">
        <v>23</v>
      </c>
      <c r="N4830" s="6">
        <v>44084.0</v>
      </c>
      <c r="Q4830" s="2" t="s">
        <v>86</v>
      </c>
    </row>
    <row r="4831">
      <c r="A4831" s="2">
        <v>4830.0</v>
      </c>
      <c r="B4831" s="2" t="s">
        <v>8284</v>
      </c>
      <c r="C4831" s="2" t="s">
        <v>23</v>
      </c>
      <c r="N4831" s="6">
        <v>46004.0</v>
      </c>
      <c r="Q4831" s="2" t="s">
        <v>8285</v>
      </c>
    </row>
    <row r="4832">
      <c r="A4832" s="2">
        <v>4831.0</v>
      </c>
      <c r="B4832" s="2" t="s">
        <v>8286</v>
      </c>
      <c r="C4832" s="2" t="s">
        <v>23</v>
      </c>
      <c r="N4832" s="6">
        <v>46009.0</v>
      </c>
      <c r="Q4832" s="2" t="s">
        <v>8287</v>
      </c>
    </row>
    <row r="4833">
      <c r="A4833" s="2">
        <v>4832.0</v>
      </c>
      <c r="B4833" s="2" t="s">
        <v>8288</v>
      </c>
      <c r="C4833" s="2" t="s">
        <v>23</v>
      </c>
      <c r="K4833" s="2">
        <v>80.0</v>
      </c>
      <c r="N4833" s="6">
        <v>43968.0</v>
      </c>
      <c r="Q4833" s="2" t="s">
        <v>8289</v>
      </c>
    </row>
    <row r="4834">
      <c r="A4834" s="2">
        <v>4833.0</v>
      </c>
      <c r="B4834" s="2" t="s">
        <v>8290</v>
      </c>
      <c r="C4834" s="2" t="s">
        <v>23</v>
      </c>
      <c r="K4834" s="2">
        <v>60.0</v>
      </c>
      <c r="N4834" s="6">
        <v>43983.0</v>
      </c>
      <c r="Q4834" s="2" t="s">
        <v>8291</v>
      </c>
    </row>
    <row r="4835">
      <c r="A4835" s="2">
        <v>4834.0</v>
      </c>
      <c r="B4835" s="2" t="s">
        <v>8292</v>
      </c>
      <c r="C4835" s="2" t="s">
        <v>23</v>
      </c>
      <c r="K4835" s="2">
        <v>80.0</v>
      </c>
      <c r="N4835" s="6">
        <v>43973.0</v>
      </c>
      <c r="Q4835" s="2" t="s">
        <v>8293</v>
      </c>
    </row>
    <row r="4836">
      <c r="A4836" s="2">
        <v>4835.0</v>
      </c>
      <c r="B4836" s="2" t="s">
        <v>8294</v>
      </c>
      <c r="C4836" s="2" t="s">
        <v>23</v>
      </c>
      <c r="N4836" s="6">
        <v>44435.0</v>
      </c>
      <c r="Q4836" s="2" t="s">
        <v>86</v>
      </c>
    </row>
    <row r="4837">
      <c r="A4837" s="2">
        <v>4836.0</v>
      </c>
      <c r="B4837" s="2" t="s">
        <v>8295</v>
      </c>
      <c r="C4837" s="2" t="s">
        <v>23</v>
      </c>
      <c r="N4837" s="6">
        <v>43523.0</v>
      </c>
      <c r="Q4837" s="2" t="s">
        <v>8296</v>
      </c>
    </row>
    <row r="4838">
      <c r="A4838" s="2">
        <v>4837.0</v>
      </c>
      <c r="B4838" s="2" t="s">
        <v>8297</v>
      </c>
      <c r="C4838" s="2" t="s">
        <v>23</v>
      </c>
      <c r="K4838" s="2">
        <v>10.0</v>
      </c>
      <c r="N4838" s="6">
        <v>45272.0</v>
      </c>
      <c r="Q4838" s="2" t="s">
        <v>86</v>
      </c>
    </row>
    <row r="4839">
      <c r="A4839" s="2">
        <v>4838.0</v>
      </c>
      <c r="B4839" s="2" t="s">
        <v>8298</v>
      </c>
      <c r="C4839" s="2" t="s">
        <v>23</v>
      </c>
      <c r="K4839" s="2">
        <v>90.0</v>
      </c>
      <c r="N4839" s="6">
        <v>44151.0</v>
      </c>
      <c r="Q4839" s="2" t="s">
        <v>4357</v>
      </c>
    </row>
    <row r="4840">
      <c r="A4840" s="2">
        <v>4839.0</v>
      </c>
      <c r="B4840" s="2" t="s">
        <v>8299</v>
      </c>
      <c r="C4840" s="2" t="s">
        <v>23</v>
      </c>
      <c r="K4840" s="2">
        <v>50.0</v>
      </c>
      <c r="N4840" s="6">
        <v>43927.0</v>
      </c>
      <c r="Q4840" s="2" t="s">
        <v>2541</v>
      </c>
    </row>
    <row r="4841">
      <c r="A4841" s="2">
        <v>4840.0</v>
      </c>
      <c r="B4841" s="2" t="s">
        <v>8300</v>
      </c>
      <c r="C4841" s="2" t="s">
        <v>23</v>
      </c>
      <c r="N4841" s="6">
        <v>44048.0</v>
      </c>
      <c r="Q4841" s="2" t="s">
        <v>86</v>
      </c>
    </row>
    <row r="4842">
      <c r="A4842" s="2">
        <v>4841.0</v>
      </c>
      <c r="B4842" s="2" t="s">
        <v>8301</v>
      </c>
      <c r="C4842" s="2" t="s">
        <v>23</v>
      </c>
      <c r="K4842" s="2">
        <v>20.0</v>
      </c>
      <c r="N4842" s="6">
        <v>43572.0</v>
      </c>
      <c r="Q4842" s="2" t="s">
        <v>8302</v>
      </c>
    </row>
    <row r="4843">
      <c r="A4843" s="2">
        <v>4842.0</v>
      </c>
      <c r="B4843" s="2" t="s">
        <v>8303</v>
      </c>
      <c r="C4843" s="2" t="s">
        <v>23</v>
      </c>
      <c r="K4843" s="2">
        <v>60.0</v>
      </c>
      <c r="N4843" s="6">
        <v>45543.0</v>
      </c>
      <c r="Q4843" s="2" t="s">
        <v>8304</v>
      </c>
    </row>
    <row r="4844">
      <c r="A4844" s="2">
        <v>4843.0</v>
      </c>
      <c r="B4844" s="2" t="s">
        <v>8305</v>
      </c>
      <c r="C4844" s="2" t="s">
        <v>23</v>
      </c>
      <c r="N4844" s="6">
        <v>44655.0</v>
      </c>
      <c r="Q4844" s="2" t="s">
        <v>86</v>
      </c>
    </row>
    <row r="4845">
      <c r="A4845" s="2">
        <v>4844.0</v>
      </c>
      <c r="B4845" s="2" t="s">
        <v>8306</v>
      </c>
      <c r="C4845" s="2" t="s">
        <v>23</v>
      </c>
      <c r="N4845" s="6">
        <v>43901.0</v>
      </c>
      <c r="Q4845" s="2" t="s">
        <v>86</v>
      </c>
    </row>
    <row r="4846">
      <c r="A4846" s="2">
        <v>4845.0</v>
      </c>
      <c r="B4846" s="2" t="s">
        <v>8307</v>
      </c>
      <c r="C4846" s="2" t="s">
        <v>23</v>
      </c>
      <c r="K4846" s="2">
        <v>50.0</v>
      </c>
      <c r="N4846" s="6">
        <v>43980.0</v>
      </c>
      <c r="Q4846" s="2" t="s">
        <v>8308</v>
      </c>
    </row>
    <row r="4847">
      <c r="A4847" s="2">
        <v>4846.0</v>
      </c>
      <c r="B4847" s="2" t="s">
        <v>8309</v>
      </c>
      <c r="C4847" s="2" t="s">
        <v>23</v>
      </c>
      <c r="N4847" s="6">
        <v>44306.0</v>
      </c>
      <c r="Q4847" s="2" t="s">
        <v>86</v>
      </c>
    </row>
    <row r="4848">
      <c r="A4848" s="2">
        <v>4847.0</v>
      </c>
      <c r="B4848" s="2" t="s">
        <v>8310</v>
      </c>
      <c r="C4848" s="2" t="s">
        <v>23</v>
      </c>
      <c r="K4848" s="2">
        <v>80.0</v>
      </c>
      <c r="N4848" s="6">
        <v>43894.0</v>
      </c>
      <c r="Q4848" s="2" t="s">
        <v>8311</v>
      </c>
    </row>
    <row r="4849">
      <c r="A4849" s="2">
        <v>4848.0</v>
      </c>
      <c r="B4849" s="2" t="s">
        <v>8312</v>
      </c>
      <c r="C4849" s="2" t="s">
        <v>23</v>
      </c>
      <c r="N4849" s="6">
        <v>45947.0</v>
      </c>
      <c r="Q4849" s="2" t="s">
        <v>8313</v>
      </c>
    </row>
    <row r="4850">
      <c r="A4850" s="2">
        <v>4849.0</v>
      </c>
      <c r="B4850" s="2" t="s">
        <v>8314</v>
      </c>
      <c r="C4850" s="2" t="s">
        <v>23</v>
      </c>
      <c r="K4850" s="2">
        <v>150.0</v>
      </c>
      <c r="N4850" s="6">
        <v>43871.0</v>
      </c>
      <c r="Q4850" s="2" t="s">
        <v>8315</v>
      </c>
    </row>
    <row r="4851">
      <c r="A4851" s="2">
        <v>4850.0</v>
      </c>
      <c r="B4851" s="2" t="s">
        <v>8316</v>
      </c>
      <c r="C4851" s="2" t="s">
        <v>23</v>
      </c>
      <c r="K4851" s="2">
        <v>30.0</v>
      </c>
      <c r="N4851" s="6">
        <v>45399.0</v>
      </c>
      <c r="Q4851" s="2" t="s">
        <v>5591</v>
      </c>
    </row>
    <row r="4852">
      <c r="A4852" s="2">
        <v>4851.0</v>
      </c>
      <c r="B4852" s="2" t="s">
        <v>8317</v>
      </c>
      <c r="C4852" s="2" t="s">
        <v>23</v>
      </c>
      <c r="N4852" s="6">
        <v>44395.0</v>
      </c>
      <c r="Q4852" s="2" t="s">
        <v>86</v>
      </c>
    </row>
    <row r="4853">
      <c r="A4853" s="2">
        <v>4852.0</v>
      </c>
      <c r="B4853" s="2" t="s">
        <v>8318</v>
      </c>
      <c r="C4853" s="2" t="s">
        <v>23</v>
      </c>
      <c r="K4853" s="2">
        <v>30.0</v>
      </c>
      <c r="N4853" s="6">
        <v>44364.0</v>
      </c>
      <c r="Q4853" s="2" t="s">
        <v>86</v>
      </c>
    </row>
    <row r="4854">
      <c r="A4854" s="2">
        <v>4853.0</v>
      </c>
      <c r="B4854" s="2" t="s">
        <v>8319</v>
      </c>
      <c r="C4854" s="2" t="s">
        <v>23</v>
      </c>
      <c r="K4854" s="2">
        <v>40.0</v>
      </c>
      <c r="N4854" s="6">
        <v>45791.0</v>
      </c>
      <c r="Q4854" s="2" t="s">
        <v>8320</v>
      </c>
    </row>
    <row r="4855">
      <c r="A4855" s="2">
        <v>4854.0</v>
      </c>
      <c r="B4855" s="2" t="s">
        <v>8321</v>
      </c>
      <c r="C4855" s="2" t="s">
        <v>23</v>
      </c>
      <c r="N4855" s="6">
        <v>44487.0</v>
      </c>
      <c r="Q4855" s="2" t="s">
        <v>86</v>
      </c>
    </row>
    <row r="4856">
      <c r="A4856" s="2">
        <v>4855.0</v>
      </c>
      <c r="B4856" s="2" t="s">
        <v>8322</v>
      </c>
      <c r="C4856" s="2" t="s">
        <v>23</v>
      </c>
      <c r="K4856" s="2">
        <v>90.0</v>
      </c>
      <c r="N4856" s="6">
        <v>44914.0</v>
      </c>
      <c r="Q4856" s="2" t="s">
        <v>89</v>
      </c>
    </row>
    <row r="4857">
      <c r="A4857" s="2">
        <v>4856.0</v>
      </c>
      <c r="B4857" s="2" t="s">
        <v>8323</v>
      </c>
      <c r="C4857" s="2" t="s">
        <v>23</v>
      </c>
      <c r="N4857" s="6">
        <v>43978.0</v>
      </c>
      <c r="Q4857" s="2" t="s">
        <v>200</v>
      </c>
    </row>
    <row r="4858">
      <c r="A4858" s="2">
        <v>4857.0</v>
      </c>
      <c r="B4858" s="2" t="s">
        <v>8324</v>
      </c>
      <c r="C4858" s="2" t="s">
        <v>23</v>
      </c>
      <c r="K4858" s="2">
        <v>20.0</v>
      </c>
      <c r="N4858" s="6">
        <v>44239.0</v>
      </c>
      <c r="Q4858" s="2" t="s">
        <v>1801</v>
      </c>
    </row>
    <row r="4859">
      <c r="A4859" s="2">
        <v>4858.0</v>
      </c>
      <c r="B4859" s="2" t="s">
        <v>8325</v>
      </c>
      <c r="C4859" s="2" t="s">
        <v>23</v>
      </c>
      <c r="K4859" s="2">
        <v>200.0</v>
      </c>
      <c r="N4859" s="6">
        <v>44613.0</v>
      </c>
      <c r="Q4859" s="2" t="s">
        <v>8326</v>
      </c>
    </row>
    <row r="4860">
      <c r="A4860" s="2">
        <v>4859.0</v>
      </c>
      <c r="B4860" s="2" t="s">
        <v>8327</v>
      </c>
      <c r="C4860" s="2" t="s">
        <v>23</v>
      </c>
      <c r="K4860" s="2">
        <v>20.0</v>
      </c>
      <c r="N4860" s="6">
        <v>44141.0</v>
      </c>
      <c r="Q4860" s="2" t="s">
        <v>86</v>
      </c>
    </row>
    <row r="4861">
      <c r="A4861" s="2">
        <v>4860.0</v>
      </c>
      <c r="B4861" s="2" t="s">
        <v>8328</v>
      </c>
      <c r="C4861" s="2" t="s">
        <v>23</v>
      </c>
      <c r="K4861" s="2">
        <v>60.0</v>
      </c>
      <c r="N4861" s="6">
        <v>45695.0</v>
      </c>
      <c r="Q4861" s="2" t="s">
        <v>3495</v>
      </c>
    </row>
    <row r="4862">
      <c r="A4862" s="2">
        <v>4861.0</v>
      </c>
      <c r="B4862" s="2" t="s">
        <v>8329</v>
      </c>
      <c r="C4862" s="2" t="s">
        <v>23</v>
      </c>
      <c r="N4862" s="6">
        <v>44676.0</v>
      </c>
      <c r="Q4862" s="2" t="s">
        <v>86</v>
      </c>
    </row>
    <row r="4863">
      <c r="A4863" s="2">
        <v>4862.0</v>
      </c>
      <c r="B4863" s="2" t="s">
        <v>8330</v>
      </c>
      <c r="C4863" s="2" t="s">
        <v>23</v>
      </c>
      <c r="N4863" s="6">
        <v>45237.0</v>
      </c>
      <c r="Q4863" s="2" t="s">
        <v>86</v>
      </c>
    </row>
    <row r="4864">
      <c r="A4864" s="2">
        <v>4863.0</v>
      </c>
      <c r="B4864" s="2" t="s">
        <v>8331</v>
      </c>
      <c r="C4864" s="2" t="s">
        <v>23</v>
      </c>
      <c r="K4864" s="2">
        <v>40.0</v>
      </c>
      <c r="N4864" s="6">
        <v>43932.0</v>
      </c>
      <c r="Q4864" s="2" t="s">
        <v>8332</v>
      </c>
    </row>
    <row r="4865">
      <c r="A4865" s="2">
        <v>4864.0</v>
      </c>
      <c r="B4865" s="2" t="s">
        <v>8333</v>
      </c>
      <c r="C4865" s="2" t="s">
        <v>23</v>
      </c>
      <c r="K4865" s="2">
        <v>80.0</v>
      </c>
      <c r="N4865" s="6">
        <v>44284.0</v>
      </c>
      <c r="Q4865" s="2" t="s">
        <v>8334</v>
      </c>
    </row>
    <row r="4866">
      <c r="A4866" s="2">
        <v>4865.0</v>
      </c>
      <c r="B4866" s="2" t="s">
        <v>8335</v>
      </c>
      <c r="C4866" s="2" t="s">
        <v>23</v>
      </c>
      <c r="K4866" s="2">
        <v>10.0</v>
      </c>
      <c r="N4866" s="6">
        <v>44144.0</v>
      </c>
      <c r="Q4866" s="2" t="s">
        <v>1070</v>
      </c>
    </row>
    <row r="4867">
      <c r="A4867" s="2">
        <v>4866.0</v>
      </c>
      <c r="B4867" s="2" t="s">
        <v>8336</v>
      </c>
      <c r="C4867" s="2" t="s">
        <v>23</v>
      </c>
      <c r="K4867" s="2">
        <v>200.0</v>
      </c>
      <c r="N4867" s="6">
        <v>44432.0</v>
      </c>
      <c r="Q4867" s="2" t="s">
        <v>3208</v>
      </c>
    </row>
    <row r="4868">
      <c r="A4868" s="2">
        <v>4867.0</v>
      </c>
      <c r="B4868" s="2" t="s">
        <v>8337</v>
      </c>
      <c r="C4868" s="2" t="s">
        <v>23</v>
      </c>
      <c r="K4868" s="2">
        <v>10.0</v>
      </c>
      <c r="N4868" s="6">
        <v>45624.0</v>
      </c>
      <c r="Q4868" s="2" t="s">
        <v>8338</v>
      </c>
    </row>
    <row r="4869">
      <c r="A4869" s="2">
        <v>4868.0</v>
      </c>
      <c r="B4869" s="2" t="s">
        <v>8339</v>
      </c>
      <c r="C4869" s="2" t="s">
        <v>23</v>
      </c>
      <c r="K4869" s="2">
        <v>70.0</v>
      </c>
      <c r="N4869" s="6">
        <v>45738.0</v>
      </c>
      <c r="Q4869" s="2" t="s">
        <v>8340</v>
      </c>
    </row>
    <row r="4870">
      <c r="A4870" s="2">
        <v>4869.0</v>
      </c>
      <c r="B4870" s="2" t="s">
        <v>8341</v>
      </c>
      <c r="C4870" s="2" t="s">
        <v>23</v>
      </c>
      <c r="K4870" s="2">
        <v>30.0</v>
      </c>
      <c r="N4870" s="6">
        <v>44551.0</v>
      </c>
      <c r="Q4870" s="2" t="s">
        <v>8342</v>
      </c>
    </row>
    <row r="4871">
      <c r="A4871" s="2">
        <v>4870.0</v>
      </c>
      <c r="B4871" s="2" t="s">
        <v>8343</v>
      </c>
      <c r="C4871" s="2" t="s">
        <v>23</v>
      </c>
      <c r="K4871" s="2">
        <v>10.0</v>
      </c>
      <c r="N4871" s="6">
        <v>44641.0</v>
      </c>
      <c r="Q4871" s="2" t="s">
        <v>491</v>
      </c>
    </row>
    <row r="4872">
      <c r="A4872" s="2">
        <v>4871.0</v>
      </c>
      <c r="B4872" s="2" t="s">
        <v>8344</v>
      </c>
      <c r="C4872" s="2" t="s">
        <v>23</v>
      </c>
      <c r="N4872" s="6">
        <v>42706.0</v>
      </c>
      <c r="Q4872" s="2" t="s">
        <v>86</v>
      </c>
    </row>
    <row r="4873">
      <c r="A4873" s="2">
        <v>4872.0</v>
      </c>
      <c r="B4873" s="2" t="s">
        <v>8345</v>
      </c>
      <c r="C4873" s="2" t="s">
        <v>23</v>
      </c>
      <c r="K4873" s="2">
        <v>20.0</v>
      </c>
      <c r="N4873" s="6">
        <v>45725.0</v>
      </c>
      <c r="Q4873" s="2" t="s">
        <v>8346</v>
      </c>
    </row>
    <row r="4874">
      <c r="A4874" s="2">
        <v>4873.0</v>
      </c>
      <c r="B4874" s="2" t="s">
        <v>8347</v>
      </c>
      <c r="C4874" s="2" t="s">
        <v>23</v>
      </c>
      <c r="K4874" s="2">
        <v>70.0</v>
      </c>
      <c r="N4874" s="6">
        <v>44617.0</v>
      </c>
      <c r="Q4874" s="2" t="s">
        <v>3770</v>
      </c>
    </row>
    <row r="4875">
      <c r="A4875" s="2">
        <v>4874.0</v>
      </c>
      <c r="B4875" s="2" t="s">
        <v>8348</v>
      </c>
      <c r="C4875" s="2" t="s">
        <v>23</v>
      </c>
      <c r="N4875" s="6">
        <v>44070.0</v>
      </c>
      <c r="Q4875" s="2" t="s">
        <v>86</v>
      </c>
    </row>
    <row r="4876">
      <c r="A4876" s="2">
        <v>4875.0</v>
      </c>
      <c r="B4876" s="2" t="s">
        <v>8349</v>
      </c>
      <c r="C4876" s="2" t="s">
        <v>23</v>
      </c>
      <c r="K4876" s="2">
        <v>70.0</v>
      </c>
      <c r="N4876" s="6">
        <v>44484.0</v>
      </c>
      <c r="Q4876" s="2" t="s">
        <v>94</v>
      </c>
    </row>
    <row r="4877">
      <c r="A4877" s="2">
        <v>4876.0</v>
      </c>
      <c r="B4877" s="2" t="s">
        <v>8350</v>
      </c>
      <c r="C4877" s="2" t="s">
        <v>23</v>
      </c>
      <c r="K4877" s="2">
        <v>10.0</v>
      </c>
      <c r="N4877" s="6">
        <v>45584.0</v>
      </c>
      <c r="Q4877" s="2" t="s">
        <v>3980</v>
      </c>
    </row>
    <row r="4878">
      <c r="A4878" s="2">
        <v>4877.0</v>
      </c>
      <c r="B4878" s="2" t="s">
        <v>8351</v>
      </c>
      <c r="C4878" s="2" t="s">
        <v>23</v>
      </c>
      <c r="K4878" s="2">
        <v>200.0</v>
      </c>
      <c r="N4878" s="6">
        <v>44275.0</v>
      </c>
      <c r="Q4878" s="2" t="s">
        <v>8352</v>
      </c>
    </row>
    <row r="4879">
      <c r="A4879" s="2">
        <v>4878.0</v>
      </c>
      <c r="B4879" s="2" t="s">
        <v>8353</v>
      </c>
      <c r="C4879" s="2" t="s">
        <v>23</v>
      </c>
      <c r="K4879" s="2">
        <v>20.0</v>
      </c>
      <c r="N4879" s="6">
        <v>44729.0</v>
      </c>
      <c r="Q4879" s="2" t="s">
        <v>369</v>
      </c>
    </row>
    <row r="4880">
      <c r="A4880" s="2">
        <v>4879.0</v>
      </c>
      <c r="B4880" s="2" t="s">
        <v>8354</v>
      </c>
      <c r="C4880" s="2" t="s">
        <v>23</v>
      </c>
      <c r="N4880" s="6">
        <v>44508.0</v>
      </c>
      <c r="Q4880" s="2" t="s">
        <v>86</v>
      </c>
    </row>
    <row r="4881">
      <c r="A4881" s="2">
        <v>4880.0</v>
      </c>
      <c r="B4881" s="2" t="s">
        <v>8355</v>
      </c>
      <c r="C4881" s="2" t="s">
        <v>23</v>
      </c>
      <c r="N4881" s="6">
        <v>44285.0</v>
      </c>
      <c r="Q4881" s="2" t="s">
        <v>86</v>
      </c>
    </row>
    <row r="4882">
      <c r="A4882" s="2">
        <v>4881.0</v>
      </c>
      <c r="B4882" s="2" t="s">
        <v>8356</v>
      </c>
      <c r="C4882" s="2" t="s">
        <v>23</v>
      </c>
      <c r="N4882" s="6">
        <v>43905.0</v>
      </c>
      <c r="Q4882" s="2" t="s">
        <v>86</v>
      </c>
    </row>
    <row r="4883">
      <c r="A4883" s="2">
        <v>4882.0</v>
      </c>
      <c r="B4883" s="2" t="s">
        <v>8357</v>
      </c>
      <c r="C4883" s="2" t="s">
        <v>23</v>
      </c>
      <c r="N4883" s="6">
        <v>42289.0</v>
      </c>
      <c r="Q4883" s="2" t="s">
        <v>86</v>
      </c>
    </row>
    <row r="4884">
      <c r="A4884" s="2">
        <v>4883.0</v>
      </c>
      <c r="B4884" s="2" t="s">
        <v>8358</v>
      </c>
      <c r="C4884" s="2" t="s">
        <v>23</v>
      </c>
      <c r="K4884" s="2">
        <v>40.0</v>
      </c>
      <c r="N4884" s="6">
        <v>46025.0</v>
      </c>
      <c r="Q4884" s="2" t="s">
        <v>8359</v>
      </c>
    </row>
    <row r="4885">
      <c r="A4885" s="2">
        <v>4884.0</v>
      </c>
      <c r="B4885" s="2" t="s">
        <v>8360</v>
      </c>
      <c r="C4885" s="2" t="s">
        <v>23</v>
      </c>
      <c r="K4885" s="2">
        <v>30.0</v>
      </c>
      <c r="N4885" s="6">
        <v>45138.0</v>
      </c>
      <c r="Q4885" s="2" t="s">
        <v>8361</v>
      </c>
    </row>
    <row r="4886">
      <c r="A4886" s="2">
        <v>4885.0</v>
      </c>
      <c r="B4886" s="2" t="s">
        <v>8362</v>
      </c>
      <c r="C4886" s="2" t="s">
        <v>23</v>
      </c>
      <c r="K4886" s="2">
        <v>30.0</v>
      </c>
      <c r="N4886" s="6">
        <v>44635.0</v>
      </c>
      <c r="Q4886" s="2" t="s">
        <v>2001</v>
      </c>
    </row>
    <row r="4887">
      <c r="A4887" s="2">
        <v>4886.0</v>
      </c>
      <c r="B4887" s="2" t="s">
        <v>8363</v>
      </c>
      <c r="C4887" s="2" t="s">
        <v>23</v>
      </c>
      <c r="K4887" s="2">
        <v>400.0</v>
      </c>
      <c r="N4887" s="6">
        <v>42810.0</v>
      </c>
      <c r="Q4887" s="2" t="s">
        <v>8364</v>
      </c>
    </row>
    <row r="4888">
      <c r="A4888" s="2">
        <v>4887.0</v>
      </c>
      <c r="B4888" s="2" t="s">
        <v>8365</v>
      </c>
      <c r="C4888" s="2" t="s">
        <v>23</v>
      </c>
      <c r="F4888" s="2">
        <v>0.25</v>
      </c>
      <c r="K4888" s="2">
        <v>40.0</v>
      </c>
      <c r="N4888" s="6">
        <v>44035.0</v>
      </c>
      <c r="Q4888" s="2" t="s">
        <v>8366</v>
      </c>
    </row>
    <row r="4889">
      <c r="A4889" s="2">
        <v>4888.0</v>
      </c>
      <c r="B4889" s="2" t="s">
        <v>324</v>
      </c>
      <c r="C4889" s="2" t="s">
        <v>23</v>
      </c>
      <c r="K4889" s="2">
        <v>20.0</v>
      </c>
      <c r="N4889" s="6">
        <v>44903.0</v>
      </c>
      <c r="Q4889" s="2" t="s">
        <v>175</v>
      </c>
    </row>
    <row r="4890">
      <c r="A4890" s="2">
        <v>4889.0</v>
      </c>
      <c r="B4890" s="2" t="s">
        <v>8367</v>
      </c>
      <c r="C4890" s="2" t="s">
        <v>23</v>
      </c>
      <c r="K4890" s="2">
        <v>200.0</v>
      </c>
      <c r="N4890" s="6">
        <v>43852.0</v>
      </c>
      <c r="Q4890" s="2" t="s">
        <v>8368</v>
      </c>
    </row>
    <row r="4891">
      <c r="A4891" s="2">
        <v>4890.0</v>
      </c>
      <c r="B4891" s="2" t="s">
        <v>8369</v>
      </c>
      <c r="C4891" s="2" t="s">
        <v>23</v>
      </c>
      <c r="K4891" s="2">
        <v>30.0</v>
      </c>
      <c r="N4891" s="6">
        <v>45230.0</v>
      </c>
      <c r="Q4891" s="2" t="s">
        <v>6291</v>
      </c>
    </row>
    <row r="4892">
      <c r="A4892" s="2">
        <v>4891.0</v>
      </c>
      <c r="B4892" s="2" t="s">
        <v>8370</v>
      </c>
      <c r="C4892" s="2" t="s">
        <v>23</v>
      </c>
      <c r="K4892" s="2">
        <v>10.0</v>
      </c>
      <c r="N4892" s="6">
        <v>45572.0</v>
      </c>
      <c r="Q4892" s="2" t="s">
        <v>8371</v>
      </c>
    </row>
    <row r="4893">
      <c r="A4893" s="2">
        <v>4892.0</v>
      </c>
      <c r="B4893" s="2" t="s">
        <v>8372</v>
      </c>
      <c r="C4893" s="2" t="s">
        <v>23</v>
      </c>
      <c r="K4893" s="2">
        <v>20.0</v>
      </c>
      <c r="N4893" s="6">
        <v>44395.0</v>
      </c>
      <c r="Q4893" s="2" t="s">
        <v>1437</v>
      </c>
    </row>
    <row r="4894">
      <c r="A4894" s="2">
        <v>4893.0</v>
      </c>
      <c r="B4894" s="2" t="s">
        <v>8373</v>
      </c>
      <c r="C4894" s="2" t="s">
        <v>23</v>
      </c>
      <c r="N4894" s="6">
        <v>45087.0</v>
      </c>
      <c r="Q4894" s="2" t="s">
        <v>86</v>
      </c>
    </row>
    <row r="4895">
      <c r="A4895" s="2">
        <v>4894.0</v>
      </c>
      <c r="B4895" s="2" t="s">
        <v>8374</v>
      </c>
      <c r="C4895" s="2" t="s">
        <v>23</v>
      </c>
      <c r="K4895" s="2">
        <v>150.0</v>
      </c>
      <c r="N4895" s="6">
        <v>44111.0</v>
      </c>
      <c r="Q4895" s="2" t="s">
        <v>8375</v>
      </c>
    </row>
    <row r="4896">
      <c r="A4896" s="2">
        <v>4895.0</v>
      </c>
      <c r="B4896" s="2" t="s">
        <v>8376</v>
      </c>
      <c r="C4896" s="2" t="s">
        <v>23</v>
      </c>
      <c r="K4896" s="2">
        <v>20.0</v>
      </c>
      <c r="N4896" s="6">
        <v>45893.0</v>
      </c>
      <c r="Q4896" s="2" t="s">
        <v>8377</v>
      </c>
    </row>
    <row r="4897">
      <c r="A4897" s="2">
        <v>4896.0</v>
      </c>
      <c r="B4897" s="2" t="s">
        <v>8378</v>
      </c>
      <c r="C4897" s="2" t="s">
        <v>23</v>
      </c>
      <c r="K4897" s="2">
        <v>100.0</v>
      </c>
      <c r="N4897" s="6">
        <v>45665.0</v>
      </c>
      <c r="Q4897" s="2" t="s">
        <v>8379</v>
      </c>
    </row>
    <row r="4898">
      <c r="A4898" s="2">
        <v>4897.0</v>
      </c>
      <c r="B4898" s="2" t="s">
        <v>8380</v>
      </c>
      <c r="C4898" s="2" t="s">
        <v>23</v>
      </c>
      <c r="N4898" s="6">
        <v>45054.0</v>
      </c>
      <c r="Q4898" s="2" t="s">
        <v>1549</v>
      </c>
    </row>
    <row r="4899">
      <c r="A4899" s="2">
        <v>4898.0</v>
      </c>
      <c r="B4899" s="2" t="s">
        <v>8381</v>
      </c>
      <c r="C4899" s="2" t="s">
        <v>23</v>
      </c>
      <c r="K4899" s="2">
        <v>10.0</v>
      </c>
      <c r="N4899" s="6">
        <v>44249.0</v>
      </c>
      <c r="Q4899" s="2" t="s">
        <v>86</v>
      </c>
    </row>
    <row r="4900">
      <c r="A4900" s="2">
        <v>4899.0</v>
      </c>
      <c r="B4900" s="2" t="s">
        <v>8382</v>
      </c>
      <c r="C4900" s="2" t="s">
        <v>23</v>
      </c>
      <c r="K4900" s="2">
        <v>20.0</v>
      </c>
      <c r="N4900" s="6">
        <v>45188.0</v>
      </c>
      <c r="Q4900" s="2" t="s">
        <v>1437</v>
      </c>
    </row>
    <row r="4901">
      <c r="A4901" s="2">
        <v>4900.0</v>
      </c>
      <c r="B4901" s="2" t="s">
        <v>8383</v>
      </c>
      <c r="C4901" s="2" t="s">
        <v>23</v>
      </c>
      <c r="K4901" s="2">
        <v>30.0</v>
      </c>
      <c r="N4901" s="6">
        <v>45543.0</v>
      </c>
      <c r="Q4901" s="2" t="s">
        <v>8384</v>
      </c>
    </row>
    <row r="4902">
      <c r="A4902" s="2">
        <v>4901.0</v>
      </c>
      <c r="B4902" s="2" t="s">
        <v>8385</v>
      </c>
      <c r="C4902" s="2" t="s">
        <v>23</v>
      </c>
      <c r="K4902" s="2">
        <v>10.0</v>
      </c>
      <c r="N4902" s="6">
        <v>42439.0</v>
      </c>
      <c r="O4902" s="2" t="s">
        <v>49</v>
      </c>
      <c r="P4902" s="2" t="s">
        <v>36</v>
      </c>
      <c r="Q4902" s="2" t="s">
        <v>8386</v>
      </c>
      <c r="S4902" s="2" t="s">
        <v>131</v>
      </c>
    </row>
    <row r="4903">
      <c r="A4903" s="2">
        <v>4902.0</v>
      </c>
      <c r="B4903" s="2" t="s">
        <v>8387</v>
      </c>
      <c r="C4903" s="2" t="s">
        <v>23</v>
      </c>
      <c r="N4903" s="6">
        <v>43841.0</v>
      </c>
      <c r="Q4903" s="2" t="s">
        <v>86</v>
      </c>
    </row>
    <row r="4904">
      <c r="A4904" s="2">
        <v>4903.0</v>
      </c>
      <c r="B4904" s="2" t="s">
        <v>8388</v>
      </c>
      <c r="C4904" s="2" t="s">
        <v>23</v>
      </c>
      <c r="N4904" s="6">
        <v>45438.0</v>
      </c>
      <c r="Q4904" s="2" t="s">
        <v>1156</v>
      </c>
    </row>
    <row r="4905">
      <c r="A4905" s="2">
        <v>4904.0</v>
      </c>
      <c r="B4905" s="2" t="s">
        <v>8389</v>
      </c>
      <c r="C4905" s="2" t="s">
        <v>23</v>
      </c>
      <c r="N4905" s="6">
        <v>44441.0</v>
      </c>
      <c r="Q4905" s="2" t="s">
        <v>86</v>
      </c>
    </row>
    <row r="4906">
      <c r="A4906" s="2">
        <v>4905.0</v>
      </c>
      <c r="B4906" s="2" t="s">
        <v>8390</v>
      </c>
      <c r="C4906" s="2" t="s">
        <v>23</v>
      </c>
      <c r="K4906" s="2">
        <v>20.0</v>
      </c>
      <c r="N4906" s="6">
        <v>44418.0</v>
      </c>
      <c r="Q4906" s="2" t="s">
        <v>8391</v>
      </c>
    </row>
    <row r="4907">
      <c r="A4907" s="2">
        <v>4906.0</v>
      </c>
      <c r="B4907" s="2" t="s">
        <v>8392</v>
      </c>
      <c r="C4907" s="2" t="s">
        <v>23</v>
      </c>
      <c r="K4907" s="2">
        <v>10.0</v>
      </c>
      <c r="N4907" s="6">
        <v>46092.0</v>
      </c>
      <c r="Q4907" s="2" t="s">
        <v>8393</v>
      </c>
    </row>
    <row r="4908">
      <c r="A4908" s="2">
        <v>4907.0</v>
      </c>
      <c r="B4908" s="2" t="s">
        <v>8394</v>
      </c>
      <c r="C4908" s="2" t="s">
        <v>23</v>
      </c>
      <c r="K4908" s="2">
        <v>20.0</v>
      </c>
      <c r="N4908" s="6">
        <v>44488.0</v>
      </c>
      <c r="Q4908" s="2" t="s">
        <v>86</v>
      </c>
    </row>
    <row r="4909">
      <c r="A4909" s="2">
        <v>4908.0</v>
      </c>
      <c r="B4909" s="2" t="s">
        <v>8395</v>
      </c>
      <c r="C4909" s="2" t="s">
        <v>23</v>
      </c>
      <c r="N4909" s="6">
        <v>44531.0</v>
      </c>
      <c r="Q4909" s="2" t="s">
        <v>1070</v>
      </c>
    </row>
    <row r="4910">
      <c r="A4910" s="2">
        <v>4909.0</v>
      </c>
      <c r="B4910" s="2" t="s">
        <v>8396</v>
      </c>
      <c r="C4910" s="2" t="s">
        <v>23</v>
      </c>
      <c r="N4910" s="6">
        <v>45270.0</v>
      </c>
      <c r="Q4910" s="2" t="s">
        <v>8397</v>
      </c>
    </row>
    <row r="4911">
      <c r="A4911" s="2">
        <v>4910.0</v>
      </c>
      <c r="B4911" s="2" t="s">
        <v>8398</v>
      </c>
      <c r="C4911" s="2" t="s">
        <v>23</v>
      </c>
      <c r="N4911" s="6">
        <v>44142.0</v>
      </c>
      <c r="Q4911" s="2" t="s">
        <v>86</v>
      </c>
    </row>
    <row r="4912">
      <c r="A4912" s="2">
        <v>4911.0</v>
      </c>
      <c r="B4912" s="2" t="s">
        <v>8399</v>
      </c>
      <c r="C4912" s="2" t="s">
        <v>23</v>
      </c>
      <c r="K4912" s="2">
        <v>200.0</v>
      </c>
      <c r="N4912" s="6">
        <v>45216.0</v>
      </c>
      <c r="Q4912" s="2" t="s">
        <v>8400</v>
      </c>
    </row>
    <row r="4913">
      <c r="A4913" s="2">
        <v>4912.0</v>
      </c>
      <c r="B4913" s="2" t="s">
        <v>8401</v>
      </c>
      <c r="C4913" s="2" t="s">
        <v>23</v>
      </c>
      <c r="K4913" s="2">
        <v>10.0</v>
      </c>
      <c r="N4913" s="6">
        <v>44860.0</v>
      </c>
      <c r="Q4913" s="2" t="s">
        <v>86</v>
      </c>
    </row>
    <row r="4914">
      <c r="A4914" s="2">
        <v>4913.0</v>
      </c>
      <c r="B4914" s="2" t="s">
        <v>8402</v>
      </c>
      <c r="C4914" s="2" t="s">
        <v>23</v>
      </c>
      <c r="K4914" s="2">
        <v>20.0</v>
      </c>
      <c r="N4914" s="6">
        <v>44592.0</v>
      </c>
      <c r="Q4914" s="2" t="s">
        <v>8403</v>
      </c>
    </row>
    <row r="4915">
      <c r="A4915" s="2">
        <v>4914.0</v>
      </c>
      <c r="B4915" s="2" t="s">
        <v>8404</v>
      </c>
      <c r="C4915" s="2" t="s">
        <v>23</v>
      </c>
      <c r="N4915" s="6">
        <v>43080.0</v>
      </c>
      <c r="Q4915" s="2" t="s">
        <v>1156</v>
      </c>
    </row>
    <row r="4916">
      <c r="A4916" s="2">
        <v>4915.0</v>
      </c>
      <c r="B4916" s="2" t="s">
        <v>329</v>
      </c>
      <c r="C4916" s="2" t="s">
        <v>23</v>
      </c>
      <c r="K4916" s="2">
        <v>150.0</v>
      </c>
      <c r="N4916" s="6">
        <v>42461.0</v>
      </c>
      <c r="Q4916" s="2" t="s">
        <v>333</v>
      </c>
    </row>
    <row r="4917">
      <c r="A4917" s="2">
        <v>4916.0</v>
      </c>
      <c r="B4917" s="2" t="s">
        <v>8405</v>
      </c>
      <c r="C4917" s="2" t="s">
        <v>23</v>
      </c>
      <c r="N4917" s="6">
        <v>43866.0</v>
      </c>
      <c r="Q4917" s="2" t="s">
        <v>86</v>
      </c>
    </row>
    <row r="4918">
      <c r="A4918" s="2">
        <v>4917.0</v>
      </c>
      <c r="B4918" s="2" t="s">
        <v>8406</v>
      </c>
      <c r="C4918" s="2" t="s">
        <v>23</v>
      </c>
      <c r="K4918" s="2">
        <v>60.0</v>
      </c>
      <c r="N4918" s="6">
        <v>45617.0</v>
      </c>
      <c r="Q4918" s="2" t="s">
        <v>8407</v>
      </c>
    </row>
    <row r="4919">
      <c r="A4919" s="2">
        <v>4918.0</v>
      </c>
      <c r="B4919" s="2" t="s">
        <v>8408</v>
      </c>
      <c r="C4919" s="2" t="s">
        <v>23</v>
      </c>
      <c r="N4919" s="6">
        <v>44732.0</v>
      </c>
      <c r="Q4919" s="2" t="s">
        <v>86</v>
      </c>
    </row>
    <row r="4920">
      <c r="A4920" s="2">
        <v>4919.0</v>
      </c>
      <c r="B4920" s="2" t="s">
        <v>8409</v>
      </c>
      <c r="C4920" s="2" t="s">
        <v>23</v>
      </c>
      <c r="K4920" s="2">
        <v>50.0</v>
      </c>
      <c r="N4920" s="6">
        <v>42779.0</v>
      </c>
      <c r="Q4920" s="2" t="s">
        <v>8410</v>
      </c>
    </row>
    <row r="4921">
      <c r="A4921" s="2">
        <v>4920.0</v>
      </c>
      <c r="B4921" s="2" t="s">
        <v>8411</v>
      </c>
      <c r="C4921" s="2" t="s">
        <v>23</v>
      </c>
      <c r="N4921" s="6">
        <v>42379.0</v>
      </c>
      <c r="Q4921" s="2" t="s">
        <v>86</v>
      </c>
    </row>
    <row r="4922">
      <c r="A4922" s="2">
        <v>4921.0</v>
      </c>
      <c r="B4922" s="2" t="s">
        <v>8412</v>
      </c>
      <c r="C4922" s="2" t="s">
        <v>23</v>
      </c>
      <c r="K4922" s="2">
        <v>60.0</v>
      </c>
      <c r="N4922" s="6">
        <v>44540.0</v>
      </c>
      <c r="Q4922" s="2" t="s">
        <v>86</v>
      </c>
    </row>
    <row r="4923">
      <c r="A4923" s="2">
        <v>4922.0</v>
      </c>
      <c r="B4923" s="2" t="s">
        <v>8413</v>
      </c>
      <c r="C4923" s="2" t="s">
        <v>23</v>
      </c>
      <c r="N4923" s="6">
        <v>45263.0</v>
      </c>
      <c r="Q4923" s="2" t="s">
        <v>86</v>
      </c>
    </row>
    <row r="4924">
      <c r="A4924" s="2">
        <v>4923.0</v>
      </c>
      <c r="B4924" s="2" t="s">
        <v>8414</v>
      </c>
      <c r="C4924" s="2" t="s">
        <v>23</v>
      </c>
      <c r="N4924" s="6">
        <v>45986.0</v>
      </c>
      <c r="Q4924" s="2" t="s">
        <v>8415</v>
      </c>
    </row>
    <row r="4925">
      <c r="A4925" s="2">
        <v>4924.0</v>
      </c>
      <c r="B4925" s="2" t="s">
        <v>8416</v>
      </c>
      <c r="C4925" s="2" t="s">
        <v>23</v>
      </c>
      <c r="N4925" s="6">
        <v>42326.0</v>
      </c>
      <c r="Q4925" s="2" t="s">
        <v>86</v>
      </c>
    </row>
    <row r="4926">
      <c r="A4926" s="2">
        <v>4925.0</v>
      </c>
      <c r="B4926" s="2" t="s">
        <v>8417</v>
      </c>
      <c r="C4926" s="2" t="s">
        <v>23</v>
      </c>
      <c r="K4926" s="2">
        <v>100.0</v>
      </c>
      <c r="N4926" s="6">
        <v>45719.0</v>
      </c>
      <c r="Q4926" s="2" t="s">
        <v>8418</v>
      </c>
    </row>
    <row r="4927">
      <c r="A4927" s="2">
        <v>4926.0</v>
      </c>
      <c r="B4927" s="2" t="s">
        <v>8419</v>
      </c>
      <c r="C4927" s="2" t="s">
        <v>23</v>
      </c>
      <c r="K4927" s="2">
        <v>30.0</v>
      </c>
      <c r="N4927" s="6">
        <v>44087.0</v>
      </c>
      <c r="Q4927" s="2" t="s">
        <v>86</v>
      </c>
    </row>
    <row r="4928">
      <c r="A4928" s="2">
        <v>4927.0</v>
      </c>
      <c r="B4928" s="2" t="s">
        <v>8420</v>
      </c>
      <c r="C4928" s="2" t="s">
        <v>23</v>
      </c>
      <c r="K4928" s="2">
        <v>60.0</v>
      </c>
      <c r="N4928" s="6">
        <v>44531.0</v>
      </c>
      <c r="Q4928" s="2" t="s">
        <v>86</v>
      </c>
    </row>
    <row r="4929">
      <c r="A4929" s="2">
        <v>4928.0</v>
      </c>
      <c r="B4929" s="2" t="s">
        <v>8421</v>
      </c>
      <c r="C4929" s="2" t="s">
        <v>23</v>
      </c>
      <c r="K4929" s="2">
        <v>60.0</v>
      </c>
      <c r="N4929" s="6">
        <v>45302.0</v>
      </c>
      <c r="Q4929" s="2" t="s">
        <v>8422</v>
      </c>
    </row>
    <row r="4930">
      <c r="A4930" s="2">
        <v>4929.0</v>
      </c>
      <c r="B4930" s="2" t="s">
        <v>8423</v>
      </c>
      <c r="C4930" s="2" t="s">
        <v>23</v>
      </c>
      <c r="K4930" s="2">
        <v>50.0</v>
      </c>
      <c r="N4930" s="6">
        <v>44745.0</v>
      </c>
      <c r="Q4930" s="2" t="s">
        <v>8424</v>
      </c>
    </row>
    <row r="4931">
      <c r="A4931" s="2">
        <v>4930.0</v>
      </c>
      <c r="B4931" s="2" t="s">
        <v>8425</v>
      </c>
      <c r="C4931" s="2" t="s">
        <v>23</v>
      </c>
      <c r="K4931" s="2">
        <v>40.0</v>
      </c>
      <c r="N4931" s="6">
        <v>44450.0</v>
      </c>
      <c r="Q4931" s="2" t="s">
        <v>8426</v>
      </c>
    </row>
    <row r="4932">
      <c r="A4932" s="2">
        <v>4931.0</v>
      </c>
      <c r="B4932" s="2" t="s">
        <v>8427</v>
      </c>
      <c r="C4932" s="2" t="s">
        <v>23</v>
      </c>
      <c r="K4932" s="2">
        <v>100.0</v>
      </c>
      <c r="N4932" s="6">
        <v>44753.0</v>
      </c>
      <c r="Q4932" s="2" t="s">
        <v>8428</v>
      </c>
    </row>
    <row r="4933">
      <c r="A4933" s="2">
        <v>4932.0</v>
      </c>
      <c r="B4933" s="2" t="s">
        <v>8429</v>
      </c>
      <c r="C4933" s="2" t="s">
        <v>23</v>
      </c>
      <c r="K4933" s="2">
        <v>40.0</v>
      </c>
      <c r="N4933" s="6">
        <v>45248.0</v>
      </c>
      <c r="Q4933" s="2" t="s">
        <v>8430</v>
      </c>
    </row>
    <row r="4934">
      <c r="A4934" s="2">
        <v>4933.0</v>
      </c>
      <c r="B4934" s="2" t="s">
        <v>8431</v>
      </c>
      <c r="C4934" s="2" t="s">
        <v>23</v>
      </c>
      <c r="K4934" s="2">
        <v>30.0</v>
      </c>
      <c r="N4934" s="6">
        <v>44732.0</v>
      </c>
      <c r="Q4934" s="2" t="s">
        <v>1466</v>
      </c>
    </row>
    <row r="4935">
      <c r="A4935" s="2">
        <v>4934.0</v>
      </c>
      <c r="B4935" s="2" t="s">
        <v>8432</v>
      </c>
      <c r="C4935" s="2" t="s">
        <v>23</v>
      </c>
      <c r="K4935" s="2">
        <v>20.0</v>
      </c>
      <c r="N4935" s="6">
        <v>43885.0</v>
      </c>
      <c r="Q4935" s="2" t="s">
        <v>86</v>
      </c>
    </row>
    <row r="4936">
      <c r="A4936" s="2">
        <v>4935.0</v>
      </c>
      <c r="B4936" s="2" t="s">
        <v>8433</v>
      </c>
      <c r="C4936" s="2" t="s">
        <v>23</v>
      </c>
      <c r="K4936" s="2">
        <v>60.0</v>
      </c>
      <c r="N4936" s="6">
        <v>44011.0</v>
      </c>
      <c r="Q4936" s="2" t="s">
        <v>401</v>
      </c>
    </row>
    <row r="4937">
      <c r="A4937" s="2">
        <v>4936.0</v>
      </c>
      <c r="B4937" s="2" t="s">
        <v>8434</v>
      </c>
      <c r="C4937" s="2" t="s">
        <v>23</v>
      </c>
      <c r="K4937" s="2">
        <v>150.0</v>
      </c>
      <c r="N4937" s="6">
        <v>43875.0</v>
      </c>
      <c r="Q4937" s="2" t="s">
        <v>8435</v>
      </c>
    </row>
    <row r="4938">
      <c r="A4938" s="2">
        <v>4937.0</v>
      </c>
      <c r="B4938" s="2" t="s">
        <v>8436</v>
      </c>
      <c r="C4938" s="2" t="s">
        <v>23</v>
      </c>
      <c r="K4938" s="2">
        <v>150.0</v>
      </c>
      <c r="N4938" s="6">
        <v>44030.0</v>
      </c>
      <c r="Q4938" s="2" t="s">
        <v>8437</v>
      </c>
    </row>
    <row r="4939">
      <c r="A4939" s="2">
        <v>4938.0</v>
      </c>
      <c r="B4939" s="2" t="s">
        <v>8438</v>
      </c>
      <c r="C4939" s="2" t="s">
        <v>23</v>
      </c>
      <c r="K4939" s="2">
        <v>20.0</v>
      </c>
      <c r="N4939" s="6">
        <v>44250.0</v>
      </c>
      <c r="Q4939" s="2" t="s">
        <v>546</v>
      </c>
    </row>
    <row r="4940">
      <c r="A4940" s="2">
        <v>4939.0</v>
      </c>
      <c r="B4940" s="2" t="s">
        <v>8439</v>
      </c>
      <c r="C4940" s="2" t="s">
        <v>23</v>
      </c>
      <c r="K4940" s="2">
        <v>150.0</v>
      </c>
      <c r="N4940" s="6">
        <v>43850.0</v>
      </c>
      <c r="Q4940" s="2" t="s">
        <v>8440</v>
      </c>
    </row>
    <row r="4941">
      <c r="A4941" s="2">
        <v>4940.0</v>
      </c>
      <c r="B4941" s="2" t="s">
        <v>8441</v>
      </c>
      <c r="C4941" s="2" t="s">
        <v>23</v>
      </c>
      <c r="K4941" s="2">
        <v>40.0</v>
      </c>
      <c r="N4941" s="6">
        <v>43258.0</v>
      </c>
      <c r="Q4941" s="2" t="s">
        <v>8442</v>
      </c>
    </row>
    <row r="4942">
      <c r="A4942" s="2">
        <v>4941.0</v>
      </c>
      <c r="B4942" s="2" t="s">
        <v>8443</v>
      </c>
      <c r="C4942" s="2" t="s">
        <v>23</v>
      </c>
      <c r="K4942" s="2">
        <v>10.0</v>
      </c>
      <c r="N4942" s="6">
        <v>44032.0</v>
      </c>
      <c r="Q4942" s="2" t="s">
        <v>2573</v>
      </c>
    </row>
    <row r="4943">
      <c r="A4943" s="2">
        <v>4942.0</v>
      </c>
      <c r="B4943" s="2" t="s">
        <v>8444</v>
      </c>
      <c r="C4943" s="2" t="s">
        <v>23</v>
      </c>
      <c r="N4943" s="6">
        <v>45155.0</v>
      </c>
      <c r="Q4943" s="2" t="s">
        <v>86</v>
      </c>
    </row>
    <row r="4944">
      <c r="A4944" s="2">
        <v>4943.0</v>
      </c>
      <c r="B4944" s="2" t="s">
        <v>8445</v>
      </c>
      <c r="C4944" s="2" t="s">
        <v>23</v>
      </c>
      <c r="K4944" s="2">
        <v>20.0</v>
      </c>
      <c r="N4944" s="6">
        <v>44463.0</v>
      </c>
      <c r="Q4944" s="2" t="s">
        <v>86</v>
      </c>
    </row>
    <row r="4945">
      <c r="A4945" s="2">
        <v>4944.0</v>
      </c>
      <c r="B4945" s="2" t="s">
        <v>8446</v>
      </c>
      <c r="C4945" s="2" t="s">
        <v>23</v>
      </c>
      <c r="N4945" s="6">
        <v>44587.0</v>
      </c>
      <c r="Q4945" s="2" t="s">
        <v>86</v>
      </c>
    </row>
    <row r="4946">
      <c r="A4946" s="2">
        <v>4945.0</v>
      </c>
      <c r="B4946" s="2" t="s">
        <v>8447</v>
      </c>
      <c r="C4946" s="2" t="s">
        <v>23</v>
      </c>
      <c r="K4946" s="2">
        <v>40.0</v>
      </c>
      <c r="N4946" s="6">
        <v>43987.0</v>
      </c>
      <c r="Q4946" s="2" t="s">
        <v>8448</v>
      </c>
    </row>
    <row r="4947">
      <c r="A4947" s="2">
        <v>4946.0</v>
      </c>
      <c r="B4947" s="2" t="s">
        <v>8449</v>
      </c>
      <c r="C4947" s="2" t="s">
        <v>23</v>
      </c>
      <c r="K4947" s="2">
        <v>90.0</v>
      </c>
      <c r="N4947" s="6">
        <v>43891.0</v>
      </c>
      <c r="Q4947" s="2" t="s">
        <v>8450</v>
      </c>
    </row>
    <row r="4948">
      <c r="A4948" s="2">
        <v>4947.0</v>
      </c>
      <c r="B4948" s="2" t="s">
        <v>8451</v>
      </c>
      <c r="C4948" s="2" t="s">
        <v>23</v>
      </c>
      <c r="K4948" s="2">
        <v>10.0</v>
      </c>
      <c r="N4948" s="6">
        <v>44125.0</v>
      </c>
      <c r="Q4948" s="2" t="s">
        <v>86</v>
      </c>
    </row>
    <row r="4949">
      <c r="A4949" s="2">
        <v>4948.0</v>
      </c>
      <c r="B4949" s="2" t="s">
        <v>8452</v>
      </c>
      <c r="C4949" s="2" t="s">
        <v>23</v>
      </c>
      <c r="K4949" s="2">
        <v>20.0</v>
      </c>
      <c r="N4949" s="6">
        <v>44427.0</v>
      </c>
      <c r="Q4949" s="2" t="s">
        <v>86</v>
      </c>
    </row>
    <row r="4950">
      <c r="A4950" s="2">
        <v>4949.0</v>
      </c>
      <c r="B4950" s="2" t="s">
        <v>8453</v>
      </c>
      <c r="C4950" s="2" t="s">
        <v>23</v>
      </c>
      <c r="K4950" s="2">
        <v>10.0</v>
      </c>
      <c r="N4950" s="6">
        <v>44169.0</v>
      </c>
      <c r="Q4950" s="2" t="s">
        <v>2573</v>
      </c>
    </row>
    <row r="4951">
      <c r="A4951" s="2">
        <v>4950.0</v>
      </c>
      <c r="B4951" s="2" t="s">
        <v>8454</v>
      </c>
      <c r="C4951" s="2" t="s">
        <v>23</v>
      </c>
      <c r="K4951" s="2">
        <v>30.0</v>
      </c>
      <c r="N4951" s="6">
        <v>44245.0</v>
      </c>
      <c r="Q4951" s="2" t="s">
        <v>86</v>
      </c>
    </row>
    <row r="4952">
      <c r="A4952" s="2">
        <v>4951.0</v>
      </c>
      <c r="B4952" s="2" t="s">
        <v>8455</v>
      </c>
      <c r="C4952" s="2" t="s">
        <v>23</v>
      </c>
      <c r="N4952" s="6">
        <v>45000.0</v>
      </c>
      <c r="Q4952" s="2" t="s">
        <v>8456</v>
      </c>
    </row>
    <row r="4953">
      <c r="A4953" s="2">
        <v>4952.0</v>
      </c>
      <c r="B4953" s="2" t="s">
        <v>8457</v>
      </c>
      <c r="C4953" s="2" t="s">
        <v>23</v>
      </c>
      <c r="K4953" s="2">
        <v>30.0</v>
      </c>
      <c r="N4953" s="6">
        <v>45348.0</v>
      </c>
      <c r="Q4953" s="2" t="s">
        <v>4589</v>
      </c>
    </row>
    <row r="4954">
      <c r="A4954" s="2">
        <v>4953.0</v>
      </c>
      <c r="B4954" s="2" t="s">
        <v>8458</v>
      </c>
      <c r="C4954" s="2" t="s">
        <v>23</v>
      </c>
      <c r="K4954" s="2">
        <v>10.0</v>
      </c>
      <c r="N4954" s="6">
        <v>45355.0</v>
      </c>
      <c r="Q4954" s="2" t="s">
        <v>8459</v>
      </c>
    </row>
    <row r="4955">
      <c r="A4955" s="2">
        <v>4954.0</v>
      </c>
      <c r="B4955" s="2" t="s">
        <v>8460</v>
      </c>
      <c r="C4955" s="2" t="s">
        <v>23</v>
      </c>
      <c r="N4955" s="6">
        <v>44557.0</v>
      </c>
      <c r="Q4955" s="2" t="s">
        <v>86</v>
      </c>
    </row>
    <row r="4956">
      <c r="A4956" s="2">
        <v>4955.0</v>
      </c>
      <c r="B4956" s="2" t="s">
        <v>8461</v>
      </c>
      <c r="C4956" s="2" t="s">
        <v>23</v>
      </c>
      <c r="K4956" s="2">
        <v>20.0</v>
      </c>
      <c r="N4956" s="6">
        <v>44031.0</v>
      </c>
      <c r="Q4956" s="2" t="s">
        <v>1156</v>
      </c>
    </row>
    <row r="4957">
      <c r="A4957" s="2">
        <v>4956.0</v>
      </c>
      <c r="B4957" s="2" t="s">
        <v>8462</v>
      </c>
      <c r="C4957" s="2" t="s">
        <v>23</v>
      </c>
      <c r="K4957" s="2">
        <v>100.0</v>
      </c>
      <c r="N4957" s="6">
        <v>43983.0</v>
      </c>
      <c r="Q4957" s="2" t="s">
        <v>6118</v>
      </c>
    </row>
    <row r="4958">
      <c r="A4958" s="2">
        <v>4957.0</v>
      </c>
      <c r="B4958" s="2" t="s">
        <v>8463</v>
      </c>
      <c r="C4958" s="2" t="s">
        <v>23</v>
      </c>
      <c r="K4958" s="2">
        <v>30.0</v>
      </c>
      <c r="N4958" s="6">
        <v>45340.0</v>
      </c>
      <c r="Q4958" s="2" t="s">
        <v>8464</v>
      </c>
    </row>
    <row r="4959">
      <c r="A4959" s="2">
        <v>4958.0</v>
      </c>
      <c r="B4959" s="2" t="s">
        <v>8465</v>
      </c>
      <c r="C4959" s="2" t="s">
        <v>23</v>
      </c>
      <c r="N4959" s="6">
        <v>45571.0</v>
      </c>
      <c r="Q4959" s="2" t="s">
        <v>1131</v>
      </c>
    </row>
    <row r="4960">
      <c r="A4960" s="2">
        <v>4959.0</v>
      </c>
      <c r="B4960" s="2" t="s">
        <v>8466</v>
      </c>
      <c r="C4960" s="2" t="s">
        <v>23</v>
      </c>
      <c r="K4960" s="2">
        <v>30.0</v>
      </c>
      <c r="N4960" s="6">
        <v>45028.0</v>
      </c>
      <c r="Q4960" s="2" t="s">
        <v>8467</v>
      </c>
    </row>
    <row r="4961">
      <c r="A4961" s="2">
        <v>4960.0</v>
      </c>
      <c r="B4961" s="2" t="s">
        <v>8468</v>
      </c>
      <c r="C4961" s="2" t="s">
        <v>23</v>
      </c>
      <c r="K4961" s="2">
        <v>20.0</v>
      </c>
      <c r="N4961" s="6">
        <v>44076.0</v>
      </c>
      <c r="Q4961" s="2" t="s">
        <v>86</v>
      </c>
    </row>
    <row r="4962">
      <c r="A4962" s="2">
        <v>4961.0</v>
      </c>
      <c r="B4962" s="2" t="s">
        <v>8469</v>
      </c>
      <c r="C4962" s="2" t="s">
        <v>23</v>
      </c>
      <c r="K4962" s="2">
        <v>10.0</v>
      </c>
      <c r="N4962" s="6">
        <v>44175.0</v>
      </c>
      <c r="Q4962" s="2" t="s">
        <v>86</v>
      </c>
    </row>
    <row r="4963">
      <c r="A4963" s="2">
        <v>4962.0</v>
      </c>
      <c r="B4963" s="2" t="s">
        <v>8470</v>
      </c>
      <c r="C4963" s="2" t="s">
        <v>23</v>
      </c>
      <c r="K4963" s="2">
        <v>80.0</v>
      </c>
      <c r="N4963" s="6">
        <v>45708.0</v>
      </c>
      <c r="Q4963" s="2" t="s">
        <v>8471</v>
      </c>
    </row>
    <row r="4964">
      <c r="A4964" s="2">
        <v>4963.0</v>
      </c>
      <c r="B4964" s="2" t="s">
        <v>8472</v>
      </c>
      <c r="C4964" s="2" t="s">
        <v>23</v>
      </c>
      <c r="K4964" s="2">
        <v>100.0</v>
      </c>
      <c r="N4964" s="6">
        <v>43900.0</v>
      </c>
      <c r="Q4964" s="2" t="s">
        <v>8473</v>
      </c>
    </row>
    <row r="4965">
      <c r="A4965" s="2">
        <v>4964.0</v>
      </c>
      <c r="B4965" s="2" t="s">
        <v>8474</v>
      </c>
      <c r="C4965" s="2" t="s">
        <v>23</v>
      </c>
      <c r="K4965" s="2">
        <v>80.0</v>
      </c>
      <c r="N4965" s="6">
        <v>45728.0</v>
      </c>
      <c r="Q4965" s="2" t="s">
        <v>8475</v>
      </c>
    </row>
    <row r="4966">
      <c r="A4966" s="2">
        <v>4965.0</v>
      </c>
      <c r="B4966" s="2" t="s">
        <v>8476</v>
      </c>
      <c r="C4966" s="2" t="s">
        <v>23</v>
      </c>
      <c r="K4966" s="2">
        <v>30.0</v>
      </c>
      <c r="N4966" s="6">
        <v>44571.0</v>
      </c>
      <c r="Q4966" s="2" t="s">
        <v>2362</v>
      </c>
    </row>
    <row r="4967">
      <c r="A4967" s="2">
        <v>4966.0</v>
      </c>
      <c r="B4967" s="2" t="s">
        <v>8477</v>
      </c>
      <c r="C4967" s="2" t="s">
        <v>23</v>
      </c>
      <c r="N4967" s="6">
        <v>44587.0</v>
      </c>
      <c r="Q4967" s="2" t="s">
        <v>86</v>
      </c>
    </row>
    <row r="4968">
      <c r="A4968" s="2">
        <v>4967.0</v>
      </c>
      <c r="B4968" s="2" t="s">
        <v>8478</v>
      </c>
      <c r="C4968" s="2" t="s">
        <v>23</v>
      </c>
      <c r="K4968" s="2">
        <v>100.0</v>
      </c>
      <c r="N4968" s="6">
        <v>44016.0</v>
      </c>
      <c r="Q4968" s="2" t="s">
        <v>8479</v>
      </c>
    </row>
    <row r="4969">
      <c r="A4969" s="2">
        <v>4968.0</v>
      </c>
      <c r="B4969" s="2" t="s">
        <v>8480</v>
      </c>
      <c r="C4969" s="2" t="s">
        <v>23</v>
      </c>
      <c r="K4969" s="2">
        <v>40.0</v>
      </c>
      <c r="N4969" s="6">
        <v>43860.0</v>
      </c>
      <c r="Q4969" s="2" t="s">
        <v>8481</v>
      </c>
    </row>
    <row r="4970">
      <c r="A4970" s="2">
        <v>4969.0</v>
      </c>
      <c r="B4970" s="2" t="s">
        <v>8482</v>
      </c>
      <c r="C4970" s="2" t="s">
        <v>23</v>
      </c>
      <c r="K4970" s="2">
        <v>40.0</v>
      </c>
      <c r="N4970" s="6">
        <v>44761.0</v>
      </c>
      <c r="Q4970" s="2" t="s">
        <v>1466</v>
      </c>
    </row>
    <row r="4971">
      <c r="A4971" s="2">
        <v>4970.0</v>
      </c>
      <c r="B4971" s="2" t="s">
        <v>8483</v>
      </c>
      <c r="C4971" s="2" t="s">
        <v>23</v>
      </c>
      <c r="K4971" s="2">
        <v>150.0</v>
      </c>
      <c r="N4971" s="6">
        <v>45594.0</v>
      </c>
      <c r="Q4971" s="2" t="s">
        <v>8484</v>
      </c>
    </row>
    <row r="4972">
      <c r="A4972" s="2">
        <v>4971.0</v>
      </c>
      <c r="B4972" s="2" t="s">
        <v>8485</v>
      </c>
      <c r="C4972" s="2" t="s">
        <v>23</v>
      </c>
      <c r="K4972" s="2">
        <v>30.0</v>
      </c>
      <c r="N4972" s="6">
        <v>44502.0</v>
      </c>
      <c r="Q4972" s="2" t="s">
        <v>2573</v>
      </c>
    </row>
    <row r="4973">
      <c r="A4973" s="2">
        <v>4972.0</v>
      </c>
      <c r="B4973" s="2" t="s">
        <v>8486</v>
      </c>
      <c r="C4973" s="2" t="s">
        <v>23</v>
      </c>
      <c r="N4973" s="6">
        <v>44978.0</v>
      </c>
      <c r="Q4973" s="2" t="s">
        <v>86</v>
      </c>
    </row>
    <row r="4974">
      <c r="A4974" s="2">
        <v>4973.0</v>
      </c>
      <c r="B4974" s="2" t="s">
        <v>8487</v>
      </c>
      <c r="C4974" s="2" t="s">
        <v>23</v>
      </c>
      <c r="K4974" s="2">
        <v>10.0</v>
      </c>
      <c r="N4974" s="6">
        <v>45616.0</v>
      </c>
      <c r="Q4974" s="2" t="s">
        <v>7882</v>
      </c>
    </row>
    <row r="4975">
      <c r="A4975" s="2">
        <v>4974.0</v>
      </c>
      <c r="B4975" s="2" t="s">
        <v>8488</v>
      </c>
      <c r="C4975" s="2" t="s">
        <v>23</v>
      </c>
      <c r="N4975" s="6">
        <v>44297.0</v>
      </c>
      <c r="Q4975" s="2" t="s">
        <v>86</v>
      </c>
    </row>
    <row r="4976">
      <c r="A4976" s="2">
        <v>4975.0</v>
      </c>
      <c r="B4976" s="2" t="s">
        <v>8489</v>
      </c>
      <c r="C4976" s="2" t="s">
        <v>23</v>
      </c>
      <c r="K4976" s="2">
        <v>10.0</v>
      </c>
      <c r="N4976" s="6">
        <v>45056.0</v>
      </c>
      <c r="Q4976" s="2" t="s">
        <v>86</v>
      </c>
    </row>
    <row r="4977">
      <c r="A4977" s="2">
        <v>4976.0</v>
      </c>
      <c r="B4977" s="2" t="s">
        <v>8490</v>
      </c>
      <c r="C4977" s="2" t="s">
        <v>23</v>
      </c>
      <c r="K4977" s="2">
        <v>40.0</v>
      </c>
      <c r="N4977" s="6">
        <v>44522.0</v>
      </c>
      <c r="Q4977" s="2" t="s">
        <v>86</v>
      </c>
    </row>
    <row r="4978">
      <c r="A4978" s="2">
        <v>4977.0</v>
      </c>
      <c r="B4978" s="2" t="s">
        <v>8491</v>
      </c>
      <c r="C4978" s="2" t="s">
        <v>23</v>
      </c>
      <c r="K4978" s="2">
        <v>40.0</v>
      </c>
      <c r="N4978" s="6">
        <v>45125.0</v>
      </c>
      <c r="Q4978" s="2" t="s">
        <v>94</v>
      </c>
    </row>
    <row r="4979">
      <c r="A4979" s="2">
        <v>4978.0</v>
      </c>
      <c r="B4979" s="2" t="s">
        <v>8492</v>
      </c>
      <c r="C4979" s="2" t="s">
        <v>23</v>
      </c>
      <c r="K4979" s="2">
        <v>200.0</v>
      </c>
      <c r="N4979" s="6">
        <v>44484.0</v>
      </c>
      <c r="Q4979" s="2" t="s">
        <v>8493</v>
      </c>
    </row>
    <row r="4980">
      <c r="A4980" s="2">
        <v>4979.0</v>
      </c>
      <c r="B4980" s="2" t="s">
        <v>8494</v>
      </c>
      <c r="C4980" s="2" t="s">
        <v>23</v>
      </c>
      <c r="K4980" s="2">
        <v>60.0</v>
      </c>
      <c r="N4980" s="6">
        <v>45482.0</v>
      </c>
      <c r="Q4980" s="2" t="s">
        <v>8495</v>
      </c>
    </row>
    <row r="4981">
      <c r="A4981" s="2">
        <v>4980.0</v>
      </c>
      <c r="B4981" s="2" t="s">
        <v>8496</v>
      </c>
      <c r="C4981" s="2" t="s">
        <v>23</v>
      </c>
      <c r="K4981" s="2">
        <v>10.0</v>
      </c>
      <c r="N4981" s="6">
        <v>44368.0</v>
      </c>
      <c r="Q4981" s="2" t="s">
        <v>8497</v>
      </c>
    </row>
    <row r="4982">
      <c r="A4982" s="2">
        <v>4981.0</v>
      </c>
      <c r="B4982" s="2" t="s">
        <v>8498</v>
      </c>
      <c r="C4982" s="2" t="s">
        <v>23</v>
      </c>
      <c r="K4982" s="2">
        <v>20.0</v>
      </c>
      <c r="N4982" s="6">
        <v>44099.0</v>
      </c>
      <c r="Q4982" s="2" t="s">
        <v>546</v>
      </c>
    </row>
    <row r="4983">
      <c r="A4983" s="2">
        <v>4982.0</v>
      </c>
      <c r="B4983" s="2" t="s">
        <v>8499</v>
      </c>
      <c r="C4983" s="2" t="s">
        <v>23</v>
      </c>
      <c r="K4983" s="2">
        <v>60.0</v>
      </c>
      <c r="N4983" s="6">
        <v>44258.0</v>
      </c>
      <c r="Q4983" s="2" t="s">
        <v>8500</v>
      </c>
    </row>
    <row r="4984">
      <c r="A4984" s="2">
        <v>4983.0</v>
      </c>
      <c r="B4984" s="2" t="s">
        <v>8501</v>
      </c>
      <c r="C4984" s="2" t="s">
        <v>23</v>
      </c>
      <c r="K4984" s="2">
        <v>10.0</v>
      </c>
      <c r="N4984" s="6">
        <v>44517.0</v>
      </c>
      <c r="Q4984" s="2" t="s">
        <v>8502</v>
      </c>
    </row>
    <row r="4985">
      <c r="A4985" s="2">
        <v>4984.0</v>
      </c>
      <c r="B4985" s="2" t="s">
        <v>8503</v>
      </c>
      <c r="C4985" s="2" t="s">
        <v>23</v>
      </c>
      <c r="K4985" s="2">
        <v>80.0</v>
      </c>
      <c r="N4985" s="6">
        <v>43860.0</v>
      </c>
      <c r="Q4985" s="2" t="s">
        <v>1437</v>
      </c>
    </row>
    <row r="4986">
      <c r="A4986" s="2">
        <v>4985.0</v>
      </c>
      <c r="B4986" s="2" t="s">
        <v>8504</v>
      </c>
      <c r="C4986" s="2" t="s">
        <v>23</v>
      </c>
      <c r="N4986" s="6">
        <v>44481.0</v>
      </c>
      <c r="Q4986" s="2" t="s">
        <v>86</v>
      </c>
    </row>
    <row r="4987">
      <c r="A4987" s="2">
        <v>4986.0</v>
      </c>
      <c r="B4987" s="2" t="s">
        <v>8505</v>
      </c>
      <c r="C4987" s="2" t="s">
        <v>23</v>
      </c>
      <c r="K4987" s="2">
        <v>40.0</v>
      </c>
      <c r="N4987" s="6">
        <v>44307.0</v>
      </c>
      <c r="Q4987" s="2" t="s">
        <v>426</v>
      </c>
    </row>
    <row r="4988">
      <c r="A4988" s="2">
        <v>4987.0</v>
      </c>
      <c r="B4988" s="2" t="s">
        <v>8506</v>
      </c>
      <c r="C4988" s="2" t="s">
        <v>23</v>
      </c>
      <c r="N4988" s="6">
        <v>44726.0</v>
      </c>
      <c r="Q4988" s="2" t="s">
        <v>86</v>
      </c>
    </row>
    <row r="4989">
      <c r="A4989" s="2">
        <v>4988.0</v>
      </c>
      <c r="B4989" s="2" t="s">
        <v>8507</v>
      </c>
      <c r="C4989" s="2" t="s">
        <v>23</v>
      </c>
      <c r="K4989" s="2">
        <v>20.0</v>
      </c>
      <c r="N4989" s="6">
        <v>44483.0</v>
      </c>
      <c r="Q4989" s="2" t="s">
        <v>86</v>
      </c>
    </row>
    <row r="4990">
      <c r="A4990" s="2">
        <v>4989.0</v>
      </c>
      <c r="B4990" s="2" t="s">
        <v>8508</v>
      </c>
      <c r="C4990" s="2" t="s">
        <v>23</v>
      </c>
      <c r="K4990" s="2">
        <v>40.0</v>
      </c>
      <c r="N4990" s="6">
        <v>43844.0</v>
      </c>
      <c r="Q4990" s="2" t="s">
        <v>8509</v>
      </c>
    </row>
    <row r="4991">
      <c r="A4991" s="2">
        <v>4990.0</v>
      </c>
      <c r="B4991" s="2" t="s">
        <v>8510</v>
      </c>
      <c r="C4991" s="2" t="s">
        <v>23</v>
      </c>
      <c r="N4991" s="6">
        <v>42356.0</v>
      </c>
      <c r="Q4991" s="2" t="s">
        <v>86</v>
      </c>
    </row>
    <row r="4992">
      <c r="A4992" s="2">
        <v>4991.0</v>
      </c>
      <c r="B4992" s="2" t="s">
        <v>8511</v>
      </c>
      <c r="C4992" s="2" t="s">
        <v>23</v>
      </c>
      <c r="N4992" s="6">
        <v>45625.0</v>
      </c>
      <c r="Q4992" s="2" t="s">
        <v>3724</v>
      </c>
    </row>
    <row r="4993">
      <c r="A4993" s="2">
        <v>4992.0</v>
      </c>
      <c r="B4993" s="2" t="s">
        <v>8512</v>
      </c>
      <c r="C4993" s="2" t="s">
        <v>23</v>
      </c>
      <c r="N4993" s="6">
        <v>42387.0</v>
      </c>
      <c r="O4993" s="2" t="s">
        <v>49</v>
      </c>
      <c r="P4993" s="2" t="s">
        <v>36</v>
      </c>
      <c r="Q4993" s="2" t="s">
        <v>86</v>
      </c>
      <c r="S4993" s="2" t="s">
        <v>730</v>
      </c>
    </row>
    <row r="4994">
      <c r="A4994" s="2">
        <v>4993.0</v>
      </c>
      <c r="B4994" s="2" t="s">
        <v>8513</v>
      </c>
      <c r="C4994" s="2" t="s">
        <v>23</v>
      </c>
      <c r="N4994" s="6">
        <v>44043.0</v>
      </c>
      <c r="Q4994" s="2" t="s">
        <v>86</v>
      </c>
    </row>
    <row r="4995">
      <c r="A4995" s="2">
        <v>4994.0</v>
      </c>
      <c r="B4995" s="2" t="s">
        <v>8514</v>
      </c>
      <c r="C4995" s="2" t="s">
        <v>23</v>
      </c>
      <c r="N4995" s="6">
        <v>44606.0</v>
      </c>
      <c r="Q4995" s="2" t="s">
        <v>86</v>
      </c>
    </row>
    <row r="4996">
      <c r="A4996" s="2">
        <v>4995.0</v>
      </c>
      <c r="B4996" s="2" t="s">
        <v>8515</v>
      </c>
      <c r="C4996" s="2" t="s">
        <v>23</v>
      </c>
      <c r="K4996" s="2">
        <v>100.0</v>
      </c>
      <c r="N4996" s="6">
        <v>44624.0</v>
      </c>
      <c r="Q4996" s="2" t="s">
        <v>8516</v>
      </c>
    </row>
    <row r="4997">
      <c r="A4997" s="2">
        <v>4996.0</v>
      </c>
      <c r="B4997" s="2" t="s">
        <v>8517</v>
      </c>
      <c r="C4997" s="2" t="s">
        <v>23</v>
      </c>
      <c r="K4997" s="2">
        <v>50.0</v>
      </c>
      <c r="N4997" s="6">
        <v>44930.0</v>
      </c>
      <c r="Q4997" s="2" t="s">
        <v>4100</v>
      </c>
    </row>
    <row r="4998">
      <c r="A4998" s="2">
        <v>4997.0</v>
      </c>
      <c r="B4998" s="2" t="s">
        <v>8518</v>
      </c>
      <c r="C4998" s="2" t="s">
        <v>23</v>
      </c>
      <c r="K4998" s="2">
        <v>10.0</v>
      </c>
      <c r="N4998" s="6">
        <v>44086.0</v>
      </c>
      <c r="Q4998" s="2" t="s">
        <v>8519</v>
      </c>
    </row>
    <row r="4999">
      <c r="A4999" s="2">
        <v>4998.0</v>
      </c>
      <c r="B4999" s="2" t="s">
        <v>8520</v>
      </c>
      <c r="C4999" s="2" t="s">
        <v>23</v>
      </c>
      <c r="N4999" s="6">
        <v>45135.0</v>
      </c>
      <c r="Q4999" s="2" t="s">
        <v>86</v>
      </c>
    </row>
    <row r="5000">
      <c r="A5000" s="2">
        <v>4999.0</v>
      </c>
      <c r="B5000" s="2" t="s">
        <v>8521</v>
      </c>
      <c r="C5000" s="2" t="s">
        <v>23</v>
      </c>
      <c r="K5000" s="2">
        <v>10.0</v>
      </c>
      <c r="N5000" s="6">
        <v>44307.0</v>
      </c>
      <c r="Q5000" s="2" t="s">
        <v>8522</v>
      </c>
    </row>
    <row r="5001">
      <c r="A5001" s="2">
        <v>5000.0</v>
      </c>
      <c r="B5001" s="2" t="s">
        <v>8523</v>
      </c>
      <c r="C5001" s="2" t="s">
        <v>23</v>
      </c>
      <c r="N5001" s="6">
        <v>44997.0</v>
      </c>
      <c r="Q5001" s="2" t="s">
        <v>86</v>
      </c>
    </row>
    <row r="5002">
      <c r="A5002" s="2">
        <v>5001.0</v>
      </c>
      <c r="B5002" s="2" t="s">
        <v>8524</v>
      </c>
      <c r="C5002" s="2" t="s">
        <v>23</v>
      </c>
      <c r="K5002" s="2">
        <v>10.0</v>
      </c>
      <c r="N5002" s="6">
        <v>45370.0</v>
      </c>
      <c r="Q5002" s="2" t="s">
        <v>8525</v>
      </c>
    </row>
    <row r="5003">
      <c r="A5003" s="2">
        <v>5002.0</v>
      </c>
      <c r="B5003" s="2" t="s">
        <v>8526</v>
      </c>
      <c r="C5003" s="2" t="s">
        <v>23</v>
      </c>
      <c r="K5003" s="2">
        <v>10.0</v>
      </c>
      <c r="N5003" s="6">
        <v>45564.0</v>
      </c>
      <c r="Q5003" s="2" t="s">
        <v>8527</v>
      </c>
    </row>
    <row r="5004">
      <c r="A5004" s="2">
        <v>5003.0</v>
      </c>
      <c r="B5004" s="2" t="s">
        <v>8528</v>
      </c>
      <c r="C5004" s="2" t="s">
        <v>23</v>
      </c>
      <c r="K5004" s="2">
        <v>70.0</v>
      </c>
      <c r="N5004" s="6">
        <v>43923.0</v>
      </c>
      <c r="Q5004" s="2" t="s">
        <v>8529</v>
      </c>
    </row>
    <row r="5005">
      <c r="A5005" s="2">
        <v>5004.0</v>
      </c>
      <c r="B5005" s="2" t="s">
        <v>8530</v>
      </c>
      <c r="C5005" s="2" t="s">
        <v>23</v>
      </c>
      <c r="K5005" s="2">
        <v>90.0</v>
      </c>
      <c r="N5005" s="6">
        <v>44342.0</v>
      </c>
      <c r="Q5005" s="2" t="s">
        <v>1116</v>
      </c>
    </row>
    <row r="5006">
      <c r="A5006" s="2">
        <v>5005.0</v>
      </c>
      <c r="B5006" s="2" t="s">
        <v>8531</v>
      </c>
      <c r="C5006" s="2" t="s">
        <v>23</v>
      </c>
      <c r="N5006" s="6">
        <v>43845.0</v>
      </c>
      <c r="Q5006" s="2" t="s">
        <v>8532</v>
      </c>
    </row>
    <row r="5007">
      <c r="A5007" s="2">
        <v>5006.0</v>
      </c>
      <c r="B5007" s="2" t="s">
        <v>8533</v>
      </c>
      <c r="C5007" s="2" t="s">
        <v>23</v>
      </c>
      <c r="N5007" s="6">
        <v>44579.0</v>
      </c>
      <c r="Q5007" s="2" t="s">
        <v>86</v>
      </c>
    </row>
    <row r="5008">
      <c r="A5008" s="2">
        <v>5007.0</v>
      </c>
      <c r="B5008" s="2" t="s">
        <v>8534</v>
      </c>
      <c r="C5008" s="2" t="s">
        <v>23</v>
      </c>
      <c r="K5008" s="2">
        <v>80.0</v>
      </c>
      <c r="N5008" s="6">
        <v>44052.0</v>
      </c>
      <c r="Q5008" s="2" t="s">
        <v>8535</v>
      </c>
    </row>
    <row r="5009">
      <c r="A5009" s="2">
        <v>5008.0</v>
      </c>
      <c r="B5009" s="2" t="s">
        <v>8536</v>
      </c>
      <c r="C5009" s="2" t="s">
        <v>23</v>
      </c>
      <c r="K5009" s="2">
        <v>30.0</v>
      </c>
      <c r="N5009" s="6">
        <v>44784.0</v>
      </c>
      <c r="Q5009" s="2" t="s">
        <v>8537</v>
      </c>
    </row>
    <row r="5010">
      <c r="A5010" s="2">
        <v>5009.0</v>
      </c>
      <c r="B5010" s="2" t="s">
        <v>8538</v>
      </c>
      <c r="C5010" s="2" t="s">
        <v>23</v>
      </c>
      <c r="K5010" s="2">
        <v>150.0</v>
      </c>
      <c r="N5010" s="6">
        <v>44562.0</v>
      </c>
      <c r="Q5010" s="2" t="s">
        <v>8539</v>
      </c>
    </row>
    <row r="5011">
      <c r="A5011" s="2">
        <v>5010.0</v>
      </c>
      <c r="B5011" s="2" t="s">
        <v>8540</v>
      </c>
      <c r="C5011" s="2" t="s">
        <v>23</v>
      </c>
      <c r="N5011" s="6">
        <v>44303.0</v>
      </c>
      <c r="Q5011" s="2" t="s">
        <v>86</v>
      </c>
    </row>
    <row r="5012">
      <c r="A5012" s="2">
        <v>5011.0</v>
      </c>
      <c r="B5012" s="2" t="s">
        <v>8541</v>
      </c>
      <c r="C5012" s="2" t="s">
        <v>23</v>
      </c>
      <c r="K5012" s="2">
        <v>150.0</v>
      </c>
      <c r="N5012" s="6">
        <v>44212.0</v>
      </c>
      <c r="Q5012" s="2" t="s">
        <v>8542</v>
      </c>
    </row>
    <row r="5013">
      <c r="A5013" s="2">
        <v>5012.0</v>
      </c>
      <c r="B5013" s="2" t="s">
        <v>8543</v>
      </c>
      <c r="C5013" s="2" t="s">
        <v>23</v>
      </c>
      <c r="K5013" s="2">
        <v>10.0</v>
      </c>
      <c r="N5013" s="6">
        <v>45581.0</v>
      </c>
      <c r="Q5013" s="2" t="s">
        <v>2583</v>
      </c>
    </row>
    <row r="5014">
      <c r="A5014" s="2">
        <v>5013.0</v>
      </c>
      <c r="B5014" s="2" t="s">
        <v>8544</v>
      </c>
      <c r="C5014" s="2" t="s">
        <v>23</v>
      </c>
      <c r="K5014" s="2">
        <v>10.0</v>
      </c>
      <c r="N5014" s="6">
        <v>42493.0</v>
      </c>
      <c r="Q5014" s="2" t="s">
        <v>8545</v>
      </c>
    </row>
    <row r="5015">
      <c r="A5015" s="2">
        <v>5014.0</v>
      </c>
      <c r="B5015" s="2" t="s">
        <v>8546</v>
      </c>
      <c r="C5015" s="2" t="s">
        <v>23</v>
      </c>
      <c r="K5015" s="2">
        <v>50.0</v>
      </c>
      <c r="N5015" s="6">
        <v>44158.0</v>
      </c>
      <c r="Q5015" s="2" t="s">
        <v>8547</v>
      </c>
    </row>
    <row r="5016">
      <c r="A5016" s="2">
        <v>5015.0</v>
      </c>
      <c r="B5016" s="2" t="s">
        <v>335</v>
      </c>
      <c r="C5016" s="2" t="s">
        <v>23</v>
      </c>
      <c r="N5016" s="6">
        <v>43117.0</v>
      </c>
      <c r="Q5016" s="2" t="s">
        <v>86</v>
      </c>
    </row>
    <row r="5017">
      <c r="A5017" s="2">
        <v>5016.0</v>
      </c>
      <c r="B5017" s="2" t="s">
        <v>341</v>
      </c>
      <c r="C5017" s="2" t="s">
        <v>23</v>
      </c>
      <c r="N5017" s="6">
        <v>45172.0</v>
      </c>
      <c r="Q5017" s="2" t="s">
        <v>343</v>
      </c>
    </row>
    <row r="5018">
      <c r="A5018" s="2">
        <v>5017.0</v>
      </c>
      <c r="B5018" s="2" t="s">
        <v>8548</v>
      </c>
      <c r="C5018" s="2" t="s">
        <v>23</v>
      </c>
      <c r="K5018" s="2">
        <v>30.0</v>
      </c>
      <c r="N5018" s="6">
        <v>44678.0</v>
      </c>
      <c r="Q5018" s="2" t="s">
        <v>86</v>
      </c>
    </row>
    <row r="5019">
      <c r="A5019" s="2">
        <v>5018.0</v>
      </c>
      <c r="B5019" s="2" t="s">
        <v>8549</v>
      </c>
      <c r="C5019" s="2" t="s">
        <v>23</v>
      </c>
      <c r="K5019" s="2">
        <v>60.0</v>
      </c>
      <c r="N5019" s="6">
        <v>45723.0</v>
      </c>
      <c r="Q5019" s="2" t="s">
        <v>8550</v>
      </c>
    </row>
    <row r="5020">
      <c r="A5020" s="2">
        <v>5019.0</v>
      </c>
      <c r="B5020" s="2" t="s">
        <v>8551</v>
      </c>
      <c r="C5020" s="2" t="s">
        <v>23</v>
      </c>
      <c r="K5020" s="2">
        <v>10.0</v>
      </c>
      <c r="N5020" s="6">
        <v>44031.0</v>
      </c>
      <c r="Q5020" s="2" t="s">
        <v>86</v>
      </c>
    </row>
    <row r="5021">
      <c r="A5021" s="2">
        <v>5020.0</v>
      </c>
      <c r="B5021" s="2" t="s">
        <v>8552</v>
      </c>
      <c r="C5021" s="2" t="s">
        <v>23</v>
      </c>
      <c r="K5021" s="2">
        <v>200.0</v>
      </c>
      <c r="N5021" s="6">
        <v>44117.0</v>
      </c>
      <c r="Q5021" s="2" t="s">
        <v>8553</v>
      </c>
    </row>
    <row r="5022">
      <c r="A5022" s="2">
        <v>5021.0</v>
      </c>
      <c r="B5022" s="2" t="s">
        <v>8554</v>
      </c>
      <c r="C5022" s="2" t="s">
        <v>23</v>
      </c>
      <c r="N5022" s="6">
        <v>44508.0</v>
      </c>
      <c r="Q5022" s="2" t="s">
        <v>86</v>
      </c>
    </row>
    <row r="5023">
      <c r="A5023" s="2">
        <v>5022.0</v>
      </c>
      <c r="B5023" s="2" t="s">
        <v>8555</v>
      </c>
      <c r="C5023" s="2" t="s">
        <v>23</v>
      </c>
      <c r="K5023" s="2">
        <v>50.0</v>
      </c>
      <c r="N5023" s="6">
        <v>44796.0</v>
      </c>
      <c r="Q5023" s="2" t="s">
        <v>1116</v>
      </c>
    </row>
    <row r="5024">
      <c r="A5024" s="2">
        <v>5023.0</v>
      </c>
      <c r="B5024" s="2" t="s">
        <v>8556</v>
      </c>
      <c r="C5024" s="2" t="s">
        <v>23</v>
      </c>
      <c r="K5024" s="2">
        <v>30.0</v>
      </c>
      <c r="N5024" s="6">
        <v>44614.0</v>
      </c>
      <c r="Q5024" s="2" t="s">
        <v>1249</v>
      </c>
    </row>
    <row r="5025">
      <c r="A5025" s="2">
        <v>5024.0</v>
      </c>
      <c r="B5025" s="2" t="s">
        <v>8557</v>
      </c>
      <c r="C5025" s="2" t="s">
        <v>23</v>
      </c>
      <c r="K5025" s="2">
        <v>30.0</v>
      </c>
      <c r="N5025" s="6">
        <v>44575.0</v>
      </c>
      <c r="Q5025" s="2" t="s">
        <v>8558</v>
      </c>
    </row>
    <row r="5026">
      <c r="A5026" s="2">
        <v>5025.0</v>
      </c>
      <c r="B5026" s="2" t="s">
        <v>8559</v>
      </c>
      <c r="C5026" s="2" t="s">
        <v>23</v>
      </c>
      <c r="K5026" s="2">
        <v>10.0</v>
      </c>
      <c r="N5026" s="6">
        <v>43852.0</v>
      </c>
      <c r="Q5026" s="2" t="s">
        <v>8560</v>
      </c>
    </row>
    <row r="5027">
      <c r="A5027" s="2">
        <v>5026.0</v>
      </c>
      <c r="B5027" s="2" t="s">
        <v>8561</v>
      </c>
      <c r="C5027" s="2" t="s">
        <v>23</v>
      </c>
      <c r="K5027" s="2">
        <v>50.0</v>
      </c>
      <c r="N5027" s="6">
        <v>44452.0</v>
      </c>
      <c r="Q5027" s="2" t="s">
        <v>8562</v>
      </c>
    </row>
    <row r="5028">
      <c r="A5028" s="2">
        <v>5027.0</v>
      </c>
      <c r="B5028" s="2" t="s">
        <v>8563</v>
      </c>
      <c r="C5028" s="2" t="s">
        <v>23</v>
      </c>
      <c r="K5028" s="2">
        <v>250.0</v>
      </c>
      <c r="N5028" s="6">
        <v>44514.0</v>
      </c>
      <c r="Q5028" s="2" t="s">
        <v>8564</v>
      </c>
    </row>
    <row r="5029">
      <c r="A5029" s="2">
        <v>5028.0</v>
      </c>
      <c r="B5029" s="2" t="s">
        <v>8565</v>
      </c>
      <c r="C5029" s="2" t="s">
        <v>23</v>
      </c>
      <c r="N5029" s="6">
        <v>43940.0</v>
      </c>
      <c r="Q5029" s="2" t="s">
        <v>86</v>
      </c>
    </row>
    <row r="5030">
      <c r="A5030" s="2">
        <v>5029.0</v>
      </c>
      <c r="B5030" s="2" t="s">
        <v>8566</v>
      </c>
      <c r="C5030" s="2" t="s">
        <v>23</v>
      </c>
      <c r="K5030" s="2">
        <v>20.0</v>
      </c>
      <c r="N5030" s="6">
        <v>44418.0</v>
      </c>
      <c r="Q5030" s="2" t="s">
        <v>175</v>
      </c>
    </row>
    <row r="5031">
      <c r="A5031" s="2">
        <v>5030.0</v>
      </c>
      <c r="B5031" s="2" t="s">
        <v>8567</v>
      </c>
      <c r="C5031" s="2" t="s">
        <v>23</v>
      </c>
      <c r="K5031" s="2">
        <v>60.0</v>
      </c>
      <c r="N5031" s="6">
        <v>43914.0</v>
      </c>
      <c r="Q5031" s="2" t="s">
        <v>8568</v>
      </c>
    </row>
    <row r="5032">
      <c r="A5032" s="2">
        <v>5031.0</v>
      </c>
      <c r="B5032" s="2" t="s">
        <v>8569</v>
      </c>
      <c r="C5032" s="2" t="s">
        <v>23</v>
      </c>
      <c r="K5032" s="2">
        <v>10.0</v>
      </c>
      <c r="N5032" s="6">
        <v>44025.0</v>
      </c>
      <c r="Q5032" s="2" t="s">
        <v>86</v>
      </c>
    </row>
    <row r="5033">
      <c r="A5033" s="2">
        <v>5032.0</v>
      </c>
      <c r="B5033" s="2" t="s">
        <v>8570</v>
      </c>
      <c r="C5033" s="2" t="s">
        <v>23</v>
      </c>
      <c r="K5033" s="2">
        <v>30.0</v>
      </c>
      <c r="N5033" s="6">
        <v>45452.0</v>
      </c>
      <c r="Q5033" s="2" t="s">
        <v>8571</v>
      </c>
    </row>
    <row r="5034">
      <c r="A5034" s="2">
        <v>5033.0</v>
      </c>
      <c r="B5034" s="2" t="s">
        <v>8572</v>
      </c>
      <c r="C5034" s="2" t="s">
        <v>23</v>
      </c>
      <c r="N5034" s="6">
        <v>43925.0</v>
      </c>
      <c r="Q5034" s="2" t="s">
        <v>8573</v>
      </c>
    </row>
    <row r="5035">
      <c r="A5035" s="2">
        <v>5034.0</v>
      </c>
      <c r="B5035" s="2" t="s">
        <v>8574</v>
      </c>
      <c r="C5035" s="2" t="s">
        <v>23</v>
      </c>
      <c r="K5035" s="2">
        <v>10.0</v>
      </c>
      <c r="N5035" s="6">
        <v>44273.0</v>
      </c>
      <c r="Q5035" s="2" t="s">
        <v>8575</v>
      </c>
    </row>
    <row r="5036">
      <c r="A5036" s="2">
        <v>5035.0</v>
      </c>
      <c r="B5036" s="2" t="s">
        <v>8576</v>
      </c>
      <c r="C5036" s="2" t="s">
        <v>23</v>
      </c>
      <c r="K5036" s="2">
        <v>60.0</v>
      </c>
      <c r="N5036" s="6">
        <v>45362.0</v>
      </c>
      <c r="Q5036" s="2" t="s">
        <v>8577</v>
      </c>
    </row>
    <row r="5037">
      <c r="A5037" s="2">
        <v>5036.0</v>
      </c>
      <c r="B5037" s="2" t="s">
        <v>8578</v>
      </c>
      <c r="C5037" s="2" t="s">
        <v>23</v>
      </c>
      <c r="K5037" s="2">
        <v>10.0</v>
      </c>
      <c r="N5037" s="6">
        <v>44746.0</v>
      </c>
      <c r="Q5037" s="2" t="s">
        <v>3898</v>
      </c>
    </row>
    <row r="5038">
      <c r="A5038" s="2">
        <v>5037.0</v>
      </c>
      <c r="B5038" s="2" t="s">
        <v>8579</v>
      </c>
      <c r="C5038" s="2" t="s">
        <v>23</v>
      </c>
      <c r="K5038" s="2">
        <v>300.0</v>
      </c>
      <c r="N5038" s="6">
        <v>44512.0</v>
      </c>
      <c r="Q5038" s="2" t="s">
        <v>8580</v>
      </c>
    </row>
    <row r="5039">
      <c r="A5039" s="2">
        <v>5038.0</v>
      </c>
      <c r="B5039" s="2" t="s">
        <v>8581</v>
      </c>
      <c r="C5039" s="2" t="s">
        <v>23</v>
      </c>
      <c r="N5039" s="6">
        <v>42521.0</v>
      </c>
      <c r="Q5039" s="2" t="s">
        <v>86</v>
      </c>
    </row>
    <row r="5040">
      <c r="A5040" s="2">
        <v>5039.0</v>
      </c>
      <c r="B5040" s="2" t="s">
        <v>8582</v>
      </c>
      <c r="C5040" s="2" t="s">
        <v>23</v>
      </c>
      <c r="N5040" s="6">
        <v>44388.0</v>
      </c>
      <c r="Q5040" s="2" t="s">
        <v>86</v>
      </c>
    </row>
    <row r="5041">
      <c r="A5041" s="2">
        <v>5040.0</v>
      </c>
      <c r="B5041" s="2" t="s">
        <v>8583</v>
      </c>
      <c r="C5041" s="2" t="s">
        <v>23</v>
      </c>
      <c r="K5041" s="2">
        <v>20.0</v>
      </c>
      <c r="N5041" s="6">
        <v>44052.0</v>
      </c>
      <c r="Q5041" s="2" t="s">
        <v>2448</v>
      </c>
    </row>
    <row r="5042">
      <c r="A5042" s="2">
        <v>5041.0</v>
      </c>
      <c r="B5042" s="2" t="s">
        <v>8584</v>
      </c>
      <c r="C5042" s="2" t="s">
        <v>23</v>
      </c>
      <c r="K5042" s="2">
        <v>100.0</v>
      </c>
      <c r="N5042" s="6">
        <v>44261.0</v>
      </c>
      <c r="Q5042" s="2" t="s">
        <v>1635</v>
      </c>
    </row>
    <row r="5043">
      <c r="A5043" s="2">
        <v>5042.0</v>
      </c>
      <c r="B5043" s="2" t="s">
        <v>8585</v>
      </c>
      <c r="C5043" s="2" t="s">
        <v>23</v>
      </c>
      <c r="K5043" s="2">
        <v>10.0</v>
      </c>
      <c r="N5043" s="6">
        <v>45453.0</v>
      </c>
      <c r="Q5043" s="2" t="s">
        <v>8586</v>
      </c>
    </row>
    <row r="5044">
      <c r="A5044" s="2">
        <v>5043.0</v>
      </c>
      <c r="B5044" s="2" t="s">
        <v>8587</v>
      </c>
      <c r="C5044" s="2" t="s">
        <v>23</v>
      </c>
      <c r="K5044" s="2">
        <v>150.0</v>
      </c>
      <c r="N5044" s="6">
        <v>45068.0</v>
      </c>
      <c r="Q5044" s="2" t="s">
        <v>7712</v>
      </c>
    </row>
    <row r="5045">
      <c r="A5045" s="2">
        <v>5044.0</v>
      </c>
      <c r="B5045" s="2" t="s">
        <v>8588</v>
      </c>
      <c r="C5045" s="2" t="s">
        <v>23</v>
      </c>
      <c r="K5045" s="2">
        <v>20.0</v>
      </c>
      <c r="N5045" s="6">
        <v>44689.0</v>
      </c>
      <c r="Q5045" s="2" t="s">
        <v>86</v>
      </c>
    </row>
    <row r="5046">
      <c r="A5046" s="2">
        <v>5045.0</v>
      </c>
      <c r="B5046" s="2" t="s">
        <v>8589</v>
      </c>
      <c r="C5046" s="2" t="s">
        <v>23</v>
      </c>
      <c r="N5046" s="6">
        <v>43872.0</v>
      </c>
      <c r="Q5046" s="2" t="s">
        <v>86</v>
      </c>
    </row>
    <row r="5047">
      <c r="A5047" s="2">
        <v>5046.0</v>
      </c>
      <c r="B5047" s="2" t="s">
        <v>8590</v>
      </c>
      <c r="C5047" s="2" t="s">
        <v>23</v>
      </c>
      <c r="N5047" s="6">
        <v>43972.0</v>
      </c>
      <c r="Q5047" s="2" t="s">
        <v>86</v>
      </c>
    </row>
    <row r="5048">
      <c r="A5048" s="2">
        <v>5047.0</v>
      </c>
      <c r="B5048" s="2" t="s">
        <v>8591</v>
      </c>
      <c r="C5048" s="2" t="s">
        <v>23</v>
      </c>
      <c r="K5048" s="2">
        <v>10.0</v>
      </c>
      <c r="N5048" s="6">
        <v>42767.0</v>
      </c>
      <c r="Q5048" s="2" t="s">
        <v>426</v>
      </c>
    </row>
    <row r="5049">
      <c r="A5049" s="2">
        <v>5048.0</v>
      </c>
      <c r="B5049" s="2" t="s">
        <v>8592</v>
      </c>
      <c r="C5049" s="2" t="s">
        <v>23</v>
      </c>
      <c r="N5049" s="6">
        <v>45075.0</v>
      </c>
      <c r="Q5049" s="2" t="s">
        <v>86</v>
      </c>
    </row>
    <row r="5050">
      <c r="A5050" s="2">
        <v>5049.0</v>
      </c>
      <c r="B5050" s="2" t="s">
        <v>8593</v>
      </c>
      <c r="C5050" s="2" t="s">
        <v>23</v>
      </c>
      <c r="K5050" s="2">
        <v>20.0</v>
      </c>
      <c r="N5050" s="6">
        <v>44181.0</v>
      </c>
      <c r="Q5050" s="2" t="s">
        <v>1675</v>
      </c>
    </row>
    <row r="5051">
      <c r="A5051" s="2">
        <v>5050.0</v>
      </c>
      <c r="B5051" s="2" t="s">
        <v>8594</v>
      </c>
      <c r="C5051" s="2" t="s">
        <v>23</v>
      </c>
      <c r="N5051" s="6">
        <v>45420.0</v>
      </c>
      <c r="Q5051" s="2" t="s">
        <v>8595</v>
      </c>
    </row>
    <row r="5052">
      <c r="A5052" s="2">
        <v>5051.0</v>
      </c>
      <c r="B5052" s="2" t="s">
        <v>8596</v>
      </c>
      <c r="C5052" s="2" t="s">
        <v>23</v>
      </c>
      <c r="K5052" s="2">
        <v>10.0</v>
      </c>
      <c r="N5052" s="6">
        <v>45409.0</v>
      </c>
      <c r="Q5052" s="2" t="s">
        <v>8597</v>
      </c>
    </row>
    <row r="5053">
      <c r="A5053" s="2">
        <v>5052.0</v>
      </c>
      <c r="B5053" s="2" t="s">
        <v>8598</v>
      </c>
      <c r="C5053" s="2" t="s">
        <v>23</v>
      </c>
      <c r="K5053" s="2">
        <v>10.0</v>
      </c>
      <c r="N5053" s="6">
        <v>43961.0</v>
      </c>
      <c r="Q5053" s="2" t="s">
        <v>175</v>
      </c>
    </row>
    <row r="5054">
      <c r="A5054" s="2">
        <v>5053.0</v>
      </c>
      <c r="B5054" s="2" t="s">
        <v>8599</v>
      </c>
      <c r="C5054" s="2" t="s">
        <v>23</v>
      </c>
      <c r="K5054" s="2">
        <v>300.0</v>
      </c>
      <c r="N5054" s="6">
        <v>43987.0</v>
      </c>
      <c r="Q5054" s="2" t="s">
        <v>8600</v>
      </c>
    </row>
    <row r="5055">
      <c r="A5055" s="2">
        <v>5054.0</v>
      </c>
      <c r="B5055" s="2" t="s">
        <v>8601</v>
      </c>
      <c r="C5055" s="2" t="s">
        <v>23</v>
      </c>
      <c r="K5055" s="2">
        <v>150.0</v>
      </c>
      <c r="N5055" s="6">
        <v>43907.0</v>
      </c>
      <c r="Q5055" s="2" t="s">
        <v>8602</v>
      </c>
    </row>
    <row r="5056">
      <c r="A5056" s="2">
        <v>5055.0</v>
      </c>
      <c r="B5056" s="2" t="s">
        <v>8603</v>
      </c>
      <c r="C5056" s="2" t="s">
        <v>23</v>
      </c>
      <c r="K5056" s="2">
        <v>70.0</v>
      </c>
      <c r="N5056" s="6">
        <v>43971.0</v>
      </c>
      <c r="Q5056" s="2" t="s">
        <v>8604</v>
      </c>
    </row>
    <row r="5057">
      <c r="A5057" s="2">
        <v>5056.0</v>
      </c>
      <c r="B5057" s="2" t="s">
        <v>8605</v>
      </c>
      <c r="C5057" s="2" t="s">
        <v>23</v>
      </c>
      <c r="K5057" s="2">
        <v>10.0</v>
      </c>
      <c r="N5057" s="6">
        <v>44687.0</v>
      </c>
      <c r="Q5057" s="2" t="s">
        <v>491</v>
      </c>
    </row>
    <row r="5058">
      <c r="A5058" s="2">
        <v>5057.0</v>
      </c>
      <c r="B5058" s="2" t="s">
        <v>8606</v>
      </c>
      <c r="C5058" s="2" t="s">
        <v>23</v>
      </c>
      <c r="N5058" s="6">
        <v>44037.0</v>
      </c>
      <c r="Q5058" s="2" t="s">
        <v>8607</v>
      </c>
    </row>
    <row r="5059">
      <c r="A5059" s="2">
        <v>5058.0</v>
      </c>
      <c r="B5059" s="2" t="s">
        <v>8608</v>
      </c>
      <c r="C5059" s="2" t="s">
        <v>23</v>
      </c>
      <c r="I5059" s="4"/>
      <c r="K5059" s="2">
        <v>200.0</v>
      </c>
      <c r="N5059" s="6">
        <v>44492.0</v>
      </c>
      <c r="Q5059" s="2" t="s">
        <v>1437</v>
      </c>
    </row>
    <row r="5060">
      <c r="A5060" s="2">
        <v>5059.0</v>
      </c>
      <c r="B5060" s="2" t="s">
        <v>8609</v>
      </c>
      <c r="C5060" s="2" t="s">
        <v>23</v>
      </c>
      <c r="N5060" s="6">
        <v>44677.0</v>
      </c>
      <c r="Q5060" s="2" t="s">
        <v>86</v>
      </c>
    </row>
    <row r="5061">
      <c r="A5061" s="2">
        <v>5060.0</v>
      </c>
      <c r="B5061" s="2" t="s">
        <v>8610</v>
      </c>
      <c r="C5061" s="2" t="s">
        <v>23</v>
      </c>
      <c r="K5061" s="2">
        <v>20.0</v>
      </c>
      <c r="N5061" s="6">
        <v>44724.0</v>
      </c>
      <c r="Q5061" s="2" t="s">
        <v>1895</v>
      </c>
    </row>
    <row r="5062">
      <c r="A5062" s="2">
        <v>5061.0</v>
      </c>
      <c r="B5062" s="2" t="s">
        <v>8611</v>
      </c>
      <c r="C5062" s="2" t="s">
        <v>23</v>
      </c>
      <c r="K5062" s="2">
        <v>150.0</v>
      </c>
      <c r="N5062" s="6">
        <v>45157.0</v>
      </c>
      <c r="Q5062" s="2" t="s">
        <v>5706</v>
      </c>
    </row>
    <row r="5063">
      <c r="A5063" s="2">
        <v>5062.0</v>
      </c>
      <c r="B5063" s="2" t="s">
        <v>8612</v>
      </c>
      <c r="C5063" s="2" t="s">
        <v>23</v>
      </c>
      <c r="N5063" s="6">
        <v>44712.0</v>
      </c>
      <c r="Q5063" s="2" t="s">
        <v>86</v>
      </c>
    </row>
    <row r="5064">
      <c r="A5064" s="2">
        <v>5063.0</v>
      </c>
      <c r="B5064" s="2" t="s">
        <v>8613</v>
      </c>
      <c r="C5064" s="2" t="s">
        <v>23</v>
      </c>
      <c r="K5064" s="2">
        <v>80.0</v>
      </c>
      <c r="N5064" s="6">
        <v>44690.0</v>
      </c>
      <c r="Q5064" s="2" t="s">
        <v>8614</v>
      </c>
    </row>
    <row r="5065">
      <c r="A5065" s="2">
        <v>5064.0</v>
      </c>
      <c r="B5065" s="2" t="s">
        <v>8615</v>
      </c>
      <c r="C5065" s="2" t="s">
        <v>23</v>
      </c>
      <c r="N5065" s="6">
        <v>44894.0</v>
      </c>
      <c r="Q5065" s="2" t="s">
        <v>8616</v>
      </c>
    </row>
    <row r="5066">
      <c r="A5066" s="2">
        <v>5065.0</v>
      </c>
      <c r="B5066" s="2" t="s">
        <v>8617</v>
      </c>
      <c r="C5066" s="2" t="s">
        <v>23</v>
      </c>
      <c r="N5066" s="6">
        <v>45030.0</v>
      </c>
      <c r="Q5066" s="2" t="s">
        <v>86</v>
      </c>
    </row>
    <row r="5067">
      <c r="A5067" s="2">
        <v>5066.0</v>
      </c>
      <c r="B5067" s="2" t="s">
        <v>8618</v>
      </c>
      <c r="C5067" s="2" t="s">
        <v>23</v>
      </c>
      <c r="N5067" s="6">
        <v>44279.0</v>
      </c>
      <c r="Q5067" s="2" t="s">
        <v>8619</v>
      </c>
    </row>
    <row r="5068">
      <c r="A5068" s="2">
        <v>5067.0</v>
      </c>
      <c r="B5068" s="2" t="s">
        <v>8620</v>
      </c>
      <c r="C5068" s="2" t="s">
        <v>23</v>
      </c>
      <c r="K5068" s="2">
        <v>150.0</v>
      </c>
      <c r="N5068" s="6">
        <v>44085.0</v>
      </c>
      <c r="Q5068" s="2" t="s">
        <v>8621</v>
      </c>
    </row>
    <row r="5069">
      <c r="A5069" s="2">
        <v>5068.0</v>
      </c>
      <c r="B5069" s="2" t="s">
        <v>8622</v>
      </c>
      <c r="C5069" s="2" t="s">
        <v>23</v>
      </c>
      <c r="K5069" s="2">
        <v>100.0</v>
      </c>
      <c r="N5069" s="6">
        <v>43914.0</v>
      </c>
      <c r="Q5069" s="2" t="s">
        <v>8623</v>
      </c>
    </row>
    <row r="5070">
      <c r="A5070" s="2">
        <v>5069.0</v>
      </c>
      <c r="B5070" s="2" t="s">
        <v>8624</v>
      </c>
      <c r="C5070" s="2" t="s">
        <v>23</v>
      </c>
      <c r="N5070" s="6">
        <v>44095.0</v>
      </c>
      <c r="Q5070" s="2" t="s">
        <v>86</v>
      </c>
    </row>
    <row r="5071">
      <c r="A5071" s="2">
        <v>5070.0</v>
      </c>
      <c r="B5071" s="2" t="s">
        <v>8625</v>
      </c>
      <c r="C5071" s="2" t="s">
        <v>23</v>
      </c>
      <c r="K5071" s="2">
        <v>30.0</v>
      </c>
      <c r="N5071" s="6">
        <v>44072.0</v>
      </c>
      <c r="Q5071" s="2" t="s">
        <v>86</v>
      </c>
    </row>
    <row r="5072">
      <c r="A5072" s="2">
        <v>5071.0</v>
      </c>
      <c r="B5072" s="2" t="s">
        <v>8626</v>
      </c>
      <c r="C5072" s="2" t="s">
        <v>23</v>
      </c>
      <c r="N5072" s="6">
        <v>43875.0</v>
      </c>
      <c r="Q5072" s="2" t="s">
        <v>86</v>
      </c>
    </row>
    <row r="5073">
      <c r="A5073" s="2">
        <v>5072.0</v>
      </c>
      <c r="B5073" s="2" t="s">
        <v>8627</v>
      </c>
      <c r="C5073" s="2" t="s">
        <v>23</v>
      </c>
      <c r="N5073" s="6">
        <v>44128.0</v>
      </c>
      <c r="Q5073" s="2" t="s">
        <v>86</v>
      </c>
    </row>
    <row r="5074">
      <c r="A5074" s="2">
        <v>5073.0</v>
      </c>
      <c r="B5074" s="2" t="s">
        <v>8628</v>
      </c>
      <c r="C5074" s="2" t="s">
        <v>23</v>
      </c>
      <c r="N5074" s="6">
        <v>44292.0</v>
      </c>
      <c r="Q5074" s="2" t="s">
        <v>1437</v>
      </c>
    </row>
    <row r="5075">
      <c r="A5075" s="2">
        <v>5074.0</v>
      </c>
      <c r="B5075" s="2" t="s">
        <v>8629</v>
      </c>
      <c r="C5075" s="2" t="s">
        <v>23</v>
      </c>
      <c r="K5075" s="2">
        <v>250.0</v>
      </c>
      <c r="N5075" s="6">
        <v>44034.0</v>
      </c>
      <c r="Q5075" s="2" t="s">
        <v>8630</v>
      </c>
    </row>
    <row r="5076">
      <c r="A5076" s="2">
        <v>5075.0</v>
      </c>
      <c r="B5076" s="2" t="s">
        <v>8631</v>
      </c>
      <c r="C5076" s="2" t="s">
        <v>23</v>
      </c>
      <c r="K5076" s="2">
        <v>300.0</v>
      </c>
      <c r="N5076" s="6">
        <v>44956.0</v>
      </c>
      <c r="Q5076" s="2" t="s">
        <v>8632</v>
      </c>
    </row>
    <row r="5077">
      <c r="A5077" s="2">
        <v>5076.0</v>
      </c>
      <c r="B5077" s="2" t="s">
        <v>8633</v>
      </c>
      <c r="C5077" s="2" t="s">
        <v>23</v>
      </c>
      <c r="N5077" s="6">
        <v>44142.0</v>
      </c>
      <c r="Q5077" s="2" t="s">
        <v>86</v>
      </c>
    </row>
    <row r="5078">
      <c r="A5078" s="2">
        <v>5077.0</v>
      </c>
      <c r="B5078" s="2" t="s">
        <v>8634</v>
      </c>
      <c r="C5078" s="2" t="s">
        <v>23</v>
      </c>
      <c r="N5078" s="6">
        <v>42285.0</v>
      </c>
      <c r="Q5078" s="2" t="s">
        <v>86</v>
      </c>
    </row>
    <row r="5079">
      <c r="A5079" s="2">
        <v>5078.0</v>
      </c>
      <c r="B5079" s="2" t="s">
        <v>8635</v>
      </c>
      <c r="C5079" s="2" t="s">
        <v>23</v>
      </c>
      <c r="K5079" s="2">
        <v>20.0</v>
      </c>
      <c r="N5079" s="6">
        <v>44065.0</v>
      </c>
      <c r="Q5079" s="2" t="s">
        <v>86</v>
      </c>
    </row>
    <row r="5080">
      <c r="A5080" s="2">
        <v>5079.0</v>
      </c>
      <c r="B5080" s="2" t="s">
        <v>8636</v>
      </c>
      <c r="C5080" s="2" t="s">
        <v>23</v>
      </c>
      <c r="N5080" s="6">
        <v>43886.0</v>
      </c>
      <c r="Q5080" s="2" t="s">
        <v>86</v>
      </c>
    </row>
    <row r="5081">
      <c r="A5081" s="2">
        <v>5080.0</v>
      </c>
      <c r="B5081" s="2" t="s">
        <v>8637</v>
      </c>
      <c r="C5081" s="2" t="s">
        <v>23</v>
      </c>
      <c r="K5081" s="2">
        <v>10.0</v>
      </c>
      <c r="N5081" s="6">
        <v>45548.0</v>
      </c>
      <c r="Q5081" s="2" t="s">
        <v>6674</v>
      </c>
    </row>
    <row r="5082">
      <c r="A5082" s="2">
        <v>5081.0</v>
      </c>
      <c r="B5082" s="2" t="s">
        <v>8638</v>
      </c>
      <c r="C5082" s="2" t="s">
        <v>23</v>
      </c>
      <c r="K5082" s="2">
        <v>30.0</v>
      </c>
      <c r="N5082" s="6">
        <v>45227.0</v>
      </c>
      <c r="Q5082" s="2" t="s">
        <v>8639</v>
      </c>
    </row>
    <row r="5083">
      <c r="A5083" s="2">
        <v>5082.0</v>
      </c>
      <c r="B5083" s="2" t="s">
        <v>8640</v>
      </c>
      <c r="C5083" s="2" t="s">
        <v>23</v>
      </c>
      <c r="K5083" s="2">
        <v>100.0</v>
      </c>
      <c r="N5083" s="6">
        <v>44128.0</v>
      </c>
      <c r="Q5083" s="2" t="s">
        <v>8641</v>
      </c>
    </row>
    <row r="5084">
      <c r="A5084" s="2">
        <v>5083.0</v>
      </c>
      <c r="B5084" s="2" t="s">
        <v>8642</v>
      </c>
      <c r="C5084" s="2" t="s">
        <v>23</v>
      </c>
      <c r="K5084" s="2">
        <v>30.0</v>
      </c>
      <c r="N5084" s="6">
        <v>44478.0</v>
      </c>
      <c r="Q5084" s="2" t="s">
        <v>1466</v>
      </c>
    </row>
    <row r="5085">
      <c r="A5085" s="2">
        <v>5084.0</v>
      </c>
      <c r="B5085" s="2" t="s">
        <v>8643</v>
      </c>
      <c r="C5085" s="2" t="s">
        <v>23</v>
      </c>
      <c r="N5085" s="6">
        <v>45058.0</v>
      </c>
      <c r="Q5085" s="2" t="s">
        <v>86</v>
      </c>
    </row>
    <row r="5086">
      <c r="A5086" s="2">
        <v>5085.0</v>
      </c>
      <c r="B5086" s="2" t="s">
        <v>8644</v>
      </c>
      <c r="C5086" s="2" t="s">
        <v>23</v>
      </c>
      <c r="N5086" s="6">
        <v>44421.0</v>
      </c>
      <c r="Q5086" s="2" t="s">
        <v>2782</v>
      </c>
    </row>
    <row r="5087">
      <c r="A5087" s="2">
        <v>5086.0</v>
      </c>
      <c r="B5087" s="2" t="s">
        <v>8645</v>
      </c>
      <c r="C5087" s="2" t="s">
        <v>23</v>
      </c>
      <c r="N5087" s="6">
        <v>44704.0</v>
      </c>
      <c r="Q5087" s="2" t="s">
        <v>86</v>
      </c>
    </row>
    <row r="5088">
      <c r="A5088" s="2">
        <v>5087.0</v>
      </c>
      <c r="B5088" s="2" t="s">
        <v>8646</v>
      </c>
      <c r="C5088" s="2" t="s">
        <v>23</v>
      </c>
      <c r="K5088" s="2">
        <v>300.0</v>
      </c>
      <c r="N5088" s="6">
        <v>44107.0</v>
      </c>
      <c r="Q5088" s="2" t="s">
        <v>8647</v>
      </c>
    </row>
    <row r="5089">
      <c r="A5089" s="2">
        <v>5088.0</v>
      </c>
      <c r="B5089" s="2" t="s">
        <v>8648</v>
      </c>
      <c r="C5089" s="2" t="s">
        <v>23</v>
      </c>
      <c r="K5089" s="2">
        <v>20.0</v>
      </c>
      <c r="N5089" s="6">
        <v>44165.0</v>
      </c>
      <c r="Q5089" s="2" t="s">
        <v>8649</v>
      </c>
    </row>
    <row r="5090">
      <c r="A5090" s="2">
        <v>5089.0</v>
      </c>
      <c r="B5090" s="2" t="s">
        <v>8650</v>
      </c>
      <c r="C5090" s="2" t="s">
        <v>23</v>
      </c>
      <c r="K5090" s="2">
        <v>30.0</v>
      </c>
      <c r="N5090" s="6">
        <v>45197.0</v>
      </c>
      <c r="Q5090" s="2" t="s">
        <v>8651</v>
      </c>
    </row>
    <row r="5091">
      <c r="A5091" s="2">
        <v>5090.0</v>
      </c>
      <c r="B5091" s="2" t="s">
        <v>8652</v>
      </c>
      <c r="C5091" s="2" t="s">
        <v>23</v>
      </c>
      <c r="N5091" s="6">
        <v>45993.0</v>
      </c>
      <c r="Q5091" s="2" t="s">
        <v>8653</v>
      </c>
    </row>
    <row r="5092">
      <c r="A5092" s="2">
        <v>5091.0</v>
      </c>
      <c r="B5092" s="2" t="s">
        <v>8654</v>
      </c>
      <c r="C5092" s="2" t="s">
        <v>23</v>
      </c>
      <c r="N5092" s="6">
        <v>44753.0</v>
      </c>
      <c r="Q5092" s="2" t="s">
        <v>86</v>
      </c>
    </row>
    <row r="5093">
      <c r="A5093" s="2">
        <v>5092.0</v>
      </c>
      <c r="B5093" s="2" t="s">
        <v>8655</v>
      </c>
      <c r="C5093" s="2" t="s">
        <v>23</v>
      </c>
      <c r="K5093" s="2">
        <v>50.0</v>
      </c>
      <c r="N5093" s="6">
        <v>43893.0</v>
      </c>
      <c r="Q5093" s="2" t="s">
        <v>8656</v>
      </c>
    </row>
    <row r="5094">
      <c r="A5094" s="2">
        <v>5093.0</v>
      </c>
      <c r="B5094" s="2" t="s">
        <v>8657</v>
      </c>
      <c r="C5094" s="2" t="s">
        <v>23</v>
      </c>
      <c r="K5094" s="2">
        <v>90.0</v>
      </c>
      <c r="N5094" s="6">
        <v>43960.0</v>
      </c>
      <c r="Q5094" s="2" t="s">
        <v>8658</v>
      </c>
    </row>
    <row r="5095">
      <c r="A5095" s="2">
        <v>5094.0</v>
      </c>
      <c r="B5095" s="2" t="s">
        <v>346</v>
      </c>
      <c r="C5095" s="2" t="s">
        <v>23</v>
      </c>
      <c r="K5095" s="2">
        <v>20.0</v>
      </c>
      <c r="N5095" s="6">
        <v>44270.0</v>
      </c>
      <c r="Q5095" s="2" t="s">
        <v>86</v>
      </c>
    </row>
    <row r="5096">
      <c r="A5096" s="2">
        <v>5095.0</v>
      </c>
      <c r="B5096" s="2" t="s">
        <v>8659</v>
      </c>
      <c r="C5096" s="2" t="s">
        <v>23</v>
      </c>
      <c r="N5096" s="6">
        <v>44713.0</v>
      </c>
      <c r="Q5096" s="2" t="s">
        <v>86</v>
      </c>
    </row>
    <row r="5097">
      <c r="A5097" s="2">
        <v>5096.0</v>
      </c>
      <c r="B5097" s="2" t="s">
        <v>8660</v>
      </c>
      <c r="C5097" s="2" t="s">
        <v>23</v>
      </c>
      <c r="K5097" s="2">
        <v>20.0</v>
      </c>
      <c r="N5097" s="6">
        <v>45627.0</v>
      </c>
      <c r="Q5097" s="2" t="s">
        <v>8661</v>
      </c>
    </row>
    <row r="5098">
      <c r="A5098" s="2">
        <v>5097.0</v>
      </c>
      <c r="B5098" s="2" t="s">
        <v>8662</v>
      </c>
      <c r="C5098" s="2" t="s">
        <v>23</v>
      </c>
      <c r="N5098" s="6">
        <v>44365.0</v>
      </c>
      <c r="Q5098" s="2" t="s">
        <v>86</v>
      </c>
    </row>
    <row r="5099">
      <c r="A5099" s="2">
        <v>5098.0</v>
      </c>
      <c r="B5099" s="2" t="s">
        <v>8663</v>
      </c>
      <c r="C5099" s="2" t="s">
        <v>23</v>
      </c>
      <c r="N5099" s="6">
        <v>45641.0</v>
      </c>
      <c r="Q5099" s="2" t="s">
        <v>3770</v>
      </c>
    </row>
    <row r="5100">
      <c r="A5100" s="2">
        <v>5099.0</v>
      </c>
      <c r="B5100" s="2" t="s">
        <v>8664</v>
      </c>
      <c r="C5100" s="2" t="s">
        <v>23</v>
      </c>
      <c r="K5100" s="2">
        <v>20.0</v>
      </c>
      <c r="N5100" s="6">
        <v>45181.0</v>
      </c>
      <c r="Q5100" s="2" t="s">
        <v>1249</v>
      </c>
    </row>
    <row r="5101">
      <c r="A5101" s="2">
        <v>5100.0</v>
      </c>
      <c r="B5101" s="2" t="s">
        <v>8665</v>
      </c>
      <c r="C5101" s="2" t="s">
        <v>23</v>
      </c>
      <c r="K5101" s="2">
        <v>80.0</v>
      </c>
      <c r="N5101" s="6">
        <v>42772.0</v>
      </c>
      <c r="Q5101" s="2" t="s">
        <v>8666</v>
      </c>
    </row>
    <row r="5102">
      <c r="A5102" s="2">
        <v>5101.0</v>
      </c>
      <c r="B5102" s="2" t="s">
        <v>8667</v>
      </c>
      <c r="C5102" s="2" t="s">
        <v>23</v>
      </c>
      <c r="K5102" s="2">
        <v>70.0</v>
      </c>
      <c r="N5102" s="6">
        <v>43924.0</v>
      </c>
      <c r="Q5102" s="2" t="s">
        <v>8668</v>
      </c>
    </row>
    <row r="5103">
      <c r="A5103" s="2">
        <v>5102.0</v>
      </c>
      <c r="B5103" s="2" t="s">
        <v>8669</v>
      </c>
      <c r="C5103" s="2" t="s">
        <v>23</v>
      </c>
      <c r="N5103" s="6">
        <v>44096.0</v>
      </c>
      <c r="Q5103" s="2" t="s">
        <v>86</v>
      </c>
    </row>
    <row r="5104">
      <c r="A5104" s="2">
        <v>5103.0</v>
      </c>
      <c r="B5104" s="2" t="s">
        <v>8670</v>
      </c>
      <c r="C5104" s="2" t="s">
        <v>23</v>
      </c>
      <c r="K5104" s="2">
        <v>40.0</v>
      </c>
      <c r="N5104" s="6">
        <v>45738.0</v>
      </c>
      <c r="Q5104" s="2" t="s">
        <v>8671</v>
      </c>
    </row>
    <row r="5105">
      <c r="A5105" s="2">
        <v>5104.0</v>
      </c>
      <c r="B5105" s="2" t="s">
        <v>8672</v>
      </c>
      <c r="C5105" s="2" t="s">
        <v>23</v>
      </c>
      <c r="N5105" s="6">
        <v>45077.0</v>
      </c>
      <c r="Q5105" s="2" t="s">
        <v>86</v>
      </c>
    </row>
    <row r="5106">
      <c r="A5106" s="2">
        <v>5105.0</v>
      </c>
      <c r="B5106" s="2" t="s">
        <v>8673</v>
      </c>
      <c r="C5106" s="2" t="s">
        <v>23</v>
      </c>
      <c r="N5106" s="6">
        <v>45544.0</v>
      </c>
      <c r="Q5106" s="2" t="s">
        <v>2541</v>
      </c>
    </row>
    <row r="5107">
      <c r="A5107" s="2">
        <v>5106.0</v>
      </c>
      <c r="B5107" s="2" t="s">
        <v>8674</v>
      </c>
      <c r="C5107" s="2" t="s">
        <v>23</v>
      </c>
      <c r="N5107" s="6">
        <v>44221.0</v>
      </c>
      <c r="Q5107" s="2" t="s">
        <v>86</v>
      </c>
    </row>
    <row r="5108">
      <c r="A5108" s="2">
        <v>5107.0</v>
      </c>
      <c r="B5108" s="2" t="s">
        <v>8675</v>
      </c>
      <c r="C5108" s="2" t="s">
        <v>23</v>
      </c>
      <c r="K5108" s="2">
        <v>70.0</v>
      </c>
      <c r="N5108" s="6">
        <v>43886.0</v>
      </c>
      <c r="Q5108" s="2" t="s">
        <v>2869</v>
      </c>
    </row>
    <row r="5109">
      <c r="A5109" s="2">
        <v>5108.0</v>
      </c>
      <c r="B5109" s="2" t="s">
        <v>8676</v>
      </c>
      <c r="C5109" s="2" t="s">
        <v>23</v>
      </c>
      <c r="K5109" s="2">
        <v>50.0</v>
      </c>
      <c r="N5109" s="6">
        <v>43857.0</v>
      </c>
      <c r="Q5109" s="2" t="s">
        <v>8677</v>
      </c>
    </row>
    <row r="5110">
      <c r="A5110" s="2">
        <v>5109.0</v>
      </c>
      <c r="B5110" s="2" t="s">
        <v>8678</v>
      </c>
      <c r="C5110" s="2" t="s">
        <v>23</v>
      </c>
      <c r="K5110" s="2">
        <v>20.0</v>
      </c>
      <c r="N5110" s="6">
        <v>45487.0</v>
      </c>
      <c r="Q5110" s="2" t="s">
        <v>3447</v>
      </c>
    </row>
    <row r="5111">
      <c r="A5111" s="2">
        <v>5110.0</v>
      </c>
      <c r="B5111" s="2" t="s">
        <v>8679</v>
      </c>
      <c r="C5111" s="2" t="s">
        <v>23</v>
      </c>
      <c r="K5111" s="2">
        <v>70.0</v>
      </c>
      <c r="N5111" s="6">
        <v>44260.0</v>
      </c>
      <c r="Q5111" s="2" t="s">
        <v>8680</v>
      </c>
    </row>
    <row r="5112">
      <c r="A5112" s="2">
        <v>5111.0</v>
      </c>
      <c r="B5112" s="2" t="s">
        <v>8681</v>
      </c>
      <c r="C5112" s="2" t="s">
        <v>23</v>
      </c>
      <c r="K5112" s="2">
        <v>150.0</v>
      </c>
      <c r="N5112" s="6">
        <v>45617.0</v>
      </c>
      <c r="Q5112" s="2" t="s">
        <v>8682</v>
      </c>
    </row>
    <row r="5113">
      <c r="A5113" s="2">
        <v>5112.0</v>
      </c>
      <c r="B5113" s="2" t="s">
        <v>8683</v>
      </c>
      <c r="C5113" s="2" t="s">
        <v>23</v>
      </c>
      <c r="K5113" s="2">
        <v>20.0</v>
      </c>
      <c r="N5113" s="6">
        <v>43567.0</v>
      </c>
      <c r="Q5113" s="2" t="s">
        <v>8684</v>
      </c>
    </row>
    <row r="5114">
      <c r="A5114" s="2">
        <v>5113.0</v>
      </c>
      <c r="B5114" s="2" t="s">
        <v>8685</v>
      </c>
      <c r="C5114" s="2" t="s">
        <v>23</v>
      </c>
      <c r="N5114" s="6">
        <v>44620.0</v>
      </c>
      <c r="Q5114" s="2" t="s">
        <v>86</v>
      </c>
    </row>
    <row r="5115">
      <c r="A5115" s="2">
        <v>5114.0</v>
      </c>
      <c r="B5115" s="2" t="s">
        <v>8686</v>
      </c>
      <c r="C5115" s="2" t="s">
        <v>23</v>
      </c>
      <c r="K5115" s="2">
        <v>20.0</v>
      </c>
      <c r="N5115" s="6">
        <v>44192.0</v>
      </c>
      <c r="Q5115" s="2" t="s">
        <v>3770</v>
      </c>
    </row>
    <row r="5116">
      <c r="A5116" s="2">
        <v>5115.0</v>
      </c>
      <c r="B5116" s="2" t="s">
        <v>8687</v>
      </c>
      <c r="C5116" s="2" t="s">
        <v>23</v>
      </c>
      <c r="N5116" s="6">
        <v>44763.0</v>
      </c>
      <c r="Q5116" s="2" t="s">
        <v>86</v>
      </c>
    </row>
    <row r="5117">
      <c r="A5117" s="2">
        <v>5116.0</v>
      </c>
      <c r="B5117" s="2" t="s">
        <v>8688</v>
      </c>
      <c r="C5117" s="2" t="s">
        <v>23</v>
      </c>
      <c r="N5117" s="6">
        <v>43841.0</v>
      </c>
      <c r="Q5117" s="2" t="s">
        <v>86</v>
      </c>
    </row>
    <row r="5118">
      <c r="A5118" s="2">
        <v>5117.0</v>
      </c>
      <c r="B5118" s="2" t="s">
        <v>8689</v>
      </c>
      <c r="C5118" s="2" t="s">
        <v>23</v>
      </c>
      <c r="K5118" s="2">
        <v>50.0</v>
      </c>
      <c r="N5118" s="6">
        <v>45640.0</v>
      </c>
      <c r="Q5118" s="2" t="s">
        <v>8690</v>
      </c>
    </row>
    <row r="5119">
      <c r="A5119" s="2">
        <v>5118.0</v>
      </c>
      <c r="B5119" s="2" t="s">
        <v>8691</v>
      </c>
      <c r="C5119" s="2" t="s">
        <v>23</v>
      </c>
      <c r="K5119" s="2">
        <v>60.0</v>
      </c>
      <c r="N5119" s="6">
        <v>45753.0</v>
      </c>
      <c r="Q5119" s="2" t="s">
        <v>7539</v>
      </c>
    </row>
    <row r="5120">
      <c r="A5120" s="2">
        <v>5119.0</v>
      </c>
      <c r="B5120" s="2" t="s">
        <v>8692</v>
      </c>
      <c r="C5120" s="2" t="s">
        <v>23</v>
      </c>
      <c r="K5120" s="2">
        <v>60.0</v>
      </c>
      <c r="N5120" s="6">
        <v>45255.0</v>
      </c>
      <c r="Q5120" s="2" t="s">
        <v>7563</v>
      </c>
    </row>
    <row r="5121">
      <c r="A5121" s="2">
        <v>5120.0</v>
      </c>
      <c r="B5121" s="2" t="s">
        <v>8693</v>
      </c>
      <c r="C5121" s="2" t="s">
        <v>23</v>
      </c>
      <c r="N5121" s="6">
        <v>44559.0</v>
      </c>
      <c r="Q5121" s="2" t="s">
        <v>86</v>
      </c>
    </row>
    <row r="5122">
      <c r="A5122" s="2">
        <v>5121.0</v>
      </c>
      <c r="B5122" s="2" t="s">
        <v>8694</v>
      </c>
      <c r="C5122" s="2" t="s">
        <v>23</v>
      </c>
      <c r="N5122" s="6">
        <v>43933.0</v>
      </c>
      <c r="Q5122" s="2" t="s">
        <v>426</v>
      </c>
    </row>
    <row r="5123">
      <c r="A5123" s="2">
        <v>5122.0</v>
      </c>
      <c r="B5123" s="2" t="s">
        <v>8695</v>
      </c>
      <c r="C5123" s="2" t="s">
        <v>23</v>
      </c>
      <c r="N5123" s="6">
        <v>44649.0</v>
      </c>
      <c r="Q5123" s="2" t="s">
        <v>8696</v>
      </c>
    </row>
    <row r="5124">
      <c r="A5124" s="2">
        <v>5123.0</v>
      </c>
      <c r="B5124" s="2" t="s">
        <v>8697</v>
      </c>
      <c r="C5124" s="2" t="s">
        <v>23</v>
      </c>
      <c r="K5124" s="2">
        <v>30.0</v>
      </c>
      <c r="N5124" s="6">
        <v>45205.0</v>
      </c>
      <c r="Q5124" s="2" t="s">
        <v>1070</v>
      </c>
    </row>
    <row r="5125">
      <c r="A5125" s="2">
        <v>5124.0</v>
      </c>
      <c r="B5125" s="2" t="s">
        <v>8698</v>
      </c>
      <c r="C5125" s="2" t="s">
        <v>23</v>
      </c>
      <c r="N5125" s="6">
        <v>42282.0</v>
      </c>
      <c r="Q5125" s="2" t="s">
        <v>86</v>
      </c>
    </row>
    <row r="5126">
      <c r="A5126" s="2">
        <v>5125.0</v>
      </c>
      <c r="B5126" s="2" t="s">
        <v>8699</v>
      </c>
      <c r="C5126" s="2" t="s">
        <v>23</v>
      </c>
      <c r="K5126" s="2">
        <v>40.0</v>
      </c>
      <c r="N5126" s="6">
        <v>45247.0</v>
      </c>
      <c r="Q5126" s="2" t="s">
        <v>8700</v>
      </c>
    </row>
    <row r="5127">
      <c r="A5127" s="2">
        <v>5126.0</v>
      </c>
      <c r="B5127" s="2" t="s">
        <v>8701</v>
      </c>
      <c r="C5127" s="2" t="s">
        <v>23</v>
      </c>
      <c r="K5127" s="2">
        <v>60.0</v>
      </c>
      <c r="N5127" s="6">
        <v>43863.0</v>
      </c>
      <c r="Q5127" s="2" t="s">
        <v>8702</v>
      </c>
    </row>
    <row r="5128">
      <c r="A5128" s="2">
        <v>5127.0</v>
      </c>
      <c r="B5128" s="2" t="s">
        <v>8703</v>
      </c>
      <c r="C5128" s="2" t="s">
        <v>23</v>
      </c>
      <c r="K5128" s="2">
        <v>20.0</v>
      </c>
      <c r="N5128" s="6">
        <v>44503.0</v>
      </c>
      <c r="Q5128" s="2" t="s">
        <v>8704</v>
      </c>
    </row>
    <row r="5129">
      <c r="A5129" s="2">
        <v>5128.0</v>
      </c>
      <c r="B5129" s="2" t="s">
        <v>8705</v>
      </c>
      <c r="C5129" s="2" t="s">
        <v>23</v>
      </c>
      <c r="N5129" s="6">
        <v>44593.0</v>
      </c>
      <c r="Q5129" s="2" t="s">
        <v>86</v>
      </c>
    </row>
    <row r="5130">
      <c r="A5130" s="2">
        <v>5129.0</v>
      </c>
      <c r="B5130" s="2" t="s">
        <v>8706</v>
      </c>
      <c r="C5130" s="2" t="s">
        <v>23</v>
      </c>
      <c r="K5130" s="2">
        <v>20.0</v>
      </c>
      <c r="N5130" s="6">
        <v>44441.0</v>
      </c>
      <c r="Q5130" s="2" t="s">
        <v>60</v>
      </c>
    </row>
    <row r="5131">
      <c r="A5131" s="2">
        <v>5130.0</v>
      </c>
      <c r="B5131" s="2" t="s">
        <v>8707</v>
      </c>
      <c r="C5131" s="2" t="s">
        <v>23</v>
      </c>
      <c r="N5131" s="6">
        <v>44417.0</v>
      </c>
      <c r="Q5131" s="2" t="s">
        <v>86</v>
      </c>
    </row>
    <row r="5132">
      <c r="A5132" s="2">
        <v>5131.0</v>
      </c>
      <c r="B5132" s="2" t="s">
        <v>8708</v>
      </c>
      <c r="C5132" s="2" t="s">
        <v>23</v>
      </c>
      <c r="N5132" s="6">
        <v>44643.0</v>
      </c>
      <c r="Q5132" s="2" t="s">
        <v>1249</v>
      </c>
    </row>
    <row r="5133">
      <c r="A5133" s="2">
        <v>5132.0</v>
      </c>
      <c r="B5133" s="2" t="s">
        <v>8709</v>
      </c>
      <c r="C5133" s="2" t="s">
        <v>23</v>
      </c>
      <c r="K5133" s="2">
        <v>300.0</v>
      </c>
      <c r="N5133" s="6">
        <v>43943.0</v>
      </c>
      <c r="Q5133" s="2" t="s">
        <v>8710</v>
      </c>
    </row>
    <row r="5134">
      <c r="A5134" s="2">
        <v>5133.0</v>
      </c>
      <c r="B5134" s="2" t="s">
        <v>8711</v>
      </c>
      <c r="C5134" s="2" t="s">
        <v>23</v>
      </c>
      <c r="N5134" s="6">
        <v>44150.0</v>
      </c>
      <c r="Q5134" s="2" t="s">
        <v>86</v>
      </c>
    </row>
    <row r="5135">
      <c r="A5135" s="2">
        <v>5134.0</v>
      </c>
      <c r="B5135" s="2" t="s">
        <v>8712</v>
      </c>
      <c r="C5135" s="2" t="s">
        <v>23</v>
      </c>
      <c r="N5135" s="6">
        <v>44634.0</v>
      </c>
      <c r="Q5135" s="2" t="s">
        <v>86</v>
      </c>
    </row>
    <row r="5136">
      <c r="A5136" s="2">
        <v>5135.0</v>
      </c>
      <c r="B5136" s="2" t="s">
        <v>8713</v>
      </c>
      <c r="C5136" s="2" t="s">
        <v>23</v>
      </c>
      <c r="K5136" s="2">
        <v>10.0</v>
      </c>
      <c r="N5136" s="6">
        <v>43924.0</v>
      </c>
      <c r="Q5136" s="2" t="s">
        <v>86</v>
      </c>
    </row>
    <row r="5137">
      <c r="A5137" s="2">
        <v>5136.0</v>
      </c>
      <c r="B5137" s="2" t="s">
        <v>8714</v>
      </c>
      <c r="C5137" s="2" t="s">
        <v>23</v>
      </c>
      <c r="K5137" s="2">
        <v>20.0</v>
      </c>
      <c r="N5137" s="6">
        <v>44881.0</v>
      </c>
      <c r="Q5137" s="2" t="s">
        <v>1123</v>
      </c>
    </row>
    <row r="5138">
      <c r="A5138" s="2">
        <v>5137.0</v>
      </c>
      <c r="B5138" s="2" t="s">
        <v>8715</v>
      </c>
      <c r="C5138" s="2" t="s">
        <v>23</v>
      </c>
      <c r="K5138" s="2">
        <v>40.0</v>
      </c>
      <c r="N5138" s="6">
        <v>45655.0</v>
      </c>
      <c r="Q5138" s="2" t="s">
        <v>2656</v>
      </c>
    </row>
    <row r="5139">
      <c r="A5139" s="2">
        <v>5138.0</v>
      </c>
      <c r="B5139" s="2" t="s">
        <v>8716</v>
      </c>
      <c r="C5139" s="2" t="s">
        <v>23</v>
      </c>
      <c r="K5139" s="2">
        <v>30.0</v>
      </c>
      <c r="N5139" s="6">
        <v>45231.0</v>
      </c>
      <c r="Q5139" s="2" t="s">
        <v>8717</v>
      </c>
    </row>
    <row r="5140">
      <c r="A5140" s="2">
        <v>5139.0</v>
      </c>
      <c r="B5140" s="2" t="s">
        <v>8718</v>
      </c>
      <c r="C5140" s="2" t="s">
        <v>23</v>
      </c>
      <c r="K5140" s="2">
        <v>20.0</v>
      </c>
      <c r="N5140" s="6">
        <v>44585.0</v>
      </c>
      <c r="Q5140" s="2" t="s">
        <v>8719</v>
      </c>
    </row>
    <row r="5141">
      <c r="A5141" s="2">
        <v>5140.0</v>
      </c>
      <c r="B5141" s="2" t="s">
        <v>8720</v>
      </c>
      <c r="C5141" s="2" t="s">
        <v>23</v>
      </c>
      <c r="K5141" s="2">
        <v>70.0</v>
      </c>
      <c r="N5141" s="6">
        <v>44074.0</v>
      </c>
      <c r="Q5141" s="2" t="s">
        <v>5581</v>
      </c>
    </row>
    <row r="5142">
      <c r="A5142" s="2">
        <v>5141.0</v>
      </c>
      <c r="B5142" s="2" t="s">
        <v>8721</v>
      </c>
      <c r="C5142" s="2" t="s">
        <v>23</v>
      </c>
      <c r="K5142" s="2">
        <v>350.0</v>
      </c>
      <c r="N5142" s="6">
        <v>43686.0</v>
      </c>
      <c r="Q5142" s="2" t="s">
        <v>8722</v>
      </c>
    </row>
    <row r="5143">
      <c r="A5143" s="2">
        <v>5142.0</v>
      </c>
      <c r="B5143" s="2" t="s">
        <v>8723</v>
      </c>
      <c r="C5143" s="2" t="s">
        <v>23</v>
      </c>
      <c r="K5143" s="2">
        <v>800.0</v>
      </c>
      <c r="N5143" s="6">
        <v>44170.0</v>
      </c>
      <c r="Q5143" s="2" t="s">
        <v>8724</v>
      </c>
    </row>
    <row r="5144">
      <c r="A5144" s="2">
        <v>5143.0</v>
      </c>
      <c r="B5144" s="2" t="s">
        <v>8725</v>
      </c>
      <c r="C5144" s="2" t="s">
        <v>23</v>
      </c>
      <c r="K5144" s="2">
        <v>10.0</v>
      </c>
      <c r="N5144" s="6">
        <v>44963.0</v>
      </c>
      <c r="Q5144" s="2" t="s">
        <v>8726</v>
      </c>
    </row>
    <row r="5145">
      <c r="A5145" s="2">
        <v>5144.0</v>
      </c>
      <c r="B5145" s="2" t="s">
        <v>8727</v>
      </c>
      <c r="C5145" s="2" t="s">
        <v>23</v>
      </c>
      <c r="K5145" s="2">
        <v>10.0</v>
      </c>
      <c r="N5145" s="6">
        <v>45257.0</v>
      </c>
      <c r="Q5145" s="2" t="s">
        <v>2886</v>
      </c>
    </row>
    <row r="5146">
      <c r="A5146" s="2">
        <v>5145.0</v>
      </c>
      <c r="B5146" s="2" t="s">
        <v>8728</v>
      </c>
      <c r="C5146" s="2" t="s">
        <v>23</v>
      </c>
      <c r="K5146" s="2">
        <v>20.0</v>
      </c>
      <c r="N5146" s="6">
        <v>45359.0</v>
      </c>
      <c r="Q5146" s="2" t="s">
        <v>1116</v>
      </c>
    </row>
    <row r="5147">
      <c r="A5147" s="2">
        <v>5146.0</v>
      </c>
      <c r="B5147" s="2" t="s">
        <v>8729</v>
      </c>
      <c r="C5147" s="2" t="s">
        <v>23</v>
      </c>
      <c r="K5147" s="2">
        <v>80.0</v>
      </c>
      <c r="N5147" s="6">
        <v>44620.0</v>
      </c>
      <c r="Q5147" s="2" t="s">
        <v>4302</v>
      </c>
    </row>
    <row r="5148">
      <c r="A5148" s="2">
        <v>5147.0</v>
      </c>
      <c r="B5148" s="2" t="s">
        <v>8730</v>
      </c>
      <c r="C5148" s="2" t="s">
        <v>23</v>
      </c>
      <c r="N5148" s="6">
        <v>44224.0</v>
      </c>
      <c r="Q5148" s="2" t="s">
        <v>60</v>
      </c>
    </row>
    <row r="5149">
      <c r="A5149" s="2">
        <v>5148.0</v>
      </c>
      <c r="B5149" s="2" t="s">
        <v>8731</v>
      </c>
      <c r="C5149" s="2" t="s">
        <v>23</v>
      </c>
      <c r="N5149" s="6">
        <v>44606.0</v>
      </c>
      <c r="Q5149" s="2" t="s">
        <v>86</v>
      </c>
    </row>
    <row r="5150">
      <c r="A5150" s="2">
        <v>5149.0</v>
      </c>
      <c r="B5150" s="2" t="s">
        <v>8732</v>
      </c>
      <c r="C5150" s="2" t="s">
        <v>23</v>
      </c>
      <c r="K5150" s="2">
        <v>10.0</v>
      </c>
      <c r="N5150" s="6">
        <v>45395.0</v>
      </c>
      <c r="Q5150" s="2" t="s">
        <v>8733</v>
      </c>
    </row>
    <row r="5151">
      <c r="A5151" s="2">
        <v>5150.0</v>
      </c>
      <c r="B5151" s="2" t="s">
        <v>8734</v>
      </c>
      <c r="C5151" s="2" t="s">
        <v>23</v>
      </c>
      <c r="K5151" s="2">
        <v>400.0</v>
      </c>
      <c r="N5151" s="6">
        <v>43996.0</v>
      </c>
      <c r="Q5151" s="2" t="s">
        <v>8735</v>
      </c>
    </row>
    <row r="5152">
      <c r="A5152" s="2">
        <v>5151.0</v>
      </c>
      <c r="B5152" s="2" t="s">
        <v>8736</v>
      </c>
      <c r="C5152" s="2" t="s">
        <v>23</v>
      </c>
      <c r="N5152" s="6">
        <v>44249.0</v>
      </c>
      <c r="Q5152" s="2" t="s">
        <v>86</v>
      </c>
    </row>
    <row r="5153">
      <c r="A5153" s="2">
        <v>5152.0</v>
      </c>
      <c r="B5153" s="2" t="s">
        <v>8737</v>
      </c>
      <c r="C5153" s="2" t="s">
        <v>23</v>
      </c>
      <c r="K5153" s="2">
        <v>30.0</v>
      </c>
      <c r="N5153" s="6">
        <v>46121.0</v>
      </c>
      <c r="Q5153" s="2" t="s">
        <v>8738</v>
      </c>
    </row>
    <row r="5154">
      <c r="A5154" s="2">
        <v>5153.0</v>
      </c>
      <c r="B5154" s="2" t="s">
        <v>8739</v>
      </c>
      <c r="C5154" s="2" t="s">
        <v>23</v>
      </c>
      <c r="K5154" s="2">
        <v>10.0</v>
      </c>
      <c r="N5154" s="6">
        <v>43898.0</v>
      </c>
      <c r="Q5154" s="2" t="s">
        <v>426</v>
      </c>
    </row>
    <row r="5155">
      <c r="A5155" s="2">
        <v>5154.0</v>
      </c>
      <c r="B5155" s="2" t="s">
        <v>8740</v>
      </c>
      <c r="C5155" s="2" t="s">
        <v>23</v>
      </c>
      <c r="N5155" s="6">
        <v>44924.0</v>
      </c>
      <c r="Q5155" s="2" t="s">
        <v>86</v>
      </c>
    </row>
    <row r="5156">
      <c r="A5156" s="2">
        <v>5155.0</v>
      </c>
      <c r="B5156" s="2" t="s">
        <v>8741</v>
      </c>
      <c r="C5156" s="2" t="s">
        <v>23</v>
      </c>
      <c r="N5156" s="6">
        <v>43607.0</v>
      </c>
      <c r="Q5156" s="2" t="s">
        <v>1437</v>
      </c>
    </row>
    <row r="5157">
      <c r="A5157" s="2">
        <v>5156.0</v>
      </c>
      <c r="B5157" s="2" t="s">
        <v>8742</v>
      </c>
      <c r="C5157" s="2" t="s">
        <v>23</v>
      </c>
      <c r="K5157" s="2">
        <v>20.0</v>
      </c>
      <c r="N5157" s="6">
        <v>45214.0</v>
      </c>
      <c r="Q5157" s="2" t="s">
        <v>1521</v>
      </c>
    </row>
    <row r="5158">
      <c r="A5158" s="2">
        <v>5157.0</v>
      </c>
      <c r="B5158" s="2" t="s">
        <v>8743</v>
      </c>
      <c r="C5158" s="2" t="s">
        <v>23</v>
      </c>
      <c r="N5158" s="6">
        <v>44313.0</v>
      </c>
      <c r="Q5158" s="2" t="s">
        <v>86</v>
      </c>
    </row>
    <row r="5159">
      <c r="A5159" s="2">
        <v>5158.0</v>
      </c>
      <c r="B5159" s="2" t="s">
        <v>8744</v>
      </c>
      <c r="C5159" s="2" t="s">
        <v>23</v>
      </c>
      <c r="K5159" s="2">
        <v>150.0</v>
      </c>
      <c r="N5159" s="6">
        <v>45376.0</v>
      </c>
      <c r="Q5159" s="2" t="s">
        <v>8745</v>
      </c>
    </row>
    <row r="5160">
      <c r="A5160" s="2">
        <v>5159.0</v>
      </c>
      <c r="B5160" s="2" t="s">
        <v>8746</v>
      </c>
      <c r="C5160" s="2" t="s">
        <v>23</v>
      </c>
      <c r="K5160" s="2">
        <v>20.0</v>
      </c>
      <c r="N5160" s="6">
        <v>44514.0</v>
      </c>
      <c r="Q5160" s="2" t="s">
        <v>1437</v>
      </c>
    </row>
    <row r="5161">
      <c r="A5161" s="2">
        <v>5160.0</v>
      </c>
      <c r="B5161" s="2" t="s">
        <v>8747</v>
      </c>
      <c r="C5161" s="2" t="s">
        <v>23</v>
      </c>
      <c r="K5161" s="2">
        <v>100.0</v>
      </c>
      <c r="N5161" s="6">
        <v>44649.0</v>
      </c>
      <c r="Q5161" s="2" t="s">
        <v>8748</v>
      </c>
    </row>
    <row r="5162">
      <c r="A5162" s="2">
        <v>5161.0</v>
      </c>
      <c r="B5162" s="2" t="s">
        <v>8749</v>
      </c>
      <c r="C5162" s="2" t="s">
        <v>23</v>
      </c>
      <c r="N5162" s="6">
        <v>44412.0</v>
      </c>
      <c r="Q5162" s="2" t="s">
        <v>86</v>
      </c>
    </row>
    <row r="5163">
      <c r="A5163" s="2">
        <v>5162.0</v>
      </c>
      <c r="B5163" s="2" t="s">
        <v>8750</v>
      </c>
      <c r="C5163" s="2" t="s">
        <v>23</v>
      </c>
      <c r="N5163" s="6">
        <v>44546.0</v>
      </c>
      <c r="Q5163" s="2" t="s">
        <v>86</v>
      </c>
    </row>
    <row r="5164">
      <c r="A5164" s="2">
        <v>5163.0</v>
      </c>
      <c r="B5164" s="2" t="s">
        <v>8751</v>
      </c>
      <c r="C5164" s="2" t="s">
        <v>23</v>
      </c>
      <c r="K5164" s="2">
        <v>10.0</v>
      </c>
      <c r="N5164" s="6">
        <v>44732.0</v>
      </c>
      <c r="Q5164" s="2" t="s">
        <v>86</v>
      </c>
    </row>
    <row r="5165">
      <c r="A5165" s="2">
        <v>5164.0</v>
      </c>
      <c r="B5165" s="2" t="s">
        <v>8752</v>
      </c>
      <c r="C5165" s="2" t="s">
        <v>23</v>
      </c>
      <c r="K5165" s="2">
        <v>80.0</v>
      </c>
      <c r="N5165" s="6">
        <v>44410.0</v>
      </c>
      <c r="Q5165" s="2" t="s">
        <v>8753</v>
      </c>
    </row>
    <row r="5166">
      <c r="A5166" s="2">
        <v>5165.0</v>
      </c>
      <c r="B5166" s="2" t="s">
        <v>8754</v>
      </c>
      <c r="C5166" s="2" t="s">
        <v>23</v>
      </c>
      <c r="N5166" s="6">
        <v>44678.0</v>
      </c>
      <c r="Q5166" s="2" t="s">
        <v>86</v>
      </c>
    </row>
    <row r="5167">
      <c r="A5167" s="2">
        <v>5166.0</v>
      </c>
      <c r="B5167" s="2" t="s">
        <v>8755</v>
      </c>
      <c r="C5167" s="2" t="s">
        <v>23</v>
      </c>
      <c r="K5167" s="2">
        <v>70.0</v>
      </c>
      <c r="N5167" s="6">
        <v>44911.0</v>
      </c>
      <c r="Q5167" s="2" t="s">
        <v>8756</v>
      </c>
    </row>
    <row r="5168">
      <c r="A5168" s="2">
        <v>5167.0</v>
      </c>
      <c r="B5168" s="2" t="s">
        <v>8757</v>
      </c>
      <c r="C5168" s="2" t="s">
        <v>23</v>
      </c>
      <c r="K5168" s="2">
        <v>150.0</v>
      </c>
      <c r="N5168" s="6">
        <v>43935.0</v>
      </c>
      <c r="Q5168" s="2" t="s">
        <v>8758</v>
      </c>
    </row>
    <row r="5169">
      <c r="A5169" s="2">
        <v>5168.0</v>
      </c>
      <c r="B5169" s="2" t="s">
        <v>8759</v>
      </c>
      <c r="C5169" s="2" t="s">
        <v>23</v>
      </c>
      <c r="K5169" s="2">
        <v>20.0</v>
      </c>
      <c r="N5169" s="6">
        <v>44755.0</v>
      </c>
      <c r="Q5169" s="2" t="s">
        <v>2448</v>
      </c>
    </row>
    <row r="5170">
      <c r="A5170" s="2">
        <v>5169.0</v>
      </c>
      <c r="B5170" s="2" t="s">
        <v>8760</v>
      </c>
      <c r="C5170" s="2" t="s">
        <v>23</v>
      </c>
      <c r="K5170" s="2">
        <v>10.0</v>
      </c>
      <c r="N5170" s="6">
        <v>43846.0</v>
      </c>
      <c r="Q5170" s="2" t="s">
        <v>4212</v>
      </c>
    </row>
    <row r="5171">
      <c r="A5171" s="2">
        <v>5170.0</v>
      </c>
      <c r="B5171" s="2" t="s">
        <v>8761</v>
      </c>
      <c r="C5171" s="2" t="s">
        <v>23</v>
      </c>
      <c r="N5171" s="6">
        <v>44416.0</v>
      </c>
      <c r="Q5171" s="2" t="s">
        <v>86</v>
      </c>
    </row>
    <row r="5172">
      <c r="A5172" s="2">
        <v>5171.0</v>
      </c>
      <c r="B5172" s="2" t="s">
        <v>8762</v>
      </c>
      <c r="C5172" s="2" t="s">
        <v>23</v>
      </c>
      <c r="K5172" s="2">
        <v>20.0</v>
      </c>
      <c r="N5172" s="6">
        <v>44626.0</v>
      </c>
      <c r="Q5172" s="2" t="s">
        <v>8763</v>
      </c>
    </row>
    <row r="5173">
      <c r="A5173" s="2">
        <v>5172.0</v>
      </c>
      <c r="B5173" s="2" t="s">
        <v>8764</v>
      </c>
      <c r="C5173" s="2" t="s">
        <v>23</v>
      </c>
      <c r="K5173" s="2">
        <v>30.0</v>
      </c>
      <c r="N5173" s="6">
        <v>43967.0</v>
      </c>
      <c r="Q5173" s="2" t="s">
        <v>1895</v>
      </c>
    </row>
    <row r="5174">
      <c r="A5174" s="2">
        <v>5173.0</v>
      </c>
      <c r="B5174" s="2" t="s">
        <v>8765</v>
      </c>
      <c r="C5174" s="2" t="s">
        <v>23</v>
      </c>
      <c r="K5174" s="2">
        <v>100.0</v>
      </c>
      <c r="N5174" s="6">
        <v>44099.0</v>
      </c>
      <c r="Q5174" s="2" t="s">
        <v>8766</v>
      </c>
    </row>
    <row r="5175">
      <c r="A5175" s="2">
        <v>5174.0</v>
      </c>
      <c r="B5175" s="2" t="s">
        <v>8767</v>
      </c>
      <c r="C5175" s="2" t="s">
        <v>23</v>
      </c>
      <c r="K5175" s="2">
        <v>10.0</v>
      </c>
      <c r="N5175" s="6">
        <v>44555.0</v>
      </c>
      <c r="Q5175" s="2" t="s">
        <v>86</v>
      </c>
    </row>
    <row r="5176">
      <c r="A5176" s="2">
        <v>5175.0</v>
      </c>
      <c r="B5176" s="2" t="s">
        <v>8768</v>
      </c>
      <c r="C5176" s="2" t="s">
        <v>23</v>
      </c>
      <c r="N5176" s="6">
        <v>44137.0</v>
      </c>
      <c r="Q5176" s="2" t="s">
        <v>86</v>
      </c>
    </row>
    <row r="5177">
      <c r="A5177" s="2">
        <v>5176.0</v>
      </c>
      <c r="B5177" s="2" t="s">
        <v>8769</v>
      </c>
      <c r="C5177" s="2" t="s">
        <v>23</v>
      </c>
      <c r="N5177" s="6">
        <v>42583.0</v>
      </c>
      <c r="Q5177" s="2" t="s">
        <v>86</v>
      </c>
    </row>
    <row r="5178">
      <c r="A5178" s="2">
        <v>5177.0</v>
      </c>
      <c r="B5178" s="2" t="s">
        <v>8770</v>
      </c>
      <c r="C5178" s="2" t="s">
        <v>23</v>
      </c>
      <c r="K5178" s="2">
        <v>40.0</v>
      </c>
      <c r="N5178" s="6">
        <v>45342.0</v>
      </c>
      <c r="Q5178" s="2" t="s">
        <v>401</v>
      </c>
    </row>
    <row r="5179">
      <c r="A5179" s="2">
        <v>5178.0</v>
      </c>
      <c r="B5179" s="2" t="s">
        <v>8771</v>
      </c>
      <c r="C5179" s="2" t="s">
        <v>23</v>
      </c>
      <c r="K5179" s="2">
        <v>10.0</v>
      </c>
      <c r="N5179" s="6">
        <v>44559.0</v>
      </c>
      <c r="Q5179" s="2" t="s">
        <v>86</v>
      </c>
    </row>
    <row r="5180">
      <c r="A5180" s="2">
        <v>5179.0</v>
      </c>
      <c r="B5180" s="2" t="s">
        <v>8772</v>
      </c>
      <c r="C5180" s="2" t="s">
        <v>23</v>
      </c>
      <c r="N5180" s="6">
        <v>44434.0</v>
      </c>
      <c r="Q5180" s="2" t="s">
        <v>86</v>
      </c>
    </row>
    <row r="5181">
      <c r="A5181" s="2">
        <v>5180.0</v>
      </c>
      <c r="B5181" s="2" t="s">
        <v>8773</v>
      </c>
      <c r="C5181" s="2" t="s">
        <v>23</v>
      </c>
      <c r="K5181" s="2">
        <v>70.0</v>
      </c>
      <c r="N5181" s="6">
        <v>45794.0</v>
      </c>
      <c r="Q5181" s="2" t="s">
        <v>8774</v>
      </c>
    </row>
    <row r="5182">
      <c r="A5182" s="2">
        <v>5181.0</v>
      </c>
      <c r="B5182" s="2" t="s">
        <v>8775</v>
      </c>
      <c r="C5182" s="2" t="s">
        <v>23</v>
      </c>
      <c r="N5182" s="6">
        <v>43109.0</v>
      </c>
      <c r="Q5182" s="2" t="s">
        <v>86</v>
      </c>
    </row>
    <row r="5183">
      <c r="A5183" s="2">
        <v>5182.0</v>
      </c>
      <c r="B5183" s="2" t="s">
        <v>8776</v>
      </c>
      <c r="C5183" s="2" t="s">
        <v>23</v>
      </c>
      <c r="K5183" s="2">
        <v>40.0</v>
      </c>
      <c r="N5183" s="6">
        <v>44303.0</v>
      </c>
      <c r="Q5183" s="2" t="s">
        <v>8777</v>
      </c>
    </row>
    <row r="5184">
      <c r="A5184" s="2">
        <v>5183.0</v>
      </c>
      <c r="B5184" s="2" t="s">
        <v>8778</v>
      </c>
      <c r="C5184" s="2" t="s">
        <v>23</v>
      </c>
      <c r="K5184" s="2">
        <v>200.0</v>
      </c>
      <c r="N5184" s="6">
        <v>45024.0</v>
      </c>
      <c r="Q5184" s="2" t="s">
        <v>8779</v>
      </c>
    </row>
    <row r="5185">
      <c r="A5185" s="2">
        <v>5184.0</v>
      </c>
      <c r="B5185" s="2" t="s">
        <v>8780</v>
      </c>
      <c r="C5185" s="2" t="s">
        <v>23</v>
      </c>
      <c r="N5185" s="6">
        <v>44165.0</v>
      </c>
      <c r="Q5185" s="2" t="s">
        <v>86</v>
      </c>
    </row>
    <row r="5186">
      <c r="A5186" s="2">
        <v>5185.0</v>
      </c>
      <c r="B5186" s="2" t="s">
        <v>8781</v>
      </c>
      <c r="C5186" s="2" t="s">
        <v>23</v>
      </c>
      <c r="N5186" s="6">
        <v>43938.0</v>
      </c>
      <c r="Q5186" s="2" t="s">
        <v>86</v>
      </c>
    </row>
    <row r="5187">
      <c r="A5187" s="2">
        <v>5186.0</v>
      </c>
      <c r="B5187" s="2" t="s">
        <v>8782</v>
      </c>
      <c r="C5187" s="2" t="s">
        <v>23</v>
      </c>
      <c r="K5187" s="2">
        <v>50.0</v>
      </c>
      <c r="N5187" s="6">
        <v>44014.0</v>
      </c>
      <c r="Q5187" s="2" t="s">
        <v>86</v>
      </c>
    </row>
    <row r="5188">
      <c r="A5188" s="2">
        <v>5187.0</v>
      </c>
      <c r="B5188" s="2" t="s">
        <v>8783</v>
      </c>
      <c r="C5188" s="2" t="s">
        <v>23</v>
      </c>
      <c r="N5188" s="6">
        <v>44866.0</v>
      </c>
      <c r="Q5188" s="2" t="s">
        <v>86</v>
      </c>
    </row>
    <row r="5189">
      <c r="A5189" s="2">
        <v>5188.0</v>
      </c>
      <c r="B5189" s="2" t="s">
        <v>8784</v>
      </c>
      <c r="C5189" s="2" t="s">
        <v>23</v>
      </c>
      <c r="K5189" s="2">
        <v>10.0</v>
      </c>
      <c r="N5189" s="6">
        <v>44638.0</v>
      </c>
      <c r="Q5189" s="2" t="s">
        <v>8785</v>
      </c>
    </row>
    <row r="5190">
      <c r="A5190" s="2">
        <v>5189.0</v>
      </c>
      <c r="B5190" s="2" t="s">
        <v>8786</v>
      </c>
      <c r="C5190" s="2" t="s">
        <v>23</v>
      </c>
      <c r="K5190" s="2">
        <v>200.0</v>
      </c>
      <c r="N5190" s="6">
        <v>45664.0</v>
      </c>
      <c r="Q5190" s="2" t="s">
        <v>8787</v>
      </c>
    </row>
    <row r="5191">
      <c r="A5191" s="2">
        <v>5190.0</v>
      </c>
      <c r="B5191" s="2" t="s">
        <v>8788</v>
      </c>
      <c r="C5191" s="2" t="s">
        <v>23</v>
      </c>
      <c r="N5191" s="6">
        <v>44231.0</v>
      </c>
      <c r="Q5191" s="2" t="s">
        <v>86</v>
      </c>
    </row>
    <row r="5192">
      <c r="A5192" s="2">
        <v>5191.0</v>
      </c>
      <c r="B5192" s="2" t="s">
        <v>8789</v>
      </c>
      <c r="C5192" s="2" t="s">
        <v>23</v>
      </c>
      <c r="K5192" s="2">
        <v>20.0</v>
      </c>
      <c r="N5192" s="6">
        <v>44956.0</v>
      </c>
      <c r="Q5192" s="2" t="s">
        <v>8790</v>
      </c>
    </row>
    <row r="5193">
      <c r="A5193" s="2">
        <v>5192.0</v>
      </c>
      <c r="B5193" s="2" t="s">
        <v>8791</v>
      </c>
      <c r="C5193" s="2" t="s">
        <v>23</v>
      </c>
      <c r="K5193" s="2">
        <v>100.0</v>
      </c>
      <c r="N5193" s="6">
        <v>44899.0</v>
      </c>
      <c r="Q5193" s="2" t="s">
        <v>86</v>
      </c>
    </row>
    <row r="5194">
      <c r="A5194" s="2">
        <v>5193.0</v>
      </c>
      <c r="B5194" s="2" t="s">
        <v>8792</v>
      </c>
      <c r="C5194" s="2" t="s">
        <v>23</v>
      </c>
      <c r="K5194" s="2">
        <v>20.0</v>
      </c>
      <c r="N5194" s="6">
        <v>44614.0</v>
      </c>
      <c r="Q5194" s="2" t="s">
        <v>86</v>
      </c>
    </row>
    <row r="5195">
      <c r="A5195" s="2">
        <v>5194.0</v>
      </c>
      <c r="B5195" s="2" t="s">
        <v>8793</v>
      </c>
      <c r="C5195" s="2" t="s">
        <v>23</v>
      </c>
      <c r="N5195" s="6">
        <v>44031.0</v>
      </c>
      <c r="Q5195" s="2" t="s">
        <v>86</v>
      </c>
    </row>
    <row r="5196">
      <c r="A5196" s="2">
        <v>5195.0</v>
      </c>
      <c r="B5196" s="2" t="s">
        <v>8794</v>
      </c>
      <c r="C5196" s="2" t="s">
        <v>23</v>
      </c>
      <c r="K5196" s="2">
        <v>30.0</v>
      </c>
      <c r="N5196" s="6">
        <v>43899.0</v>
      </c>
      <c r="Q5196" s="2" t="s">
        <v>8795</v>
      </c>
    </row>
    <row r="5197">
      <c r="A5197" s="2">
        <v>5196.0</v>
      </c>
      <c r="B5197" s="2" t="s">
        <v>8796</v>
      </c>
      <c r="C5197" s="2" t="s">
        <v>23</v>
      </c>
      <c r="K5197" s="2">
        <v>40.0</v>
      </c>
      <c r="N5197" s="6">
        <v>45729.0</v>
      </c>
      <c r="Q5197" s="2" t="s">
        <v>8797</v>
      </c>
    </row>
    <row r="5198">
      <c r="A5198" s="2">
        <v>5197.0</v>
      </c>
      <c r="B5198" s="2" t="s">
        <v>8798</v>
      </c>
      <c r="C5198" s="2" t="s">
        <v>23</v>
      </c>
      <c r="K5198" s="2">
        <v>150.0</v>
      </c>
      <c r="N5198" s="6">
        <v>45301.0</v>
      </c>
      <c r="Q5198" s="2" t="s">
        <v>8799</v>
      </c>
    </row>
    <row r="5199">
      <c r="A5199" s="2">
        <v>5198.0</v>
      </c>
      <c r="B5199" s="2" t="s">
        <v>8800</v>
      </c>
      <c r="C5199" s="2" t="s">
        <v>23</v>
      </c>
      <c r="N5199" s="6">
        <v>44477.0</v>
      </c>
      <c r="Q5199" s="2" t="s">
        <v>86</v>
      </c>
    </row>
    <row r="5200">
      <c r="A5200" s="2">
        <v>5199.0</v>
      </c>
      <c r="B5200" s="2" t="s">
        <v>8801</v>
      </c>
      <c r="C5200" s="2" t="s">
        <v>23</v>
      </c>
      <c r="N5200" s="6">
        <v>44559.0</v>
      </c>
      <c r="Q5200" s="2" t="s">
        <v>86</v>
      </c>
    </row>
    <row r="5201">
      <c r="A5201" s="2">
        <v>5200.0</v>
      </c>
      <c r="B5201" s="2" t="s">
        <v>8802</v>
      </c>
      <c r="C5201" s="2" t="s">
        <v>23</v>
      </c>
      <c r="K5201" s="2">
        <v>10.0</v>
      </c>
      <c r="N5201" s="6">
        <v>44973.0</v>
      </c>
      <c r="Q5201" s="2" t="s">
        <v>86</v>
      </c>
    </row>
    <row r="5202">
      <c r="A5202" s="2">
        <v>5201.0</v>
      </c>
      <c r="B5202" s="2" t="s">
        <v>8803</v>
      </c>
      <c r="C5202" s="2" t="s">
        <v>23</v>
      </c>
      <c r="N5202" s="6">
        <v>45087.0</v>
      </c>
      <c r="Q5202" s="2" t="s">
        <v>86</v>
      </c>
    </row>
    <row r="5203">
      <c r="A5203" s="2">
        <v>5202.0</v>
      </c>
      <c r="B5203" s="2" t="s">
        <v>8804</v>
      </c>
      <c r="C5203" s="2" t="s">
        <v>23</v>
      </c>
      <c r="K5203" s="2">
        <v>70.0</v>
      </c>
      <c r="N5203" s="6">
        <v>45568.0</v>
      </c>
      <c r="Q5203" s="2" t="s">
        <v>8805</v>
      </c>
    </row>
    <row r="5204">
      <c r="A5204" s="2">
        <v>5203.0</v>
      </c>
      <c r="B5204" s="2" t="s">
        <v>8806</v>
      </c>
      <c r="C5204" s="2" t="s">
        <v>23</v>
      </c>
      <c r="K5204" s="2">
        <v>50.0</v>
      </c>
      <c r="N5204" s="6">
        <v>45638.0</v>
      </c>
      <c r="Q5204" s="2" t="s">
        <v>8807</v>
      </c>
    </row>
    <row r="5205">
      <c r="A5205" s="2">
        <v>5204.0</v>
      </c>
      <c r="B5205" s="2" t="s">
        <v>8808</v>
      </c>
      <c r="C5205" s="2" t="s">
        <v>23</v>
      </c>
      <c r="N5205" s="6">
        <v>44965.0</v>
      </c>
      <c r="Q5205" s="2" t="s">
        <v>86</v>
      </c>
    </row>
    <row r="5206">
      <c r="A5206" s="2">
        <v>5205.0</v>
      </c>
      <c r="B5206" s="2" t="s">
        <v>8809</v>
      </c>
      <c r="C5206" s="2" t="s">
        <v>23</v>
      </c>
      <c r="K5206" s="2">
        <v>10.0</v>
      </c>
      <c r="N5206" s="6">
        <v>44336.0</v>
      </c>
      <c r="Q5206" s="2" t="s">
        <v>86</v>
      </c>
    </row>
    <row r="5207">
      <c r="A5207" s="2">
        <v>5206.0</v>
      </c>
      <c r="B5207" s="2" t="s">
        <v>8810</v>
      </c>
      <c r="C5207" s="2" t="s">
        <v>23</v>
      </c>
      <c r="N5207" s="6">
        <v>44452.0</v>
      </c>
      <c r="Q5207" s="2" t="s">
        <v>1437</v>
      </c>
    </row>
    <row r="5208">
      <c r="A5208" s="2">
        <v>5207.0</v>
      </c>
      <c r="B5208" s="2" t="s">
        <v>8811</v>
      </c>
      <c r="C5208" s="2" t="s">
        <v>23</v>
      </c>
      <c r="K5208" s="2">
        <v>10.0</v>
      </c>
      <c r="N5208" s="6">
        <v>44726.0</v>
      </c>
      <c r="Q5208" s="2" t="s">
        <v>8812</v>
      </c>
    </row>
    <row r="5209">
      <c r="A5209" s="2">
        <v>5208.0</v>
      </c>
      <c r="B5209" s="2" t="s">
        <v>8813</v>
      </c>
      <c r="C5209" s="2" t="s">
        <v>23</v>
      </c>
      <c r="K5209" s="2">
        <v>20.0</v>
      </c>
      <c r="N5209" s="6">
        <v>43896.0</v>
      </c>
      <c r="Q5209" s="2" t="s">
        <v>8814</v>
      </c>
    </row>
    <row r="5210">
      <c r="A5210" s="2">
        <v>5209.0</v>
      </c>
      <c r="B5210" s="2" t="s">
        <v>8815</v>
      </c>
      <c r="C5210" s="2" t="s">
        <v>23</v>
      </c>
      <c r="N5210" s="6">
        <v>43980.0</v>
      </c>
      <c r="Q5210" s="2" t="s">
        <v>86</v>
      </c>
    </row>
    <row r="5211">
      <c r="A5211" s="2">
        <v>5210.0</v>
      </c>
      <c r="B5211" s="2" t="s">
        <v>8816</v>
      </c>
      <c r="C5211" s="2" t="s">
        <v>23</v>
      </c>
      <c r="N5211" s="6">
        <v>44173.0</v>
      </c>
      <c r="Q5211" s="2" t="s">
        <v>86</v>
      </c>
    </row>
    <row r="5212">
      <c r="A5212" s="2">
        <v>5211.0</v>
      </c>
      <c r="B5212" s="2" t="s">
        <v>8817</v>
      </c>
      <c r="C5212" s="2" t="s">
        <v>23</v>
      </c>
      <c r="N5212" s="6">
        <v>44341.0</v>
      </c>
      <c r="Q5212" s="2" t="s">
        <v>86</v>
      </c>
    </row>
    <row r="5213">
      <c r="A5213" s="2">
        <v>5212.0</v>
      </c>
      <c r="B5213" s="2" t="s">
        <v>8818</v>
      </c>
      <c r="C5213" s="2" t="s">
        <v>23</v>
      </c>
      <c r="K5213" s="2">
        <v>20.0</v>
      </c>
      <c r="N5213" s="6">
        <v>44320.0</v>
      </c>
      <c r="Q5213" s="2" t="s">
        <v>1070</v>
      </c>
    </row>
    <row r="5214">
      <c r="A5214" s="2">
        <v>5213.0</v>
      </c>
      <c r="B5214" s="2" t="s">
        <v>8819</v>
      </c>
      <c r="C5214" s="2" t="s">
        <v>23</v>
      </c>
      <c r="N5214" s="6">
        <v>44809.0</v>
      </c>
      <c r="Q5214" s="2" t="s">
        <v>1116</v>
      </c>
    </row>
    <row r="5215">
      <c r="A5215" s="2">
        <v>5214.0</v>
      </c>
      <c r="B5215" s="2" t="s">
        <v>8820</v>
      </c>
      <c r="C5215" s="2" t="s">
        <v>23</v>
      </c>
      <c r="K5215" s="2">
        <v>50.0</v>
      </c>
      <c r="N5215" s="6">
        <v>45190.0</v>
      </c>
      <c r="Q5215" s="2" t="s">
        <v>8821</v>
      </c>
    </row>
    <row r="5216">
      <c r="A5216" s="2">
        <v>5215.0</v>
      </c>
      <c r="B5216" s="2" t="s">
        <v>8822</v>
      </c>
      <c r="C5216" s="2" t="s">
        <v>23</v>
      </c>
      <c r="K5216" s="2">
        <v>40.0</v>
      </c>
      <c r="N5216" s="6">
        <v>43864.0</v>
      </c>
      <c r="Q5216" s="2" t="s">
        <v>8823</v>
      </c>
    </row>
    <row r="5217">
      <c r="A5217" s="2">
        <v>5216.0</v>
      </c>
      <c r="B5217" s="2" t="s">
        <v>8824</v>
      </c>
      <c r="C5217" s="2" t="s">
        <v>23</v>
      </c>
      <c r="N5217" s="6">
        <v>44616.0</v>
      </c>
      <c r="Q5217" s="2" t="s">
        <v>1070</v>
      </c>
    </row>
    <row r="5218">
      <c r="A5218" s="2">
        <v>5217.0</v>
      </c>
      <c r="B5218" s="2" t="s">
        <v>8825</v>
      </c>
      <c r="C5218" s="2" t="s">
        <v>23</v>
      </c>
      <c r="K5218" s="2">
        <v>40.0</v>
      </c>
      <c r="N5218" s="6">
        <v>44710.0</v>
      </c>
      <c r="Q5218" s="2" t="s">
        <v>3075</v>
      </c>
    </row>
    <row r="5219">
      <c r="A5219" s="2">
        <v>5218.0</v>
      </c>
      <c r="B5219" s="2" t="s">
        <v>8826</v>
      </c>
      <c r="C5219" s="2" t="s">
        <v>23</v>
      </c>
      <c r="K5219" s="2">
        <v>200.0</v>
      </c>
      <c r="N5219" s="6">
        <v>42642.0</v>
      </c>
      <c r="Q5219" s="2" t="s">
        <v>8827</v>
      </c>
    </row>
    <row r="5220">
      <c r="A5220" s="2">
        <v>5219.0</v>
      </c>
      <c r="B5220" s="2" t="s">
        <v>8828</v>
      </c>
      <c r="C5220" s="2" t="s">
        <v>23</v>
      </c>
      <c r="K5220" s="2">
        <v>20.0</v>
      </c>
      <c r="N5220" s="6">
        <v>44163.0</v>
      </c>
      <c r="Q5220" s="2" t="s">
        <v>401</v>
      </c>
    </row>
    <row r="5221">
      <c r="A5221" s="2">
        <v>5220.0</v>
      </c>
      <c r="B5221" s="2" t="s">
        <v>8829</v>
      </c>
      <c r="C5221" s="2" t="s">
        <v>23</v>
      </c>
      <c r="K5221" s="2">
        <v>50.0</v>
      </c>
      <c r="N5221" s="6">
        <v>45527.0</v>
      </c>
      <c r="Q5221" s="2" t="s">
        <v>8830</v>
      </c>
    </row>
    <row r="5222">
      <c r="A5222" s="2">
        <v>5221.0</v>
      </c>
      <c r="B5222" s="2" t="s">
        <v>8831</v>
      </c>
      <c r="C5222" s="2" t="s">
        <v>23</v>
      </c>
      <c r="K5222" s="2">
        <v>30.0</v>
      </c>
      <c r="N5222" s="6">
        <v>45684.0</v>
      </c>
      <c r="Q5222" s="2" t="s">
        <v>6298</v>
      </c>
    </row>
    <row r="5223">
      <c r="A5223" s="2">
        <v>5222.0</v>
      </c>
      <c r="B5223" s="2" t="s">
        <v>8832</v>
      </c>
      <c r="C5223" s="2" t="s">
        <v>23</v>
      </c>
      <c r="K5223" s="2">
        <v>30.0</v>
      </c>
      <c r="N5223" s="6">
        <v>44439.0</v>
      </c>
      <c r="Q5223" s="2" t="s">
        <v>86</v>
      </c>
    </row>
    <row r="5224">
      <c r="A5224" s="2">
        <v>5223.0</v>
      </c>
      <c r="B5224" s="2" t="s">
        <v>8833</v>
      </c>
      <c r="C5224" s="2" t="s">
        <v>23</v>
      </c>
      <c r="N5224" s="6">
        <v>44553.0</v>
      </c>
      <c r="Q5224" s="2" t="s">
        <v>86</v>
      </c>
    </row>
    <row r="5225">
      <c r="A5225" s="2">
        <v>5224.0</v>
      </c>
      <c r="B5225" s="2" t="s">
        <v>8834</v>
      </c>
      <c r="C5225" s="2" t="s">
        <v>23</v>
      </c>
      <c r="N5225" s="6">
        <v>44208.0</v>
      </c>
      <c r="Q5225" s="2" t="s">
        <v>86</v>
      </c>
    </row>
    <row r="5226">
      <c r="A5226" s="2">
        <v>5225.0</v>
      </c>
      <c r="B5226" s="2" t="s">
        <v>8835</v>
      </c>
      <c r="C5226" s="2" t="s">
        <v>23</v>
      </c>
      <c r="K5226" s="2">
        <v>70.0</v>
      </c>
      <c r="N5226" s="6">
        <v>45735.0</v>
      </c>
      <c r="Q5226" s="2" t="s">
        <v>8836</v>
      </c>
    </row>
    <row r="5227">
      <c r="A5227" s="2">
        <v>5226.0</v>
      </c>
      <c r="B5227" s="2" t="s">
        <v>8837</v>
      </c>
      <c r="C5227" s="2" t="s">
        <v>23</v>
      </c>
      <c r="N5227" s="6">
        <v>44261.0</v>
      </c>
      <c r="Q5227" s="2" t="s">
        <v>86</v>
      </c>
    </row>
    <row r="5228">
      <c r="A5228" s="2">
        <v>5227.0</v>
      </c>
      <c r="B5228" s="2" t="s">
        <v>8838</v>
      </c>
      <c r="C5228" s="2" t="s">
        <v>23</v>
      </c>
      <c r="N5228" s="6">
        <v>44738.0</v>
      </c>
      <c r="Q5228" s="2" t="s">
        <v>86</v>
      </c>
    </row>
    <row r="5229">
      <c r="A5229" s="2">
        <v>5228.0</v>
      </c>
      <c r="B5229" s="2" t="s">
        <v>8839</v>
      </c>
      <c r="C5229" s="2" t="s">
        <v>23</v>
      </c>
      <c r="K5229" s="2">
        <v>100.0</v>
      </c>
      <c r="N5229" s="6">
        <v>45702.0</v>
      </c>
      <c r="Q5229" s="2" t="s">
        <v>8840</v>
      </c>
    </row>
    <row r="5230">
      <c r="A5230" s="2">
        <v>5229.0</v>
      </c>
      <c r="B5230" s="2" t="s">
        <v>8841</v>
      </c>
      <c r="C5230" s="2" t="s">
        <v>23</v>
      </c>
      <c r="N5230" s="6">
        <v>44847.0</v>
      </c>
      <c r="Q5230" s="2" t="s">
        <v>86</v>
      </c>
    </row>
    <row r="5231">
      <c r="A5231" s="2">
        <v>5230.0</v>
      </c>
      <c r="B5231" s="2" t="s">
        <v>8842</v>
      </c>
      <c r="C5231" s="2" t="s">
        <v>23</v>
      </c>
      <c r="N5231" s="6">
        <v>44140.0</v>
      </c>
      <c r="Q5231" s="2" t="s">
        <v>86</v>
      </c>
    </row>
    <row r="5232">
      <c r="A5232" s="2">
        <v>5231.0</v>
      </c>
      <c r="B5232" s="2" t="s">
        <v>8843</v>
      </c>
      <c r="C5232" s="2" t="s">
        <v>23</v>
      </c>
      <c r="K5232" s="2">
        <v>50.0</v>
      </c>
      <c r="N5232" s="6">
        <v>43842.0</v>
      </c>
      <c r="Q5232" s="2" t="s">
        <v>8844</v>
      </c>
    </row>
    <row r="5233">
      <c r="A5233" s="2">
        <v>5232.0</v>
      </c>
      <c r="B5233" s="2" t="s">
        <v>8845</v>
      </c>
      <c r="C5233" s="2" t="s">
        <v>23</v>
      </c>
      <c r="K5233" s="2">
        <v>10.0</v>
      </c>
      <c r="N5233" s="6">
        <v>44190.0</v>
      </c>
      <c r="Q5233" s="2" t="s">
        <v>8846</v>
      </c>
    </row>
    <row r="5234">
      <c r="A5234" s="2">
        <v>5233.0</v>
      </c>
      <c r="B5234" s="2" t="s">
        <v>8847</v>
      </c>
      <c r="C5234" s="2" t="s">
        <v>23</v>
      </c>
      <c r="N5234" s="6">
        <v>44655.0</v>
      </c>
      <c r="Q5234" s="2" t="s">
        <v>86</v>
      </c>
    </row>
    <row r="5235">
      <c r="A5235" s="2">
        <v>5234.0</v>
      </c>
      <c r="B5235" s="2" t="s">
        <v>8848</v>
      </c>
      <c r="C5235" s="2" t="s">
        <v>23</v>
      </c>
      <c r="K5235" s="2">
        <v>50.0</v>
      </c>
      <c r="N5235" s="6">
        <v>44386.0</v>
      </c>
      <c r="Q5235" s="2" t="s">
        <v>8849</v>
      </c>
    </row>
    <row r="5236">
      <c r="A5236" s="2">
        <v>5235.0</v>
      </c>
      <c r="B5236" s="2" t="s">
        <v>349</v>
      </c>
      <c r="C5236" s="2" t="s">
        <v>23</v>
      </c>
      <c r="K5236" s="2">
        <v>40.0</v>
      </c>
      <c r="N5236" s="6">
        <v>44267.0</v>
      </c>
      <c r="Q5236" s="2" t="s">
        <v>352</v>
      </c>
    </row>
    <row r="5237">
      <c r="A5237" s="2">
        <v>5236.0</v>
      </c>
      <c r="B5237" s="2" t="s">
        <v>355</v>
      </c>
      <c r="C5237" s="2" t="s">
        <v>23</v>
      </c>
      <c r="K5237" s="2">
        <v>10.0</v>
      </c>
      <c r="N5237" s="6">
        <v>43983.0</v>
      </c>
      <c r="Q5237" s="2" t="s">
        <v>359</v>
      </c>
    </row>
    <row r="5238">
      <c r="A5238" s="2">
        <v>5237.0</v>
      </c>
      <c r="B5238" s="2" t="s">
        <v>8850</v>
      </c>
      <c r="C5238" s="2" t="s">
        <v>23</v>
      </c>
      <c r="K5238" s="2">
        <v>50.0</v>
      </c>
      <c r="N5238" s="6">
        <v>45001.0</v>
      </c>
      <c r="Q5238" s="2" t="s">
        <v>86</v>
      </c>
    </row>
    <row r="5239">
      <c r="A5239" s="2">
        <v>5238.0</v>
      </c>
      <c r="B5239" s="2" t="s">
        <v>8851</v>
      </c>
      <c r="C5239" s="2" t="s">
        <v>23</v>
      </c>
      <c r="N5239" s="6">
        <v>44640.0</v>
      </c>
      <c r="Q5239" s="2" t="s">
        <v>86</v>
      </c>
    </row>
    <row r="5240">
      <c r="A5240" s="2">
        <v>5239.0</v>
      </c>
      <c r="B5240" s="2" t="s">
        <v>8852</v>
      </c>
      <c r="C5240" s="2" t="s">
        <v>23</v>
      </c>
      <c r="K5240" s="2">
        <v>90.0</v>
      </c>
      <c r="N5240" s="6">
        <v>44027.0</v>
      </c>
      <c r="Q5240" s="2" t="s">
        <v>8853</v>
      </c>
    </row>
    <row r="5241">
      <c r="A5241" s="2">
        <v>5240.0</v>
      </c>
      <c r="B5241" s="2" t="s">
        <v>8854</v>
      </c>
      <c r="C5241" s="2" t="s">
        <v>23</v>
      </c>
      <c r="K5241" s="2">
        <v>70.0</v>
      </c>
      <c r="N5241" s="6">
        <v>45809.0</v>
      </c>
      <c r="Q5241" s="2" t="s">
        <v>8855</v>
      </c>
    </row>
    <row r="5242">
      <c r="A5242" s="2">
        <v>5241.0</v>
      </c>
      <c r="B5242" s="2" t="s">
        <v>8856</v>
      </c>
      <c r="C5242" s="2" t="s">
        <v>23</v>
      </c>
      <c r="K5242" s="2">
        <v>10.0</v>
      </c>
      <c r="N5242" s="6">
        <v>45257.0</v>
      </c>
      <c r="Q5242" s="2" t="s">
        <v>1094</v>
      </c>
    </row>
    <row r="5243">
      <c r="A5243" s="2">
        <v>5242.0</v>
      </c>
      <c r="B5243" s="2" t="s">
        <v>8857</v>
      </c>
      <c r="C5243" s="2" t="s">
        <v>23</v>
      </c>
      <c r="K5243" s="2">
        <v>60.0</v>
      </c>
      <c r="N5243" s="6">
        <v>45579.0</v>
      </c>
      <c r="Q5243" s="2" t="s">
        <v>8858</v>
      </c>
    </row>
    <row r="5244">
      <c r="A5244" s="2">
        <v>5243.0</v>
      </c>
      <c r="B5244" s="2" t="s">
        <v>8859</v>
      </c>
      <c r="C5244" s="2" t="s">
        <v>23</v>
      </c>
      <c r="K5244" s="2">
        <v>20.0</v>
      </c>
      <c r="N5244" s="6">
        <v>44395.0</v>
      </c>
      <c r="Q5244" s="2" t="s">
        <v>86</v>
      </c>
    </row>
    <row r="5245">
      <c r="A5245" s="2">
        <v>5244.0</v>
      </c>
      <c r="B5245" s="2" t="s">
        <v>8860</v>
      </c>
      <c r="C5245" s="2" t="s">
        <v>23</v>
      </c>
      <c r="N5245" s="6">
        <v>44739.0</v>
      </c>
      <c r="Q5245" s="2" t="s">
        <v>86</v>
      </c>
    </row>
    <row r="5246">
      <c r="A5246" s="2">
        <v>5245.0</v>
      </c>
      <c r="B5246" s="2" t="s">
        <v>8861</v>
      </c>
      <c r="C5246" s="2" t="s">
        <v>23</v>
      </c>
      <c r="K5246" s="2">
        <v>250.0</v>
      </c>
      <c r="N5246" s="6">
        <v>44270.0</v>
      </c>
      <c r="Q5246" s="2" t="s">
        <v>8862</v>
      </c>
    </row>
    <row r="5247">
      <c r="A5247" s="2">
        <v>5246.0</v>
      </c>
      <c r="B5247" s="2" t="s">
        <v>8863</v>
      </c>
      <c r="C5247" s="2" t="s">
        <v>23</v>
      </c>
      <c r="N5247" s="6">
        <v>44214.0</v>
      </c>
      <c r="Q5247" s="2" t="s">
        <v>86</v>
      </c>
    </row>
    <row r="5248">
      <c r="A5248" s="2">
        <v>5247.0</v>
      </c>
      <c r="B5248" s="2" t="s">
        <v>8864</v>
      </c>
      <c r="C5248" s="2" t="s">
        <v>23</v>
      </c>
      <c r="K5248" s="2">
        <v>60.0</v>
      </c>
      <c r="N5248" s="6">
        <v>42583.0</v>
      </c>
      <c r="Q5248" s="2" t="s">
        <v>8865</v>
      </c>
    </row>
    <row r="5249">
      <c r="A5249" s="2">
        <v>5248.0</v>
      </c>
      <c r="B5249" s="2" t="s">
        <v>8866</v>
      </c>
      <c r="C5249" s="2" t="s">
        <v>23</v>
      </c>
      <c r="N5249" s="6">
        <v>44609.0</v>
      </c>
      <c r="Q5249" s="2" t="s">
        <v>86</v>
      </c>
    </row>
    <row r="5250">
      <c r="A5250" s="2">
        <v>5249.0</v>
      </c>
      <c r="B5250" s="2" t="s">
        <v>8867</v>
      </c>
      <c r="C5250" s="2" t="s">
        <v>23</v>
      </c>
      <c r="K5250" s="2">
        <v>150.0</v>
      </c>
      <c r="N5250" s="6">
        <v>44075.0</v>
      </c>
      <c r="Q5250" s="2" t="s">
        <v>8868</v>
      </c>
    </row>
    <row r="5251">
      <c r="A5251" s="2">
        <v>5250.0</v>
      </c>
      <c r="B5251" s="2" t="s">
        <v>8869</v>
      </c>
      <c r="C5251" s="2" t="s">
        <v>23</v>
      </c>
      <c r="K5251" s="2">
        <v>200.0</v>
      </c>
      <c r="N5251" s="6">
        <v>44188.0</v>
      </c>
      <c r="Q5251" s="2" t="s">
        <v>8870</v>
      </c>
    </row>
    <row r="5252">
      <c r="A5252" s="2">
        <v>5251.0</v>
      </c>
      <c r="B5252" s="2" t="s">
        <v>8871</v>
      </c>
      <c r="C5252" s="2" t="s">
        <v>23</v>
      </c>
      <c r="K5252" s="2">
        <v>40.0</v>
      </c>
      <c r="N5252" s="6">
        <v>44731.0</v>
      </c>
      <c r="Q5252" s="2" t="s">
        <v>426</v>
      </c>
    </row>
    <row r="5253">
      <c r="A5253" s="2">
        <v>5252.0</v>
      </c>
      <c r="B5253" s="2" t="s">
        <v>8872</v>
      </c>
      <c r="C5253" s="2" t="s">
        <v>23</v>
      </c>
      <c r="K5253" s="2">
        <v>30.0</v>
      </c>
      <c r="N5253" s="6">
        <v>43945.0</v>
      </c>
      <c r="Q5253" s="2" t="s">
        <v>86</v>
      </c>
    </row>
    <row r="5254">
      <c r="A5254" s="2">
        <v>5253.0</v>
      </c>
      <c r="B5254" s="2" t="s">
        <v>8873</v>
      </c>
      <c r="C5254" s="2" t="s">
        <v>23</v>
      </c>
      <c r="K5254" s="2">
        <v>40.0</v>
      </c>
      <c r="N5254" s="6">
        <v>45237.0</v>
      </c>
      <c r="Q5254" s="2" t="s">
        <v>8874</v>
      </c>
    </row>
    <row r="5255">
      <c r="A5255" s="2">
        <v>5254.0</v>
      </c>
      <c r="B5255" s="2" t="s">
        <v>8875</v>
      </c>
      <c r="C5255" s="2" t="s">
        <v>23</v>
      </c>
      <c r="N5255" s="6">
        <v>44397.0</v>
      </c>
      <c r="Q5255" s="2" t="s">
        <v>86</v>
      </c>
    </row>
    <row r="5256">
      <c r="A5256" s="2">
        <v>5255.0</v>
      </c>
      <c r="B5256" s="2" t="s">
        <v>8876</v>
      </c>
      <c r="C5256" s="2" t="s">
        <v>23</v>
      </c>
      <c r="K5256" s="2">
        <v>90.0</v>
      </c>
      <c r="N5256" s="6">
        <v>45315.0</v>
      </c>
      <c r="Q5256" s="2" t="s">
        <v>8877</v>
      </c>
    </row>
    <row r="5257">
      <c r="A5257" s="2">
        <v>5256.0</v>
      </c>
      <c r="B5257" s="2" t="s">
        <v>8878</v>
      </c>
      <c r="C5257" s="2" t="s">
        <v>23</v>
      </c>
      <c r="N5257" s="6">
        <v>45852.0</v>
      </c>
      <c r="Q5257" s="2" t="s">
        <v>8879</v>
      </c>
    </row>
    <row r="5258">
      <c r="A5258" s="2">
        <v>5257.0</v>
      </c>
      <c r="B5258" s="2" t="s">
        <v>8880</v>
      </c>
      <c r="C5258" s="2" t="s">
        <v>23</v>
      </c>
      <c r="K5258" s="2">
        <v>200.0</v>
      </c>
      <c r="N5258" s="6">
        <v>45527.0</v>
      </c>
      <c r="Q5258" s="2" t="s">
        <v>8881</v>
      </c>
    </row>
    <row r="5259">
      <c r="A5259" s="2">
        <v>5258.0</v>
      </c>
      <c r="B5259" s="2" t="s">
        <v>8882</v>
      </c>
      <c r="C5259" s="2" t="s">
        <v>23</v>
      </c>
      <c r="K5259" s="2">
        <v>60.0</v>
      </c>
      <c r="N5259" s="6">
        <v>44725.0</v>
      </c>
      <c r="Q5259" s="2" t="s">
        <v>5802</v>
      </c>
    </row>
    <row r="5260">
      <c r="A5260" s="2">
        <v>5259.0</v>
      </c>
      <c r="B5260" s="2" t="s">
        <v>8883</v>
      </c>
      <c r="C5260" s="2" t="s">
        <v>23</v>
      </c>
      <c r="N5260" s="6">
        <v>43920.0</v>
      </c>
      <c r="Q5260" s="2" t="s">
        <v>86</v>
      </c>
    </row>
    <row r="5261">
      <c r="A5261" s="2">
        <v>5260.0</v>
      </c>
      <c r="B5261" s="2" t="s">
        <v>8884</v>
      </c>
      <c r="C5261" s="2" t="s">
        <v>23</v>
      </c>
      <c r="K5261" s="2">
        <v>20.0</v>
      </c>
      <c r="N5261" s="6">
        <v>44432.0</v>
      </c>
      <c r="Q5261" s="2" t="s">
        <v>3185</v>
      </c>
    </row>
    <row r="5262">
      <c r="A5262" s="2">
        <v>5261.0</v>
      </c>
      <c r="B5262" s="2" t="s">
        <v>8885</v>
      </c>
      <c r="C5262" s="2" t="s">
        <v>23</v>
      </c>
      <c r="N5262" s="6">
        <v>45590.0</v>
      </c>
      <c r="Q5262" s="2" t="s">
        <v>8886</v>
      </c>
    </row>
    <row r="5263">
      <c r="A5263" s="2">
        <v>5262.0</v>
      </c>
      <c r="B5263" s="2" t="s">
        <v>8887</v>
      </c>
      <c r="C5263" s="2" t="s">
        <v>23</v>
      </c>
      <c r="N5263" s="6">
        <v>42265.0</v>
      </c>
      <c r="O5263" s="2" t="s">
        <v>49</v>
      </c>
      <c r="P5263" s="2" t="s">
        <v>36</v>
      </c>
      <c r="Q5263" s="2" t="s">
        <v>8888</v>
      </c>
      <c r="S5263" s="2" t="s">
        <v>564</v>
      </c>
    </row>
    <row r="5264">
      <c r="A5264" s="2">
        <v>5263.0</v>
      </c>
      <c r="B5264" s="2" t="s">
        <v>8889</v>
      </c>
      <c r="C5264" s="2" t="s">
        <v>23</v>
      </c>
      <c r="K5264" s="2">
        <v>100.0</v>
      </c>
      <c r="N5264" s="6">
        <v>44167.0</v>
      </c>
      <c r="Q5264" s="2" t="s">
        <v>8890</v>
      </c>
    </row>
    <row r="5265">
      <c r="A5265" s="2">
        <v>5264.0</v>
      </c>
      <c r="B5265" s="2" t="s">
        <v>8891</v>
      </c>
      <c r="C5265" s="2" t="s">
        <v>23</v>
      </c>
      <c r="K5265" s="2">
        <v>40.0</v>
      </c>
      <c r="N5265" s="6">
        <v>44551.0</v>
      </c>
      <c r="Q5265" s="2" t="s">
        <v>5706</v>
      </c>
    </row>
    <row r="5266">
      <c r="A5266" s="2">
        <v>5265.0</v>
      </c>
      <c r="B5266" s="2" t="s">
        <v>8892</v>
      </c>
      <c r="C5266" s="2" t="s">
        <v>23</v>
      </c>
      <c r="K5266" s="2">
        <v>200.0</v>
      </c>
      <c r="N5266" s="6">
        <v>44073.0</v>
      </c>
      <c r="Q5266" s="2" t="s">
        <v>8893</v>
      </c>
    </row>
    <row r="5267">
      <c r="A5267" s="2">
        <v>5266.0</v>
      </c>
      <c r="B5267" s="2" t="s">
        <v>8894</v>
      </c>
      <c r="C5267" s="2" t="s">
        <v>23</v>
      </c>
      <c r="N5267" s="6">
        <v>44163.0</v>
      </c>
      <c r="Q5267" s="2" t="s">
        <v>86</v>
      </c>
    </row>
    <row r="5268">
      <c r="A5268" s="2">
        <v>5267.0</v>
      </c>
      <c r="B5268" s="2" t="s">
        <v>8895</v>
      </c>
      <c r="C5268" s="2" t="s">
        <v>23</v>
      </c>
      <c r="K5268" s="2">
        <v>20.0</v>
      </c>
      <c r="N5268" s="6">
        <v>45697.0</v>
      </c>
      <c r="Q5268" s="2" t="s">
        <v>2451</v>
      </c>
    </row>
    <row r="5269">
      <c r="A5269" s="2">
        <v>5268.0</v>
      </c>
      <c r="B5269" s="2" t="s">
        <v>8896</v>
      </c>
      <c r="C5269" s="2" t="s">
        <v>23</v>
      </c>
      <c r="K5269" s="2">
        <v>50.0</v>
      </c>
      <c r="N5269" s="6">
        <v>45641.0</v>
      </c>
      <c r="Q5269" s="2" t="s">
        <v>2738</v>
      </c>
    </row>
    <row r="5270">
      <c r="A5270" s="2">
        <v>5269.0</v>
      </c>
      <c r="B5270" s="2" t="s">
        <v>8897</v>
      </c>
      <c r="C5270" s="2" t="s">
        <v>23</v>
      </c>
      <c r="K5270" s="2">
        <v>60.0</v>
      </c>
      <c r="N5270" s="6">
        <v>44606.0</v>
      </c>
      <c r="Q5270" s="2" t="s">
        <v>3232</v>
      </c>
    </row>
    <row r="5271">
      <c r="A5271" s="2">
        <v>5270.0</v>
      </c>
      <c r="B5271" s="2" t="s">
        <v>8898</v>
      </c>
      <c r="C5271" s="2" t="s">
        <v>23</v>
      </c>
      <c r="K5271" s="2">
        <v>50.0</v>
      </c>
      <c r="N5271" s="6">
        <v>43860.0</v>
      </c>
      <c r="Q5271" s="2" t="s">
        <v>8899</v>
      </c>
    </row>
    <row r="5272">
      <c r="A5272" s="2">
        <v>5271.0</v>
      </c>
      <c r="B5272" s="2" t="s">
        <v>8900</v>
      </c>
      <c r="C5272" s="2" t="s">
        <v>23</v>
      </c>
      <c r="K5272" s="2">
        <v>30.0</v>
      </c>
      <c r="N5272" s="6">
        <v>43899.0</v>
      </c>
      <c r="Q5272" s="2" t="s">
        <v>4958</v>
      </c>
    </row>
    <row r="5273">
      <c r="A5273" s="2">
        <v>5272.0</v>
      </c>
      <c r="B5273" s="2" t="s">
        <v>8901</v>
      </c>
      <c r="C5273" s="2" t="s">
        <v>23</v>
      </c>
      <c r="N5273" s="6">
        <v>45610.0</v>
      </c>
      <c r="Q5273" s="2" t="s">
        <v>8902</v>
      </c>
    </row>
    <row r="5274">
      <c r="A5274" s="2">
        <v>5273.0</v>
      </c>
      <c r="B5274" s="2" t="s">
        <v>8903</v>
      </c>
      <c r="C5274" s="2" t="s">
        <v>23</v>
      </c>
      <c r="K5274" s="2">
        <v>80.0</v>
      </c>
      <c r="N5274" s="6">
        <v>45638.0</v>
      </c>
      <c r="Q5274" s="2" t="s">
        <v>8904</v>
      </c>
    </row>
    <row r="5275">
      <c r="A5275" s="2">
        <v>5274.0</v>
      </c>
      <c r="B5275" s="2" t="s">
        <v>8905</v>
      </c>
      <c r="C5275" s="2" t="s">
        <v>23</v>
      </c>
      <c r="K5275" s="2">
        <v>80.0</v>
      </c>
      <c r="N5275" s="6">
        <v>45719.0</v>
      </c>
      <c r="Q5275" s="2" t="s">
        <v>3355</v>
      </c>
    </row>
    <row r="5276">
      <c r="A5276" s="2">
        <v>5275.0</v>
      </c>
      <c r="B5276" s="2" t="s">
        <v>8906</v>
      </c>
      <c r="C5276" s="2" t="s">
        <v>23</v>
      </c>
      <c r="K5276" s="2">
        <v>10.0</v>
      </c>
      <c r="N5276" s="6">
        <v>45613.0</v>
      </c>
      <c r="Q5276" s="2" t="s">
        <v>6856</v>
      </c>
    </row>
    <row r="5277">
      <c r="A5277" s="2">
        <v>5276.0</v>
      </c>
      <c r="B5277" s="2" t="s">
        <v>8907</v>
      </c>
      <c r="C5277" s="2" t="s">
        <v>23</v>
      </c>
      <c r="K5277" s="2">
        <v>10.0</v>
      </c>
      <c r="N5277" s="6">
        <v>44278.0</v>
      </c>
      <c r="Q5277" s="2" t="s">
        <v>1437</v>
      </c>
    </row>
    <row r="5278">
      <c r="A5278" s="2">
        <v>5277.0</v>
      </c>
      <c r="B5278" s="2" t="s">
        <v>8908</v>
      </c>
      <c r="C5278" s="2" t="s">
        <v>23</v>
      </c>
      <c r="K5278" s="2">
        <v>40.0</v>
      </c>
      <c r="N5278" s="6">
        <v>44834.0</v>
      </c>
      <c r="Q5278" s="2" t="s">
        <v>401</v>
      </c>
    </row>
    <row r="5279">
      <c r="A5279" s="2">
        <v>5278.0</v>
      </c>
      <c r="B5279" s="2" t="s">
        <v>8909</v>
      </c>
      <c r="C5279" s="2" t="s">
        <v>23</v>
      </c>
      <c r="K5279" s="2">
        <v>30.0</v>
      </c>
      <c r="N5279" s="6">
        <v>44275.0</v>
      </c>
      <c r="Q5279" s="2" t="s">
        <v>8910</v>
      </c>
    </row>
    <row r="5280">
      <c r="A5280" s="2">
        <v>5279.0</v>
      </c>
      <c r="B5280" s="2" t="s">
        <v>8911</v>
      </c>
      <c r="C5280" s="2" t="s">
        <v>23</v>
      </c>
      <c r="N5280" s="6">
        <v>45568.0</v>
      </c>
      <c r="Q5280" s="2" t="s">
        <v>8912</v>
      </c>
    </row>
    <row r="5281">
      <c r="A5281" s="2">
        <v>5280.0</v>
      </c>
      <c r="B5281" s="2" t="s">
        <v>8913</v>
      </c>
      <c r="C5281" s="2" t="s">
        <v>23</v>
      </c>
      <c r="N5281" s="6">
        <v>44328.0</v>
      </c>
      <c r="Q5281" s="2" t="s">
        <v>1116</v>
      </c>
    </row>
    <row r="5282">
      <c r="A5282" s="2">
        <v>5281.0</v>
      </c>
      <c r="B5282" s="2" t="s">
        <v>8914</v>
      </c>
      <c r="C5282" s="2" t="s">
        <v>23</v>
      </c>
      <c r="K5282" s="2">
        <v>10.0</v>
      </c>
      <c r="N5282" s="6">
        <v>44655.0</v>
      </c>
      <c r="Q5282" s="2" t="s">
        <v>86</v>
      </c>
    </row>
    <row r="5283">
      <c r="A5283" s="2">
        <v>5282.0</v>
      </c>
      <c r="B5283" s="2" t="s">
        <v>8915</v>
      </c>
      <c r="C5283" s="2" t="s">
        <v>23</v>
      </c>
      <c r="K5283" s="2">
        <v>100.0</v>
      </c>
      <c r="N5283" s="6">
        <v>43854.0</v>
      </c>
      <c r="Q5283" s="2" t="s">
        <v>8916</v>
      </c>
    </row>
    <row r="5284">
      <c r="A5284" s="2">
        <v>5283.0</v>
      </c>
      <c r="B5284" s="2" t="s">
        <v>8917</v>
      </c>
      <c r="C5284" s="2" t="s">
        <v>23</v>
      </c>
      <c r="K5284" s="2">
        <v>30.0</v>
      </c>
      <c r="N5284" s="6">
        <v>43970.0</v>
      </c>
      <c r="Q5284" s="2" t="s">
        <v>8918</v>
      </c>
    </row>
    <row r="5285">
      <c r="A5285" s="2">
        <v>5284.0</v>
      </c>
      <c r="B5285" s="2" t="s">
        <v>8919</v>
      </c>
      <c r="C5285" s="2" t="s">
        <v>23</v>
      </c>
      <c r="K5285" s="2">
        <v>50.0</v>
      </c>
      <c r="N5285" s="6">
        <v>45632.0</v>
      </c>
      <c r="Q5285" s="2" t="s">
        <v>8920</v>
      </c>
    </row>
    <row r="5286">
      <c r="A5286" s="2">
        <v>5285.0</v>
      </c>
      <c r="B5286" s="2" t="s">
        <v>8921</v>
      </c>
      <c r="C5286" s="2" t="s">
        <v>23</v>
      </c>
      <c r="K5286" s="2">
        <v>30.0</v>
      </c>
      <c r="N5286" s="6">
        <v>45488.0</v>
      </c>
      <c r="Q5286" s="2" t="s">
        <v>8922</v>
      </c>
    </row>
    <row r="5287">
      <c r="A5287" s="2">
        <v>5286.0</v>
      </c>
      <c r="B5287" s="2" t="s">
        <v>8923</v>
      </c>
      <c r="C5287" s="2" t="s">
        <v>23</v>
      </c>
      <c r="K5287" s="2">
        <v>10.0</v>
      </c>
      <c r="N5287" s="6">
        <v>43969.0</v>
      </c>
      <c r="Q5287" s="2" t="s">
        <v>8924</v>
      </c>
    </row>
    <row r="5288">
      <c r="A5288" s="2">
        <v>5287.0</v>
      </c>
      <c r="B5288" s="2" t="s">
        <v>8925</v>
      </c>
      <c r="C5288" s="2" t="s">
        <v>23</v>
      </c>
      <c r="K5288" s="2">
        <v>10.0</v>
      </c>
      <c r="N5288" s="6">
        <v>44054.0</v>
      </c>
      <c r="Q5288" s="2" t="s">
        <v>8926</v>
      </c>
    </row>
    <row r="5289">
      <c r="A5289" s="2">
        <v>5288.0</v>
      </c>
      <c r="B5289" s="2" t="s">
        <v>8927</v>
      </c>
      <c r="C5289" s="2" t="s">
        <v>23</v>
      </c>
      <c r="N5289" s="6">
        <v>44361.0</v>
      </c>
      <c r="Q5289" s="2" t="s">
        <v>86</v>
      </c>
    </row>
    <row r="5290">
      <c r="A5290" s="2">
        <v>5289.0</v>
      </c>
      <c r="B5290" s="2" t="s">
        <v>8928</v>
      </c>
      <c r="C5290" s="2" t="s">
        <v>23</v>
      </c>
      <c r="K5290" s="2">
        <v>70.0</v>
      </c>
      <c r="N5290" s="6">
        <v>44226.0</v>
      </c>
      <c r="Q5290" s="2" t="s">
        <v>8929</v>
      </c>
    </row>
    <row r="5291">
      <c r="A5291" s="2">
        <v>5290.0</v>
      </c>
      <c r="B5291" s="2" t="s">
        <v>8930</v>
      </c>
      <c r="C5291" s="2" t="s">
        <v>23</v>
      </c>
      <c r="N5291" s="6">
        <v>44007.0</v>
      </c>
      <c r="Q5291" s="2" t="s">
        <v>86</v>
      </c>
    </row>
    <row r="5292">
      <c r="A5292" s="2">
        <v>5291.0</v>
      </c>
      <c r="B5292" s="2" t="s">
        <v>8931</v>
      </c>
      <c r="C5292" s="2" t="s">
        <v>23</v>
      </c>
      <c r="K5292" s="2">
        <v>350.0</v>
      </c>
      <c r="N5292" s="6">
        <v>44254.0</v>
      </c>
      <c r="Q5292" s="2" t="s">
        <v>8932</v>
      </c>
    </row>
    <row r="5293">
      <c r="A5293" s="2">
        <v>5292.0</v>
      </c>
      <c r="B5293" s="2" t="s">
        <v>8933</v>
      </c>
      <c r="C5293" s="2" t="s">
        <v>23</v>
      </c>
      <c r="K5293" s="2">
        <v>30.0</v>
      </c>
      <c r="N5293" s="6">
        <v>45029.0</v>
      </c>
      <c r="Q5293" s="2" t="s">
        <v>8934</v>
      </c>
    </row>
    <row r="5294">
      <c r="A5294" s="2">
        <v>5293.0</v>
      </c>
      <c r="B5294" s="2" t="s">
        <v>8935</v>
      </c>
      <c r="C5294" s="2" t="s">
        <v>23</v>
      </c>
      <c r="K5294" s="2">
        <v>100.0</v>
      </c>
      <c r="N5294" s="6">
        <v>43883.0</v>
      </c>
      <c r="Q5294" s="2" t="s">
        <v>8936</v>
      </c>
    </row>
    <row r="5295">
      <c r="A5295" s="2">
        <v>5294.0</v>
      </c>
      <c r="B5295" s="2" t="s">
        <v>8937</v>
      </c>
      <c r="C5295" s="2" t="s">
        <v>23</v>
      </c>
      <c r="K5295" s="2">
        <v>60.0</v>
      </c>
      <c r="N5295" s="6">
        <v>42464.0</v>
      </c>
      <c r="Q5295" s="2" t="s">
        <v>8938</v>
      </c>
    </row>
    <row r="5296">
      <c r="A5296" s="2">
        <v>5295.0</v>
      </c>
      <c r="B5296" s="2" t="s">
        <v>8939</v>
      </c>
      <c r="C5296" s="2" t="s">
        <v>23</v>
      </c>
      <c r="K5296" s="2">
        <v>80.0</v>
      </c>
      <c r="N5296" s="6">
        <v>44975.0</v>
      </c>
      <c r="Q5296" s="2" t="s">
        <v>8940</v>
      </c>
    </row>
    <row r="5297">
      <c r="A5297" s="2">
        <v>5296.0</v>
      </c>
      <c r="B5297" s="2" t="s">
        <v>8941</v>
      </c>
      <c r="C5297" s="2" t="s">
        <v>23</v>
      </c>
      <c r="N5297" s="6">
        <v>42572.0</v>
      </c>
      <c r="Q5297" s="2" t="s">
        <v>8942</v>
      </c>
    </row>
    <row r="5298">
      <c r="A5298" s="2">
        <v>5297.0</v>
      </c>
      <c r="B5298" s="2" t="s">
        <v>8943</v>
      </c>
      <c r="C5298" s="2" t="s">
        <v>23</v>
      </c>
      <c r="N5298" s="6">
        <v>42352.0</v>
      </c>
      <c r="O5298" s="2" t="s">
        <v>49</v>
      </c>
      <c r="P5298" s="2" t="s">
        <v>36</v>
      </c>
      <c r="Q5298" s="2" t="s">
        <v>86</v>
      </c>
      <c r="S5298" s="2" t="s">
        <v>1660</v>
      </c>
    </row>
    <row r="5299">
      <c r="A5299" s="2">
        <v>5298.0</v>
      </c>
      <c r="B5299" s="2" t="s">
        <v>8944</v>
      </c>
      <c r="C5299" s="2" t="s">
        <v>23</v>
      </c>
      <c r="K5299" s="2">
        <v>80.0</v>
      </c>
      <c r="N5299" s="6">
        <v>44368.0</v>
      </c>
      <c r="Q5299" s="2" t="s">
        <v>5663</v>
      </c>
    </row>
    <row r="5300">
      <c r="A5300" s="2">
        <v>5299.0</v>
      </c>
      <c r="B5300" s="2" t="s">
        <v>8945</v>
      </c>
      <c r="C5300" s="2" t="s">
        <v>23</v>
      </c>
      <c r="N5300" s="6">
        <v>44050.0</v>
      </c>
      <c r="Q5300" s="2" t="s">
        <v>86</v>
      </c>
    </row>
    <row r="5301">
      <c r="A5301" s="2">
        <v>5300.0</v>
      </c>
      <c r="B5301" s="2" t="s">
        <v>8946</v>
      </c>
      <c r="C5301" s="2" t="s">
        <v>23</v>
      </c>
      <c r="K5301" s="2">
        <v>200.0</v>
      </c>
      <c r="N5301" s="6">
        <v>43874.0</v>
      </c>
      <c r="Q5301" s="2" t="s">
        <v>8947</v>
      </c>
    </row>
    <row r="5302">
      <c r="A5302" s="2">
        <v>5301.0</v>
      </c>
      <c r="B5302" s="2" t="s">
        <v>8948</v>
      </c>
      <c r="C5302" s="2" t="s">
        <v>23</v>
      </c>
      <c r="N5302" s="6">
        <v>44781.0</v>
      </c>
      <c r="Q5302" s="2" t="s">
        <v>1472</v>
      </c>
    </row>
    <row r="5303">
      <c r="A5303" s="2">
        <v>5302.0</v>
      </c>
      <c r="B5303" s="2" t="s">
        <v>8949</v>
      </c>
      <c r="C5303" s="2" t="s">
        <v>23</v>
      </c>
      <c r="N5303" s="6">
        <v>43884.0</v>
      </c>
      <c r="Q5303" s="2" t="s">
        <v>1437</v>
      </c>
    </row>
    <row r="5304">
      <c r="A5304" s="2">
        <v>5303.0</v>
      </c>
      <c r="B5304" s="2" t="s">
        <v>8950</v>
      </c>
      <c r="C5304" s="2" t="s">
        <v>23</v>
      </c>
      <c r="N5304" s="6">
        <v>45516.0</v>
      </c>
      <c r="Q5304" s="2" t="s">
        <v>8296</v>
      </c>
    </row>
    <row r="5305">
      <c r="A5305" s="2">
        <v>5304.0</v>
      </c>
      <c r="B5305" s="2" t="s">
        <v>8951</v>
      </c>
      <c r="C5305" s="2" t="s">
        <v>23</v>
      </c>
      <c r="K5305" s="2">
        <v>90.0</v>
      </c>
      <c r="N5305" s="6">
        <v>44538.0</v>
      </c>
      <c r="Q5305" s="2" t="s">
        <v>8952</v>
      </c>
    </row>
    <row r="5306">
      <c r="A5306" s="2">
        <v>5305.0</v>
      </c>
      <c r="B5306" s="2" t="s">
        <v>8953</v>
      </c>
      <c r="C5306" s="2" t="s">
        <v>23</v>
      </c>
      <c r="N5306" s="6">
        <v>44227.0</v>
      </c>
      <c r="Q5306" s="2" t="s">
        <v>86</v>
      </c>
    </row>
    <row r="5307">
      <c r="A5307" s="2">
        <v>5306.0</v>
      </c>
      <c r="B5307" s="2" t="s">
        <v>8954</v>
      </c>
      <c r="C5307" s="2" t="s">
        <v>23</v>
      </c>
      <c r="N5307" s="6">
        <v>45645.0</v>
      </c>
      <c r="Q5307" s="2" t="s">
        <v>1711</v>
      </c>
    </row>
    <row r="5308">
      <c r="A5308" s="2">
        <v>5307.0</v>
      </c>
      <c r="B5308" s="2" t="s">
        <v>8955</v>
      </c>
      <c r="C5308" s="2" t="s">
        <v>23</v>
      </c>
      <c r="K5308" s="2">
        <v>10.0</v>
      </c>
      <c r="N5308" s="6">
        <v>43486.0</v>
      </c>
      <c r="Q5308" s="2" t="s">
        <v>8956</v>
      </c>
    </row>
    <row r="5309">
      <c r="A5309" s="2">
        <v>5308.0</v>
      </c>
      <c r="B5309" s="2" t="s">
        <v>8957</v>
      </c>
      <c r="C5309" s="2" t="s">
        <v>23</v>
      </c>
      <c r="N5309" s="6">
        <v>45651.0</v>
      </c>
      <c r="Q5309" s="2" t="s">
        <v>8958</v>
      </c>
    </row>
    <row r="5310">
      <c r="A5310" s="2">
        <v>5309.0</v>
      </c>
      <c r="B5310" s="2" t="s">
        <v>8959</v>
      </c>
      <c r="C5310" s="2" t="s">
        <v>23</v>
      </c>
      <c r="K5310" s="2">
        <v>20.0</v>
      </c>
      <c r="N5310" s="6">
        <v>44537.0</v>
      </c>
      <c r="Q5310" s="2" t="s">
        <v>8960</v>
      </c>
    </row>
    <row r="5311">
      <c r="A5311" s="2">
        <v>5310.0</v>
      </c>
      <c r="B5311" s="2" t="s">
        <v>8961</v>
      </c>
      <c r="C5311" s="2" t="s">
        <v>23</v>
      </c>
      <c r="K5311" s="2">
        <v>90.0</v>
      </c>
      <c r="N5311" s="6">
        <v>43954.0</v>
      </c>
      <c r="Q5311" s="2" t="s">
        <v>8962</v>
      </c>
    </row>
    <row r="5312">
      <c r="A5312" s="2">
        <v>5311.0</v>
      </c>
      <c r="B5312" s="2" t="s">
        <v>8963</v>
      </c>
      <c r="C5312" s="2" t="s">
        <v>23</v>
      </c>
      <c r="K5312" s="2">
        <v>10.0</v>
      </c>
      <c r="N5312" s="6">
        <v>43862.0</v>
      </c>
      <c r="Q5312" s="2" t="s">
        <v>86</v>
      </c>
    </row>
    <row r="5313">
      <c r="A5313" s="2">
        <v>5312.0</v>
      </c>
      <c r="B5313" s="2" t="s">
        <v>8964</v>
      </c>
      <c r="C5313" s="2" t="s">
        <v>23</v>
      </c>
      <c r="N5313" s="6">
        <v>44310.0</v>
      </c>
      <c r="Q5313" s="2" t="s">
        <v>86</v>
      </c>
    </row>
    <row r="5314">
      <c r="A5314" s="2">
        <v>5313.0</v>
      </c>
      <c r="B5314" s="2" t="s">
        <v>8965</v>
      </c>
      <c r="C5314" s="2" t="s">
        <v>23</v>
      </c>
      <c r="N5314" s="6">
        <v>43635.0</v>
      </c>
      <c r="Q5314" s="2" t="s">
        <v>86</v>
      </c>
    </row>
    <row r="5315">
      <c r="A5315" s="2">
        <v>5314.0</v>
      </c>
      <c r="B5315" s="2" t="s">
        <v>8966</v>
      </c>
      <c r="C5315" s="2" t="s">
        <v>23</v>
      </c>
      <c r="N5315" s="6">
        <v>43916.0</v>
      </c>
      <c r="Q5315" s="2" t="s">
        <v>513</v>
      </c>
    </row>
    <row r="5316">
      <c r="A5316" s="2">
        <v>5315.0</v>
      </c>
      <c r="B5316" s="2" t="s">
        <v>8967</v>
      </c>
      <c r="C5316" s="2" t="s">
        <v>23</v>
      </c>
      <c r="K5316" s="2">
        <v>30.0</v>
      </c>
      <c r="N5316" s="6">
        <v>44445.0</v>
      </c>
      <c r="Q5316" s="2" t="s">
        <v>8968</v>
      </c>
    </row>
    <row r="5317">
      <c r="A5317" s="2">
        <v>5316.0</v>
      </c>
      <c r="B5317" s="2" t="s">
        <v>8969</v>
      </c>
      <c r="C5317" s="2" t="s">
        <v>23</v>
      </c>
      <c r="N5317" s="6">
        <v>45466.0</v>
      </c>
      <c r="Q5317" s="2" t="s">
        <v>1116</v>
      </c>
    </row>
    <row r="5318">
      <c r="A5318" s="2">
        <v>5317.0</v>
      </c>
      <c r="B5318" s="2" t="s">
        <v>8970</v>
      </c>
      <c r="C5318" s="2" t="s">
        <v>23</v>
      </c>
      <c r="K5318" s="2">
        <v>30.0</v>
      </c>
      <c r="N5318" s="6">
        <v>44517.0</v>
      </c>
      <c r="Q5318" s="2" t="s">
        <v>1823</v>
      </c>
    </row>
    <row r="5319">
      <c r="A5319" s="2">
        <v>5318.0</v>
      </c>
      <c r="B5319" s="2" t="s">
        <v>8971</v>
      </c>
      <c r="C5319" s="2" t="s">
        <v>23</v>
      </c>
      <c r="K5319" s="2">
        <v>30.0</v>
      </c>
      <c r="N5319" s="6">
        <v>45254.0</v>
      </c>
      <c r="Q5319" s="2" t="s">
        <v>8972</v>
      </c>
    </row>
    <row r="5320">
      <c r="A5320" s="2">
        <v>5319.0</v>
      </c>
      <c r="B5320" s="2" t="s">
        <v>8973</v>
      </c>
      <c r="C5320" s="2" t="s">
        <v>23</v>
      </c>
      <c r="N5320" s="6">
        <v>43661.0</v>
      </c>
      <c r="Q5320" s="2" t="s">
        <v>8974</v>
      </c>
    </row>
    <row r="5321">
      <c r="A5321" s="2">
        <v>5320.0</v>
      </c>
      <c r="B5321" s="2" t="s">
        <v>8975</v>
      </c>
      <c r="C5321" s="2" t="s">
        <v>23</v>
      </c>
      <c r="N5321" s="6">
        <v>45260.0</v>
      </c>
      <c r="Q5321" s="2" t="s">
        <v>3934</v>
      </c>
    </row>
    <row r="5322">
      <c r="A5322" s="2">
        <v>5321.0</v>
      </c>
      <c r="B5322" s="2" t="s">
        <v>8976</v>
      </c>
      <c r="C5322" s="2" t="s">
        <v>23</v>
      </c>
      <c r="K5322" s="2">
        <v>10.0</v>
      </c>
      <c r="N5322" s="6">
        <v>44405.0</v>
      </c>
      <c r="Q5322" s="2" t="s">
        <v>60</v>
      </c>
    </row>
    <row r="5323">
      <c r="A5323" s="2">
        <v>5322.0</v>
      </c>
      <c r="B5323" s="2" t="s">
        <v>361</v>
      </c>
      <c r="C5323" s="2" t="s">
        <v>23</v>
      </c>
      <c r="K5323" s="2">
        <v>10.0</v>
      </c>
      <c r="N5323" s="6">
        <v>45704.0</v>
      </c>
      <c r="Q5323" s="2" t="s">
        <v>364</v>
      </c>
    </row>
    <row r="5324">
      <c r="A5324" s="2">
        <v>5323.0</v>
      </c>
      <c r="B5324" s="2" t="s">
        <v>8977</v>
      </c>
      <c r="C5324" s="2" t="s">
        <v>23</v>
      </c>
      <c r="K5324" s="2">
        <v>10.0</v>
      </c>
      <c r="N5324" s="6">
        <v>42278.0</v>
      </c>
      <c r="Q5324" s="2" t="s">
        <v>8978</v>
      </c>
    </row>
    <row r="5325">
      <c r="A5325" s="2">
        <v>5324.0</v>
      </c>
      <c r="B5325" s="2" t="s">
        <v>8979</v>
      </c>
      <c r="C5325" s="2" t="s">
        <v>23</v>
      </c>
      <c r="N5325" s="6">
        <v>42696.0</v>
      </c>
      <c r="Q5325" s="2" t="s">
        <v>86</v>
      </c>
    </row>
    <row r="5326">
      <c r="A5326" s="2">
        <v>5325.0</v>
      </c>
      <c r="B5326" s="2" t="s">
        <v>8980</v>
      </c>
      <c r="C5326" s="2" t="s">
        <v>23</v>
      </c>
      <c r="K5326" s="2">
        <v>70.0</v>
      </c>
      <c r="N5326" s="6">
        <v>44286.0</v>
      </c>
      <c r="Q5326" s="2" t="s">
        <v>8981</v>
      </c>
    </row>
    <row r="5327">
      <c r="A5327" s="2">
        <v>5326.0</v>
      </c>
      <c r="B5327" s="2" t="s">
        <v>8982</v>
      </c>
      <c r="C5327" s="2" t="s">
        <v>23</v>
      </c>
      <c r="N5327" s="6">
        <v>44395.0</v>
      </c>
      <c r="Q5327" s="2" t="s">
        <v>86</v>
      </c>
    </row>
    <row r="5328">
      <c r="A5328" s="2">
        <v>5327.0</v>
      </c>
      <c r="B5328" s="2" t="s">
        <v>8983</v>
      </c>
      <c r="C5328" s="2" t="s">
        <v>23</v>
      </c>
      <c r="K5328" s="2">
        <v>1200.0</v>
      </c>
      <c r="N5328" s="6">
        <v>43649.0</v>
      </c>
      <c r="Q5328" s="2" t="s">
        <v>8984</v>
      </c>
    </row>
    <row r="5329">
      <c r="A5329" s="2">
        <v>5328.0</v>
      </c>
      <c r="B5329" s="2" t="s">
        <v>8985</v>
      </c>
      <c r="C5329" s="2" t="s">
        <v>23</v>
      </c>
      <c r="N5329" s="6">
        <v>44994.0</v>
      </c>
      <c r="Q5329" s="2" t="s">
        <v>86</v>
      </c>
    </row>
    <row r="5330">
      <c r="A5330" s="2">
        <v>5329.0</v>
      </c>
      <c r="B5330" s="2" t="s">
        <v>8986</v>
      </c>
      <c r="C5330" s="2" t="s">
        <v>23</v>
      </c>
      <c r="N5330" s="6">
        <v>43853.0</v>
      </c>
      <c r="Q5330" s="2" t="s">
        <v>86</v>
      </c>
    </row>
    <row r="5331">
      <c r="A5331" s="2">
        <v>5330.0</v>
      </c>
      <c r="B5331" s="2" t="s">
        <v>8987</v>
      </c>
      <c r="C5331" s="2" t="s">
        <v>23</v>
      </c>
      <c r="K5331" s="2">
        <v>200.0</v>
      </c>
      <c r="N5331" s="6">
        <v>44170.0</v>
      </c>
      <c r="Q5331" s="2" t="s">
        <v>8988</v>
      </c>
    </row>
    <row r="5332">
      <c r="A5332" s="2">
        <v>5331.0</v>
      </c>
      <c r="B5332" s="2" t="s">
        <v>8989</v>
      </c>
      <c r="C5332" s="2" t="s">
        <v>23</v>
      </c>
      <c r="K5332" s="2">
        <v>300.0</v>
      </c>
      <c r="N5332" s="6">
        <v>43852.0</v>
      </c>
      <c r="Q5332" s="2" t="s">
        <v>8990</v>
      </c>
    </row>
    <row r="5333">
      <c r="A5333" s="2">
        <v>5332.0</v>
      </c>
      <c r="B5333" s="2" t="s">
        <v>8991</v>
      </c>
      <c r="C5333" s="2" t="s">
        <v>23</v>
      </c>
      <c r="N5333" s="6">
        <v>44648.0</v>
      </c>
      <c r="Q5333" s="2" t="s">
        <v>86</v>
      </c>
    </row>
    <row r="5334">
      <c r="A5334" s="2">
        <v>5333.0</v>
      </c>
      <c r="B5334" s="2" t="s">
        <v>8992</v>
      </c>
      <c r="C5334" s="2" t="s">
        <v>23</v>
      </c>
      <c r="K5334" s="2">
        <v>100.0</v>
      </c>
      <c r="N5334" s="6">
        <v>43947.0</v>
      </c>
      <c r="Q5334" s="2" t="s">
        <v>8993</v>
      </c>
    </row>
    <row r="5335">
      <c r="A5335" s="2">
        <v>5334.0</v>
      </c>
      <c r="B5335" s="2" t="s">
        <v>8994</v>
      </c>
      <c r="C5335" s="2" t="s">
        <v>23</v>
      </c>
      <c r="K5335" s="2">
        <v>40.0</v>
      </c>
      <c r="N5335" s="6">
        <v>44764.0</v>
      </c>
      <c r="Q5335" s="2" t="s">
        <v>86</v>
      </c>
    </row>
    <row r="5336">
      <c r="A5336" s="2">
        <v>5335.0</v>
      </c>
      <c r="B5336" s="2" t="s">
        <v>8995</v>
      </c>
      <c r="C5336" s="2" t="s">
        <v>23</v>
      </c>
      <c r="K5336" s="2">
        <v>450.0</v>
      </c>
      <c r="N5336" s="6">
        <v>43879.0</v>
      </c>
      <c r="Q5336" s="2" t="s">
        <v>8996</v>
      </c>
    </row>
    <row r="5337">
      <c r="A5337" s="2">
        <v>5336.0</v>
      </c>
      <c r="B5337" s="2" t="s">
        <v>8997</v>
      </c>
      <c r="C5337" s="2" t="s">
        <v>23</v>
      </c>
      <c r="N5337" s="6">
        <v>42959.0</v>
      </c>
      <c r="Q5337" s="2" t="s">
        <v>86</v>
      </c>
    </row>
    <row r="5338">
      <c r="A5338" s="2">
        <v>5337.0</v>
      </c>
      <c r="B5338" s="2" t="s">
        <v>8998</v>
      </c>
      <c r="C5338" s="2" t="s">
        <v>23</v>
      </c>
      <c r="N5338" s="6">
        <v>44420.0</v>
      </c>
      <c r="Q5338" s="2" t="s">
        <v>86</v>
      </c>
    </row>
    <row r="5339">
      <c r="A5339" s="2">
        <v>5338.0</v>
      </c>
      <c r="B5339" s="2" t="s">
        <v>8999</v>
      </c>
      <c r="C5339" s="2" t="s">
        <v>23</v>
      </c>
      <c r="K5339" s="2">
        <v>40.0</v>
      </c>
      <c r="N5339" s="6">
        <v>44684.0</v>
      </c>
      <c r="Q5339" s="2" t="s">
        <v>2771</v>
      </c>
    </row>
    <row r="5340">
      <c r="A5340" s="2">
        <v>5339.0</v>
      </c>
      <c r="B5340" s="2" t="s">
        <v>9000</v>
      </c>
      <c r="C5340" s="2" t="s">
        <v>23</v>
      </c>
      <c r="N5340" s="6">
        <v>45983.0</v>
      </c>
      <c r="Q5340" s="2" t="s">
        <v>9001</v>
      </c>
    </row>
    <row r="5341">
      <c r="A5341" s="2">
        <v>5340.0</v>
      </c>
      <c r="B5341" s="2" t="s">
        <v>9002</v>
      </c>
      <c r="C5341" s="2" t="s">
        <v>23</v>
      </c>
      <c r="K5341" s="2">
        <v>20.0</v>
      </c>
      <c r="N5341" s="6">
        <v>45273.0</v>
      </c>
      <c r="Q5341" s="2" t="s">
        <v>5776</v>
      </c>
    </row>
    <row r="5342">
      <c r="A5342" s="2">
        <v>5341.0</v>
      </c>
      <c r="B5342" s="2" t="s">
        <v>9003</v>
      </c>
      <c r="C5342" s="2" t="s">
        <v>23</v>
      </c>
      <c r="K5342" s="2">
        <v>10.0</v>
      </c>
      <c r="N5342" s="6">
        <v>45234.0</v>
      </c>
      <c r="Q5342" s="2" t="s">
        <v>86</v>
      </c>
    </row>
    <row r="5343">
      <c r="A5343" s="2">
        <v>5342.0</v>
      </c>
      <c r="B5343" s="2" t="s">
        <v>9004</v>
      </c>
      <c r="C5343" s="2" t="s">
        <v>23</v>
      </c>
      <c r="N5343" s="6">
        <v>44717.0</v>
      </c>
      <c r="Q5343" s="2" t="s">
        <v>86</v>
      </c>
    </row>
    <row r="5344">
      <c r="A5344" s="2">
        <v>5343.0</v>
      </c>
      <c r="B5344" s="2" t="s">
        <v>9005</v>
      </c>
      <c r="C5344" s="2" t="s">
        <v>23</v>
      </c>
      <c r="K5344" s="2">
        <v>100.0</v>
      </c>
      <c r="N5344" s="6">
        <v>43690.0</v>
      </c>
      <c r="Q5344" s="2" t="s">
        <v>9006</v>
      </c>
    </row>
    <row r="5345">
      <c r="A5345" s="2">
        <v>5344.0</v>
      </c>
      <c r="B5345" s="2" t="s">
        <v>9007</v>
      </c>
      <c r="C5345" s="2" t="s">
        <v>23</v>
      </c>
      <c r="K5345" s="2">
        <v>100.0</v>
      </c>
      <c r="N5345" s="6">
        <v>44320.0</v>
      </c>
      <c r="Q5345" s="2" t="s">
        <v>9008</v>
      </c>
    </row>
    <row r="5346">
      <c r="A5346" s="2">
        <v>5345.0</v>
      </c>
      <c r="B5346" s="2" t="s">
        <v>9009</v>
      </c>
      <c r="C5346" s="2" t="s">
        <v>23</v>
      </c>
      <c r="N5346" s="6">
        <v>44408.0</v>
      </c>
      <c r="Q5346" s="2" t="s">
        <v>86</v>
      </c>
    </row>
    <row r="5347">
      <c r="A5347" s="2">
        <v>5346.0</v>
      </c>
      <c r="B5347" s="2" t="s">
        <v>9010</v>
      </c>
      <c r="C5347" s="2" t="s">
        <v>23</v>
      </c>
      <c r="K5347" s="2">
        <v>30.0</v>
      </c>
      <c r="N5347" s="6">
        <v>43410.0</v>
      </c>
      <c r="Q5347" s="2" t="s">
        <v>426</v>
      </c>
    </row>
    <row r="5348">
      <c r="A5348" s="2">
        <v>5347.0</v>
      </c>
      <c r="B5348" s="2" t="s">
        <v>9011</v>
      </c>
      <c r="C5348" s="2" t="s">
        <v>23</v>
      </c>
      <c r="K5348" s="2">
        <v>10.0</v>
      </c>
      <c r="N5348" s="6">
        <v>44638.0</v>
      </c>
      <c r="Q5348" s="2" t="s">
        <v>9012</v>
      </c>
    </row>
    <row r="5349">
      <c r="A5349" s="2">
        <v>5348.0</v>
      </c>
      <c r="B5349" s="2" t="s">
        <v>9013</v>
      </c>
      <c r="C5349" s="2" t="s">
        <v>23</v>
      </c>
      <c r="K5349" s="2">
        <v>10.0</v>
      </c>
      <c r="N5349" s="6">
        <v>45277.0</v>
      </c>
      <c r="Q5349" s="2" t="s">
        <v>1094</v>
      </c>
    </row>
    <row r="5350">
      <c r="A5350" s="2">
        <v>5349.0</v>
      </c>
      <c r="B5350" s="2" t="s">
        <v>9014</v>
      </c>
      <c r="C5350" s="2" t="s">
        <v>23</v>
      </c>
      <c r="K5350" s="2">
        <v>70.0</v>
      </c>
      <c r="N5350" s="6">
        <v>45057.0</v>
      </c>
      <c r="Q5350" s="2" t="s">
        <v>9015</v>
      </c>
    </row>
    <row r="5351">
      <c r="A5351" s="2">
        <v>5350.0</v>
      </c>
      <c r="B5351" s="2" t="s">
        <v>9016</v>
      </c>
      <c r="C5351" s="2" t="s">
        <v>23</v>
      </c>
      <c r="K5351" s="2">
        <v>30.0</v>
      </c>
      <c r="N5351" s="6">
        <v>44924.0</v>
      </c>
      <c r="Q5351" s="2" t="s">
        <v>1249</v>
      </c>
    </row>
    <row r="5352">
      <c r="A5352" s="2">
        <v>5351.0</v>
      </c>
      <c r="B5352" s="2" t="s">
        <v>9017</v>
      </c>
      <c r="C5352" s="2" t="s">
        <v>23</v>
      </c>
      <c r="K5352" s="2">
        <v>20.0</v>
      </c>
      <c r="N5352" s="6">
        <v>44134.0</v>
      </c>
      <c r="Q5352" s="2" t="s">
        <v>3978</v>
      </c>
    </row>
    <row r="5353">
      <c r="A5353" s="2">
        <v>5352.0</v>
      </c>
      <c r="B5353" s="2" t="s">
        <v>9018</v>
      </c>
      <c r="C5353" s="2" t="s">
        <v>23</v>
      </c>
      <c r="N5353" s="6">
        <v>44932.0</v>
      </c>
      <c r="Q5353" s="2" t="s">
        <v>86</v>
      </c>
    </row>
    <row r="5354">
      <c r="A5354" s="2">
        <v>5353.0</v>
      </c>
      <c r="B5354" s="2" t="s">
        <v>9019</v>
      </c>
      <c r="C5354" s="2" t="s">
        <v>23</v>
      </c>
      <c r="K5354" s="2">
        <v>30.0</v>
      </c>
      <c r="N5354" s="6">
        <v>44006.0</v>
      </c>
      <c r="Q5354" s="2" t="s">
        <v>1116</v>
      </c>
    </row>
    <row r="5355">
      <c r="A5355" s="2">
        <v>5354.0</v>
      </c>
      <c r="B5355" s="2" t="s">
        <v>9020</v>
      </c>
      <c r="C5355" s="2" t="s">
        <v>23</v>
      </c>
      <c r="K5355" s="2">
        <v>150.0</v>
      </c>
      <c r="N5355" s="6">
        <v>43948.0</v>
      </c>
      <c r="Q5355" s="2" t="s">
        <v>9021</v>
      </c>
    </row>
    <row r="5356">
      <c r="A5356" s="2">
        <v>5355.0</v>
      </c>
      <c r="B5356" s="2" t="s">
        <v>9022</v>
      </c>
      <c r="C5356" s="2" t="s">
        <v>23</v>
      </c>
      <c r="N5356" s="6">
        <v>44891.0</v>
      </c>
      <c r="Q5356" s="2" t="s">
        <v>86</v>
      </c>
    </row>
    <row r="5357">
      <c r="A5357" s="2">
        <v>5356.0</v>
      </c>
      <c r="B5357" s="2" t="s">
        <v>9023</v>
      </c>
      <c r="C5357" s="2" t="s">
        <v>23</v>
      </c>
      <c r="N5357" s="6">
        <v>44774.0</v>
      </c>
      <c r="Q5357" s="2" t="s">
        <v>86</v>
      </c>
    </row>
    <row r="5358">
      <c r="A5358" s="2">
        <v>5357.0</v>
      </c>
      <c r="B5358" s="2" t="s">
        <v>9024</v>
      </c>
      <c r="C5358" s="2" t="s">
        <v>23</v>
      </c>
      <c r="K5358" s="2">
        <v>30.0</v>
      </c>
      <c r="N5358" s="6">
        <v>44908.0</v>
      </c>
      <c r="Q5358" s="2" t="s">
        <v>2494</v>
      </c>
    </row>
    <row r="5359">
      <c r="A5359" s="2">
        <v>5358.0</v>
      </c>
      <c r="B5359" s="2" t="s">
        <v>9025</v>
      </c>
      <c r="C5359" s="2" t="s">
        <v>23</v>
      </c>
      <c r="K5359" s="2">
        <v>60.0</v>
      </c>
      <c r="N5359" s="6">
        <v>44494.0</v>
      </c>
      <c r="Q5359" s="2" t="s">
        <v>9026</v>
      </c>
    </row>
    <row r="5360">
      <c r="A5360" s="2">
        <v>5359.0</v>
      </c>
      <c r="B5360" s="2" t="s">
        <v>9027</v>
      </c>
      <c r="C5360" s="2" t="s">
        <v>23</v>
      </c>
      <c r="K5360" s="2">
        <v>40.0</v>
      </c>
      <c r="N5360" s="6">
        <v>44866.0</v>
      </c>
      <c r="Q5360" s="2" t="s">
        <v>1249</v>
      </c>
    </row>
    <row r="5361">
      <c r="A5361" s="2">
        <v>5360.0</v>
      </c>
      <c r="B5361" s="2" t="s">
        <v>9028</v>
      </c>
      <c r="C5361" s="2" t="s">
        <v>23</v>
      </c>
      <c r="K5361" s="2">
        <v>10.0</v>
      </c>
      <c r="N5361" s="6">
        <v>43901.0</v>
      </c>
      <c r="Q5361" s="2" t="s">
        <v>9029</v>
      </c>
    </row>
    <row r="5362">
      <c r="A5362" s="2">
        <v>5361.0</v>
      </c>
      <c r="B5362" s="2" t="s">
        <v>9030</v>
      </c>
      <c r="C5362" s="2" t="s">
        <v>23</v>
      </c>
      <c r="N5362" s="6">
        <v>44413.0</v>
      </c>
      <c r="Q5362" s="2" t="s">
        <v>2409</v>
      </c>
    </row>
    <row r="5363">
      <c r="A5363" s="2">
        <v>5362.0</v>
      </c>
      <c r="B5363" s="2" t="s">
        <v>9031</v>
      </c>
      <c r="C5363" s="2" t="s">
        <v>23</v>
      </c>
      <c r="N5363" s="6">
        <v>44550.0</v>
      </c>
      <c r="Q5363" s="2" t="s">
        <v>86</v>
      </c>
    </row>
    <row r="5364">
      <c r="A5364" s="2">
        <v>5363.0</v>
      </c>
      <c r="B5364" s="2" t="s">
        <v>9032</v>
      </c>
      <c r="C5364" s="2" t="s">
        <v>23</v>
      </c>
      <c r="N5364" s="6">
        <v>44818.0</v>
      </c>
      <c r="Q5364" s="2" t="s">
        <v>86</v>
      </c>
    </row>
    <row r="5365">
      <c r="A5365" s="2">
        <v>5364.0</v>
      </c>
      <c r="B5365" s="2" t="s">
        <v>9033</v>
      </c>
      <c r="C5365" s="2" t="s">
        <v>23</v>
      </c>
      <c r="K5365" s="2">
        <v>10.0</v>
      </c>
      <c r="N5365" s="6">
        <v>43974.0</v>
      </c>
      <c r="Q5365" s="2" t="s">
        <v>426</v>
      </c>
    </row>
    <row r="5366">
      <c r="A5366" s="2">
        <v>5365.0</v>
      </c>
      <c r="B5366" s="2" t="s">
        <v>9034</v>
      </c>
      <c r="C5366" s="2" t="s">
        <v>23</v>
      </c>
      <c r="K5366" s="2">
        <v>10.0</v>
      </c>
      <c r="N5366" s="6">
        <v>43960.0</v>
      </c>
      <c r="Q5366" s="2" t="s">
        <v>4613</v>
      </c>
    </row>
    <row r="5367">
      <c r="A5367" s="2">
        <v>5366.0</v>
      </c>
      <c r="B5367" s="2" t="s">
        <v>9035</v>
      </c>
      <c r="C5367" s="2" t="s">
        <v>23</v>
      </c>
      <c r="K5367" s="2">
        <v>40.0</v>
      </c>
      <c r="N5367" s="6">
        <v>45376.0</v>
      </c>
      <c r="Q5367" s="2" t="s">
        <v>5929</v>
      </c>
    </row>
    <row r="5368">
      <c r="A5368" s="2">
        <v>5367.0</v>
      </c>
      <c r="B5368" s="2" t="s">
        <v>9036</v>
      </c>
      <c r="C5368" s="2" t="s">
        <v>23</v>
      </c>
      <c r="N5368" s="6">
        <v>44571.0</v>
      </c>
      <c r="Q5368" s="2" t="s">
        <v>86</v>
      </c>
    </row>
    <row r="5369">
      <c r="A5369" s="2">
        <v>5368.0</v>
      </c>
      <c r="B5369" s="2" t="s">
        <v>9037</v>
      </c>
      <c r="C5369" s="2" t="s">
        <v>23</v>
      </c>
      <c r="K5369" s="2">
        <v>70.0</v>
      </c>
      <c r="N5369" s="6">
        <v>43857.0</v>
      </c>
      <c r="Q5369" s="2" t="s">
        <v>86</v>
      </c>
    </row>
    <row r="5370">
      <c r="A5370" s="2">
        <v>5369.0</v>
      </c>
      <c r="B5370" s="2" t="s">
        <v>9038</v>
      </c>
      <c r="C5370" s="2" t="s">
        <v>23</v>
      </c>
      <c r="K5370" s="2">
        <v>30.0</v>
      </c>
      <c r="N5370" s="6">
        <v>44373.0</v>
      </c>
      <c r="Q5370" s="2" t="s">
        <v>2279</v>
      </c>
    </row>
    <row r="5371">
      <c r="A5371" s="2">
        <v>5370.0</v>
      </c>
      <c r="B5371" s="2" t="s">
        <v>9039</v>
      </c>
      <c r="C5371" s="2" t="s">
        <v>23</v>
      </c>
      <c r="K5371" s="2">
        <v>40.0</v>
      </c>
      <c r="N5371" s="6">
        <v>44909.0</v>
      </c>
      <c r="Q5371" s="2" t="s">
        <v>9040</v>
      </c>
    </row>
    <row r="5372">
      <c r="A5372" s="2">
        <v>5371.0</v>
      </c>
      <c r="B5372" s="2" t="s">
        <v>9041</v>
      </c>
      <c r="C5372" s="2" t="s">
        <v>23</v>
      </c>
      <c r="N5372" s="6">
        <v>44708.0</v>
      </c>
      <c r="Q5372" s="2" t="s">
        <v>86</v>
      </c>
    </row>
    <row r="5373">
      <c r="A5373" s="2">
        <v>5372.0</v>
      </c>
      <c r="B5373" s="2" t="s">
        <v>9042</v>
      </c>
      <c r="C5373" s="2" t="s">
        <v>23</v>
      </c>
      <c r="N5373" s="6">
        <v>43779.0</v>
      </c>
      <c r="Q5373" s="2" t="s">
        <v>86</v>
      </c>
    </row>
    <row r="5374">
      <c r="A5374" s="2">
        <v>5373.0</v>
      </c>
      <c r="B5374" s="2" t="s">
        <v>9043</v>
      </c>
      <c r="C5374" s="2" t="s">
        <v>23</v>
      </c>
      <c r="N5374" s="6">
        <v>45624.0</v>
      </c>
      <c r="Q5374" s="2" t="s">
        <v>9044</v>
      </c>
    </row>
    <row r="5375">
      <c r="A5375" s="2">
        <v>5374.0</v>
      </c>
      <c r="B5375" s="2" t="s">
        <v>9045</v>
      </c>
      <c r="C5375" s="2" t="s">
        <v>23</v>
      </c>
      <c r="K5375" s="2">
        <v>30.0</v>
      </c>
      <c r="N5375" s="6">
        <v>43011.0</v>
      </c>
      <c r="Q5375" s="2" t="s">
        <v>9046</v>
      </c>
    </row>
    <row r="5376">
      <c r="A5376" s="2">
        <v>5375.0</v>
      </c>
      <c r="B5376" s="2" t="s">
        <v>9047</v>
      </c>
      <c r="C5376" s="2" t="s">
        <v>23</v>
      </c>
      <c r="K5376" s="2">
        <v>80.0</v>
      </c>
      <c r="N5376" s="6">
        <v>44486.0</v>
      </c>
      <c r="Q5376" s="2" t="s">
        <v>9048</v>
      </c>
    </row>
    <row r="5377">
      <c r="A5377" s="2">
        <v>5376.0</v>
      </c>
      <c r="B5377" s="2" t="s">
        <v>9049</v>
      </c>
      <c r="C5377" s="2" t="s">
        <v>23</v>
      </c>
      <c r="N5377" s="6">
        <v>44247.0</v>
      </c>
      <c r="Q5377" s="2" t="s">
        <v>86</v>
      </c>
    </row>
    <row r="5378">
      <c r="A5378" s="2">
        <v>5377.0</v>
      </c>
      <c r="B5378" s="2" t="s">
        <v>9050</v>
      </c>
      <c r="C5378" s="2" t="s">
        <v>23</v>
      </c>
      <c r="K5378" s="2">
        <v>10.0</v>
      </c>
      <c r="N5378" s="6">
        <v>44620.0</v>
      </c>
      <c r="Q5378" s="2" t="s">
        <v>86</v>
      </c>
    </row>
    <row r="5379">
      <c r="A5379" s="2">
        <v>5378.0</v>
      </c>
      <c r="B5379" s="2" t="s">
        <v>9051</v>
      </c>
      <c r="C5379" s="2" t="s">
        <v>23</v>
      </c>
      <c r="K5379" s="2">
        <v>90.0</v>
      </c>
      <c r="N5379" s="6">
        <v>43914.0</v>
      </c>
      <c r="Q5379" s="2" t="s">
        <v>9052</v>
      </c>
    </row>
    <row r="5380">
      <c r="A5380" s="2">
        <v>5379.0</v>
      </c>
      <c r="B5380" s="2" t="s">
        <v>9053</v>
      </c>
      <c r="C5380" s="2" t="s">
        <v>23</v>
      </c>
      <c r="K5380" s="2">
        <v>50.0</v>
      </c>
      <c r="N5380" s="6">
        <v>45678.0</v>
      </c>
      <c r="Q5380" s="2" t="s">
        <v>5839</v>
      </c>
    </row>
    <row r="5381">
      <c r="A5381" s="2">
        <v>5380.0</v>
      </c>
      <c r="B5381" s="2" t="s">
        <v>9054</v>
      </c>
      <c r="C5381" s="2" t="s">
        <v>23</v>
      </c>
      <c r="K5381" s="2">
        <v>20.0</v>
      </c>
      <c r="N5381" s="6">
        <v>45919.0</v>
      </c>
      <c r="Q5381" s="2" t="s">
        <v>9055</v>
      </c>
    </row>
    <row r="5382">
      <c r="A5382" s="2">
        <v>5381.0</v>
      </c>
      <c r="B5382" s="2" t="s">
        <v>9056</v>
      </c>
      <c r="C5382" s="2" t="s">
        <v>23</v>
      </c>
      <c r="K5382" s="2">
        <v>10.0</v>
      </c>
      <c r="N5382" s="6">
        <v>44799.0</v>
      </c>
      <c r="Q5382" s="2" t="s">
        <v>86</v>
      </c>
    </row>
    <row r="5383">
      <c r="A5383" s="2">
        <v>5382.0</v>
      </c>
      <c r="B5383" s="2" t="s">
        <v>9057</v>
      </c>
      <c r="C5383" s="2" t="s">
        <v>23</v>
      </c>
      <c r="K5383" s="2">
        <v>40.0</v>
      </c>
      <c r="N5383" s="6">
        <v>43902.0</v>
      </c>
      <c r="Q5383" s="2" t="s">
        <v>60</v>
      </c>
    </row>
    <row r="5384">
      <c r="A5384" s="2">
        <v>5383.0</v>
      </c>
      <c r="B5384" s="2" t="s">
        <v>9058</v>
      </c>
      <c r="C5384" s="2" t="s">
        <v>23</v>
      </c>
      <c r="K5384" s="2">
        <v>150.0</v>
      </c>
      <c r="N5384" s="6">
        <v>44225.0</v>
      </c>
      <c r="Q5384" s="2" t="s">
        <v>9059</v>
      </c>
    </row>
    <row r="5385">
      <c r="A5385" s="2">
        <v>5384.0</v>
      </c>
      <c r="B5385" s="2" t="s">
        <v>9060</v>
      </c>
      <c r="C5385" s="2" t="s">
        <v>23</v>
      </c>
      <c r="K5385" s="2">
        <v>400.0</v>
      </c>
      <c r="N5385" s="6">
        <v>42383.0</v>
      </c>
      <c r="Q5385" s="2" t="s">
        <v>9061</v>
      </c>
    </row>
    <row r="5386">
      <c r="A5386" s="2">
        <v>5385.0</v>
      </c>
      <c r="B5386" s="2" t="s">
        <v>9062</v>
      </c>
      <c r="C5386" s="2" t="s">
        <v>23</v>
      </c>
      <c r="K5386" s="2">
        <v>10.0</v>
      </c>
      <c r="N5386" s="6">
        <v>45828.0</v>
      </c>
      <c r="Q5386" s="2" t="s">
        <v>9063</v>
      </c>
    </row>
    <row r="5387">
      <c r="A5387" s="2">
        <v>5386.0</v>
      </c>
      <c r="B5387" s="2" t="s">
        <v>9064</v>
      </c>
      <c r="C5387" s="2" t="s">
        <v>23</v>
      </c>
      <c r="K5387" s="2">
        <v>10.0</v>
      </c>
      <c r="N5387" s="6">
        <v>44731.0</v>
      </c>
      <c r="Q5387" s="2" t="s">
        <v>60</v>
      </c>
    </row>
    <row r="5388">
      <c r="A5388" s="2">
        <v>5387.0</v>
      </c>
      <c r="B5388" s="2" t="s">
        <v>9065</v>
      </c>
      <c r="C5388" s="2" t="s">
        <v>23</v>
      </c>
      <c r="K5388" s="2">
        <v>30.0</v>
      </c>
      <c r="N5388" s="6">
        <v>45419.0</v>
      </c>
      <c r="Q5388" s="2" t="s">
        <v>9066</v>
      </c>
    </row>
    <row r="5389">
      <c r="A5389" s="2">
        <v>5388.0</v>
      </c>
      <c r="B5389" s="2" t="s">
        <v>9067</v>
      </c>
      <c r="C5389" s="2" t="s">
        <v>23</v>
      </c>
      <c r="N5389" s="6">
        <v>44796.0</v>
      </c>
      <c r="Q5389" s="2" t="s">
        <v>86</v>
      </c>
    </row>
    <row r="5390">
      <c r="A5390" s="2">
        <v>5389.0</v>
      </c>
      <c r="B5390" s="2" t="s">
        <v>9068</v>
      </c>
      <c r="C5390" s="2" t="s">
        <v>23</v>
      </c>
      <c r="N5390" s="6">
        <v>44686.0</v>
      </c>
      <c r="Q5390" s="2" t="s">
        <v>86</v>
      </c>
    </row>
    <row r="5391">
      <c r="A5391" s="2">
        <v>5390.0</v>
      </c>
      <c r="B5391" s="2" t="s">
        <v>9069</v>
      </c>
      <c r="C5391" s="2" t="s">
        <v>23</v>
      </c>
      <c r="K5391" s="2">
        <v>40.0</v>
      </c>
      <c r="N5391" s="6">
        <v>43878.0</v>
      </c>
      <c r="Q5391" s="2" t="s">
        <v>86</v>
      </c>
    </row>
    <row r="5392">
      <c r="A5392" s="2">
        <v>5391.0</v>
      </c>
      <c r="B5392" s="2" t="s">
        <v>9070</v>
      </c>
      <c r="C5392" s="2" t="s">
        <v>23</v>
      </c>
      <c r="K5392" s="2">
        <v>100.0</v>
      </c>
      <c r="N5392" s="6">
        <v>43897.0</v>
      </c>
      <c r="Q5392" s="2" t="s">
        <v>9071</v>
      </c>
    </row>
    <row r="5393">
      <c r="A5393" s="2">
        <v>5392.0</v>
      </c>
      <c r="B5393" s="2" t="s">
        <v>9072</v>
      </c>
      <c r="C5393" s="2" t="s">
        <v>23</v>
      </c>
      <c r="K5393" s="2">
        <v>20.0</v>
      </c>
      <c r="N5393" s="6">
        <v>44224.0</v>
      </c>
      <c r="Q5393" s="2" t="s">
        <v>86</v>
      </c>
    </row>
    <row r="5394">
      <c r="A5394" s="2">
        <v>5393.0</v>
      </c>
      <c r="B5394" s="2" t="s">
        <v>9073</v>
      </c>
      <c r="C5394" s="2" t="s">
        <v>23</v>
      </c>
      <c r="N5394" s="6">
        <v>45352.0</v>
      </c>
      <c r="Q5394" s="2" t="s">
        <v>9074</v>
      </c>
    </row>
    <row r="5395">
      <c r="A5395" s="2">
        <v>5394.0</v>
      </c>
      <c r="B5395" s="2" t="s">
        <v>9075</v>
      </c>
      <c r="C5395" s="2" t="s">
        <v>23</v>
      </c>
      <c r="K5395" s="2">
        <v>50.0</v>
      </c>
      <c r="N5395" s="6">
        <v>45568.0</v>
      </c>
      <c r="Q5395" s="2" t="s">
        <v>9076</v>
      </c>
    </row>
    <row r="5396">
      <c r="A5396" s="2">
        <v>5395.0</v>
      </c>
      <c r="B5396" s="2" t="s">
        <v>9077</v>
      </c>
      <c r="C5396" s="2" t="s">
        <v>23</v>
      </c>
      <c r="N5396" s="6">
        <v>44689.0</v>
      </c>
      <c r="Q5396" s="2" t="s">
        <v>86</v>
      </c>
    </row>
    <row r="5397">
      <c r="A5397" s="2">
        <v>5396.0</v>
      </c>
      <c r="B5397" s="2" t="s">
        <v>9078</v>
      </c>
      <c r="C5397" s="2" t="s">
        <v>23</v>
      </c>
      <c r="N5397" s="6">
        <v>44257.0</v>
      </c>
      <c r="Q5397" s="2" t="s">
        <v>86</v>
      </c>
    </row>
    <row r="5398">
      <c r="A5398" s="2">
        <v>5397.0</v>
      </c>
      <c r="B5398" s="2" t="s">
        <v>9079</v>
      </c>
      <c r="C5398" s="2" t="s">
        <v>23</v>
      </c>
      <c r="K5398" s="2">
        <v>50.0</v>
      </c>
      <c r="N5398" s="6">
        <v>44132.0</v>
      </c>
      <c r="Q5398" s="2" t="s">
        <v>9080</v>
      </c>
    </row>
    <row r="5399">
      <c r="A5399" s="2">
        <v>5398.0</v>
      </c>
      <c r="B5399" s="2" t="s">
        <v>9081</v>
      </c>
      <c r="C5399" s="2" t="s">
        <v>23</v>
      </c>
      <c r="N5399" s="6">
        <v>44174.0</v>
      </c>
      <c r="Q5399" s="2" t="s">
        <v>491</v>
      </c>
    </row>
    <row r="5400">
      <c r="A5400" s="2">
        <v>5399.0</v>
      </c>
      <c r="B5400" s="2" t="s">
        <v>9082</v>
      </c>
      <c r="C5400" s="2" t="s">
        <v>23</v>
      </c>
      <c r="N5400" s="6">
        <v>44613.0</v>
      </c>
      <c r="Q5400" s="2" t="s">
        <v>86</v>
      </c>
    </row>
    <row r="5401">
      <c r="A5401" s="2">
        <v>5400.0</v>
      </c>
      <c r="B5401" s="2" t="s">
        <v>9083</v>
      </c>
      <c r="C5401" s="2" t="s">
        <v>23</v>
      </c>
      <c r="N5401" s="6">
        <v>45714.0</v>
      </c>
      <c r="Q5401" s="2" t="s">
        <v>9084</v>
      </c>
    </row>
    <row r="5402">
      <c r="A5402" s="2">
        <v>5401.0</v>
      </c>
      <c r="B5402" s="2" t="s">
        <v>9085</v>
      </c>
      <c r="C5402" s="2" t="s">
        <v>23</v>
      </c>
      <c r="N5402" s="6">
        <v>45969.0</v>
      </c>
      <c r="Q5402" s="2" t="s">
        <v>9086</v>
      </c>
    </row>
    <row r="5403">
      <c r="A5403" s="2">
        <v>5402.0</v>
      </c>
      <c r="B5403" s="2" t="s">
        <v>9087</v>
      </c>
      <c r="C5403" s="2" t="s">
        <v>23</v>
      </c>
      <c r="F5403" s="2">
        <v>0.15</v>
      </c>
      <c r="K5403" s="2">
        <v>100.0</v>
      </c>
      <c r="N5403" s="6">
        <v>44061.0</v>
      </c>
      <c r="Q5403" s="2" t="s">
        <v>9088</v>
      </c>
    </row>
    <row r="5404">
      <c r="A5404" s="2">
        <v>5403.0</v>
      </c>
      <c r="B5404" s="2" t="s">
        <v>9089</v>
      </c>
      <c r="C5404" s="2" t="s">
        <v>23</v>
      </c>
      <c r="K5404" s="2">
        <v>30.0</v>
      </c>
      <c r="N5404" s="6">
        <v>44715.0</v>
      </c>
      <c r="Q5404" s="2" t="s">
        <v>8690</v>
      </c>
    </row>
    <row r="5405">
      <c r="A5405" s="2">
        <v>5404.0</v>
      </c>
      <c r="B5405" s="2" t="s">
        <v>365</v>
      </c>
      <c r="C5405" s="2" t="s">
        <v>23</v>
      </c>
      <c r="K5405" s="2">
        <v>20.0</v>
      </c>
      <c r="N5405" s="6">
        <v>42689.0</v>
      </c>
      <c r="Q5405" s="2" t="s">
        <v>369</v>
      </c>
    </row>
    <row r="5406">
      <c r="A5406" s="2">
        <v>5405.0</v>
      </c>
      <c r="B5406" s="2" t="s">
        <v>9090</v>
      </c>
      <c r="C5406" s="2" t="s">
        <v>23</v>
      </c>
      <c r="N5406" s="6">
        <v>44326.0</v>
      </c>
      <c r="Q5406" s="2" t="s">
        <v>86</v>
      </c>
    </row>
    <row r="5407">
      <c r="A5407" s="2">
        <v>5406.0</v>
      </c>
      <c r="B5407" s="2" t="s">
        <v>9091</v>
      </c>
      <c r="C5407" s="2" t="s">
        <v>23</v>
      </c>
      <c r="K5407" s="2">
        <v>30.0</v>
      </c>
      <c r="N5407" s="6">
        <v>45503.0</v>
      </c>
      <c r="Q5407" s="2" t="s">
        <v>6298</v>
      </c>
    </row>
    <row r="5408">
      <c r="A5408" s="2">
        <v>5407.0</v>
      </c>
      <c r="B5408" s="2" t="s">
        <v>9092</v>
      </c>
      <c r="C5408" s="2" t="s">
        <v>23</v>
      </c>
      <c r="N5408" s="6">
        <v>44693.0</v>
      </c>
      <c r="Q5408" s="2" t="s">
        <v>86</v>
      </c>
    </row>
    <row r="5409">
      <c r="A5409" s="2">
        <v>5408.0</v>
      </c>
      <c r="B5409" s="2" t="s">
        <v>269</v>
      </c>
      <c r="C5409" s="2" t="s">
        <v>23</v>
      </c>
      <c r="N5409" s="6">
        <v>42843.0</v>
      </c>
      <c r="Q5409" s="2" t="s">
        <v>272</v>
      </c>
    </row>
    <row r="5410">
      <c r="A5410" s="2">
        <v>5409.0</v>
      </c>
      <c r="B5410" s="2" t="s">
        <v>9093</v>
      </c>
      <c r="C5410" s="2" t="s">
        <v>23</v>
      </c>
      <c r="K5410" s="2">
        <v>400.0</v>
      </c>
      <c r="N5410" s="6">
        <v>44018.0</v>
      </c>
      <c r="Q5410" s="2" t="s">
        <v>9094</v>
      </c>
    </row>
    <row r="5411">
      <c r="A5411" s="2">
        <v>5410.0</v>
      </c>
      <c r="B5411" s="2" t="s">
        <v>9095</v>
      </c>
      <c r="C5411" s="2" t="s">
        <v>23</v>
      </c>
      <c r="K5411" s="2">
        <v>150.0</v>
      </c>
      <c r="N5411" s="6">
        <v>45164.0</v>
      </c>
      <c r="Q5411" s="2" t="s">
        <v>9096</v>
      </c>
    </row>
    <row r="5412">
      <c r="A5412" s="2">
        <v>5411.0</v>
      </c>
      <c r="B5412" s="2" t="s">
        <v>9097</v>
      </c>
      <c r="C5412" s="2" t="s">
        <v>23</v>
      </c>
      <c r="K5412" s="2">
        <v>150.0</v>
      </c>
      <c r="N5412" s="6">
        <v>44019.0</v>
      </c>
      <c r="Q5412" s="2" t="s">
        <v>9098</v>
      </c>
    </row>
    <row r="5413">
      <c r="A5413" s="2">
        <v>5412.0</v>
      </c>
      <c r="B5413" s="2" t="s">
        <v>9099</v>
      </c>
      <c r="C5413" s="2" t="s">
        <v>23</v>
      </c>
      <c r="K5413" s="2">
        <v>10.0</v>
      </c>
      <c r="N5413" s="6">
        <v>44823.0</v>
      </c>
      <c r="Q5413" s="2" t="s">
        <v>1474</v>
      </c>
    </row>
    <row r="5414">
      <c r="A5414" s="2">
        <v>5413.0</v>
      </c>
      <c r="B5414" s="2" t="s">
        <v>9100</v>
      </c>
      <c r="C5414" s="2" t="s">
        <v>23</v>
      </c>
      <c r="K5414" s="2">
        <v>150.0</v>
      </c>
      <c r="N5414" s="6">
        <v>45174.0</v>
      </c>
      <c r="Q5414" s="2" t="s">
        <v>9101</v>
      </c>
    </row>
    <row r="5415">
      <c r="A5415" s="2">
        <v>5414.0</v>
      </c>
      <c r="B5415" s="2" t="s">
        <v>9102</v>
      </c>
      <c r="C5415" s="2" t="s">
        <v>23</v>
      </c>
      <c r="K5415" s="2">
        <v>60.0</v>
      </c>
      <c r="N5415" s="6">
        <v>44459.0</v>
      </c>
      <c r="Q5415" s="2" t="s">
        <v>9103</v>
      </c>
    </row>
    <row r="5416">
      <c r="A5416" s="2">
        <v>5415.0</v>
      </c>
      <c r="B5416" s="2" t="s">
        <v>9104</v>
      </c>
      <c r="C5416" s="2" t="s">
        <v>23</v>
      </c>
      <c r="K5416" s="2">
        <v>200.0</v>
      </c>
      <c r="N5416" s="6">
        <v>43880.0</v>
      </c>
      <c r="Q5416" s="2" t="s">
        <v>9105</v>
      </c>
    </row>
    <row r="5417">
      <c r="A5417" s="2">
        <v>5416.0</v>
      </c>
      <c r="B5417" s="2" t="s">
        <v>9106</v>
      </c>
      <c r="C5417" s="2" t="s">
        <v>23</v>
      </c>
      <c r="K5417" s="2">
        <v>1000.0</v>
      </c>
      <c r="N5417" s="6">
        <v>43860.0</v>
      </c>
      <c r="Q5417" s="2" t="s">
        <v>9107</v>
      </c>
    </row>
    <row r="5418">
      <c r="A5418" s="2">
        <v>5417.0</v>
      </c>
      <c r="B5418" s="2" t="s">
        <v>9108</v>
      </c>
      <c r="C5418" s="2" t="s">
        <v>23</v>
      </c>
      <c r="K5418" s="2">
        <v>50.0</v>
      </c>
      <c r="N5418" s="6">
        <v>44447.0</v>
      </c>
      <c r="Q5418" s="2" t="s">
        <v>9109</v>
      </c>
    </row>
    <row r="5419">
      <c r="A5419" s="2">
        <v>5418.0</v>
      </c>
      <c r="B5419" s="2" t="s">
        <v>9110</v>
      </c>
      <c r="C5419" s="2" t="s">
        <v>23</v>
      </c>
      <c r="N5419" s="6">
        <v>44759.0</v>
      </c>
      <c r="Q5419" s="2" t="s">
        <v>86</v>
      </c>
    </row>
    <row r="5420">
      <c r="A5420" s="2">
        <v>5419.0</v>
      </c>
      <c r="B5420" s="2" t="s">
        <v>9111</v>
      </c>
      <c r="C5420" s="2" t="s">
        <v>23</v>
      </c>
      <c r="K5420" s="2">
        <v>20.0</v>
      </c>
      <c r="N5420" s="6">
        <v>44917.0</v>
      </c>
      <c r="Q5420" s="2" t="s">
        <v>9112</v>
      </c>
    </row>
    <row r="5421">
      <c r="A5421" s="2">
        <v>5420.0</v>
      </c>
      <c r="B5421" s="2" t="s">
        <v>9113</v>
      </c>
      <c r="C5421" s="2" t="s">
        <v>23</v>
      </c>
      <c r="N5421" s="6">
        <v>44541.0</v>
      </c>
      <c r="Q5421" s="2" t="s">
        <v>86</v>
      </c>
    </row>
    <row r="5422">
      <c r="A5422" s="2">
        <v>5421.0</v>
      </c>
      <c r="B5422" s="2" t="s">
        <v>9114</v>
      </c>
      <c r="C5422" s="2" t="s">
        <v>23</v>
      </c>
      <c r="K5422" s="2">
        <v>40.0</v>
      </c>
      <c r="N5422" s="6">
        <v>44700.0</v>
      </c>
      <c r="Q5422" s="2" t="s">
        <v>86</v>
      </c>
    </row>
    <row r="5423">
      <c r="A5423" s="2">
        <v>5422.0</v>
      </c>
      <c r="B5423" s="2" t="s">
        <v>9115</v>
      </c>
      <c r="C5423" s="2" t="s">
        <v>23</v>
      </c>
      <c r="N5423" s="6">
        <v>44078.0</v>
      </c>
      <c r="Q5423" s="2" t="s">
        <v>86</v>
      </c>
    </row>
    <row r="5424">
      <c r="A5424" s="2">
        <v>5423.0</v>
      </c>
      <c r="B5424" s="2" t="s">
        <v>9116</v>
      </c>
      <c r="C5424" s="2" t="s">
        <v>23</v>
      </c>
      <c r="K5424" s="2">
        <v>20.0</v>
      </c>
      <c r="N5424" s="6">
        <v>45633.0</v>
      </c>
      <c r="Q5424" s="2" t="s">
        <v>9117</v>
      </c>
    </row>
    <row r="5425">
      <c r="A5425" s="2">
        <v>5424.0</v>
      </c>
      <c r="B5425" s="2" t="s">
        <v>9118</v>
      </c>
      <c r="C5425" s="2" t="s">
        <v>23</v>
      </c>
      <c r="K5425" s="2">
        <v>10.0</v>
      </c>
      <c r="N5425" s="6">
        <v>45558.0</v>
      </c>
      <c r="Q5425" s="2" t="s">
        <v>9119</v>
      </c>
    </row>
    <row r="5426">
      <c r="A5426" s="2">
        <v>5425.0</v>
      </c>
      <c r="B5426" s="2" t="s">
        <v>9120</v>
      </c>
      <c r="C5426" s="2" t="s">
        <v>23</v>
      </c>
      <c r="K5426" s="2">
        <v>40.0</v>
      </c>
      <c r="N5426" s="6">
        <v>45662.0</v>
      </c>
      <c r="Q5426" s="2" t="s">
        <v>6548</v>
      </c>
    </row>
    <row r="5427">
      <c r="A5427" s="2">
        <v>5426.0</v>
      </c>
      <c r="B5427" s="2" t="s">
        <v>9121</v>
      </c>
      <c r="C5427" s="2" t="s">
        <v>23</v>
      </c>
      <c r="N5427" s="6">
        <v>44473.0</v>
      </c>
      <c r="Q5427" s="2" t="s">
        <v>86</v>
      </c>
    </row>
    <row r="5428">
      <c r="A5428" s="2">
        <v>5427.0</v>
      </c>
      <c r="B5428" s="2" t="s">
        <v>9122</v>
      </c>
      <c r="C5428" s="2" t="s">
        <v>23</v>
      </c>
      <c r="N5428" s="6">
        <v>44318.0</v>
      </c>
      <c r="Q5428" s="2" t="s">
        <v>86</v>
      </c>
    </row>
    <row r="5429">
      <c r="A5429" s="2">
        <v>5428.0</v>
      </c>
      <c r="B5429" s="2" t="s">
        <v>9123</v>
      </c>
      <c r="C5429" s="2" t="s">
        <v>23</v>
      </c>
      <c r="N5429" s="6">
        <v>45416.0</v>
      </c>
      <c r="Q5429" s="2" t="s">
        <v>6362</v>
      </c>
    </row>
    <row r="5430">
      <c r="A5430" s="2">
        <v>5429.0</v>
      </c>
      <c r="B5430" s="2" t="s">
        <v>9124</v>
      </c>
      <c r="C5430" s="2" t="s">
        <v>23</v>
      </c>
      <c r="K5430" s="2">
        <v>30.0</v>
      </c>
      <c r="N5430" s="6">
        <v>44715.0</v>
      </c>
      <c r="Q5430" s="2" t="s">
        <v>86</v>
      </c>
    </row>
    <row r="5431">
      <c r="A5431" s="2">
        <v>5430.0</v>
      </c>
      <c r="B5431" s="2" t="s">
        <v>9125</v>
      </c>
      <c r="C5431" s="2" t="s">
        <v>23</v>
      </c>
      <c r="K5431" s="2">
        <v>20.0</v>
      </c>
      <c r="N5431" s="6">
        <v>44256.0</v>
      </c>
      <c r="Q5431" s="2" t="s">
        <v>86</v>
      </c>
    </row>
    <row r="5432">
      <c r="A5432" s="2">
        <v>5431.0</v>
      </c>
      <c r="B5432" s="2" t="s">
        <v>9126</v>
      </c>
      <c r="C5432" s="2" t="s">
        <v>23</v>
      </c>
      <c r="K5432" s="2">
        <v>150.0</v>
      </c>
      <c r="N5432" s="6">
        <v>43965.0</v>
      </c>
      <c r="Q5432" s="2" t="s">
        <v>9127</v>
      </c>
    </row>
    <row r="5433">
      <c r="A5433" s="2">
        <v>5432.0</v>
      </c>
      <c r="B5433" s="2" t="s">
        <v>9128</v>
      </c>
      <c r="C5433" s="2" t="s">
        <v>23</v>
      </c>
      <c r="N5433" s="6">
        <v>44377.0</v>
      </c>
      <c r="Q5433" s="2" t="s">
        <v>86</v>
      </c>
    </row>
    <row r="5434">
      <c r="A5434" s="2">
        <v>5433.0</v>
      </c>
      <c r="B5434" s="2" t="s">
        <v>9129</v>
      </c>
      <c r="C5434" s="2" t="s">
        <v>23</v>
      </c>
      <c r="N5434" s="6">
        <v>44815.0</v>
      </c>
      <c r="Q5434" s="2" t="s">
        <v>86</v>
      </c>
    </row>
    <row r="5435">
      <c r="A5435" s="2">
        <v>5434.0</v>
      </c>
      <c r="B5435" s="2" t="s">
        <v>9130</v>
      </c>
      <c r="C5435" s="2" t="s">
        <v>23</v>
      </c>
      <c r="N5435" s="6">
        <v>45092.0</v>
      </c>
      <c r="Q5435" s="2" t="s">
        <v>1437</v>
      </c>
    </row>
    <row r="5436">
      <c r="A5436" s="2">
        <v>5435.0</v>
      </c>
      <c r="B5436" s="2" t="s">
        <v>9131</v>
      </c>
      <c r="C5436" s="2" t="s">
        <v>23</v>
      </c>
      <c r="N5436" s="6">
        <v>44752.0</v>
      </c>
      <c r="Q5436" s="2" t="s">
        <v>86</v>
      </c>
    </row>
    <row r="5437">
      <c r="A5437" s="2">
        <v>5436.0</v>
      </c>
      <c r="B5437" s="2" t="s">
        <v>9132</v>
      </c>
      <c r="C5437" s="2" t="s">
        <v>23</v>
      </c>
      <c r="N5437" s="6">
        <v>45104.0</v>
      </c>
      <c r="Q5437" s="2" t="s">
        <v>1156</v>
      </c>
    </row>
    <row r="5438">
      <c r="A5438" s="2">
        <v>5437.0</v>
      </c>
      <c r="B5438" s="2" t="s">
        <v>9133</v>
      </c>
      <c r="C5438" s="2" t="s">
        <v>23</v>
      </c>
      <c r="K5438" s="2">
        <v>150.0</v>
      </c>
      <c r="N5438" s="6">
        <v>43896.0</v>
      </c>
      <c r="Q5438" s="2" t="s">
        <v>9134</v>
      </c>
    </row>
    <row r="5439">
      <c r="A5439" s="2">
        <v>5438.0</v>
      </c>
      <c r="B5439" s="2" t="s">
        <v>9135</v>
      </c>
      <c r="C5439" s="2" t="s">
        <v>23</v>
      </c>
      <c r="K5439" s="2">
        <v>20.0</v>
      </c>
      <c r="N5439" s="6">
        <v>44747.0</v>
      </c>
      <c r="Q5439" s="2" t="s">
        <v>86</v>
      </c>
    </row>
    <row r="5440">
      <c r="A5440" s="2">
        <v>5439.0</v>
      </c>
      <c r="B5440" s="2" t="s">
        <v>9136</v>
      </c>
      <c r="C5440" s="2" t="s">
        <v>23</v>
      </c>
      <c r="K5440" s="2">
        <v>90.0</v>
      </c>
      <c r="N5440" s="6">
        <v>42388.0</v>
      </c>
      <c r="Q5440" s="2" t="s">
        <v>9137</v>
      </c>
    </row>
    <row r="5441">
      <c r="A5441" s="2">
        <v>5440.0</v>
      </c>
      <c r="B5441" s="2" t="s">
        <v>9138</v>
      </c>
      <c r="C5441" s="2" t="s">
        <v>23</v>
      </c>
      <c r="N5441" s="6">
        <v>44071.0</v>
      </c>
      <c r="Q5441" s="2" t="s">
        <v>1466</v>
      </c>
    </row>
    <row r="5442">
      <c r="A5442" s="2">
        <v>5441.0</v>
      </c>
      <c r="B5442" s="2" t="s">
        <v>9139</v>
      </c>
      <c r="C5442" s="2" t="s">
        <v>23</v>
      </c>
      <c r="N5442" s="6">
        <v>42522.0</v>
      </c>
      <c r="Q5442" s="2" t="s">
        <v>1646</v>
      </c>
    </row>
    <row r="5443">
      <c r="A5443" s="2">
        <v>5442.0</v>
      </c>
      <c r="B5443" s="2" t="s">
        <v>9140</v>
      </c>
      <c r="C5443" s="2" t="s">
        <v>23</v>
      </c>
      <c r="K5443" s="2">
        <v>50.0</v>
      </c>
      <c r="N5443" s="6">
        <v>45257.0</v>
      </c>
      <c r="Q5443" s="2" t="s">
        <v>1521</v>
      </c>
    </row>
    <row r="5444">
      <c r="A5444" s="2">
        <v>5443.0</v>
      </c>
      <c r="B5444" s="2" t="s">
        <v>9141</v>
      </c>
      <c r="C5444" s="2" t="s">
        <v>23</v>
      </c>
      <c r="N5444" s="6">
        <v>44297.0</v>
      </c>
      <c r="Q5444" s="2" t="s">
        <v>86</v>
      </c>
    </row>
    <row r="5445">
      <c r="A5445" s="2">
        <v>5444.0</v>
      </c>
      <c r="B5445" s="2" t="s">
        <v>9142</v>
      </c>
      <c r="C5445" s="2" t="s">
        <v>23</v>
      </c>
      <c r="K5445" s="2">
        <v>10.0</v>
      </c>
      <c r="N5445" s="6">
        <v>44316.0</v>
      </c>
      <c r="Q5445" s="2" t="s">
        <v>86</v>
      </c>
    </row>
    <row r="5446">
      <c r="A5446" s="2">
        <v>5445.0</v>
      </c>
      <c r="B5446" s="2" t="s">
        <v>9143</v>
      </c>
      <c r="C5446" s="2" t="s">
        <v>23</v>
      </c>
      <c r="K5446" s="2">
        <v>100.0</v>
      </c>
      <c r="N5446" s="6">
        <v>44029.0</v>
      </c>
      <c r="Q5446" s="2" t="s">
        <v>9144</v>
      </c>
    </row>
    <row r="5447">
      <c r="A5447" s="2">
        <v>5446.0</v>
      </c>
      <c r="B5447" s="2" t="s">
        <v>9145</v>
      </c>
      <c r="C5447" s="2" t="s">
        <v>23</v>
      </c>
      <c r="N5447" s="6">
        <v>43890.0</v>
      </c>
      <c r="Q5447" s="2" t="s">
        <v>9146</v>
      </c>
    </row>
    <row r="5448">
      <c r="A5448" s="2">
        <v>5447.0</v>
      </c>
      <c r="B5448" s="2" t="s">
        <v>9147</v>
      </c>
      <c r="C5448" s="2" t="s">
        <v>23</v>
      </c>
      <c r="K5448" s="2">
        <v>40.0</v>
      </c>
      <c r="N5448" s="6">
        <v>44233.0</v>
      </c>
      <c r="Q5448" s="2" t="s">
        <v>9148</v>
      </c>
    </row>
    <row r="5449">
      <c r="A5449" s="2">
        <v>5448.0</v>
      </c>
      <c r="B5449" s="2" t="s">
        <v>9149</v>
      </c>
      <c r="C5449" s="2" t="s">
        <v>23</v>
      </c>
      <c r="N5449" s="6">
        <v>45670.0</v>
      </c>
      <c r="Q5449" s="2" t="s">
        <v>9150</v>
      </c>
    </row>
    <row r="5450">
      <c r="A5450" s="2">
        <v>5449.0</v>
      </c>
      <c r="B5450" s="2" t="s">
        <v>9151</v>
      </c>
      <c r="C5450" s="2" t="s">
        <v>23</v>
      </c>
      <c r="K5450" s="2">
        <v>10.0</v>
      </c>
      <c r="N5450" s="6">
        <v>44648.0</v>
      </c>
      <c r="Q5450" s="2" t="s">
        <v>86</v>
      </c>
    </row>
    <row r="5451">
      <c r="A5451" s="2">
        <v>5450.0</v>
      </c>
      <c r="B5451" s="2" t="s">
        <v>9152</v>
      </c>
      <c r="C5451" s="2" t="s">
        <v>23</v>
      </c>
      <c r="K5451" s="2">
        <v>200.0</v>
      </c>
      <c r="N5451" s="6">
        <v>44404.0</v>
      </c>
      <c r="Q5451" s="2" t="s">
        <v>9153</v>
      </c>
    </row>
    <row r="5452">
      <c r="A5452" s="2">
        <v>5451.0</v>
      </c>
      <c r="B5452" s="2" t="s">
        <v>9154</v>
      </c>
      <c r="C5452" s="2" t="s">
        <v>23</v>
      </c>
      <c r="K5452" s="2">
        <v>40.0</v>
      </c>
      <c r="N5452" s="6">
        <v>45228.0</v>
      </c>
      <c r="Q5452" s="2" t="s">
        <v>2409</v>
      </c>
    </row>
    <row r="5453">
      <c r="A5453" s="2">
        <v>5452.0</v>
      </c>
      <c r="B5453" s="2" t="s">
        <v>9155</v>
      </c>
      <c r="C5453" s="2" t="s">
        <v>23</v>
      </c>
      <c r="N5453" s="6">
        <v>44881.0</v>
      </c>
      <c r="Q5453" s="2" t="s">
        <v>86</v>
      </c>
    </row>
    <row r="5454">
      <c r="A5454" s="2">
        <v>5453.0</v>
      </c>
      <c r="B5454" s="2" t="s">
        <v>9156</v>
      </c>
      <c r="C5454" s="2" t="s">
        <v>23</v>
      </c>
      <c r="F5454" s="2">
        <v>0.45</v>
      </c>
      <c r="K5454" s="2">
        <v>450.0</v>
      </c>
      <c r="N5454" s="6">
        <v>43486.0</v>
      </c>
      <c r="Q5454" s="2" t="s">
        <v>9157</v>
      </c>
    </row>
    <row r="5455">
      <c r="A5455" s="2">
        <v>5454.0</v>
      </c>
      <c r="B5455" s="2" t="s">
        <v>9158</v>
      </c>
      <c r="C5455" s="2" t="s">
        <v>23</v>
      </c>
      <c r="N5455" s="6">
        <v>45714.0</v>
      </c>
      <c r="Q5455" s="2" t="s">
        <v>5722</v>
      </c>
    </row>
    <row r="5456">
      <c r="A5456" s="2">
        <v>5455.0</v>
      </c>
      <c r="B5456" s="2" t="s">
        <v>9159</v>
      </c>
      <c r="C5456" s="2" t="s">
        <v>23</v>
      </c>
      <c r="N5456" s="6">
        <v>44663.0</v>
      </c>
      <c r="Q5456" s="2" t="s">
        <v>86</v>
      </c>
    </row>
    <row r="5457">
      <c r="A5457" s="2">
        <v>5456.0</v>
      </c>
      <c r="B5457" s="2" t="s">
        <v>9160</v>
      </c>
      <c r="C5457" s="2" t="s">
        <v>23</v>
      </c>
      <c r="K5457" s="2">
        <v>20.0</v>
      </c>
      <c r="N5457" s="6">
        <v>43907.0</v>
      </c>
      <c r="Q5457" s="2" t="s">
        <v>86</v>
      </c>
    </row>
    <row r="5458">
      <c r="A5458" s="2">
        <v>5457.0</v>
      </c>
      <c r="B5458" s="2" t="s">
        <v>9161</v>
      </c>
      <c r="C5458" s="2" t="s">
        <v>23</v>
      </c>
      <c r="N5458" s="6">
        <v>42299.0</v>
      </c>
      <c r="Q5458" s="2" t="s">
        <v>86</v>
      </c>
    </row>
    <row r="5459">
      <c r="A5459" s="2">
        <v>5458.0</v>
      </c>
      <c r="B5459" s="2" t="s">
        <v>9162</v>
      </c>
      <c r="C5459" s="2" t="s">
        <v>23</v>
      </c>
      <c r="K5459" s="2">
        <v>40.0</v>
      </c>
      <c r="N5459" s="6">
        <v>44076.0</v>
      </c>
      <c r="Q5459" s="2" t="s">
        <v>86</v>
      </c>
    </row>
    <row r="5460">
      <c r="A5460" s="2">
        <v>5459.0</v>
      </c>
      <c r="B5460" s="2" t="s">
        <v>9163</v>
      </c>
      <c r="C5460" s="2" t="s">
        <v>23</v>
      </c>
      <c r="K5460" s="2">
        <v>1100.0</v>
      </c>
      <c r="N5460" s="6">
        <v>42599.0</v>
      </c>
      <c r="Q5460" s="2" t="s">
        <v>9164</v>
      </c>
    </row>
    <row r="5461">
      <c r="A5461" s="2">
        <v>5460.0</v>
      </c>
      <c r="B5461" s="2" t="s">
        <v>9165</v>
      </c>
      <c r="C5461" s="2" t="s">
        <v>23</v>
      </c>
      <c r="K5461" s="2">
        <v>10.0</v>
      </c>
      <c r="N5461" s="6">
        <v>45744.0</v>
      </c>
      <c r="Q5461" s="2" t="s">
        <v>9166</v>
      </c>
    </row>
    <row r="5462">
      <c r="A5462" s="2">
        <v>5461.0</v>
      </c>
      <c r="B5462" s="2" t="s">
        <v>9167</v>
      </c>
      <c r="C5462" s="2" t="s">
        <v>23</v>
      </c>
      <c r="K5462" s="2">
        <v>10.0</v>
      </c>
      <c r="N5462" s="6">
        <v>44393.0</v>
      </c>
      <c r="Q5462" s="2" t="s">
        <v>3584</v>
      </c>
    </row>
    <row r="5463">
      <c r="A5463" s="2">
        <v>5462.0</v>
      </c>
      <c r="B5463" s="2" t="s">
        <v>9168</v>
      </c>
      <c r="C5463" s="2" t="s">
        <v>23</v>
      </c>
      <c r="K5463" s="2">
        <v>60.0</v>
      </c>
      <c r="N5463" s="6">
        <v>45085.0</v>
      </c>
      <c r="Q5463" s="2" t="s">
        <v>2818</v>
      </c>
    </row>
    <row r="5464">
      <c r="A5464" s="2">
        <v>5463.0</v>
      </c>
      <c r="B5464" s="2" t="s">
        <v>9169</v>
      </c>
      <c r="C5464" s="2" t="s">
        <v>23</v>
      </c>
      <c r="K5464" s="2">
        <v>10.0</v>
      </c>
      <c r="N5464" s="6">
        <v>45053.0</v>
      </c>
      <c r="Q5464" s="2" t="s">
        <v>9170</v>
      </c>
    </row>
    <row r="5465">
      <c r="A5465" s="2">
        <v>5464.0</v>
      </c>
      <c r="B5465" s="2" t="s">
        <v>9171</v>
      </c>
      <c r="C5465" s="2" t="s">
        <v>23</v>
      </c>
      <c r="K5465" s="2">
        <v>40.0</v>
      </c>
      <c r="N5465" s="6">
        <v>43953.0</v>
      </c>
      <c r="Q5465" s="2" t="s">
        <v>86</v>
      </c>
    </row>
    <row r="5466">
      <c r="A5466" s="2">
        <v>5465.0</v>
      </c>
      <c r="B5466" s="2" t="s">
        <v>9172</v>
      </c>
      <c r="C5466" s="2" t="s">
        <v>23</v>
      </c>
      <c r="N5466" s="6">
        <v>45547.0</v>
      </c>
      <c r="Q5466" s="2" t="s">
        <v>9173</v>
      </c>
    </row>
    <row r="5467">
      <c r="A5467" s="2">
        <v>5466.0</v>
      </c>
      <c r="B5467" s="2" t="s">
        <v>9174</v>
      </c>
      <c r="C5467" s="2" t="s">
        <v>23</v>
      </c>
      <c r="K5467" s="2">
        <v>10.0</v>
      </c>
      <c r="N5467" s="6">
        <v>44475.0</v>
      </c>
      <c r="Q5467" s="2" t="s">
        <v>1123</v>
      </c>
    </row>
    <row r="5468">
      <c r="A5468" s="2">
        <v>5467.0</v>
      </c>
      <c r="B5468" s="2" t="s">
        <v>9175</v>
      </c>
      <c r="C5468" s="2" t="s">
        <v>23</v>
      </c>
      <c r="K5468" s="2">
        <v>10.0</v>
      </c>
      <c r="N5468" s="6">
        <v>45711.0</v>
      </c>
      <c r="Q5468" s="2" t="s">
        <v>9176</v>
      </c>
    </row>
    <row r="5469">
      <c r="A5469" s="2">
        <v>5468.0</v>
      </c>
      <c r="B5469" s="2" t="s">
        <v>9177</v>
      </c>
      <c r="C5469" s="2" t="s">
        <v>23</v>
      </c>
      <c r="K5469" s="2">
        <v>20.0</v>
      </c>
      <c r="N5469" s="6">
        <v>45106.0</v>
      </c>
      <c r="Q5469" s="2" t="s">
        <v>1249</v>
      </c>
    </row>
    <row r="5470">
      <c r="A5470" s="2">
        <v>5469.0</v>
      </c>
      <c r="B5470" s="2" t="s">
        <v>9178</v>
      </c>
      <c r="C5470" s="2" t="s">
        <v>23</v>
      </c>
      <c r="N5470" s="6">
        <v>43310.0</v>
      </c>
      <c r="Q5470" s="2" t="s">
        <v>1472</v>
      </c>
    </row>
    <row r="5471">
      <c r="A5471" s="2">
        <v>5470.0</v>
      </c>
      <c r="B5471" s="2" t="s">
        <v>9179</v>
      </c>
      <c r="C5471" s="2" t="s">
        <v>23</v>
      </c>
      <c r="K5471" s="2">
        <v>100.0</v>
      </c>
      <c r="N5471" s="6">
        <v>44264.0</v>
      </c>
      <c r="Q5471" s="2" t="s">
        <v>9180</v>
      </c>
    </row>
    <row r="5472">
      <c r="A5472" s="2">
        <v>5471.0</v>
      </c>
      <c r="B5472" s="2" t="s">
        <v>9181</v>
      </c>
      <c r="C5472" s="2" t="s">
        <v>23</v>
      </c>
      <c r="K5472" s="2">
        <v>20.0</v>
      </c>
      <c r="N5472" s="6">
        <v>44600.0</v>
      </c>
      <c r="Q5472" s="2" t="s">
        <v>86</v>
      </c>
    </row>
    <row r="5473">
      <c r="A5473" s="2">
        <v>5472.0</v>
      </c>
      <c r="B5473" s="2" t="s">
        <v>9182</v>
      </c>
      <c r="C5473" s="2" t="s">
        <v>23</v>
      </c>
      <c r="K5473" s="2">
        <v>20.0</v>
      </c>
      <c r="N5473" s="6">
        <v>45620.0</v>
      </c>
      <c r="Q5473" s="2" t="s">
        <v>9183</v>
      </c>
    </row>
    <row r="5474">
      <c r="A5474" s="2">
        <v>5473.0</v>
      </c>
      <c r="B5474" s="2" t="s">
        <v>9184</v>
      </c>
      <c r="C5474" s="2" t="s">
        <v>23</v>
      </c>
      <c r="K5474" s="2">
        <v>40.0</v>
      </c>
      <c r="N5474" s="6">
        <v>44412.0</v>
      </c>
      <c r="Q5474" s="2" t="s">
        <v>1790</v>
      </c>
    </row>
    <row r="5475">
      <c r="A5475" s="2">
        <v>5474.0</v>
      </c>
      <c r="B5475" s="2" t="s">
        <v>9185</v>
      </c>
      <c r="C5475" s="2" t="s">
        <v>23</v>
      </c>
      <c r="N5475" s="6">
        <v>44235.0</v>
      </c>
      <c r="Q5475" s="2" t="s">
        <v>86</v>
      </c>
    </row>
    <row r="5476">
      <c r="A5476" s="2">
        <v>5475.0</v>
      </c>
      <c r="B5476" s="2" t="s">
        <v>9186</v>
      </c>
      <c r="C5476" s="2" t="s">
        <v>23</v>
      </c>
      <c r="K5476" s="2">
        <v>10.0</v>
      </c>
      <c r="N5476" s="6">
        <v>44026.0</v>
      </c>
      <c r="Q5476" s="2" t="s">
        <v>1249</v>
      </c>
    </row>
    <row r="5477">
      <c r="A5477" s="2">
        <v>5476.0</v>
      </c>
      <c r="B5477" s="2" t="s">
        <v>9187</v>
      </c>
      <c r="C5477" s="2" t="s">
        <v>23</v>
      </c>
      <c r="K5477" s="2">
        <v>20.0</v>
      </c>
      <c r="N5477" s="6">
        <v>44713.0</v>
      </c>
      <c r="Q5477" s="2" t="s">
        <v>5982</v>
      </c>
    </row>
    <row r="5478">
      <c r="A5478" s="2">
        <v>5477.0</v>
      </c>
      <c r="B5478" s="2" t="s">
        <v>9188</v>
      </c>
      <c r="C5478" s="2" t="s">
        <v>23</v>
      </c>
      <c r="K5478" s="2">
        <v>100.0</v>
      </c>
      <c r="N5478" s="6">
        <v>44521.0</v>
      </c>
      <c r="Q5478" s="2" t="s">
        <v>1437</v>
      </c>
    </row>
    <row r="5479">
      <c r="A5479" s="2">
        <v>5478.0</v>
      </c>
      <c r="B5479" s="2" t="s">
        <v>9189</v>
      </c>
      <c r="C5479" s="2" t="s">
        <v>23</v>
      </c>
      <c r="K5479" s="2">
        <v>10.0</v>
      </c>
      <c r="N5479" s="6">
        <v>45633.0</v>
      </c>
      <c r="Q5479" s="2" t="s">
        <v>9190</v>
      </c>
    </row>
    <row r="5480">
      <c r="A5480" s="2">
        <v>5479.0</v>
      </c>
      <c r="B5480" s="2" t="s">
        <v>9191</v>
      </c>
      <c r="C5480" s="2" t="s">
        <v>23</v>
      </c>
      <c r="K5480" s="2">
        <v>150.0</v>
      </c>
      <c r="N5480" s="6">
        <v>43857.0</v>
      </c>
      <c r="Q5480" s="2" t="s">
        <v>2135</v>
      </c>
    </row>
    <row r="5481">
      <c r="A5481" s="2">
        <v>5480.0</v>
      </c>
      <c r="B5481" s="2" t="s">
        <v>9192</v>
      </c>
      <c r="C5481" s="2" t="s">
        <v>23</v>
      </c>
      <c r="K5481" s="2">
        <v>40.0</v>
      </c>
      <c r="N5481" s="6">
        <v>44613.0</v>
      </c>
      <c r="Q5481" s="2" t="s">
        <v>86</v>
      </c>
    </row>
    <row r="5482">
      <c r="A5482" s="2">
        <v>5481.0</v>
      </c>
      <c r="B5482" s="2" t="s">
        <v>9193</v>
      </c>
      <c r="C5482" s="2" t="s">
        <v>23</v>
      </c>
      <c r="K5482" s="2">
        <v>150.0</v>
      </c>
      <c r="N5482" s="6">
        <v>44484.0</v>
      </c>
      <c r="Q5482" s="2" t="s">
        <v>3082</v>
      </c>
    </row>
    <row r="5483">
      <c r="A5483" s="2">
        <v>5482.0</v>
      </c>
      <c r="B5483" s="2" t="s">
        <v>9194</v>
      </c>
      <c r="C5483" s="2" t="s">
        <v>23</v>
      </c>
      <c r="K5483" s="2">
        <v>40.0</v>
      </c>
      <c r="N5483" s="6">
        <v>44020.0</v>
      </c>
      <c r="Q5483" s="2" t="s">
        <v>86</v>
      </c>
    </row>
    <row r="5484">
      <c r="A5484" s="2">
        <v>5483.0</v>
      </c>
      <c r="B5484" s="2" t="s">
        <v>9195</v>
      </c>
      <c r="C5484" s="2" t="s">
        <v>23</v>
      </c>
      <c r="K5484" s="2">
        <v>10.0</v>
      </c>
      <c r="N5484" s="6">
        <v>45639.0</v>
      </c>
      <c r="Q5484" s="2" t="s">
        <v>3770</v>
      </c>
    </row>
    <row r="5485">
      <c r="A5485" s="2">
        <v>5484.0</v>
      </c>
      <c r="B5485" s="2" t="s">
        <v>9196</v>
      </c>
      <c r="C5485" s="2" t="s">
        <v>23</v>
      </c>
      <c r="K5485" s="2">
        <v>20.0</v>
      </c>
      <c r="N5485" s="6">
        <v>43906.0</v>
      </c>
      <c r="Q5485" s="2" t="s">
        <v>9197</v>
      </c>
    </row>
    <row r="5486">
      <c r="A5486" s="2">
        <v>5485.0</v>
      </c>
      <c r="B5486" s="2" t="s">
        <v>9198</v>
      </c>
      <c r="C5486" s="2" t="s">
        <v>23</v>
      </c>
      <c r="K5486" s="2">
        <v>20.0</v>
      </c>
      <c r="N5486" s="6">
        <v>44037.0</v>
      </c>
      <c r="Q5486" s="2" t="s">
        <v>1895</v>
      </c>
    </row>
    <row r="5487">
      <c r="A5487" s="2">
        <v>5486.0</v>
      </c>
      <c r="B5487" s="2" t="s">
        <v>9199</v>
      </c>
      <c r="C5487" s="2" t="s">
        <v>23</v>
      </c>
      <c r="K5487" s="2">
        <v>20.0</v>
      </c>
      <c r="N5487" s="6">
        <v>44218.0</v>
      </c>
      <c r="Q5487" s="2" t="s">
        <v>86</v>
      </c>
    </row>
    <row r="5488">
      <c r="A5488" s="2">
        <v>5487.0</v>
      </c>
      <c r="B5488" s="2" t="s">
        <v>9200</v>
      </c>
      <c r="C5488" s="2" t="s">
        <v>23</v>
      </c>
      <c r="K5488" s="2">
        <v>80.0</v>
      </c>
      <c r="N5488" s="6">
        <v>45718.0</v>
      </c>
      <c r="Q5488" s="2" t="s">
        <v>9201</v>
      </c>
    </row>
    <row r="5489">
      <c r="A5489" s="2">
        <v>5488.0</v>
      </c>
      <c r="B5489" s="2" t="s">
        <v>9202</v>
      </c>
      <c r="C5489" s="2" t="s">
        <v>23</v>
      </c>
      <c r="N5489" s="6">
        <v>44072.0</v>
      </c>
      <c r="Q5489" s="2" t="s">
        <v>86</v>
      </c>
    </row>
    <row r="5490">
      <c r="A5490" s="2">
        <v>5489.0</v>
      </c>
      <c r="B5490" s="2" t="s">
        <v>9203</v>
      </c>
      <c r="C5490" s="2" t="s">
        <v>23</v>
      </c>
      <c r="N5490" s="6">
        <v>45413.0</v>
      </c>
      <c r="Q5490" s="2" t="s">
        <v>3514</v>
      </c>
    </row>
    <row r="5491">
      <c r="A5491" s="2">
        <v>5490.0</v>
      </c>
      <c r="B5491" s="2" t="s">
        <v>9204</v>
      </c>
      <c r="C5491" s="2" t="s">
        <v>23</v>
      </c>
      <c r="K5491" s="2">
        <v>10.0</v>
      </c>
      <c r="N5491" s="6">
        <v>45975.0</v>
      </c>
      <c r="Q5491" s="2" t="s">
        <v>9205</v>
      </c>
    </row>
    <row r="5492">
      <c r="A5492" s="2">
        <v>5491.0</v>
      </c>
      <c r="B5492" s="2" t="s">
        <v>9206</v>
      </c>
      <c r="C5492" s="2" t="s">
        <v>23</v>
      </c>
      <c r="K5492" s="2">
        <v>80.0</v>
      </c>
      <c r="N5492" s="6">
        <v>44257.0</v>
      </c>
      <c r="Q5492" s="2" t="s">
        <v>86</v>
      </c>
    </row>
    <row r="5493">
      <c r="A5493" s="2">
        <v>5492.0</v>
      </c>
      <c r="B5493" s="2" t="s">
        <v>9207</v>
      </c>
      <c r="C5493" s="2" t="s">
        <v>23</v>
      </c>
      <c r="K5493" s="2">
        <v>70.0</v>
      </c>
      <c r="N5493" s="6">
        <v>44502.0</v>
      </c>
      <c r="Q5493" s="2" t="s">
        <v>9208</v>
      </c>
    </row>
    <row r="5494">
      <c r="A5494" s="2">
        <v>5493.0</v>
      </c>
      <c r="B5494" s="2" t="s">
        <v>9209</v>
      </c>
      <c r="C5494" s="2" t="s">
        <v>23</v>
      </c>
      <c r="K5494" s="2">
        <v>10.0</v>
      </c>
      <c r="N5494" s="6">
        <v>44336.0</v>
      </c>
      <c r="Q5494" s="2" t="s">
        <v>9210</v>
      </c>
    </row>
    <row r="5495">
      <c r="A5495" s="2">
        <v>5494.0</v>
      </c>
      <c r="B5495" s="2" t="s">
        <v>9211</v>
      </c>
      <c r="C5495" s="2" t="s">
        <v>23</v>
      </c>
      <c r="N5495" s="6">
        <v>44166.0</v>
      </c>
      <c r="Q5495" s="2" t="s">
        <v>94</v>
      </c>
    </row>
    <row r="5496">
      <c r="A5496" s="2">
        <v>5495.0</v>
      </c>
      <c r="B5496" s="2" t="s">
        <v>9212</v>
      </c>
      <c r="C5496" s="2" t="s">
        <v>23</v>
      </c>
      <c r="K5496" s="2">
        <v>50.0</v>
      </c>
      <c r="N5496" s="6">
        <v>44326.0</v>
      </c>
      <c r="Q5496" s="2" t="s">
        <v>86</v>
      </c>
    </row>
    <row r="5497">
      <c r="A5497" s="2">
        <v>5496.0</v>
      </c>
      <c r="B5497" s="2" t="s">
        <v>9213</v>
      </c>
      <c r="C5497" s="2" t="s">
        <v>23</v>
      </c>
      <c r="K5497" s="2">
        <v>60.0</v>
      </c>
      <c r="N5497" s="6">
        <v>44703.0</v>
      </c>
      <c r="Q5497" s="2" t="s">
        <v>3075</v>
      </c>
    </row>
    <row r="5498">
      <c r="A5498" s="2">
        <v>5497.0</v>
      </c>
      <c r="B5498" s="2" t="s">
        <v>9214</v>
      </c>
      <c r="C5498" s="2" t="s">
        <v>23</v>
      </c>
      <c r="K5498" s="2">
        <v>20.0</v>
      </c>
      <c r="N5498" s="6">
        <v>42548.0</v>
      </c>
      <c r="Q5498" s="2" t="s">
        <v>86</v>
      </c>
    </row>
    <row r="5499">
      <c r="A5499" s="2">
        <v>5498.0</v>
      </c>
      <c r="B5499" s="2" t="s">
        <v>9215</v>
      </c>
      <c r="C5499" s="2" t="s">
        <v>23</v>
      </c>
      <c r="K5499" s="2">
        <v>10.0</v>
      </c>
      <c r="N5499" s="6">
        <v>43853.0</v>
      </c>
      <c r="Q5499" s="2" t="s">
        <v>9216</v>
      </c>
    </row>
    <row r="5500">
      <c r="A5500" s="2">
        <v>5499.0</v>
      </c>
      <c r="B5500" s="2" t="s">
        <v>9217</v>
      </c>
      <c r="C5500" s="2" t="s">
        <v>23</v>
      </c>
      <c r="K5500" s="2">
        <v>10.0</v>
      </c>
      <c r="N5500" s="6">
        <v>45374.0</v>
      </c>
      <c r="Q5500" s="2" t="s">
        <v>126</v>
      </c>
    </row>
    <row r="5501">
      <c r="A5501" s="2">
        <v>5500.0</v>
      </c>
      <c r="B5501" s="2" t="s">
        <v>9218</v>
      </c>
      <c r="C5501" s="2" t="s">
        <v>23</v>
      </c>
      <c r="N5501" s="6">
        <v>42352.0</v>
      </c>
      <c r="O5501" s="2" t="s">
        <v>35</v>
      </c>
      <c r="P5501" s="2" t="s">
        <v>36</v>
      </c>
      <c r="Q5501" s="2" t="s">
        <v>86</v>
      </c>
      <c r="S5501" s="2" t="s">
        <v>39</v>
      </c>
    </row>
    <row r="5502">
      <c r="A5502" s="2">
        <v>5501.0</v>
      </c>
      <c r="B5502" s="2" t="s">
        <v>9219</v>
      </c>
      <c r="C5502" s="2" t="s">
        <v>23</v>
      </c>
      <c r="N5502" s="6">
        <v>44348.0</v>
      </c>
      <c r="Q5502" s="2" t="s">
        <v>86</v>
      </c>
    </row>
    <row r="5503">
      <c r="A5503" s="2">
        <v>5502.0</v>
      </c>
      <c r="B5503" s="2" t="s">
        <v>9220</v>
      </c>
      <c r="C5503" s="2" t="s">
        <v>23</v>
      </c>
      <c r="N5503" s="6">
        <v>42394.0</v>
      </c>
      <c r="Q5503" s="2" t="s">
        <v>86</v>
      </c>
    </row>
    <row r="5504">
      <c r="A5504" s="2">
        <v>5503.0</v>
      </c>
      <c r="B5504" s="2" t="s">
        <v>9221</v>
      </c>
      <c r="C5504" s="2" t="s">
        <v>23</v>
      </c>
      <c r="N5504" s="6">
        <v>44452.0</v>
      </c>
      <c r="Q5504" s="2" t="s">
        <v>86</v>
      </c>
    </row>
    <row r="5505">
      <c r="A5505" s="2">
        <v>5504.0</v>
      </c>
      <c r="B5505" s="2" t="s">
        <v>9222</v>
      </c>
      <c r="C5505" s="2" t="s">
        <v>23</v>
      </c>
      <c r="K5505" s="2">
        <v>150.0</v>
      </c>
      <c r="N5505" s="6">
        <v>44025.0</v>
      </c>
      <c r="Q5505" s="2" t="s">
        <v>9223</v>
      </c>
    </row>
    <row r="5506">
      <c r="A5506" s="2">
        <v>5505.0</v>
      </c>
      <c r="B5506" s="2" t="s">
        <v>9224</v>
      </c>
      <c r="C5506" s="2" t="s">
        <v>23</v>
      </c>
      <c r="K5506" s="2">
        <v>200.0</v>
      </c>
      <c r="N5506" s="6">
        <v>43863.0</v>
      </c>
      <c r="Q5506" s="2" t="s">
        <v>9225</v>
      </c>
    </row>
    <row r="5507">
      <c r="A5507" s="2">
        <v>5506.0</v>
      </c>
      <c r="B5507" s="2" t="s">
        <v>9226</v>
      </c>
      <c r="C5507" s="2" t="s">
        <v>23</v>
      </c>
      <c r="K5507" s="2">
        <v>200.0</v>
      </c>
      <c r="N5507" s="6">
        <v>44601.0</v>
      </c>
      <c r="Q5507" s="2" t="s">
        <v>9227</v>
      </c>
    </row>
    <row r="5508">
      <c r="A5508" s="2">
        <v>5507.0</v>
      </c>
      <c r="B5508" s="2" t="s">
        <v>9228</v>
      </c>
      <c r="C5508" s="2" t="s">
        <v>23</v>
      </c>
      <c r="K5508" s="2">
        <v>10.0</v>
      </c>
      <c r="N5508" s="6">
        <v>44907.0</v>
      </c>
      <c r="Q5508" s="2" t="s">
        <v>9229</v>
      </c>
    </row>
    <row r="5509">
      <c r="A5509" s="2">
        <v>5508.0</v>
      </c>
      <c r="B5509" s="2" t="s">
        <v>9230</v>
      </c>
      <c r="C5509" s="2" t="s">
        <v>23</v>
      </c>
      <c r="K5509" s="2">
        <v>20.0</v>
      </c>
      <c r="N5509" s="6">
        <v>44391.0</v>
      </c>
      <c r="Q5509" s="2" t="s">
        <v>9231</v>
      </c>
    </row>
    <row r="5510">
      <c r="A5510" s="2">
        <v>5509.0</v>
      </c>
      <c r="B5510" s="2" t="s">
        <v>9232</v>
      </c>
      <c r="C5510" s="2" t="s">
        <v>23</v>
      </c>
      <c r="N5510" s="6">
        <v>44231.0</v>
      </c>
      <c r="Q5510" s="2" t="s">
        <v>86</v>
      </c>
    </row>
    <row r="5511">
      <c r="A5511" s="2">
        <v>5510.0</v>
      </c>
      <c r="B5511" s="2" t="s">
        <v>9233</v>
      </c>
      <c r="C5511" s="2" t="s">
        <v>23</v>
      </c>
      <c r="N5511" s="6">
        <v>43885.0</v>
      </c>
      <c r="Q5511" s="2" t="s">
        <v>86</v>
      </c>
    </row>
    <row r="5512">
      <c r="A5512" s="2">
        <v>5511.0</v>
      </c>
      <c r="B5512" s="2" t="s">
        <v>9234</v>
      </c>
      <c r="C5512" s="2" t="s">
        <v>23</v>
      </c>
      <c r="K5512" s="2">
        <v>150.0</v>
      </c>
      <c r="N5512" s="6">
        <v>45700.0</v>
      </c>
      <c r="Q5512" s="2" t="s">
        <v>9235</v>
      </c>
    </row>
    <row r="5513">
      <c r="A5513" s="2">
        <v>5512.0</v>
      </c>
      <c r="B5513" s="2" t="s">
        <v>9236</v>
      </c>
      <c r="C5513" s="2" t="s">
        <v>23</v>
      </c>
      <c r="K5513" s="2">
        <v>90.0</v>
      </c>
      <c r="N5513" s="6">
        <v>45064.0</v>
      </c>
      <c r="Q5513" s="2" t="s">
        <v>9237</v>
      </c>
    </row>
    <row r="5514">
      <c r="A5514" s="2">
        <v>5513.0</v>
      </c>
      <c r="B5514" s="2" t="s">
        <v>9238</v>
      </c>
      <c r="C5514" s="2" t="s">
        <v>23</v>
      </c>
      <c r="F5514" s="2">
        <v>0.45</v>
      </c>
      <c r="N5514" s="6">
        <v>42850.0</v>
      </c>
      <c r="Q5514" s="2" t="s">
        <v>86</v>
      </c>
    </row>
    <row r="5515">
      <c r="A5515" s="2">
        <v>5514.0</v>
      </c>
      <c r="B5515" s="2" t="s">
        <v>9239</v>
      </c>
      <c r="C5515" s="2" t="s">
        <v>23</v>
      </c>
      <c r="N5515" s="6">
        <v>43304.0</v>
      </c>
      <c r="Q5515" s="2" t="s">
        <v>86</v>
      </c>
    </row>
    <row r="5516">
      <c r="A5516" s="2">
        <v>5515.0</v>
      </c>
      <c r="B5516" s="2" t="s">
        <v>9240</v>
      </c>
      <c r="C5516" s="2" t="s">
        <v>23</v>
      </c>
      <c r="K5516" s="2">
        <v>20.0</v>
      </c>
      <c r="N5516" s="6">
        <v>45734.0</v>
      </c>
      <c r="Q5516" s="2" t="s">
        <v>9241</v>
      </c>
    </row>
    <row r="5517">
      <c r="A5517" s="2">
        <v>5516.0</v>
      </c>
      <c r="B5517" s="2" t="s">
        <v>9242</v>
      </c>
      <c r="C5517" s="2" t="s">
        <v>23</v>
      </c>
      <c r="K5517" s="2">
        <v>100.0</v>
      </c>
      <c r="N5517" s="6">
        <v>43887.0</v>
      </c>
      <c r="Q5517" s="2" t="s">
        <v>9243</v>
      </c>
    </row>
    <row r="5518">
      <c r="A5518" s="2">
        <v>5517.0</v>
      </c>
      <c r="B5518" s="2" t="s">
        <v>9244</v>
      </c>
      <c r="C5518" s="2" t="s">
        <v>23</v>
      </c>
      <c r="K5518" s="2">
        <v>10.0</v>
      </c>
      <c r="N5518" s="6">
        <v>44558.0</v>
      </c>
      <c r="Q5518" s="2" t="s">
        <v>86</v>
      </c>
    </row>
    <row r="5519">
      <c r="A5519" s="2">
        <v>5518.0</v>
      </c>
      <c r="B5519" s="2" t="s">
        <v>9245</v>
      </c>
      <c r="C5519" s="2" t="s">
        <v>23</v>
      </c>
      <c r="K5519" s="2">
        <v>40.0</v>
      </c>
      <c r="N5519" s="6">
        <v>44687.0</v>
      </c>
      <c r="Q5519" s="2" t="s">
        <v>9246</v>
      </c>
    </row>
    <row r="5520">
      <c r="A5520" s="2">
        <v>5519.0</v>
      </c>
      <c r="B5520" s="2" t="s">
        <v>9247</v>
      </c>
      <c r="C5520" s="2" t="s">
        <v>23</v>
      </c>
      <c r="K5520" s="2">
        <v>90.0</v>
      </c>
      <c r="N5520" s="6">
        <v>43946.0</v>
      </c>
      <c r="Q5520" s="2" t="s">
        <v>9248</v>
      </c>
    </row>
    <row r="5521">
      <c r="A5521" s="2">
        <v>5520.0</v>
      </c>
      <c r="B5521" s="2" t="s">
        <v>9249</v>
      </c>
      <c r="C5521" s="2" t="s">
        <v>23</v>
      </c>
      <c r="N5521" s="6">
        <v>43896.0</v>
      </c>
      <c r="Q5521" s="2" t="s">
        <v>86</v>
      </c>
    </row>
    <row r="5522">
      <c r="A5522" s="2">
        <v>5521.0</v>
      </c>
      <c r="B5522" s="2" t="s">
        <v>9250</v>
      </c>
      <c r="C5522" s="2" t="s">
        <v>23</v>
      </c>
      <c r="K5522" s="2">
        <v>60.0</v>
      </c>
      <c r="N5522" s="6">
        <v>42402.0</v>
      </c>
      <c r="Q5522" s="2" t="s">
        <v>9251</v>
      </c>
    </row>
    <row r="5523">
      <c r="A5523" s="2">
        <v>5522.0</v>
      </c>
      <c r="B5523" s="2" t="s">
        <v>9252</v>
      </c>
      <c r="C5523" s="2" t="s">
        <v>23</v>
      </c>
      <c r="N5523" s="6">
        <v>44557.0</v>
      </c>
      <c r="Q5523" s="2" t="s">
        <v>86</v>
      </c>
    </row>
    <row r="5524">
      <c r="A5524" s="2">
        <v>5523.0</v>
      </c>
      <c r="B5524" s="2" t="s">
        <v>9253</v>
      </c>
      <c r="C5524" s="2" t="s">
        <v>23</v>
      </c>
      <c r="K5524" s="2">
        <v>100.0</v>
      </c>
      <c r="N5524" s="6">
        <v>43935.0</v>
      </c>
      <c r="Q5524" s="2" t="s">
        <v>86</v>
      </c>
    </row>
    <row r="5525">
      <c r="A5525" s="2">
        <v>5524.0</v>
      </c>
      <c r="B5525" s="2" t="s">
        <v>9254</v>
      </c>
      <c r="C5525" s="2" t="s">
        <v>23</v>
      </c>
      <c r="K5525" s="2">
        <v>60.0</v>
      </c>
      <c r="N5525" s="6">
        <v>44015.0</v>
      </c>
      <c r="Q5525" s="2" t="s">
        <v>7681</v>
      </c>
    </row>
    <row r="5526">
      <c r="A5526" s="2">
        <v>5525.0</v>
      </c>
      <c r="B5526" s="2" t="s">
        <v>9255</v>
      </c>
      <c r="C5526" s="2" t="s">
        <v>23</v>
      </c>
      <c r="K5526" s="2">
        <v>10.0</v>
      </c>
      <c r="N5526" s="6">
        <v>44240.0</v>
      </c>
      <c r="Q5526" s="2" t="s">
        <v>86</v>
      </c>
    </row>
    <row r="5527">
      <c r="A5527" s="2">
        <v>5526.0</v>
      </c>
      <c r="B5527" s="2" t="s">
        <v>9256</v>
      </c>
      <c r="C5527" s="2" t="s">
        <v>23</v>
      </c>
      <c r="K5527" s="2">
        <v>30.0</v>
      </c>
      <c r="N5527" s="6">
        <v>44181.0</v>
      </c>
      <c r="Q5527" s="2" t="s">
        <v>2731</v>
      </c>
    </row>
    <row r="5528">
      <c r="A5528" s="2">
        <v>5527.0</v>
      </c>
      <c r="B5528" s="2" t="s">
        <v>9257</v>
      </c>
      <c r="C5528" s="2" t="s">
        <v>23</v>
      </c>
      <c r="K5528" s="2">
        <v>40.0</v>
      </c>
      <c r="N5528" s="6">
        <v>44120.0</v>
      </c>
      <c r="Q5528" s="2" t="s">
        <v>1070</v>
      </c>
    </row>
    <row r="5529">
      <c r="A5529" s="2">
        <v>5528.0</v>
      </c>
      <c r="B5529" s="2" t="s">
        <v>9258</v>
      </c>
      <c r="C5529" s="2" t="s">
        <v>23</v>
      </c>
      <c r="K5529" s="2">
        <v>50.0</v>
      </c>
      <c r="N5529" s="6">
        <v>45762.0</v>
      </c>
      <c r="Q5529" s="2" t="s">
        <v>241</v>
      </c>
    </row>
    <row r="5530">
      <c r="A5530" s="2">
        <v>5529.0</v>
      </c>
      <c r="B5530" s="2" t="s">
        <v>9259</v>
      </c>
      <c r="C5530" s="2" t="s">
        <v>23</v>
      </c>
      <c r="N5530" s="6">
        <v>43918.0</v>
      </c>
      <c r="Q5530" s="2" t="s">
        <v>86</v>
      </c>
    </row>
    <row r="5531">
      <c r="A5531" s="2">
        <v>5530.0</v>
      </c>
      <c r="B5531" s="2" t="s">
        <v>371</v>
      </c>
      <c r="C5531" s="2" t="s">
        <v>23</v>
      </c>
      <c r="K5531" s="2">
        <v>50.0</v>
      </c>
      <c r="N5531" s="6">
        <v>45085.0</v>
      </c>
      <c r="Q5531" s="2" t="s">
        <v>375</v>
      </c>
    </row>
    <row r="5532">
      <c r="A5532" s="2">
        <v>5531.0</v>
      </c>
      <c r="B5532" s="2" t="s">
        <v>9260</v>
      </c>
      <c r="C5532" s="2" t="s">
        <v>23</v>
      </c>
      <c r="N5532" s="6">
        <v>44429.0</v>
      </c>
      <c r="Q5532" s="2" t="s">
        <v>1466</v>
      </c>
    </row>
    <row r="5533">
      <c r="A5533" s="2">
        <v>5532.0</v>
      </c>
      <c r="B5533" s="2" t="s">
        <v>9261</v>
      </c>
      <c r="C5533" s="2" t="s">
        <v>23</v>
      </c>
      <c r="N5533" s="6">
        <v>45086.0</v>
      </c>
      <c r="Q5533" s="2" t="s">
        <v>9262</v>
      </c>
    </row>
    <row r="5534">
      <c r="A5534" s="2">
        <v>5533.0</v>
      </c>
      <c r="B5534" s="2" t="s">
        <v>9263</v>
      </c>
      <c r="C5534" s="2" t="s">
        <v>23</v>
      </c>
      <c r="K5534" s="2">
        <v>10.0</v>
      </c>
      <c r="N5534" s="6">
        <v>45627.0</v>
      </c>
      <c r="Q5534" s="2" t="s">
        <v>4514</v>
      </c>
    </row>
    <row r="5535">
      <c r="A5535" s="2">
        <v>5534.0</v>
      </c>
      <c r="B5535" s="2" t="s">
        <v>9264</v>
      </c>
      <c r="C5535" s="2" t="s">
        <v>23</v>
      </c>
      <c r="K5535" s="2">
        <v>30.0</v>
      </c>
      <c r="N5535" s="6">
        <v>44623.0</v>
      </c>
      <c r="Q5535" s="2" t="s">
        <v>60</v>
      </c>
    </row>
    <row r="5536">
      <c r="A5536" s="2">
        <v>5535.0</v>
      </c>
      <c r="B5536" s="2" t="s">
        <v>9265</v>
      </c>
      <c r="C5536" s="2" t="s">
        <v>23</v>
      </c>
      <c r="K5536" s="2">
        <v>100.0</v>
      </c>
      <c r="N5536" s="6">
        <v>45731.0</v>
      </c>
      <c r="Q5536" s="2" t="s">
        <v>9266</v>
      </c>
    </row>
    <row r="5537">
      <c r="A5537" s="2">
        <v>5536.0</v>
      </c>
      <c r="B5537" s="2" t="s">
        <v>9267</v>
      </c>
      <c r="C5537" s="2" t="s">
        <v>23</v>
      </c>
      <c r="K5537" s="2">
        <v>700.0</v>
      </c>
      <c r="N5537" s="6">
        <v>44073.0</v>
      </c>
      <c r="Q5537" s="2" t="s">
        <v>9268</v>
      </c>
    </row>
    <row r="5538">
      <c r="A5538" s="2">
        <v>5537.0</v>
      </c>
      <c r="B5538" s="2" t="s">
        <v>9269</v>
      </c>
      <c r="C5538" s="2" t="s">
        <v>23</v>
      </c>
      <c r="K5538" s="2">
        <v>20.0</v>
      </c>
      <c r="N5538" s="6">
        <v>42468.0</v>
      </c>
      <c r="Q5538" s="2" t="s">
        <v>9270</v>
      </c>
    </row>
    <row r="5539">
      <c r="A5539" s="2">
        <v>5538.0</v>
      </c>
      <c r="B5539" s="2" t="s">
        <v>9271</v>
      </c>
      <c r="C5539" s="2" t="s">
        <v>23</v>
      </c>
      <c r="K5539" s="2">
        <v>30.0</v>
      </c>
      <c r="N5539" s="6">
        <v>42816.0</v>
      </c>
      <c r="Q5539" s="2" t="s">
        <v>9272</v>
      </c>
    </row>
    <row r="5540">
      <c r="A5540" s="2">
        <v>5539.0</v>
      </c>
      <c r="B5540" s="2" t="s">
        <v>9273</v>
      </c>
      <c r="C5540" s="2" t="s">
        <v>23</v>
      </c>
      <c r="K5540" s="2">
        <v>30.0</v>
      </c>
      <c r="N5540" s="6">
        <v>43855.0</v>
      </c>
      <c r="Q5540" s="2" t="s">
        <v>175</v>
      </c>
    </row>
    <row r="5541">
      <c r="A5541" s="2">
        <v>5540.0</v>
      </c>
      <c r="B5541" s="2" t="s">
        <v>9274</v>
      </c>
      <c r="C5541" s="2" t="s">
        <v>23</v>
      </c>
      <c r="K5541" s="2">
        <v>10.0</v>
      </c>
      <c r="N5541" s="6">
        <v>43997.0</v>
      </c>
      <c r="Q5541" s="2" t="s">
        <v>200</v>
      </c>
    </row>
    <row r="5542">
      <c r="A5542" s="2">
        <v>5541.0</v>
      </c>
      <c r="B5542" s="2" t="s">
        <v>9275</v>
      </c>
      <c r="C5542" s="2" t="s">
        <v>23</v>
      </c>
      <c r="K5542" s="2">
        <v>10.0</v>
      </c>
      <c r="N5542" s="6">
        <v>44027.0</v>
      </c>
      <c r="Q5542" s="2" t="s">
        <v>9276</v>
      </c>
    </row>
    <row r="5543">
      <c r="A5543" s="2">
        <v>5542.0</v>
      </c>
      <c r="B5543" s="2" t="s">
        <v>9277</v>
      </c>
      <c r="C5543" s="2" t="s">
        <v>23</v>
      </c>
      <c r="K5543" s="2">
        <v>60.0</v>
      </c>
      <c r="N5543" s="6">
        <v>45098.0</v>
      </c>
      <c r="Q5543" s="2" t="s">
        <v>86</v>
      </c>
    </row>
    <row r="5544">
      <c r="A5544" s="2">
        <v>5543.0</v>
      </c>
      <c r="B5544" s="2" t="s">
        <v>9278</v>
      </c>
      <c r="C5544" s="2" t="s">
        <v>23</v>
      </c>
      <c r="N5544" s="6">
        <v>44149.0</v>
      </c>
      <c r="Q5544" s="2" t="s">
        <v>86</v>
      </c>
    </row>
    <row r="5545">
      <c r="A5545" s="2">
        <v>5544.0</v>
      </c>
      <c r="B5545" s="2" t="s">
        <v>9279</v>
      </c>
      <c r="C5545" s="2" t="s">
        <v>23</v>
      </c>
      <c r="K5545" s="2">
        <v>600.0</v>
      </c>
      <c r="N5545" s="6">
        <v>43906.0</v>
      </c>
      <c r="Q5545" s="2" t="s">
        <v>9280</v>
      </c>
    </row>
    <row r="5546">
      <c r="A5546" s="2">
        <v>5545.0</v>
      </c>
      <c r="B5546" s="2" t="s">
        <v>9281</v>
      </c>
      <c r="C5546" s="2" t="s">
        <v>23</v>
      </c>
      <c r="K5546" s="2">
        <v>40.0</v>
      </c>
      <c r="N5546" s="6">
        <v>42429.0</v>
      </c>
      <c r="Q5546" s="2" t="s">
        <v>9282</v>
      </c>
    </row>
    <row r="5547">
      <c r="A5547" s="2">
        <v>5546.0</v>
      </c>
      <c r="B5547" s="2" t="s">
        <v>9283</v>
      </c>
      <c r="C5547" s="2" t="s">
        <v>23</v>
      </c>
      <c r="N5547" s="6">
        <v>44123.0</v>
      </c>
      <c r="Q5547" s="2" t="s">
        <v>86</v>
      </c>
    </row>
    <row r="5548">
      <c r="A5548" s="2">
        <v>5547.0</v>
      </c>
      <c r="B5548" s="2" t="s">
        <v>9284</v>
      </c>
      <c r="C5548" s="2" t="s">
        <v>23</v>
      </c>
      <c r="K5548" s="2">
        <v>40.0</v>
      </c>
      <c r="N5548" s="6">
        <v>44373.0</v>
      </c>
      <c r="Q5548" s="2" t="s">
        <v>1668</v>
      </c>
    </row>
    <row r="5549">
      <c r="A5549" s="2">
        <v>5548.0</v>
      </c>
      <c r="B5549" s="2" t="s">
        <v>9285</v>
      </c>
      <c r="C5549" s="2" t="s">
        <v>23</v>
      </c>
      <c r="K5549" s="2">
        <v>10.0</v>
      </c>
      <c r="N5549" s="6">
        <v>45310.0</v>
      </c>
      <c r="Q5549" s="2" t="s">
        <v>9286</v>
      </c>
    </row>
    <row r="5550">
      <c r="A5550" s="2">
        <v>5549.0</v>
      </c>
      <c r="B5550" s="2" t="s">
        <v>9287</v>
      </c>
      <c r="C5550" s="2" t="s">
        <v>23</v>
      </c>
      <c r="K5550" s="2">
        <v>20.0</v>
      </c>
      <c r="N5550" s="6">
        <v>45418.0</v>
      </c>
      <c r="Q5550" s="2" t="s">
        <v>4961</v>
      </c>
    </row>
    <row r="5551">
      <c r="A5551" s="2">
        <v>5550.0</v>
      </c>
      <c r="B5551" s="2" t="s">
        <v>9288</v>
      </c>
      <c r="C5551" s="2" t="s">
        <v>23</v>
      </c>
      <c r="K5551" s="2">
        <v>40.0</v>
      </c>
      <c r="N5551" s="6">
        <v>44742.0</v>
      </c>
      <c r="Q5551" s="2" t="s">
        <v>295</v>
      </c>
    </row>
    <row r="5552">
      <c r="A5552" s="2">
        <v>5551.0</v>
      </c>
      <c r="B5552" s="2" t="s">
        <v>9289</v>
      </c>
      <c r="C5552" s="2" t="s">
        <v>23</v>
      </c>
      <c r="K5552" s="2">
        <v>70.0</v>
      </c>
      <c r="N5552" s="6">
        <v>44783.0</v>
      </c>
      <c r="Q5552" s="2" t="s">
        <v>491</v>
      </c>
    </row>
    <row r="5553">
      <c r="A5553" s="2">
        <v>5552.0</v>
      </c>
      <c r="B5553" s="2" t="s">
        <v>9290</v>
      </c>
      <c r="C5553" s="2" t="s">
        <v>23</v>
      </c>
      <c r="K5553" s="2">
        <v>80.0</v>
      </c>
      <c r="N5553" s="6">
        <v>42501.0</v>
      </c>
      <c r="Q5553" s="2" t="s">
        <v>86</v>
      </c>
    </row>
    <row r="5554">
      <c r="A5554" s="2">
        <v>5553.0</v>
      </c>
      <c r="B5554" s="2" t="s">
        <v>9291</v>
      </c>
      <c r="C5554" s="2" t="s">
        <v>23</v>
      </c>
      <c r="N5554" s="6">
        <v>44675.0</v>
      </c>
      <c r="Q5554" s="2" t="s">
        <v>86</v>
      </c>
    </row>
    <row r="5555">
      <c r="A5555" s="2">
        <v>5554.0</v>
      </c>
      <c r="B5555" s="2" t="s">
        <v>9292</v>
      </c>
      <c r="C5555" s="2" t="s">
        <v>23</v>
      </c>
      <c r="N5555" s="6">
        <v>43290.0</v>
      </c>
      <c r="Q5555" s="2" t="s">
        <v>86</v>
      </c>
    </row>
    <row r="5556">
      <c r="A5556" s="2">
        <v>5555.0</v>
      </c>
      <c r="B5556" s="2" t="s">
        <v>9293</v>
      </c>
      <c r="C5556" s="2" t="s">
        <v>23</v>
      </c>
      <c r="K5556" s="2">
        <v>40.0</v>
      </c>
      <c r="N5556" s="6">
        <v>44343.0</v>
      </c>
      <c r="Q5556" s="2" t="s">
        <v>1801</v>
      </c>
    </row>
    <row r="5557">
      <c r="A5557" s="2">
        <v>5556.0</v>
      </c>
      <c r="B5557" s="2" t="s">
        <v>9294</v>
      </c>
      <c r="C5557" s="2" t="s">
        <v>23</v>
      </c>
      <c r="N5557" s="6">
        <v>43918.0</v>
      </c>
      <c r="Q5557" s="2" t="s">
        <v>86</v>
      </c>
    </row>
    <row r="5558">
      <c r="A5558" s="2">
        <v>5557.0</v>
      </c>
      <c r="B5558" s="2" t="s">
        <v>9295</v>
      </c>
      <c r="C5558" s="2" t="s">
        <v>23</v>
      </c>
      <c r="N5558" s="6">
        <v>44607.0</v>
      </c>
      <c r="Q5558" s="2" t="s">
        <v>86</v>
      </c>
    </row>
    <row r="5559">
      <c r="A5559" s="2">
        <v>5558.0</v>
      </c>
      <c r="B5559" s="2" t="s">
        <v>9296</v>
      </c>
      <c r="C5559" s="2" t="s">
        <v>23</v>
      </c>
      <c r="N5559" s="6">
        <v>42958.0</v>
      </c>
      <c r="Q5559" s="2" t="s">
        <v>86</v>
      </c>
    </row>
    <row r="5560">
      <c r="A5560" s="2">
        <v>5559.0</v>
      </c>
      <c r="B5560" s="2" t="s">
        <v>9297</v>
      </c>
      <c r="C5560" s="2" t="s">
        <v>23</v>
      </c>
      <c r="N5560" s="6">
        <v>44298.0</v>
      </c>
      <c r="Q5560" s="2" t="s">
        <v>86</v>
      </c>
    </row>
    <row r="5561">
      <c r="A5561" s="2">
        <v>5560.0</v>
      </c>
      <c r="B5561" s="2" t="s">
        <v>9298</v>
      </c>
      <c r="C5561" s="2" t="s">
        <v>23</v>
      </c>
      <c r="N5561" s="6">
        <v>45533.0</v>
      </c>
      <c r="Q5561" s="2" t="s">
        <v>3514</v>
      </c>
    </row>
    <row r="5562">
      <c r="A5562" s="2">
        <v>5561.0</v>
      </c>
      <c r="B5562" s="2" t="s">
        <v>9299</v>
      </c>
      <c r="C5562" s="2" t="s">
        <v>23</v>
      </c>
      <c r="K5562" s="2">
        <v>30.0</v>
      </c>
      <c r="N5562" s="6">
        <v>45142.0</v>
      </c>
      <c r="Q5562" s="2" t="s">
        <v>9300</v>
      </c>
    </row>
    <row r="5563">
      <c r="A5563" s="2">
        <v>5562.0</v>
      </c>
      <c r="B5563" s="2" t="s">
        <v>9301</v>
      </c>
      <c r="C5563" s="2" t="s">
        <v>23</v>
      </c>
      <c r="K5563" s="2">
        <v>150.0</v>
      </c>
      <c r="N5563" s="6">
        <v>43967.0</v>
      </c>
      <c r="Q5563" s="2" t="s">
        <v>9302</v>
      </c>
    </row>
    <row r="5564">
      <c r="A5564" s="2">
        <v>5563.0</v>
      </c>
      <c r="B5564" s="2" t="s">
        <v>9303</v>
      </c>
      <c r="C5564" s="2" t="s">
        <v>23</v>
      </c>
      <c r="N5564" s="6">
        <v>44572.0</v>
      </c>
      <c r="Q5564" s="2" t="s">
        <v>86</v>
      </c>
    </row>
    <row r="5565">
      <c r="A5565" s="2">
        <v>5564.0</v>
      </c>
      <c r="B5565" s="2" t="s">
        <v>9304</v>
      </c>
      <c r="C5565" s="2" t="s">
        <v>23</v>
      </c>
      <c r="K5565" s="2">
        <v>10.0</v>
      </c>
      <c r="N5565" s="6">
        <v>44142.0</v>
      </c>
      <c r="Q5565" s="2" t="s">
        <v>9305</v>
      </c>
    </row>
    <row r="5566">
      <c r="A5566" s="2">
        <v>5565.0</v>
      </c>
      <c r="B5566" s="2" t="s">
        <v>9306</v>
      </c>
      <c r="C5566" s="2" t="s">
        <v>23</v>
      </c>
      <c r="K5566" s="2">
        <v>10.0</v>
      </c>
      <c r="N5566" s="6">
        <v>43980.0</v>
      </c>
      <c r="Q5566" s="2" t="s">
        <v>1249</v>
      </c>
    </row>
    <row r="5567">
      <c r="A5567" s="2">
        <v>5566.0</v>
      </c>
      <c r="B5567" s="2" t="s">
        <v>9307</v>
      </c>
      <c r="C5567" s="2" t="s">
        <v>23</v>
      </c>
      <c r="N5567" s="6">
        <v>44011.0</v>
      </c>
      <c r="Q5567" s="2" t="s">
        <v>86</v>
      </c>
    </row>
    <row r="5568">
      <c r="A5568" s="2">
        <v>5567.0</v>
      </c>
      <c r="B5568" s="2" t="s">
        <v>9308</v>
      </c>
      <c r="C5568" s="2" t="s">
        <v>23</v>
      </c>
      <c r="N5568" s="6">
        <v>44230.0</v>
      </c>
      <c r="Q5568" s="2" t="s">
        <v>86</v>
      </c>
    </row>
    <row r="5569">
      <c r="A5569" s="2">
        <v>5568.0</v>
      </c>
      <c r="B5569" s="2" t="s">
        <v>9309</v>
      </c>
      <c r="C5569" s="2" t="s">
        <v>23</v>
      </c>
      <c r="N5569" s="6">
        <v>44462.0</v>
      </c>
      <c r="Q5569" s="2" t="s">
        <v>86</v>
      </c>
    </row>
    <row r="5570">
      <c r="A5570" s="2">
        <v>5569.0</v>
      </c>
      <c r="B5570" s="2" t="s">
        <v>9310</v>
      </c>
      <c r="C5570" s="2" t="s">
        <v>23</v>
      </c>
      <c r="K5570" s="2">
        <v>50.0</v>
      </c>
      <c r="N5570" s="6">
        <v>44198.0</v>
      </c>
      <c r="Q5570" s="2" t="s">
        <v>3341</v>
      </c>
    </row>
    <row r="5571">
      <c r="A5571" s="2">
        <v>5570.0</v>
      </c>
      <c r="B5571" s="2" t="s">
        <v>9311</v>
      </c>
      <c r="C5571" s="2" t="s">
        <v>23</v>
      </c>
      <c r="K5571" s="2">
        <v>20.0</v>
      </c>
      <c r="N5571" s="6">
        <v>44067.0</v>
      </c>
      <c r="Q5571" s="2" t="s">
        <v>94</v>
      </c>
    </row>
    <row r="5572">
      <c r="A5572" s="2">
        <v>5571.0</v>
      </c>
      <c r="B5572" s="2" t="s">
        <v>9312</v>
      </c>
      <c r="C5572" s="2" t="s">
        <v>23</v>
      </c>
      <c r="K5572" s="2">
        <v>60.0</v>
      </c>
      <c r="N5572" s="6">
        <v>44106.0</v>
      </c>
      <c r="Q5572" s="2" t="s">
        <v>60</v>
      </c>
    </row>
    <row r="5573">
      <c r="A5573" s="2">
        <v>5572.0</v>
      </c>
      <c r="B5573" s="2" t="s">
        <v>9313</v>
      </c>
      <c r="C5573" s="2" t="s">
        <v>23</v>
      </c>
      <c r="K5573" s="2">
        <v>10.0</v>
      </c>
      <c r="N5573" s="6">
        <v>45394.0</v>
      </c>
      <c r="Q5573" s="2" t="s">
        <v>546</v>
      </c>
    </row>
    <row r="5574">
      <c r="A5574" s="2">
        <v>5573.0</v>
      </c>
      <c r="B5574" s="2" t="s">
        <v>9314</v>
      </c>
      <c r="C5574" s="2" t="s">
        <v>23</v>
      </c>
      <c r="N5574" s="6">
        <v>44679.0</v>
      </c>
      <c r="Q5574" s="2" t="s">
        <v>86</v>
      </c>
    </row>
    <row r="5575">
      <c r="A5575" s="2">
        <v>5574.0</v>
      </c>
      <c r="B5575" s="2" t="s">
        <v>9315</v>
      </c>
      <c r="C5575" s="2" t="s">
        <v>23</v>
      </c>
      <c r="N5575" s="6">
        <v>45141.0</v>
      </c>
      <c r="Q5575" s="2" t="s">
        <v>86</v>
      </c>
    </row>
    <row r="5576">
      <c r="A5576" s="2">
        <v>5575.0</v>
      </c>
      <c r="B5576" s="2" t="s">
        <v>9316</v>
      </c>
      <c r="C5576" s="2" t="s">
        <v>23</v>
      </c>
      <c r="K5576" s="2">
        <v>30.0</v>
      </c>
      <c r="N5576" s="6">
        <v>45252.0</v>
      </c>
      <c r="Q5576" s="2" t="s">
        <v>2583</v>
      </c>
    </row>
    <row r="5577">
      <c r="A5577" s="2">
        <v>5576.0</v>
      </c>
      <c r="B5577" s="2" t="s">
        <v>9317</v>
      </c>
      <c r="C5577" s="2" t="s">
        <v>23</v>
      </c>
      <c r="N5577" s="6">
        <v>44613.0</v>
      </c>
      <c r="Q5577" s="2" t="s">
        <v>86</v>
      </c>
    </row>
    <row r="5578">
      <c r="A5578" s="2">
        <v>5577.0</v>
      </c>
      <c r="B5578" s="2" t="s">
        <v>9318</v>
      </c>
      <c r="C5578" s="2" t="s">
        <v>23</v>
      </c>
      <c r="K5578" s="2">
        <v>100.0</v>
      </c>
      <c r="N5578" s="6">
        <v>45442.0</v>
      </c>
      <c r="Q5578" s="2" t="s">
        <v>9319</v>
      </c>
    </row>
    <row r="5579">
      <c r="A5579" s="2">
        <v>5578.0</v>
      </c>
      <c r="B5579" s="2" t="s">
        <v>9320</v>
      </c>
      <c r="C5579" s="2" t="s">
        <v>23</v>
      </c>
      <c r="N5579" s="6">
        <v>44142.0</v>
      </c>
      <c r="Q5579" s="2" t="s">
        <v>1070</v>
      </c>
    </row>
    <row r="5580">
      <c r="A5580" s="2">
        <v>5579.0</v>
      </c>
      <c r="B5580" s="2" t="s">
        <v>9321</v>
      </c>
      <c r="C5580" s="2" t="s">
        <v>23</v>
      </c>
      <c r="N5580" s="6">
        <v>44800.0</v>
      </c>
      <c r="Q5580" s="2" t="s">
        <v>86</v>
      </c>
    </row>
    <row r="5581">
      <c r="A5581" s="2">
        <v>5580.0</v>
      </c>
      <c r="B5581" s="2" t="s">
        <v>9322</v>
      </c>
      <c r="C5581" s="2" t="s">
        <v>23</v>
      </c>
      <c r="K5581" s="2">
        <v>10.0</v>
      </c>
      <c r="N5581" s="6">
        <v>45321.0</v>
      </c>
      <c r="Q5581" s="2" t="s">
        <v>9323</v>
      </c>
    </row>
    <row r="5582">
      <c r="A5582" s="2">
        <v>5581.0</v>
      </c>
      <c r="B5582" s="2" t="s">
        <v>9324</v>
      </c>
      <c r="C5582" s="2" t="s">
        <v>23</v>
      </c>
      <c r="K5582" s="2">
        <v>10.0</v>
      </c>
      <c r="N5582" s="6">
        <v>43979.0</v>
      </c>
      <c r="Q5582" s="2" t="s">
        <v>1070</v>
      </c>
    </row>
    <row r="5583">
      <c r="A5583" s="2">
        <v>5582.0</v>
      </c>
      <c r="B5583" s="2" t="s">
        <v>9325</v>
      </c>
      <c r="C5583" s="2" t="s">
        <v>23</v>
      </c>
      <c r="K5583" s="2">
        <v>100.0</v>
      </c>
      <c r="N5583" s="6">
        <v>43928.0</v>
      </c>
      <c r="Q5583" s="2" t="s">
        <v>4780</v>
      </c>
    </row>
    <row r="5584">
      <c r="A5584" s="2">
        <v>5583.0</v>
      </c>
      <c r="B5584" s="2" t="s">
        <v>9326</v>
      </c>
      <c r="C5584" s="2" t="s">
        <v>23</v>
      </c>
      <c r="N5584" s="6">
        <v>44023.0</v>
      </c>
      <c r="Q5584" s="2" t="s">
        <v>86</v>
      </c>
    </row>
    <row r="5585">
      <c r="A5585" s="2">
        <v>5584.0</v>
      </c>
      <c r="B5585" s="2" t="s">
        <v>9327</v>
      </c>
      <c r="C5585" s="2" t="s">
        <v>23</v>
      </c>
      <c r="K5585" s="2">
        <v>10.0</v>
      </c>
      <c r="N5585" s="6">
        <v>44641.0</v>
      </c>
      <c r="Q5585" s="2" t="s">
        <v>86</v>
      </c>
    </row>
    <row r="5586">
      <c r="A5586" s="2">
        <v>5585.0</v>
      </c>
      <c r="B5586" s="2" t="s">
        <v>9328</v>
      </c>
      <c r="C5586" s="2" t="s">
        <v>23</v>
      </c>
      <c r="K5586" s="2">
        <v>150.0</v>
      </c>
      <c r="N5586" s="6">
        <v>45735.0</v>
      </c>
      <c r="Q5586" s="2" t="s">
        <v>9329</v>
      </c>
    </row>
    <row r="5587">
      <c r="A5587" s="2">
        <v>5586.0</v>
      </c>
      <c r="B5587" s="2" t="s">
        <v>9330</v>
      </c>
      <c r="C5587" s="2" t="s">
        <v>23</v>
      </c>
      <c r="K5587" s="2">
        <v>30.0</v>
      </c>
      <c r="N5587" s="6">
        <v>42911.0</v>
      </c>
      <c r="Q5587" s="2" t="s">
        <v>9331</v>
      </c>
    </row>
    <row r="5588">
      <c r="A5588" s="2">
        <v>5587.0</v>
      </c>
      <c r="B5588" s="2" t="s">
        <v>9332</v>
      </c>
      <c r="C5588" s="2" t="s">
        <v>23</v>
      </c>
      <c r="N5588" s="6">
        <v>44465.0</v>
      </c>
      <c r="Q5588" s="2" t="s">
        <v>86</v>
      </c>
    </row>
    <row r="5589">
      <c r="A5589" s="2">
        <v>5588.0</v>
      </c>
      <c r="B5589" s="2" t="s">
        <v>9333</v>
      </c>
      <c r="C5589" s="2" t="s">
        <v>23</v>
      </c>
      <c r="N5589" s="6">
        <v>42648.0</v>
      </c>
      <c r="Q5589" s="2" t="s">
        <v>86</v>
      </c>
    </row>
    <row r="5590">
      <c r="A5590" s="2">
        <v>5589.0</v>
      </c>
      <c r="B5590" s="2" t="s">
        <v>9334</v>
      </c>
      <c r="C5590" s="2" t="s">
        <v>23</v>
      </c>
      <c r="K5590" s="2">
        <v>60.0</v>
      </c>
      <c r="N5590" s="6">
        <v>45619.0</v>
      </c>
      <c r="Q5590" s="2" t="s">
        <v>9335</v>
      </c>
    </row>
    <row r="5591">
      <c r="A5591" s="2">
        <v>5590.0</v>
      </c>
      <c r="B5591" s="2" t="s">
        <v>9336</v>
      </c>
      <c r="C5591" s="2" t="s">
        <v>23</v>
      </c>
      <c r="K5591" s="2">
        <v>100.0</v>
      </c>
      <c r="N5591" s="6">
        <v>43852.0</v>
      </c>
      <c r="Q5591" s="2" t="s">
        <v>9337</v>
      </c>
    </row>
    <row r="5592">
      <c r="A5592" s="2">
        <v>5591.0</v>
      </c>
      <c r="B5592" s="2" t="s">
        <v>9338</v>
      </c>
      <c r="C5592" s="2" t="s">
        <v>23</v>
      </c>
      <c r="K5592" s="2">
        <v>10.0</v>
      </c>
      <c r="N5592" s="6">
        <v>42682.0</v>
      </c>
      <c r="Q5592" s="2" t="s">
        <v>86</v>
      </c>
    </row>
    <row r="5593">
      <c r="A5593" s="2">
        <v>5592.0</v>
      </c>
      <c r="B5593" s="2" t="s">
        <v>9339</v>
      </c>
      <c r="C5593" s="2" t="s">
        <v>23</v>
      </c>
      <c r="K5593" s="2">
        <v>60.0</v>
      </c>
      <c r="N5593" s="6">
        <v>44027.0</v>
      </c>
      <c r="Q5593" s="2" t="s">
        <v>86</v>
      </c>
    </row>
    <row r="5594">
      <c r="A5594" s="2">
        <v>5593.0</v>
      </c>
      <c r="B5594" s="2" t="s">
        <v>9340</v>
      </c>
      <c r="C5594" s="2" t="s">
        <v>23</v>
      </c>
      <c r="K5594" s="2">
        <v>20.0</v>
      </c>
      <c r="N5594" s="6">
        <v>44665.0</v>
      </c>
      <c r="Q5594" s="2" t="s">
        <v>2001</v>
      </c>
    </row>
    <row r="5595">
      <c r="A5595" s="2">
        <v>5594.0</v>
      </c>
      <c r="B5595" s="2" t="s">
        <v>9341</v>
      </c>
      <c r="C5595" s="2" t="s">
        <v>23</v>
      </c>
      <c r="K5595" s="2">
        <v>150.0</v>
      </c>
      <c r="N5595" s="6">
        <v>43883.0</v>
      </c>
      <c r="Q5595" s="2" t="s">
        <v>9342</v>
      </c>
    </row>
    <row r="5596">
      <c r="A5596" s="2">
        <v>5595.0</v>
      </c>
      <c r="B5596" s="2" t="s">
        <v>9343</v>
      </c>
      <c r="C5596" s="2" t="s">
        <v>23</v>
      </c>
      <c r="K5596" s="2">
        <v>40.0</v>
      </c>
      <c r="N5596" s="6">
        <v>45744.0</v>
      </c>
      <c r="Q5596" s="2" t="s">
        <v>3355</v>
      </c>
    </row>
    <row r="5597">
      <c r="A5597" s="2">
        <v>5596.0</v>
      </c>
      <c r="B5597" s="2" t="s">
        <v>9344</v>
      </c>
      <c r="C5597" s="2" t="s">
        <v>23</v>
      </c>
      <c r="N5597" s="6">
        <v>46001.0</v>
      </c>
      <c r="Q5597" s="2" t="s">
        <v>8287</v>
      </c>
    </row>
    <row r="5598">
      <c r="A5598" s="2">
        <v>5597.0</v>
      </c>
      <c r="B5598" s="2" t="s">
        <v>9345</v>
      </c>
      <c r="C5598" s="2" t="s">
        <v>23</v>
      </c>
      <c r="K5598" s="2">
        <v>250.0</v>
      </c>
      <c r="N5598" s="6">
        <v>44918.0</v>
      </c>
      <c r="Q5598" s="2" t="s">
        <v>9346</v>
      </c>
    </row>
    <row r="5599">
      <c r="A5599" s="2">
        <v>5598.0</v>
      </c>
      <c r="B5599" s="2" t="s">
        <v>9347</v>
      </c>
      <c r="C5599" s="2" t="s">
        <v>23</v>
      </c>
      <c r="F5599" s="2">
        <v>1.3</v>
      </c>
      <c r="K5599" s="2">
        <v>500.0</v>
      </c>
      <c r="N5599" s="6">
        <v>43851.0</v>
      </c>
      <c r="Q5599" s="2" t="s">
        <v>9348</v>
      </c>
    </row>
    <row r="5600">
      <c r="A5600" s="2">
        <v>5599.0</v>
      </c>
      <c r="B5600" s="2" t="s">
        <v>9349</v>
      </c>
      <c r="C5600" s="2" t="s">
        <v>23</v>
      </c>
      <c r="K5600" s="2">
        <v>40.0</v>
      </c>
      <c r="N5600" s="6">
        <v>43888.0</v>
      </c>
      <c r="Q5600" s="2" t="s">
        <v>1249</v>
      </c>
    </row>
    <row r="5601">
      <c r="A5601" s="2">
        <v>5600.0</v>
      </c>
      <c r="B5601" s="2" t="s">
        <v>9350</v>
      </c>
      <c r="C5601" s="2" t="s">
        <v>23</v>
      </c>
      <c r="K5601" s="2">
        <v>40.0</v>
      </c>
      <c r="N5601" s="6">
        <v>44227.0</v>
      </c>
      <c r="Q5601" s="2" t="s">
        <v>9351</v>
      </c>
    </row>
    <row r="5602">
      <c r="A5602" s="2">
        <v>5601.0</v>
      </c>
      <c r="B5602" s="2" t="s">
        <v>9352</v>
      </c>
      <c r="C5602" s="2" t="s">
        <v>23</v>
      </c>
      <c r="K5602" s="2">
        <v>10.0</v>
      </c>
      <c r="N5602" s="6">
        <v>44274.0</v>
      </c>
      <c r="Q5602" s="2" t="s">
        <v>9353</v>
      </c>
    </row>
    <row r="5603">
      <c r="A5603" s="2">
        <v>5602.0</v>
      </c>
      <c r="B5603" s="2" t="s">
        <v>9354</v>
      </c>
      <c r="C5603" s="2" t="s">
        <v>23</v>
      </c>
      <c r="K5603" s="2">
        <v>10.0</v>
      </c>
      <c r="N5603" s="6">
        <v>44104.0</v>
      </c>
      <c r="Q5603" s="2" t="s">
        <v>4320</v>
      </c>
    </row>
    <row r="5604">
      <c r="A5604" s="2">
        <v>5603.0</v>
      </c>
      <c r="B5604" s="2" t="s">
        <v>9355</v>
      </c>
      <c r="C5604" s="2" t="s">
        <v>23</v>
      </c>
      <c r="K5604" s="2">
        <v>20.0</v>
      </c>
      <c r="N5604" s="6">
        <v>45130.0</v>
      </c>
      <c r="Q5604" s="2" t="s">
        <v>1156</v>
      </c>
    </row>
    <row r="5605">
      <c r="A5605" s="2">
        <v>5604.0</v>
      </c>
      <c r="B5605" s="2" t="s">
        <v>9356</v>
      </c>
      <c r="C5605" s="2" t="s">
        <v>23</v>
      </c>
      <c r="K5605" s="2">
        <v>40.0</v>
      </c>
      <c r="N5605" s="6">
        <v>44336.0</v>
      </c>
      <c r="Q5605" s="2" t="s">
        <v>426</v>
      </c>
    </row>
    <row r="5606">
      <c r="A5606" s="2">
        <v>5605.0</v>
      </c>
      <c r="B5606" s="2" t="s">
        <v>9357</v>
      </c>
      <c r="C5606" s="2" t="s">
        <v>23</v>
      </c>
      <c r="K5606" s="2">
        <v>20.0</v>
      </c>
      <c r="N5606" s="6">
        <v>45656.0</v>
      </c>
      <c r="Q5606" s="2" t="s">
        <v>2483</v>
      </c>
    </row>
    <row r="5607">
      <c r="A5607" s="2">
        <v>5606.0</v>
      </c>
      <c r="B5607" s="2" t="s">
        <v>9358</v>
      </c>
      <c r="C5607" s="2" t="s">
        <v>23</v>
      </c>
      <c r="N5607" s="6">
        <v>44633.0</v>
      </c>
      <c r="Q5607" s="2" t="s">
        <v>86</v>
      </c>
    </row>
    <row r="5608">
      <c r="A5608" s="2">
        <v>5607.0</v>
      </c>
      <c r="B5608" s="2" t="s">
        <v>9359</v>
      </c>
      <c r="C5608" s="2" t="s">
        <v>23</v>
      </c>
      <c r="N5608" s="6">
        <v>44495.0</v>
      </c>
      <c r="Q5608" s="2" t="s">
        <v>86</v>
      </c>
    </row>
    <row r="5609">
      <c r="A5609" s="2">
        <v>5608.0</v>
      </c>
      <c r="B5609" s="2" t="s">
        <v>9360</v>
      </c>
      <c r="C5609" s="2" t="s">
        <v>23</v>
      </c>
      <c r="N5609" s="6">
        <v>44124.0</v>
      </c>
      <c r="Q5609" s="2" t="s">
        <v>86</v>
      </c>
    </row>
    <row r="5610">
      <c r="A5610" s="2">
        <v>5609.0</v>
      </c>
      <c r="B5610" s="2" t="s">
        <v>9361</v>
      </c>
      <c r="C5610" s="2" t="s">
        <v>23</v>
      </c>
      <c r="K5610" s="2">
        <v>200.0</v>
      </c>
      <c r="N5610" s="6">
        <v>44635.0</v>
      </c>
      <c r="Q5610" s="2" t="s">
        <v>9362</v>
      </c>
    </row>
    <row r="5611">
      <c r="A5611" s="2">
        <v>5610.0</v>
      </c>
      <c r="B5611" s="2" t="s">
        <v>9363</v>
      </c>
      <c r="C5611" s="2" t="s">
        <v>23</v>
      </c>
      <c r="K5611" s="2">
        <v>20.0</v>
      </c>
      <c r="N5611" s="6">
        <v>44098.0</v>
      </c>
      <c r="Q5611" s="2" t="s">
        <v>9364</v>
      </c>
    </row>
    <row r="5612">
      <c r="A5612" s="2">
        <v>5611.0</v>
      </c>
      <c r="B5612" s="2" t="s">
        <v>9365</v>
      </c>
      <c r="C5612" s="2" t="s">
        <v>23</v>
      </c>
      <c r="K5612" s="2">
        <v>90.0</v>
      </c>
      <c r="N5612" s="6">
        <v>43955.0</v>
      </c>
      <c r="Q5612" s="2" t="s">
        <v>9366</v>
      </c>
    </row>
    <row r="5613">
      <c r="A5613" s="2">
        <v>5612.0</v>
      </c>
      <c r="B5613" s="2" t="s">
        <v>9367</v>
      </c>
      <c r="C5613" s="2" t="s">
        <v>23</v>
      </c>
      <c r="N5613" s="6">
        <v>43172.0</v>
      </c>
      <c r="Q5613" s="2" t="s">
        <v>86</v>
      </c>
    </row>
    <row r="5614">
      <c r="A5614" s="2">
        <v>5613.0</v>
      </c>
      <c r="B5614" s="2" t="s">
        <v>9368</v>
      </c>
      <c r="C5614" s="2" t="s">
        <v>23</v>
      </c>
      <c r="K5614" s="2">
        <v>40.0</v>
      </c>
      <c r="N5614" s="6">
        <v>45405.0</v>
      </c>
      <c r="Q5614" s="2" t="s">
        <v>86</v>
      </c>
    </row>
    <row r="5615">
      <c r="A5615" s="2">
        <v>5614.0</v>
      </c>
      <c r="B5615" s="2" t="s">
        <v>9369</v>
      </c>
      <c r="C5615" s="2" t="s">
        <v>23</v>
      </c>
      <c r="K5615" s="2">
        <v>10.0</v>
      </c>
      <c r="N5615" s="6">
        <v>45525.0</v>
      </c>
      <c r="Q5615" s="2" t="s">
        <v>3584</v>
      </c>
    </row>
    <row r="5616">
      <c r="A5616" s="2">
        <v>5615.0</v>
      </c>
      <c r="B5616" s="2" t="s">
        <v>9370</v>
      </c>
      <c r="C5616" s="2" t="s">
        <v>23</v>
      </c>
      <c r="N5616" s="6">
        <v>45394.0</v>
      </c>
      <c r="Q5616" s="2" t="s">
        <v>2583</v>
      </c>
    </row>
    <row r="5617">
      <c r="A5617" s="2">
        <v>5616.0</v>
      </c>
      <c r="B5617" s="2" t="s">
        <v>9371</v>
      </c>
      <c r="C5617" s="2" t="s">
        <v>23</v>
      </c>
      <c r="K5617" s="2">
        <v>60.0</v>
      </c>
      <c r="N5617" s="6">
        <v>44455.0</v>
      </c>
      <c r="Q5617" s="2" t="s">
        <v>9372</v>
      </c>
    </row>
    <row r="5618">
      <c r="A5618" s="2">
        <v>5617.0</v>
      </c>
      <c r="B5618" s="2" t="s">
        <v>9373</v>
      </c>
      <c r="C5618" s="2" t="s">
        <v>23</v>
      </c>
      <c r="N5618" s="6">
        <v>42926.0</v>
      </c>
      <c r="Q5618" s="2" t="s">
        <v>86</v>
      </c>
    </row>
    <row r="5619">
      <c r="A5619" s="2">
        <v>5618.0</v>
      </c>
      <c r="B5619" s="2" t="s">
        <v>9374</v>
      </c>
      <c r="C5619" s="2" t="s">
        <v>23</v>
      </c>
      <c r="K5619" s="2">
        <v>20.0</v>
      </c>
      <c r="N5619" s="6">
        <v>44623.0</v>
      </c>
      <c r="Q5619" s="2" t="s">
        <v>86</v>
      </c>
    </row>
    <row r="5620">
      <c r="A5620" s="2">
        <v>5619.0</v>
      </c>
      <c r="B5620" s="2" t="s">
        <v>9375</v>
      </c>
      <c r="C5620" s="2" t="s">
        <v>23</v>
      </c>
      <c r="N5620" s="6">
        <v>43938.0</v>
      </c>
      <c r="Q5620" s="2" t="s">
        <v>86</v>
      </c>
    </row>
    <row r="5621">
      <c r="A5621" s="2">
        <v>5620.0</v>
      </c>
      <c r="B5621" s="2" t="s">
        <v>9376</v>
      </c>
      <c r="C5621" s="2" t="s">
        <v>23</v>
      </c>
      <c r="N5621" s="6">
        <v>44945.0</v>
      </c>
      <c r="Q5621" s="2" t="s">
        <v>86</v>
      </c>
    </row>
    <row r="5622">
      <c r="A5622" s="2">
        <v>5621.0</v>
      </c>
      <c r="B5622" s="2" t="s">
        <v>9377</v>
      </c>
      <c r="C5622" s="2" t="s">
        <v>23</v>
      </c>
      <c r="N5622" s="6">
        <v>44990.0</v>
      </c>
      <c r="Q5622" s="2" t="s">
        <v>86</v>
      </c>
    </row>
    <row r="5623">
      <c r="A5623" s="2">
        <v>5622.0</v>
      </c>
      <c r="B5623" s="2" t="s">
        <v>9378</v>
      </c>
      <c r="C5623" s="2" t="s">
        <v>23</v>
      </c>
      <c r="K5623" s="2">
        <v>150.0</v>
      </c>
      <c r="N5623" s="6">
        <v>43837.0</v>
      </c>
      <c r="Q5623" s="2" t="s">
        <v>5554</v>
      </c>
    </row>
    <row r="5624">
      <c r="A5624" s="2">
        <v>5623.0</v>
      </c>
      <c r="B5624" s="2" t="s">
        <v>9379</v>
      </c>
      <c r="C5624" s="2" t="s">
        <v>23</v>
      </c>
      <c r="N5624" s="6">
        <v>43903.0</v>
      </c>
      <c r="Q5624" s="2" t="s">
        <v>86</v>
      </c>
    </row>
    <row r="5625">
      <c r="A5625" s="2">
        <v>5624.0</v>
      </c>
      <c r="B5625" s="2" t="s">
        <v>9380</v>
      </c>
      <c r="C5625" s="2" t="s">
        <v>23</v>
      </c>
      <c r="N5625" s="6">
        <v>44581.0</v>
      </c>
      <c r="Q5625" s="2" t="s">
        <v>1156</v>
      </c>
    </row>
    <row r="5626">
      <c r="A5626" s="2">
        <v>5625.0</v>
      </c>
      <c r="B5626" s="2" t="s">
        <v>9381</v>
      </c>
      <c r="C5626" s="2" t="s">
        <v>23</v>
      </c>
      <c r="N5626" s="6">
        <v>44439.0</v>
      </c>
      <c r="Q5626" s="2" t="s">
        <v>86</v>
      </c>
    </row>
    <row r="5627">
      <c r="A5627" s="2">
        <v>5626.0</v>
      </c>
      <c r="B5627" s="2" t="s">
        <v>9382</v>
      </c>
      <c r="C5627" s="2" t="s">
        <v>23</v>
      </c>
      <c r="N5627" s="6">
        <v>44217.0</v>
      </c>
      <c r="Q5627" s="2" t="s">
        <v>86</v>
      </c>
    </row>
    <row r="5628">
      <c r="A5628" s="2">
        <v>5627.0</v>
      </c>
      <c r="B5628" s="2" t="s">
        <v>9383</v>
      </c>
      <c r="C5628" s="2" t="s">
        <v>23</v>
      </c>
      <c r="N5628" s="6">
        <v>44385.0</v>
      </c>
      <c r="Q5628" s="2" t="s">
        <v>86</v>
      </c>
    </row>
    <row r="5629">
      <c r="A5629" s="2">
        <v>5628.0</v>
      </c>
      <c r="B5629" s="2" t="s">
        <v>9384</v>
      </c>
      <c r="C5629" s="2" t="s">
        <v>23</v>
      </c>
      <c r="N5629" s="6">
        <v>44687.0</v>
      </c>
      <c r="Q5629" s="2" t="s">
        <v>86</v>
      </c>
    </row>
    <row r="5630">
      <c r="A5630" s="2">
        <v>5629.0</v>
      </c>
      <c r="B5630" s="2" t="s">
        <v>9385</v>
      </c>
      <c r="C5630" s="2" t="s">
        <v>23</v>
      </c>
      <c r="K5630" s="2">
        <v>50.0</v>
      </c>
      <c r="N5630" s="6">
        <v>44648.0</v>
      </c>
      <c r="Q5630" s="2" t="s">
        <v>7591</v>
      </c>
    </row>
    <row r="5631">
      <c r="A5631" s="2">
        <v>5630.0</v>
      </c>
      <c r="B5631" s="2" t="s">
        <v>9386</v>
      </c>
      <c r="C5631" s="2" t="s">
        <v>23</v>
      </c>
      <c r="N5631" s="6">
        <v>44020.0</v>
      </c>
      <c r="Q5631" s="2" t="s">
        <v>86</v>
      </c>
    </row>
    <row r="5632">
      <c r="A5632" s="2">
        <v>5631.0</v>
      </c>
      <c r="B5632" s="2" t="s">
        <v>9387</v>
      </c>
      <c r="C5632" s="2" t="s">
        <v>23</v>
      </c>
      <c r="N5632" s="6">
        <v>44084.0</v>
      </c>
      <c r="Q5632" s="2" t="s">
        <v>86</v>
      </c>
    </row>
    <row r="5633">
      <c r="A5633" s="2">
        <v>5632.0</v>
      </c>
      <c r="B5633" s="2" t="s">
        <v>9388</v>
      </c>
      <c r="C5633" s="2" t="s">
        <v>23</v>
      </c>
      <c r="K5633" s="2">
        <v>50.0</v>
      </c>
      <c r="N5633" s="6">
        <v>44866.0</v>
      </c>
      <c r="Q5633" s="2" t="s">
        <v>9389</v>
      </c>
    </row>
    <row r="5634">
      <c r="A5634" s="2">
        <v>5633.0</v>
      </c>
      <c r="B5634" s="2" t="s">
        <v>9390</v>
      </c>
      <c r="C5634" s="2" t="s">
        <v>23</v>
      </c>
      <c r="N5634" s="6">
        <v>45158.0</v>
      </c>
      <c r="Q5634" s="2" t="s">
        <v>1116</v>
      </c>
    </row>
    <row r="5635">
      <c r="A5635" s="2">
        <v>5634.0</v>
      </c>
      <c r="B5635" s="2" t="s">
        <v>9391</v>
      </c>
      <c r="C5635" s="2" t="s">
        <v>23</v>
      </c>
      <c r="K5635" s="2">
        <v>60.0</v>
      </c>
      <c r="N5635" s="6">
        <v>44840.0</v>
      </c>
      <c r="Q5635" s="2" t="s">
        <v>9392</v>
      </c>
    </row>
    <row r="5636">
      <c r="A5636" s="2">
        <v>5635.0</v>
      </c>
      <c r="B5636" s="2" t="s">
        <v>9393</v>
      </c>
      <c r="C5636" s="2" t="s">
        <v>23</v>
      </c>
      <c r="N5636" s="6">
        <v>44412.0</v>
      </c>
      <c r="Q5636" s="2" t="s">
        <v>9394</v>
      </c>
    </row>
    <row r="5637">
      <c r="A5637" s="2">
        <v>5636.0</v>
      </c>
      <c r="B5637" s="2" t="s">
        <v>9395</v>
      </c>
      <c r="C5637" s="2" t="s">
        <v>23</v>
      </c>
      <c r="N5637" s="6">
        <v>45406.0</v>
      </c>
      <c r="Q5637" s="2" t="s">
        <v>86</v>
      </c>
    </row>
    <row r="5638">
      <c r="A5638" s="2">
        <v>5637.0</v>
      </c>
      <c r="B5638" s="2" t="s">
        <v>9396</v>
      </c>
      <c r="C5638" s="2" t="s">
        <v>23</v>
      </c>
      <c r="K5638" s="2">
        <v>20.0</v>
      </c>
      <c r="N5638" s="6">
        <v>45598.0</v>
      </c>
      <c r="Q5638" s="2" t="s">
        <v>1734</v>
      </c>
    </row>
    <row r="5639">
      <c r="A5639" s="2">
        <v>5638.0</v>
      </c>
      <c r="B5639" s="2" t="s">
        <v>9397</v>
      </c>
      <c r="C5639" s="2" t="s">
        <v>23</v>
      </c>
      <c r="K5639" s="2">
        <v>50.0</v>
      </c>
      <c r="N5639" s="6">
        <v>43925.0</v>
      </c>
      <c r="Q5639" s="2" t="s">
        <v>9398</v>
      </c>
    </row>
    <row r="5640">
      <c r="A5640" s="2">
        <v>5639.0</v>
      </c>
      <c r="B5640" s="2" t="s">
        <v>9399</v>
      </c>
      <c r="C5640" s="2" t="s">
        <v>23</v>
      </c>
      <c r="N5640" s="6">
        <v>44642.0</v>
      </c>
      <c r="Q5640" s="2" t="s">
        <v>86</v>
      </c>
    </row>
    <row r="5641">
      <c r="A5641" s="2">
        <v>5640.0</v>
      </c>
      <c r="B5641" s="2" t="s">
        <v>9400</v>
      </c>
      <c r="C5641" s="2" t="s">
        <v>23</v>
      </c>
      <c r="K5641" s="2">
        <v>60.0</v>
      </c>
      <c r="N5641" s="6">
        <v>45643.0</v>
      </c>
      <c r="Q5641" s="2" t="s">
        <v>9401</v>
      </c>
    </row>
    <row r="5642">
      <c r="A5642" s="2">
        <v>5641.0</v>
      </c>
      <c r="B5642" s="2" t="s">
        <v>9402</v>
      </c>
      <c r="C5642" s="2" t="s">
        <v>23</v>
      </c>
      <c r="K5642" s="2">
        <v>50.0</v>
      </c>
      <c r="N5642" s="6">
        <v>44064.0</v>
      </c>
      <c r="Q5642" s="2" t="s">
        <v>9403</v>
      </c>
    </row>
    <row r="5643">
      <c r="A5643" s="2">
        <v>5642.0</v>
      </c>
      <c r="B5643" s="2" t="s">
        <v>9404</v>
      </c>
      <c r="C5643" s="2" t="s">
        <v>23</v>
      </c>
      <c r="K5643" s="2">
        <v>20.0</v>
      </c>
      <c r="N5643" s="6">
        <v>44467.0</v>
      </c>
      <c r="Q5643" s="2" t="s">
        <v>401</v>
      </c>
    </row>
    <row r="5644">
      <c r="A5644" s="2">
        <v>5643.0</v>
      </c>
      <c r="B5644" s="2" t="s">
        <v>9405</v>
      </c>
      <c r="C5644" s="2" t="s">
        <v>23</v>
      </c>
      <c r="N5644" s="6">
        <v>44181.0</v>
      </c>
      <c r="Q5644" s="2" t="s">
        <v>1116</v>
      </c>
    </row>
    <row r="5645">
      <c r="A5645" s="2">
        <v>5644.0</v>
      </c>
      <c r="B5645" s="2" t="s">
        <v>9406</v>
      </c>
      <c r="C5645" s="2" t="s">
        <v>23</v>
      </c>
      <c r="K5645" s="2">
        <v>20.0</v>
      </c>
      <c r="N5645" s="6">
        <v>44921.0</v>
      </c>
      <c r="Q5645" s="2" t="s">
        <v>9407</v>
      </c>
    </row>
    <row r="5646">
      <c r="A5646" s="2">
        <v>5645.0</v>
      </c>
      <c r="B5646" s="2" t="s">
        <v>9408</v>
      </c>
      <c r="C5646" s="2" t="s">
        <v>23</v>
      </c>
      <c r="N5646" s="6">
        <v>44564.0</v>
      </c>
      <c r="Q5646" s="2" t="s">
        <v>86</v>
      </c>
    </row>
    <row r="5647">
      <c r="A5647" s="2">
        <v>5646.0</v>
      </c>
      <c r="B5647" s="2" t="s">
        <v>9409</v>
      </c>
      <c r="C5647" s="2" t="s">
        <v>23</v>
      </c>
      <c r="N5647" s="6">
        <v>44176.0</v>
      </c>
      <c r="Q5647" s="2" t="s">
        <v>86</v>
      </c>
    </row>
    <row r="5648">
      <c r="A5648" s="2">
        <v>5647.0</v>
      </c>
      <c r="B5648" s="2" t="s">
        <v>9410</v>
      </c>
      <c r="C5648" s="2" t="s">
        <v>23</v>
      </c>
      <c r="K5648" s="2">
        <v>100.0</v>
      </c>
      <c r="N5648" s="6">
        <v>43864.0</v>
      </c>
      <c r="Q5648" s="2" t="s">
        <v>9411</v>
      </c>
    </row>
    <row r="5649">
      <c r="A5649" s="2">
        <v>5648.0</v>
      </c>
      <c r="B5649" s="2" t="s">
        <v>9412</v>
      </c>
      <c r="C5649" s="2" t="s">
        <v>23</v>
      </c>
      <c r="K5649" s="2">
        <v>60.0</v>
      </c>
      <c r="N5649" s="6">
        <v>43891.0</v>
      </c>
      <c r="Q5649" s="2" t="s">
        <v>9413</v>
      </c>
    </row>
    <row r="5650">
      <c r="A5650" s="2">
        <v>5649.0</v>
      </c>
      <c r="B5650" s="2" t="s">
        <v>9414</v>
      </c>
      <c r="C5650" s="2" t="s">
        <v>23</v>
      </c>
      <c r="N5650" s="6">
        <v>42572.0</v>
      </c>
      <c r="Q5650" s="2" t="s">
        <v>86</v>
      </c>
    </row>
    <row r="5651">
      <c r="A5651" s="2">
        <v>5650.0</v>
      </c>
      <c r="B5651" s="2" t="s">
        <v>9415</v>
      </c>
      <c r="C5651" s="2" t="s">
        <v>23</v>
      </c>
      <c r="N5651" s="6">
        <v>44105.0</v>
      </c>
      <c r="Q5651" s="2" t="s">
        <v>86</v>
      </c>
    </row>
    <row r="5652">
      <c r="A5652" s="2">
        <v>5651.0</v>
      </c>
      <c r="B5652" s="2" t="s">
        <v>9416</v>
      </c>
      <c r="C5652" s="2" t="s">
        <v>23</v>
      </c>
      <c r="K5652" s="2">
        <v>80.0</v>
      </c>
      <c r="N5652" s="6">
        <v>44051.0</v>
      </c>
      <c r="Q5652" s="2" t="s">
        <v>9417</v>
      </c>
    </row>
    <row r="5653">
      <c r="A5653" s="2">
        <v>5652.0</v>
      </c>
      <c r="B5653" s="2" t="s">
        <v>9418</v>
      </c>
      <c r="C5653" s="2" t="s">
        <v>23</v>
      </c>
      <c r="N5653" s="6">
        <v>46009.0</v>
      </c>
      <c r="Q5653" s="2" t="s">
        <v>8254</v>
      </c>
    </row>
    <row r="5654">
      <c r="A5654" s="2">
        <v>5653.0</v>
      </c>
      <c r="B5654" s="2" t="s">
        <v>9419</v>
      </c>
      <c r="C5654" s="2" t="s">
        <v>23</v>
      </c>
      <c r="N5654" s="6">
        <v>45326.0</v>
      </c>
      <c r="Q5654" s="2" t="s">
        <v>86</v>
      </c>
    </row>
    <row r="5655">
      <c r="A5655" s="2">
        <v>5654.0</v>
      </c>
      <c r="B5655" s="2" t="s">
        <v>9420</v>
      </c>
      <c r="C5655" s="2" t="s">
        <v>23</v>
      </c>
      <c r="N5655" s="6">
        <v>45959.0</v>
      </c>
      <c r="Q5655" s="2" t="s">
        <v>9421</v>
      </c>
    </row>
    <row r="5656">
      <c r="A5656" s="2">
        <v>5655.0</v>
      </c>
      <c r="B5656" s="2" t="s">
        <v>9422</v>
      </c>
      <c r="C5656" s="2" t="s">
        <v>23</v>
      </c>
      <c r="N5656" s="6">
        <v>42958.0</v>
      </c>
      <c r="Q5656" s="2" t="s">
        <v>86</v>
      </c>
    </row>
    <row r="5657">
      <c r="A5657" s="2">
        <v>5656.0</v>
      </c>
      <c r="B5657" s="2" t="s">
        <v>9423</v>
      </c>
      <c r="C5657" s="2" t="s">
        <v>23</v>
      </c>
      <c r="K5657" s="2">
        <v>20.0</v>
      </c>
      <c r="N5657" s="6">
        <v>45144.0</v>
      </c>
      <c r="Q5657" s="2" t="s">
        <v>86</v>
      </c>
    </row>
    <row r="5658">
      <c r="A5658" s="2">
        <v>5657.0</v>
      </c>
      <c r="B5658" s="2" t="s">
        <v>9424</v>
      </c>
      <c r="C5658" s="2" t="s">
        <v>23</v>
      </c>
      <c r="K5658" s="2">
        <v>150.0</v>
      </c>
      <c r="N5658" s="6">
        <v>43977.0</v>
      </c>
      <c r="Q5658" s="2" t="s">
        <v>1094</v>
      </c>
    </row>
    <row r="5659">
      <c r="A5659" s="2">
        <v>5658.0</v>
      </c>
      <c r="B5659" s="2" t="s">
        <v>9425</v>
      </c>
      <c r="C5659" s="2" t="s">
        <v>23</v>
      </c>
      <c r="N5659" s="6">
        <v>45246.0</v>
      </c>
      <c r="Q5659" s="2" t="s">
        <v>86</v>
      </c>
    </row>
    <row r="5660">
      <c r="A5660" s="2">
        <v>5659.0</v>
      </c>
      <c r="B5660" s="2" t="s">
        <v>9426</v>
      </c>
      <c r="C5660" s="2" t="s">
        <v>23</v>
      </c>
      <c r="N5660" s="6">
        <v>44836.0</v>
      </c>
      <c r="Q5660" s="2" t="s">
        <v>86</v>
      </c>
    </row>
    <row r="5661">
      <c r="A5661" s="2">
        <v>5660.0</v>
      </c>
      <c r="B5661" s="2" t="s">
        <v>9427</v>
      </c>
      <c r="C5661" s="2" t="s">
        <v>23</v>
      </c>
      <c r="N5661" s="6">
        <v>45497.0</v>
      </c>
      <c r="Q5661" s="2" t="s">
        <v>491</v>
      </c>
    </row>
    <row r="5662">
      <c r="A5662" s="2">
        <v>5661.0</v>
      </c>
      <c r="B5662" s="2" t="s">
        <v>9428</v>
      </c>
      <c r="C5662" s="2" t="s">
        <v>23</v>
      </c>
      <c r="N5662" s="6">
        <v>42928.0</v>
      </c>
      <c r="Q5662" s="2" t="s">
        <v>86</v>
      </c>
    </row>
    <row r="5663">
      <c r="A5663" s="2">
        <v>5662.0</v>
      </c>
      <c r="B5663" s="2" t="s">
        <v>9429</v>
      </c>
      <c r="C5663" s="2" t="s">
        <v>23</v>
      </c>
      <c r="K5663" s="2">
        <v>90.0</v>
      </c>
      <c r="N5663" s="6">
        <v>44124.0</v>
      </c>
      <c r="Q5663" s="2" t="s">
        <v>6303</v>
      </c>
    </row>
    <row r="5664">
      <c r="A5664" s="2">
        <v>5663.0</v>
      </c>
      <c r="B5664" s="2" t="s">
        <v>9430</v>
      </c>
      <c r="C5664" s="2" t="s">
        <v>23</v>
      </c>
      <c r="K5664" s="2">
        <v>60.0</v>
      </c>
      <c r="N5664" s="6">
        <v>44337.0</v>
      </c>
      <c r="Q5664" s="2" t="s">
        <v>9431</v>
      </c>
    </row>
    <row r="5665">
      <c r="A5665" s="2">
        <v>5664.0</v>
      </c>
      <c r="B5665" s="2" t="s">
        <v>9432</v>
      </c>
      <c r="C5665" s="2" t="s">
        <v>23</v>
      </c>
      <c r="K5665" s="2">
        <v>10.0</v>
      </c>
      <c r="N5665" s="6">
        <v>42991.0</v>
      </c>
      <c r="Q5665" s="2" t="s">
        <v>86</v>
      </c>
    </row>
    <row r="5666">
      <c r="A5666" s="2">
        <v>5665.0</v>
      </c>
      <c r="B5666" s="2" t="s">
        <v>9433</v>
      </c>
      <c r="C5666" s="2" t="s">
        <v>23</v>
      </c>
      <c r="K5666" s="2">
        <v>150.0</v>
      </c>
      <c r="N5666" s="6">
        <v>43950.0</v>
      </c>
      <c r="Q5666" s="2" t="s">
        <v>86</v>
      </c>
    </row>
    <row r="5667">
      <c r="A5667" s="2">
        <v>5666.0</v>
      </c>
      <c r="B5667" s="2" t="s">
        <v>9434</v>
      </c>
      <c r="C5667" s="2" t="s">
        <v>23</v>
      </c>
      <c r="K5667" s="2">
        <v>100.0</v>
      </c>
      <c r="N5667" s="6">
        <v>45415.0</v>
      </c>
      <c r="Q5667" s="2" t="s">
        <v>8952</v>
      </c>
    </row>
    <row r="5668">
      <c r="A5668" s="2">
        <v>5667.0</v>
      </c>
      <c r="B5668" s="2" t="s">
        <v>9435</v>
      </c>
      <c r="C5668" s="2" t="s">
        <v>23</v>
      </c>
      <c r="K5668" s="2">
        <v>40.0</v>
      </c>
      <c r="N5668" s="6">
        <v>43922.0</v>
      </c>
      <c r="Q5668" s="2" t="s">
        <v>5802</v>
      </c>
    </row>
    <row r="5669">
      <c r="A5669" s="2">
        <v>5668.0</v>
      </c>
      <c r="B5669" s="2" t="s">
        <v>9436</v>
      </c>
      <c r="C5669" s="2" t="s">
        <v>23</v>
      </c>
      <c r="K5669" s="2">
        <v>100.0</v>
      </c>
      <c r="N5669" s="6">
        <v>45697.0</v>
      </c>
      <c r="Q5669" s="2" t="s">
        <v>9437</v>
      </c>
    </row>
    <row r="5670">
      <c r="A5670" s="2">
        <v>5669.0</v>
      </c>
      <c r="B5670" s="2" t="s">
        <v>9438</v>
      </c>
      <c r="C5670" s="2" t="s">
        <v>23</v>
      </c>
      <c r="K5670" s="2">
        <v>30.0</v>
      </c>
      <c r="N5670" s="6">
        <v>45506.0</v>
      </c>
      <c r="Q5670" s="2" t="s">
        <v>9439</v>
      </c>
    </row>
    <row r="5671">
      <c r="A5671" s="2">
        <v>5670.0</v>
      </c>
      <c r="B5671" s="2" t="s">
        <v>9440</v>
      </c>
      <c r="C5671" s="2" t="s">
        <v>23</v>
      </c>
      <c r="K5671" s="2">
        <v>40.0</v>
      </c>
      <c r="N5671" s="6">
        <v>45747.0</v>
      </c>
      <c r="Q5671" s="2" t="s">
        <v>9441</v>
      </c>
    </row>
    <row r="5672">
      <c r="A5672" s="2">
        <v>5671.0</v>
      </c>
      <c r="B5672" s="2" t="s">
        <v>9442</v>
      </c>
      <c r="C5672" s="2" t="s">
        <v>23</v>
      </c>
      <c r="N5672" s="6">
        <v>44483.0</v>
      </c>
      <c r="Q5672" s="2" t="s">
        <v>86</v>
      </c>
    </row>
    <row r="5673">
      <c r="A5673" s="2">
        <v>5672.0</v>
      </c>
      <c r="B5673" s="2" t="s">
        <v>9443</v>
      </c>
      <c r="C5673" s="2" t="s">
        <v>23</v>
      </c>
      <c r="K5673" s="2">
        <v>50.0</v>
      </c>
      <c r="N5673" s="6">
        <v>45498.0</v>
      </c>
      <c r="Q5673" s="2" t="s">
        <v>9444</v>
      </c>
    </row>
    <row r="5674">
      <c r="A5674" s="2">
        <v>5673.0</v>
      </c>
      <c r="B5674" s="2" t="s">
        <v>9445</v>
      </c>
      <c r="C5674" s="2" t="s">
        <v>23</v>
      </c>
      <c r="K5674" s="2">
        <v>50.0</v>
      </c>
      <c r="N5674" s="6">
        <v>44076.0</v>
      </c>
      <c r="Q5674" s="2" t="s">
        <v>1279</v>
      </c>
    </row>
    <row r="5675">
      <c r="A5675" s="2">
        <v>5674.0</v>
      </c>
      <c r="B5675" s="2" t="s">
        <v>9446</v>
      </c>
      <c r="C5675" s="2" t="s">
        <v>23</v>
      </c>
      <c r="K5675" s="2">
        <v>50.0</v>
      </c>
      <c r="N5675" s="6">
        <v>44600.0</v>
      </c>
      <c r="Q5675" s="2" t="s">
        <v>86</v>
      </c>
    </row>
    <row r="5676">
      <c r="A5676" s="2">
        <v>5675.0</v>
      </c>
      <c r="B5676" s="2" t="s">
        <v>9447</v>
      </c>
      <c r="C5676" s="2" t="s">
        <v>23</v>
      </c>
      <c r="K5676" s="2">
        <v>20.0</v>
      </c>
      <c r="N5676" s="6">
        <v>44420.0</v>
      </c>
      <c r="Q5676" s="2" t="s">
        <v>86</v>
      </c>
    </row>
    <row r="5677">
      <c r="A5677" s="2">
        <v>5676.0</v>
      </c>
      <c r="B5677" s="2" t="s">
        <v>9448</v>
      </c>
      <c r="C5677" s="2" t="s">
        <v>23</v>
      </c>
      <c r="N5677" s="6">
        <v>45115.0</v>
      </c>
      <c r="Q5677" s="2" t="s">
        <v>1116</v>
      </c>
    </row>
    <row r="5678">
      <c r="A5678" s="2">
        <v>5677.0</v>
      </c>
      <c r="B5678" s="2" t="s">
        <v>376</v>
      </c>
      <c r="C5678" s="2" t="s">
        <v>23</v>
      </c>
      <c r="N5678" s="6">
        <v>43338.0</v>
      </c>
      <c r="Q5678" s="2" t="s">
        <v>86</v>
      </c>
    </row>
    <row r="5679">
      <c r="A5679" s="2">
        <v>5678.0</v>
      </c>
      <c r="B5679" s="2" t="s">
        <v>9449</v>
      </c>
      <c r="C5679" s="2" t="s">
        <v>23</v>
      </c>
      <c r="N5679" s="6">
        <v>44204.0</v>
      </c>
      <c r="Q5679" s="2" t="s">
        <v>86</v>
      </c>
    </row>
    <row r="5680">
      <c r="A5680" s="2">
        <v>5679.0</v>
      </c>
      <c r="B5680" s="2" t="s">
        <v>9450</v>
      </c>
      <c r="C5680" s="2" t="s">
        <v>23</v>
      </c>
      <c r="K5680" s="2">
        <v>30.0</v>
      </c>
      <c r="N5680" s="6">
        <v>45085.0</v>
      </c>
      <c r="Q5680" s="2" t="s">
        <v>86</v>
      </c>
    </row>
    <row r="5681">
      <c r="A5681" s="2">
        <v>5680.0</v>
      </c>
      <c r="B5681" s="2" t="s">
        <v>9451</v>
      </c>
      <c r="C5681" s="2" t="s">
        <v>23</v>
      </c>
      <c r="K5681" s="2">
        <v>30.0</v>
      </c>
      <c r="N5681" s="6">
        <v>42545.0</v>
      </c>
      <c r="Q5681" s="2" t="s">
        <v>9452</v>
      </c>
    </row>
    <row r="5682">
      <c r="A5682" s="2">
        <v>5681.0</v>
      </c>
      <c r="B5682" s="2" t="s">
        <v>9453</v>
      </c>
      <c r="C5682" s="2" t="s">
        <v>23</v>
      </c>
      <c r="N5682" s="6">
        <v>44297.0</v>
      </c>
      <c r="Q5682" s="2" t="s">
        <v>86</v>
      </c>
    </row>
    <row r="5683">
      <c r="A5683" s="2">
        <v>5682.0</v>
      </c>
      <c r="B5683" s="2" t="s">
        <v>9454</v>
      </c>
      <c r="C5683" s="2" t="s">
        <v>23</v>
      </c>
      <c r="N5683" s="6">
        <v>45633.0</v>
      </c>
      <c r="Q5683" s="2" t="s">
        <v>3770</v>
      </c>
    </row>
    <row r="5684">
      <c r="A5684" s="2">
        <v>5683.0</v>
      </c>
      <c r="B5684" s="2" t="s">
        <v>9455</v>
      </c>
      <c r="C5684" s="2" t="s">
        <v>23</v>
      </c>
      <c r="N5684" s="6">
        <v>44017.0</v>
      </c>
      <c r="Q5684" s="2" t="s">
        <v>86</v>
      </c>
    </row>
    <row r="5685">
      <c r="A5685" s="2">
        <v>5684.0</v>
      </c>
      <c r="B5685" s="2" t="s">
        <v>9456</v>
      </c>
      <c r="C5685" s="2" t="s">
        <v>23</v>
      </c>
      <c r="N5685" s="6">
        <v>42254.0</v>
      </c>
      <c r="Q5685" s="2" t="s">
        <v>86</v>
      </c>
    </row>
    <row r="5686">
      <c r="A5686" s="2">
        <v>5685.0</v>
      </c>
      <c r="B5686" s="2" t="s">
        <v>9457</v>
      </c>
      <c r="C5686" s="2" t="s">
        <v>23</v>
      </c>
      <c r="K5686" s="2">
        <v>60.0</v>
      </c>
      <c r="N5686" s="6">
        <v>44885.0</v>
      </c>
      <c r="Q5686" s="2" t="s">
        <v>9458</v>
      </c>
    </row>
    <row r="5687">
      <c r="A5687" s="2">
        <v>5686.0</v>
      </c>
      <c r="B5687" s="2" t="s">
        <v>9459</v>
      </c>
      <c r="C5687" s="2" t="s">
        <v>23</v>
      </c>
      <c r="N5687" s="6">
        <v>44556.0</v>
      </c>
      <c r="Q5687" s="2" t="s">
        <v>86</v>
      </c>
    </row>
    <row r="5688">
      <c r="A5688" s="2">
        <v>5687.0</v>
      </c>
      <c r="B5688" s="2" t="s">
        <v>9460</v>
      </c>
      <c r="C5688" s="2" t="s">
        <v>23</v>
      </c>
      <c r="N5688" s="6">
        <v>45131.0</v>
      </c>
      <c r="Q5688" s="2" t="s">
        <v>9461</v>
      </c>
    </row>
    <row r="5689">
      <c r="A5689" s="2">
        <v>5688.0</v>
      </c>
      <c r="B5689" s="2" t="s">
        <v>9462</v>
      </c>
      <c r="C5689" s="2" t="s">
        <v>23</v>
      </c>
      <c r="K5689" s="2">
        <v>30.0</v>
      </c>
      <c r="N5689" s="6">
        <v>44179.0</v>
      </c>
      <c r="Q5689" s="2" t="s">
        <v>9463</v>
      </c>
    </row>
    <row r="5690">
      <c r="A5690" s="2">
        <v>5689.0</v>
      </c>
      <c r="B5690" s="2" t="s">
        <v>9464</v>
      </c>
      <c r="C5690" s="2" t="s">
        <v>23</v>
      </c>
      <c r="K5690" s="2">
        <v>20.0</v>
      </c>
      <c r="N5690" s="6">
        <v>44796.0</v>
      </c>
      <c r="Q5690" s="2" t="s">
        <v>1466</v>
      </c>
    </row>
    <row r="5691">
      <c r="A5691" s="2">
        <v>5690.0</v>
      </c>
      <c r="B5691" s="2" t="s">
        <v>9465</v>
      </c>
      <c r="C5691" s="2" t="s">
        <v>23</v>
      </c>
      <c r="N5691" s="6">
        <v>42796.0</v>
      </c>
      <c r="Q5691" s="2" t="s">
        <v>9466</v>
      </c>
    </row>
    <row r="5692">
      <c r="A5692" s="2">
        <v>5691.0</v>
      </c>
      <c r="B5692" s="2" t="s">
        <v>9467</v>
      </c>
      <c r="C5692" s="2" t="s">
        <v>23</v>
      </c>
      <c r="K5692" s="2">
        <v>30.0</v>
      </c>
      <c r="N5692" s="6">
        <v>43488.0</v>
      </c>
      <c r="Q5692" s="2" t="s">
        <v>546</v>
      </c>
    </row>
    <row r="5693">
      <c r="A5693" s="2">
        <v>5692.0</v>
      </c>
      <c r="B5693" s="2" t="s">
        <v>9468</v>
      </c>
      <c r="C5693" s="2" t="s">
        <v>23</v>
      </c>
      <c r="K5693" s="2">
        <v>20.0</v>
      </c>
      <c r="N5693" s="6">
        <v>44013.0</v>
      </c>
      <c r="Q5693" s="2" t="s">
        <v>9469</v>
      </c>
    </row>
    <row r="5694">
      <c r="A5694" s="2">
        <v>5693.0</v>
      </c>
      <c r="B5694" s="2" t="s">
        <v>9470</v>
      </c>
      <c r="C5694" s="2" t="s">
        <v>23</v>
      </c>
      <c r="K5694" s="2">
        <v>40.0</v>
      </c>
      <c r="N5694" s="6">
        <v>44251.0</v>
      </c>
      <c r="Q5694" s="2" t="s">
        <v>9471</v>
      </c>
    </row>
    <row r="5695">
      <c r="A5695" s="2">
        <v>5694.0</v>
      </c>
      <c r="B5695" s="2" t="s">
        <v>9472</v>
      </c>
      <c r="C5695" s="2" t="s">
        <v>23</v>
      </c>
      <c r="K5695" s="2">
        <v>350.0</v>
      </c>
      <c r="N5695" s="6">
        <v>43880.0</v>
      </c>
      <c r="Q5695" s="2" t="s">
        <v>9473</v>
      </c>
    </row>
    <row r="5696">
      <c r="A5696" s="2">
        <v>5695.0</v>
      </c>
      <c r="B5696" s="2" t="s">
        <v>9474</v>
      </c>
      <c r="C5696" s="2" t="s">
        <v>23</v>
      </c>
      <c r="K5696" s="2">
        <v>20.0</v>
      </c>
      <c r="N5696" s="6">
        <v>45781.0</v>
      </c>
      <c r="Q5696" s="2" t="s">
        <v>9475</v>
      </c>
    </row>
    <row r="5697">
      <c r="A5697" s="2">
        <v>5696.0</v>
      </c>
      <c r="B5697" s="2" t="s">
        <v>9476</v>
      </c>
      <c r="C5697" s="2" t="s">
        <v>23</v>
      </c>
      <c r="K5697" s="2">
        <v>60.0</v>
      </c>
      <c r="N5697" s="6">
        <v>45220.0</v>
      </c>
      <c r="Q5697" s="2" t="s">
        <v>1116</v>
      </c>
    </row>
    <row r="5698">
      <c r="A5698" s="2">
        <v>5697.0</v>
      </c>
      <c r="B5698" s="2" t="s">
        <v>9477</v>
      </c>
      <c r="C5698" s="2" t="s">
        <v>23</v>
      </c>
      <c r="K5698" s="2">
        <v>50.0</v>
      </c>
      <c r="N5698" s="6">
        <v>42762.0</v>
      </c>
      <c r="Q5698" s="2" t="s">
        <v>9478</v>
      </c>
    </row>
    <row r="5699">
      <c r="A5699" s="2">
        <v>5698.0</v>
      </c>
      <c r="B5699" s="2" t="s">
        <v>9479</v>
      </c>
      <c r="C5699" s="2" t="s">
        <v>23</v>
      </c>
      <c r="N5699" s="6">
        <v>44806.0</v>
      </c>
      <c r="Q5699" s="2" t="s">
        <v>86</v>
      </c>
    </row>
    <row r="5700">
      <c r="A5700" s="2">
        <v>5699.0</v>
      </c>
      <c r="B5700" s="2" t="s">
        <v>9480</v>
      </c>
      <c r="C5700" s="2" t="s">
        <v>23</v>
      </c>
      <c r="N5700" s="6">
        <v>44217.0</v>
      </c>
      <c r="Q5700" s="2" t="s">
        <v>86</v>
      </c>
    </row>
    <row r="5701">
      <c r="A5701" s="2">
        <v>5700.0</v>
      </c>
      <c r="B5701" s="2" t="s">
        <v>9481</v>
      </c>
      <c r="C5701" s="2" t="s">
        <v>23</v>
      </c>
      <c r="N5701" s="6">
        <v>44613.0</v>
      </c>
      <c r="Q5701" s="2" t="s">
        <v>86</v>
      </c>
    </row>
    <row r="5702">
      <c r="A5702" s="2">
        <v>5701.0</v>
      </c>
      <c r="B5702" s="2" t="s">
        <v>9482</v>
      </c>
      <c r="C5702" s="2" t="s">
        <v>23</v>
      </c>
      <c r="K5702" s="2">
        <v>70.0</v>
      </c>
      <c r="N5702" s="6">
        <v>44104.0</v>
      </c>
      <c r="Q5702" s="2" t="s">
        <v>9483</v>
      </c>
    </row>
    <row r="5703">
      <c r="A5703" s="2">
        <v>5702.0</v>
      </c>
      <c r="B5703" s="2" t="s">
        <v>9484</v>
      </c>
      <c r="C5703" s="2" t="s">
        <v>23</v>
      </c>
      <c r="K5703" s="2">
        <v>20.0</v>
      </c>
      <c r="N5703" s="6">
        <v>44663.0</v>
      </c>
      <c r="Q5703" s="2" t="s">
        <v>401</v>
      </c>
    </row>
    <row r="5704">
      <c r="A5704" s="2">
        <v>5703.0</v>
      </c>
      <c r="B5704" s="2" t="s">
        <v>9485</v>
      </c>
      <c r="C5704" s="2" t="s">
        <v>23</v>
      </c>
      <c r="K5704" s="2">
        <v>10.0</v>
      </c>
      <c r="N5704" s="6">
        <v>43227.0</v>
      </c>
      <c r="Q5704" s="2" t="s">
        <v>9486</v>
      </c>
    </row>
    <row r="5705">
      <c r="A5705" s="2">
        <v>5704.0</v>
      </c>
      <c r="B5705" s="2" t="s">
        <v>9487</v>
      </c>
      <c r="C5705" s="2" t="s">
        <v>23</v>
      </c>
      <c r="N5705" s="6">
        <v>44204.0</v>
      </c>
      <c r="Q5705" s="2" t="s">
        <v>86</v>
      </c>
    </row>
    <row r="5706">
      <c r="A5706" s="2">
        <v>5705.0</v>
      </c>
      <c r="B5706" s="2" t="s">
        <v>9488</v>
      </c>
      <c r="C5706" s="2" t="s">
        <v>23</v>
      </c>
      <c r="K5706" s="2">
        <v>20.0</v>
      </c>
      <c r="N5706" s="6">
        <v>45688.0</v>
      </c>
      <c r="Q5706" s="2" t="s">
        <v>9489</v>
      </c>
    </row>
    <row r="5707">
      <c r="A5707" s="2">
        <v>5706.0</v>
      </c>
      <c r="B5707" s="2" t="s">
        <v>9490</v>
      </c>
      <c r="C5707" s="2" t="s">
        <v>23</v>
      </c>
      <c r="N5707" s="6">
        <v>42986.0</v>
      </c>
      <c r="Q5707" s="2" t="s">
        <v>86</v>
      </c>
    </row>
    <row r="5708">
      <c r="A5708" s="2">
        <v>5707.0</v>
      </c>
      <c r="B5708" s="2" t="s">
        <v>9491</v>
      </c>
      <c r="C5708" s="2" t="s">
        <v>23</v>
      </c>
      <c r="K5708" s="2">
        <v>150.0</v>
      </c>
      <c r="N5708" s="6">
        <v>44302.0</v>
      </c>
      <c r="Q5708" s="2" t="s">
        <v>9492</v>
      </c>
    </row>
    <row r="5709">
      <c r="A5709" s="2">
        <v>5708.0</v>
      </c>
      <c r="B5709" s="2" t="s">
        <v>9493</v>
      </c>
      <c r="C5709" s="2" t="s">
        <v>23</v>
      </c>
      <c r="N5709" s="6">
        <v>44467.0</v>
      </c>
      <c r="Q5709" s="2" t="s">
        <v>1116</v>
      </c>
    </row>
    <row r="5710">
      <c r="A5710" s="2">
        <v>5709.0</v>
      </c>
      <c r="B5710" s="2" t="s">
        <v>9494</v>
      </c>
      <c r="C5710" s="2" t="s">
        <v>23</v>
      </c>
      <c r="K5710" s="2">
        <v>20.0</v>
      </c>
      <c r="N5710" s="6">
        <v>45005.0</v>
      </c>
      <c r="Q5710" s="2" t="s">
        <v>9495</v>
      </c>
    </row>
    <row r="5711">
      <c r="A5711" s="2">
        <v>5710.0</v>
      </c>
      <c r="B5711" s="2" t="s">
        <v>9496</v>
      </c>
      <c r="C5711" s="2" t="s">
        <v>23</v>
      </c>
      <c r="K5711" s="2">
        <v>10.0</v>
      </c>
      <c r="N5711" s="6">
        <v>43946.0</v>
      </c>
      <c r="Q5711" s="2" t="s">
        <v>86</v>
      </c>
    </row>
    <row r="5712">
      <c r="A5712" s="2">
        <v>5711.0</v>
      </c>
      <c r="B5712" s="2" t="s">
        <v>9497</v>
      </c>
      <c r="C5712" s="2" t="s">
        <v>23</v>
      </c>
      <c r="K5712" s="2">
        <v>30.0</v>
      </c>
      <c r="N5712" s="6">
        <v>44599.0</v>
      </c>
      <c r="Q5712" s="2" t="s">
        <v>2437</v>
      </c>
    </row>
    <row r="5713">
      <c r="A5713" s="2">
        <v>5712.0</v>
      </c>
      <c r="B5713" s="2" t="s">
        <v>9498</v>
      </c>
      <c r="C5713" s="2" t="s">
        <v>23</v>
      </c>
      <c r="K5713" s="2">
        <v>150.0</v>
      </c>
      <c r="N5713" s="6">
        <v>42277.0</v>
      </c>
      <c r="Q5713" s="2" t="s">
        <v>9499</v>
      </c>
    </row>
    <row r="5714">
      <c r="A5714" s="2">
        <v>5713.0</v>
      </c>
      <c r="B5714" s="2" t="s">
        <v>9500</v>
      </c>
      <c r="C5714" s="2" t="s">
        <v>23</v>
      </c>
      <c r="K5714" s="2">
        <v>30.0</v>
      </c>
      <c r="N5714" s="6">
        <v>44503.0</v>
      </c>
      <c r="Q5714" s="2" t="s">
        <v>86</v>
      </c>
    </row>
    <row r="5715">
      <c r="A5715" s="2">
        <v>5714.0</v>
      </c>
      <c r="B5715" s="2" t="s">
        <v>9501</v>
      </c>
      <c r="C5715" s="2" t="s">
        <v>23</v>
      </c>
      <c r="K5715" s="2">
        <v>30.0</v>
      </c>
      <c r="N5715" s="6">
        <v>44638.0</v>
      </c>
      <c r="Q5715" s="2" t="s">
        <v>9502</v>
      </c>
    </row>
    <row r="5716">
      <c r="A5716" s="2">
        <v>5715.0</v>
      </c>
      <c r="B5716" s="2" t="s">
        <v>9503</v>
      </c>
      <c r="C5716" s="2" t="s">
        <v>23</v>
      </c>
      <c r="K5716" s="2">
        <v>20.0</v>
      </c>
      <c r="N5716" s="6">
        <v>45119.0</v>
      </c>
      <c r="Q5716" s="2" t="s">
        <v>3232</v>
      </c>
    </row>
    <row r="5717">
      <c r="A5717" s="2">
        <v>5716.0</v>
      </c>
      <c r="B5717" s="2" t="s">
        <v>9504</v>
      </c>
      <c r="C5717" s="2" t="s">
        <v>23</v>
      </c>
      <c r="N5717" s="6">
        <v>44973.0</v>
      </c>
      <c r="Q5717" s="2" t="s">
        <v>2777</v>
      </c>
    </row>
    <row r="5718">
      <c r="A5718" s="2">
        <v>5717.0</v>
      </c>
      <c r="B5718" s="2" t="s">
        <v>9505</v>
      </c>
      <c r="C5718" s="2" t="s">
        <v>23</v>
      </c>
      <c r="N5718" s="6">
        <v>44542.0</v>
      </c>
      <c r="Q5718" s="2" t="s">
        <v>86</v>
      </c>
    </row>
    <row r="5719">
      <c r="A5719" s="2">
        <v>5718.0</v>
      </c>
      <c r="B5719" s="2" t="s">
        <v>9506</v>
      </c>
      <c r="C5719" s="2" t="s">
        <v>23</v>
      </c>
      <c r="K5719" s="2">
        <v>20.0</v>
      </c>
      <c r="N5719" s="6">
        <v>44365.0</v>
      </c>
      <c r="Q5719" s="2" t="s">
        <v>9507</v>
      </c>
    </row>
    <row r="5720">
      <c r="A5720" s="2">
        <v>5719.0</v>
      </c>
      <c r="B5720" s="2" t="s">
        <v>9508</v>
      </c>
      <c r="C5720" s="2" t="s">
        <v>23</v>
      </c>
      <c r="N5720" s="6">
        <v>44585.0</v>
      </c>
      <c r="Q5720" s="2" t="s">
        <v>86</v>
      </c>
    </row>
    <row r="5721">
      <c r="A5721" s="2">
        <v>5720.0</v>
      </c>
      <c r="B5721" s="2" t="s">
        <v>9509</v>
      </c>
      <c r="C5721" s="2" t="s">
        <v>23</v>
      </c>
      <c r="K5721" s="2">
        <v>200.0</v>
      </c>
      <c r="N5721" s="6">
        <v>45554.0</v>
      </c>
      <c r="Q5721" s="2" t="s">
        <v>9510</v>
      </c>
    </row>
    <row r="5722">
      <c r="A5722" s="2">
        <v>5721.0</v>
      </c>
      <c r="B5722" s="2" t="s">
        <v>9511</v>
      </c>
      <c r="C5722" s="2" t="s">
        <v>23</v>
      </c>
      <c r="K5722" s="2">
        <v>10.0</v>
      </c>
      <c r="N5722" s="6">
        <v>44356.0</v>
      </c>
      <c r="Q5722" s="2" t="s">
        <v>9512</v>
      </c>
    </row>
    <row r="5723">
      <c r="A5723" s="2">
        <v>5722.0</v>
      </c>
      <c r="B5723" s="2" t="s">
        <v>9513</v>
      </c>
      <c r="C5723" s="2" t="s">
        <v>23</v>
      </c>
      <c r="K5723" s="2">
        <v>80.0</v>
      </c>
      <c r="N5723" s="6">
        <v>44908.0</v>
      </c>
      <c r="Q5723" s="2" t="s">
        <v>9514</v>
      </c>
    </row>
    <row r="5724">
      <c r="A5724" s="2">
        <v>5723.0</v>
      </c>
      <c r="B5724" s="2" t="s">
        <v>9515</v>
      </c>
      <c r="C5724" s="2" t="s">
        <v>23</v>
      </c>
      <c r="K5724" s="2">
        <v>70.0</v>
      </c>
      <c r="N5724" s="6">
        <v>45107.0</v>
      </c>
      <c r="Q5724" s="2" t="s">
        <v>9516</v>
      </c>
    </row>
    <row r="5725">
      <c r="A5725" s="2">
        <v>5724.0</v>
      </c>
      <c r="B5725" s="2" t="s">
        <v>9517</v>
      </c>
      <c r="C5725" s="2" t="s">
        <v>23</v>
      </c>
      <c r="N5725" s="6">
        <v>43894.0</v>
      </c>
      <c r="Q5725" s="2" t="s">
        <v>86</v>
      </c>
    </row>
    <row r="5726">
      <c r="A5726" s="2">
        <v>5725.0</v>
      </c>
      <c r="B5726" s="2" t="s">
        <v>9518</v>
      </c>
      <c r="C5726" s="2" t="s">
        <v>23</v>
      </c>
      <c r="K5726" s="2">
        <v>90.0</v>
      </c>
      <c r="N5726" s="6">
        <v>44221.0</v>
      </c>
      <c r="Q5726" s="2" t="s">
        <v>9519</v>
      </c>
    </row>
    <row r="5727">
      <c r="A5727" s="2">
        <v>5726.0</v>
      </c>
      <c r="B5727" s="2" t="s">
        <v>9520</v>
      </c>
      <c r="C5727" s="2" t="s">
        <v>23</v>
      </c>
      <c r="K5727" s="2">
        <v>10.0</v>
      </c>
      <c r="N5727" s="6">
        <v>44648.0</v>
      </c>
      <c r="Q5727" s="2" t="s">
        <v>9521</v>
      </c>
    </row>
    <row r="5728">
      <c r="A5728" s="2">
        <v>5727.0</v>
      </c>
      <c r="B5728" s="2" t="s">
        <v>9522</v>
      </c>
      <c r="C5728" s="2" t="s">
        <v>23</v>
      </c>
      <c r="K5728" s="2">
        <v>50.0</v>
      </c>
      <c r="N5728" s="6">
        <v>43886.0</v>
      </c>
      <c r="Q5728" s="2" t="s">
        <v>2614</v>
      </c>
    </row>
    <row r="5729">
      <c r="A5729" s="2">
        <v>5728.0</v>
      </c>
      <c r="B5729" s="2" t="s">
        <v>9523</v>
      </c>
      <c r="C5729" s="2" t="s">
        <v>23</v>
      </c>
      <c r="K5729" s="2">
        <v>30.0</v>
      </c>
      <c r="N5729" s="6">
        <v>45770.0</v>
      </c>
      <c r="Q5729" s="2" t="s">
        <v>9524</v>
      </c>
    </row>
    <row r="5730">
      <c r="A5730" s="2">
        <v>5729.0</v>
      </c>
      <c r="B5730" s="2" t="s">
        <v>9525</v>
      </c>
      <c r="C5730" s="2" t="s">
        <v>23</v>
      </c>
      <c r="K5730" s="2">
        <v>10.0</v>
      </c>
      <c r="N5730" s="6">
        <v>44577.0</v>
      </c>
      <c r="Q5730" s="2" t="s">
        <v>86</v>
      </c>
    </row>
    <row r="5731">
      <c r="A5731" s="2">
        <v>5730.0</v>
      </c>
      <c r="B5731" s="2" t="s">
        <v>9526</v>
      </c>
      <c r="C5731" s="2" t="s">
        <v>23</v>
      </c>
      <c r="N5731" s="6">
        <v>43035.0</v>
      </c>
      <c r="Q5731" s="2" t="s">
        <v>86</v>
      </c>
    </row>
    <row r="5732">
      <c r="A5732" s="2">
        <v>5731.0</v>
      </c>
      <c r="B5732" s="2" t="s">
        <v>9527</v>
      </c>
      <c r="C5732" s="2" t="s">
        <v>23</v>
      </c>
      <c r="K5732" s="2">
        <v>30.0</v>
      </c>
      <c r="N5732" s="6">
        <v>43904.0</v>
      </c>
      <c r="Q5732" s="2" t="s">
        <v>1156</v>
      </c>
    </row>
    <row r="5733">
      <c r="A5733" s="2">
        <v>5732.0</v>
      </c>
      <c r="B5733" s="2" t="s">
        <v>9528</v>
      </c>
      <c r="C5733" s="2" t="s">
        <v>23</v>
      </c>
      <c r="K5733" s="2">
        <v>10.0</v>
      </c>
      <c r="N5733" s="6">
        <v>44104.0</v>
      </c>
      <c r="Q5733" s="2" t="s">
        <v>2731</v>
      </c>
    </row>
    <row r="5734">
      <c r="A5734" s="2">
        <v>5733.0</v>
      </c>
      <c r="B5734" s="2" t="s">
        <v>9529</v>
      </c>
      <c r="C5734" s="2" t="s">
        <v>23</v>
      </c>
      <c r="N5734" s="6">
        <v>44080.0</v>
      </c>
      <c r="Q5734" s="2" t="s">
        <v>1116</v>
      </c>
    </row>
    <row r="5735">
      <c r="A5735" s="2">
        <v>5734.0</v>
      </c>
      <c r="B5735" s="2" t="s">
        <v>9530</v>
      </c>
      <c r="C5735" s="2" t="s">
        <v>23</v>
      </c>
      <c r="K5735" s="2">
        <v>10.0</v>
      </c>
      <c r="N5735" s="6">
        <v>44083.0</v>
      </c>
      <c r="Q5735" s="2" t="s">
        <v>9531</v>
      </c>
    </row>
    <row r="5736">
      <c r="A5736" s="2">
        <v>5735.0</v>
      </c>
      <c r="B5736" s="2" t="s">
        <v>9532</v>
      </c>
      <c r="C5736" s="2" t="s">
        <v>23</v>
      </c>
      <c r="K5736" s="2">
        <v>30.0</v>
      </c>
      <c r="N5736" s="6">
        <v>43967.0</v>
      </c>
      <c r="Q5736" s="2" t="s">
        <v>3321</v>
      </c>
    </row>
    <row r="5737">
      <c r="A5737" s="2">
        <v>5736.0</v>
      </c>
      <c r="B5737" s="2" t="s">
        <v>378</v>
      </c>
      <c r="C5737" s="2" t="s">
        <v>23</v>
      </c>
      <c r="K5737" s="2">
        <v>60.0</v>
      </c>
      <c r="N5737" s="6">
        <v>43860.0</v>
      </c>
      <c r="Q5737" s="2" t="s">
        <v>380</v>
      </c>
    </row>
    <row r="5738">
      <c r="A5738" s="2">
        <v>5737.0</v>
      </c>
      <c r="B5738" s="2" t="s">
        <v>9533</v>
      </c>
      <c r="C5738" s="2" t="s">
        <v>23</v>
      </c>
      <c r="N5738" s="6">
        <v>44006.0</v>
      </c>
      <c r="Q5738" s="2" t="s">
        <v>86</v>
      </c>
    </row>
    <row r="5739">
      <c r="A5739" s="2">
        <v>5738.0</v>
      </c>
      <c r="B5739" s="2" t="s">
        <v>9534</v>
      </c>
      <c r="C5739" s="2" t="s">
        <v>23</v>
      </c>
      <c r="K5739" s="2">
        <v>150.0</v>
      </c>
      <c r="N5739" s="6">
        <v>44292.0</v>
      </c>
      <c r="Q5739" s="2" t="s">
        <v>9535</v>
      </c>
    </row>
    <row r="5740">
      <c r="A5740" s="2">
        <v>5739.0</v>
      </c>
      <c r="B5740" s="2" t="s">
        <v>9536</v>
      </c>
      <c r="C5740" s="2" t="s">
        <v>23</v>
      </c>
      <c r="N5740" s="6">
        <v>45249.0</v>
      </c>
      <c r="Q5740" s="2" t="s">
        <v>3007</v>
      </c>
    </row>
    <row r="5741">
      <c r="A5741" s="2">
        <v>5740.0</v>
      </c>
      <c r="B5741" s="2" t="s">
        <v>9537</v>
      </c>
      <c r="C5741" s="2" t="s">
        <v>23</v>
      </c>
      <c r="N5741" s="6">
        <v>45623.0</v>
      </c>
      <c r="Q5741" s="2" t="s">
        <v>9538</v>
      </c>
    </row>
    <row r="5742">
      <c r="A5742" s="2">
        <v>5741.0</v>
      </c>
      <c r="B5742" s="2" t="s">
        <v>9539</v>
      </c>
      <c r="C5742" s="2" t="s">
        <v>23</v>
      </c>
      <c r="N5742" s="6">
        <v>44504.0</v>
      </c>
      <c r="Q5742" s="2" t="s">
        <v>1249</v>
      </c>
    </row>
    <row r="5743">
      <c r="A5743" s="2">
        <v>5742.0</v>
      </c>
      <c r="B5743" s="2" t="s">
        <v>9540</v>
      </c>
      <c r="C5743" s="2" t="s">
        <v>23</v>
      </c>
      <c r="K5743" s="2">
        <v>30.0</v>
      </c>
      <c r="N5743" s="6">
        <v>45078.0</v>
      </c>
      <c r="Q5743" s="2" t="s">
        <v>9541</v>
      </c>
    </row>
    <row r="5744">
      <c r="A5744" s="2">
        <v>5743.0</v>
      </c>
      <c r="B5744" s="2" t="s">
        <v>9542</v>
      </c>
      <c r="C5744" s="2" t="s">
        <v>23</v>
      </c>
      <c r="K5744" s="2">
        <v>40.0</v>
      </c>
      <c r="N5744" s="6">
        <v>46073.0</v>
      </c>
      <c r="Q5744" s="2" t="s">
        <v>9543</v>
      </c>
    </row>
    <row r="5745">
      <c r="A5745" s="2">
        <v>5744.0</v>
      </c>
      <c r="B5745" s="2" t="s">
        <v>9544</v>
      </c>
      <c r="C5745" s="2" t="s">
        <v>23</v>
      </c>
      <c r="K5745" s="2">
        <v>10.0</v>
      </c>
      <c r="N5745" s="6">
        <v>43360.0</v>
      </c>
      <c r="Q5745" s="2" t="s">
        <v>9545</v>
      </c>
    </row>
    <row r="5746">
      <c r="A5746" s="2">
        <v>5745.0</v>
      </c>
      <c r="B5746" s="2" t="s">
        <v>9546</v>
      </c>
      <c r="C5746" s="2" t="s">
        <v>23</v>
      </c>
      <c r="N5746" s="6">
        <v>42821.0</v>
      </c>
      <c r="Q5746" s="2" t="s">
        <v>86</v>
      </c>
    </row>
    <row r="5747">
      <c r="A5747" s="2">
        <v>5746.0</v>
      </c>
      <c r="B5747" s="2" t="s">
        <v>9547</v>
      </c>
      <c r="C5747" s="2" t="s">
        <v>23</v>
      </c>
      <c r="K5747" s="2">
        <v>50.0</v>
      </c>
      <c r="N5747" s="6">
        <v>44886.0</v>
      </c>
      <c r="Q5747" s="2" t="s">
        <v>9548</v>
      </c>
    </row>
    <row r="5748">
      <c r="A5748" s="2">
        <v>5747.0</v>
      </c>
      <c r="B5748" s="2" t="s">
        <v>9549</v>
      </c>
      <c r="C5748" s="2" t="s">
        <v>23</v>
      </c>
      <c r="K5748" s="2">
        <v>100.0</v>
      </c>
      <c r="N5748" s="6">
        <v>45001.0</v>
      </c>
      <c r="Q5748" s="2" t="s">
        <v>9550</v>
      </c>
    </row>
    <row r="5749">
      <c r="A5749" s="2">
        <v>5748.0</v>
      </c>
      <c r="B5749" s="2" t="s">
        <v>9551</v>
      </c>
      <c r="C5749" s="2" t="s">
        <v>23</v>
      </c>
      <c r="K5749" s="2">
        <v>80.0</v>
      </c>
      <c r="N5749" s="6">
        <v>44034.0</v>
      </c>
      <c r="Q5749" s="2" t="s">
        <v>9552</v>
      </c>
    </row>
    <row r="5750">
      <c r="A5750" s="2">
        <v>5749.0</v>
      </c>
      <c r="B5750" s="2" t="s">
        <v>9553</v>
      </c>
      <c r="C5750" s="2" t="s">
        <v>23</v>
      </c>
      <c r="K5750" s="2">
        <v>10.0</v>
      </c>
      <c r="N5750" s="6">
        <v>45404.0</v>
      </c>
      <c r="Q5750" s="2" t="s">
        <v>9554</v>
      </c>
    </row>
    <row r="5751">
      <c r="A5751" s="2">
        <v>5750.0</v>
      </c>
      <c r="B5751" s="2" t="s">
        <v>9555</v>
      </c>
      <c r="C5751" s="2" t="s">
        <v>23</v>
      </c>
      <c r="N5751" s="6">
        <v>45075.0</v>
      </c>
      <c r="Q5751" s="2" t="s">
        <v>1116</v>
      </c>
    </row>
    <row r="5752">
      <c r="A5752" s="2">
        <v>5751.0</v>
      </c>
      <c r="B5752" s="2" t="s">
        <v>9556</v>
      </c>
      <c r="C5752" s="2" t="s">
        <v>23</v>
      </c>
      <c r="K5752" s="2">
        <v>50.0</v>
      </c>
      <c r="N5752" s="6">
        <v>45704.0</v>
      </c>
      <c r="Q5752" s="2" t="s">
        <v>5839</v>
      </c>
    </row>
    <row r="5753">
      <c r="A5753" s="2">
        <v>5752.0</v>
      </c>
      <c r="B5753" s="2" t="s">
        <v>9557</v>
      </c>
      <c r="C5753" s="2" t="s">
        <v>23</v>
      </c>
      <c r="N5753" s="6">
        <v>42313.0</v>
      </c>
      <c r="Q5753" s="2" t="s">
        <v>86</v>
      </c>
    </row>
    <row r="5754">
      <c r="A5754" s="2">
        <v>5753.0</v>
      </c>
      <c r="B5754" s="2" t="s">
        <v>9558</v>
      </c>
      <c r="C5754" s="2" t="s">
        <v>23</v>
      </c>
      <c r="N5754" s="6">
        <v>44571.0</v>
      </c>
      <c r="Q5754" s="2" t="s">
        <v>86</v>
      </c>
    </row>
    <row r="5755">
      <c r="A5755" s="2">
        <v>5754.0</v>
      </c>
      <c r="B5755" s="2" t="s">
        <v>9559</v>
      </c>
      <c r="C5755" s="2" t="s">
        <v>23</v>
      </c>
      <c r="K5755" s="2">
        <v>50.0</v>
      </c>
      <c r="N5755" s="6">
        <v>44727.0</v>
      </c>
      <c r="Q5755" s="2" t="s">
        <v>1156</v>
      </c>
    </row>
    <row r="5756">
      <c r="A5756" s="2">
        <v>5755.0</v>
      </c>
      <c r="B5756" s="2" t="s">
        <v>9560</v>
      </c>
      <c r="C5756" s="2" t="s">
        <v>23</v>
      </c>
      <c r="N5756" s="6">
        <v>44599.0</v>
      </c>
      <c r="Q5756" s="2" t="s">
        <v>86</v>
      </c>
    </row>
    <row r="5757">
      <c r="A5757" s="2">
        <v>5756.0</v>
      </c>
      <c r="B5757" s="2" t="s">
        <v>9561</v>
      </c>
      <c r="C5757" s="2" t="s">
        <v>23</v>
      </c>
      <c r="K5757" s="2">
        <v>10.0</v>
      </c>
      <c r="N5757" s="6">
        <v>44026.0</v>
      </c>
      <c r="Q5757" s="2" t="s">
        <v>86</v>
      </c>
    </row>
    <row r="5758">
      <c r="A5758" s="2">
        <v>5757.0</v>
      </c>
      <c r="B5758" s="2" t="s">
        <v>9562</v>
      </c>
      <c r="C5758" s="2" t="s">
        <v>23</v>
      </c>
      <c r="K5758" s="2">
        <v>400.0</v>
      </c>
      <c r="N5758" s="6">
        <v>45717.0</v>
      </c>
      <c r="Q5758" s="2" t="s">
        <v>9563</v>
      </c>
    </row>
    <row r="5759">
      <c r="A5759" s="2">
        <v>5758.0</v>
      </c>
      <c r="B5759" s="2" t="s">
        <v>9564</v>
      </c>
      <c r="C5759" s="2" t="s">
        <v>23</v>
      </c>
      <c r="K5759" s="2">
        <v>30.0</v>
      </c>
      <c r="N5759" s="6">
        <v>43856.0</v>
      </c>
      <c r="Q5759" s="2" t="s">
        <v>86</v>
      </c>
    </row>
    <row r="5760">
      <c r="A5760" s="2">
        <v>5759.0</v>
      </c>
      <c r="B5760" s="2" t="s">
        <v>9565</v>
      </c>
      <c r="C5760" s="2" t="s">
        <v>23</v>
      </c>
      <c r="K5760" s="2">
        <v>40.0</v>
      </c>
      <c r="N5760" s="6">
        <v>44551.0</v>
      </c>
      <c r="Q5760" s="2" t="s">
        <v>1466</v>
      </c>
    </row>
    <row r="5761">
      <c r="A5761" s="2">
        <v>5760.0</v>
      </c>
      <c r="B5761" s="2" t="s">
        <v>9566</v>
      </c>
      <c r="C5761" s="2" t="s">
        <v>23</v>
      </c>
      <c r="K5761" s="2">
        <v>40.0</v>
      </c>
      <c r="N5761" s="6">
        <v>45742.0</v>
      </c>
      <c r="Q5761" s="2" t="s">
        <v>5192</v>
      </c>
    </row>
    <row r="5762">
      <c r="A5762" s="2">
        <v>5761.0</v>
      </c>
      <c r="B5762" s="2" t="s">
        <v>9567</v>
      </c>
      <c r="C5762" s="2" t="s">
        <v>23</v>
      </c>
      <c r="N5762" s="6">
        <v>44718.0</v>
      </c>
      <c r="Q5762" s="2" t="s">
        <v>86</v>
      </c>
    </row>
    <row r="5763">
      <c r="A5763" s="2">
        <v>5762.0</v>
      </c>
      <c r="B5763" s="2" t="s">
        <v>9568</v>
      </c>
      <c r="C5763" s="2" t="s">
        <v>23</v>
      </c>
      <c r="K5763" s="2">
        <v>60.0</v>
      </c>
      <c r="N5763" s="6">
        <v>45662.0</v>
      </c>
      <c r="Q5763" s="2" t="s">
        <v>1521</v>
      </c>
    </row>
    <row r="5764">
      <c r="A5764" s="2">
        <v>5763.0</v>
      </c>
      <c r="B5764" s="2" t="s">
        <v>9569</v>
      </c>
      <c r="C5764" s="2" t="s">
        <v>23</v>
      </c>
      <c r="K5764" s="2">
        <v>30.0</v>
      </c>
      <c r="N5764" s="6">
        <v>44026.0</v>
      </c>
      <c r="Q5764" s="2" t="s">
        <v>3208</v>
      </c>
    </row>
    <row r="5765">
      <c r="A5765" s="2">
        <v>5764.0</v>
      </c>
      <c r="B5765" s="2" t="s">
        <v>9570</v>
      </c>
      <c r="C5765" s="2" t="s">
        <v>23</v>
      </c>
      <c r="K5765" s="2">
        <v>30.0</v>
      </c>
      <c r="N5765" s="6">
        <v>45660.0</v>
      </c>
      <c r="Q5765" s="2" t="s">
        <v>2738</v>
      </c>
    </row>
    <row r="5766">
      <c r="A5766" s="2">
        <v>5765.0</v>
      </c>
      <c r="B5766" s="2" t="s">
        <v>383</v>
      </c>
      <c r="C5766" s="2" t="s">
        <v>23</v>
      </c>
      <c r="K5766" s="2">
        <v>30.0</v>
      </c>
      <c r="N5766" s="6">
        <v>44380.0</v>
      </c>
      <c r="Q5766" s="2" t="s">
        <v>386</v>
      </c>
    </row>
    <row r="5767">
      <c r="A5767" s="2">
        <v>5766.0</v>
      </c>
      <c r="B5767" s="2" t="s">
        <v>9571</v>
      </c>
      <c r="C5767" s="2" t="s">
        <v>23</v>
      </c>
      <c r="K5767" s="2">
        <v>150.0</v>
      </c>
      <c r="N5767" s="6">
        <v>43851.0</v>
      </c>
      <c r="Q5767" s="2" t="s">
        <v>1070</v>
      </c>
    </row>
    <row r="5768">
      <c r="A5768" s="2">
        <v>5767.0</v>
      </c>
      <c r="B5768" s="2" t="s">
        <v>9572</v>
      </c>
      <c r="C5768" s="2" t="s">
        <v>23</v>
      </c>
      <c r="N5768" s="6">
        <v>45111.0</v>
      </c>
      <c r="Q5768" s="2" t="s">
        <v>1116</v>
      </c>
    </row>
    <row r="5769">
      <c r="A5769" s="2">
        <v>5768.0</v>
      </c>
      <c r="B5769" s="2" t="s">
        <v>9573</v>
      </c>
      <c r="C5769" s="2" t="s">
        <v>23</v>
      </c>
      <c r="N5769" s="6">
        <v>43969.0</v>
      </c>
      <c r="Q5769" s="2" t="s">
        <v>86</v>
      </c>
    </row>
    <row r="5770">
      <c r="A5770" s="2">
        <v>5769.0</v>
      </c>
      <c r="B5770" s="2" t="s">
        <v>9574</v>
      </c>
      <c r="C5770" s="2" t="s">
        <v>23</v>
      </c>
      <c r="N5770" s="6">
        <v>44626.0</v>
      </c>
      <c r="Q5770" s="2" t="s">
        <v>86</v>
      </c>
    </row>
    <row r="5771">
      <c r="A5771" s="2">
        <v>5770.0</v>
      </c>
      <c r="B5771" s="2" t="s">
        <v>9575</v>
      </c>
      <c r="C5771" s="2" t="s">
        <v>23</v>
      </c>
      <c r="N5771" s="6">
        <v>44202.0</v>
      </c>
      <c r="Q5771" s="2" t="s">
        <v>86</v>
      </c>
    </row>
    <row r="5772">
      <c r="A5772" s="2">
        <v>5771.0</v>
      </c>
      <c r="B5772" s="2" t="s">
        <v>9576</v>
      </c>
      <c r="C5772" s="2" t="s">
        <v>23</v>
      </c>
      <c r="N5772" s="6">
        <v>43930.0</v>
      </c>
      <c r="Q5772" s="2" t="s">
        <v>86</v>
      </c>
    </row>
    <row r="5773">
      <c r="A5773" s="2">
        <v>5772.0</v>
      </c>
      <c r="B5773" s="2" t="s">
        <v>9577</v>
      </c>
      <c r="C5773" s="2" t="s">
        <v>23</v>
      </c>
      <c r="K5773" s="2">
        <v>10.0</v>
      </c>
      <c r="N5773" s="6">
        <v>44976.0</v>
      </c>
      <c r="Q5773" s="2" t="s">
        <v>369</v>
      </c>
    </row>
    <row r="5774">
      <c r="A5774" s="2">
        <v>5773.0</v>
      </c>
      <c r="B5774" s="2" t="s">
        <v>9578</v>
      </c>
      <c r="C5774" s="2" t="s">
        <v>23</v>
      </c>
      <c r="K5774" s="2">
        <v>30.0</v>
      </c>
      <c r="N5774" s="6">
        <v>44735.0</v>
      </c>
      <c r="Q5774" s="2" t="s">
        <v>9579</v>
      </c>
    </row>
    <row r="5775">
      <c r="A5775" s="2">
        <v>5774.0</v>
      </c>
      <c r="B5775" s="2" t="s">
        <v>9580</v>
      </c>
      <c r="C5775" s="2" t="s">
        <v>23</v>
      </c>
      <c r="K5775" s="2">
        <v>40.0</v>
      </c>
      <c r="N5775" s="6">
        <v>45699.0</v>
      </c>
      <c r="Q5775" s="2" t="s">
        <v>9581</v>
      </c>
    </row>
    <row r="5776">
      <c r="A5776" s="2">
        <v>5775.0</v>
      </c>
      <c r="B5776" s="2" t="s">
        <v>9582</v>
      </c>
      <c r="C5776" s="2" t="s">
        <v>23</v>
      </c>
      <c r="N5776" s="6">
        <v>44173.0</v>
      </c>
      <c r="Q5776" s="2" t="s">
        <v>86</v>
      </c>
    </row>
    <row r="5777">
      <c r="A5777" s="2">
        <v>5776.0</v>
      </c>
      <c r="B5777" s="2" t="s">
        <v>9583</v>
      </c>
      <c r="C5777" s="2" t="s">
        <v>23</v>
      </c>
      <c r="N5777" s="6">
        <v>42696.0</v>
      </c>
      <c r="Q5777" s="2" t="s">
        <v>86</v>
      </c>
    </row>
    <row r="5778">
      <c r="A5778" s="2">
        <v>5777.0</v>
      </c>
      <c r="B5778" s="2" t="s">
        <v>9584</v>
      </c>
      <c r="C5778" s="2" t="s">
        <v>23</v>
      </c>
      <c r="K5778" s="2">
        <v>20.0</v>
      </c>
      <c r="N5778" s="6">
        <v>44714.0</v>
      </c>
      <c r="Q5778" s="2" t="s">
        <v>9585</v>
      </c>
    </row>
    <row r="5779">
      <c r="A5779" s="2">
        <v>5778.0</v>
      </c>
      <c r="B5779" s="2" t="s">
        <v>9586</v>
      </c>
      <c r="C5779" s="2" t="s">
        <v>23</v>
      </c>
      <c r="N5779" s="6">
        <v>44502.0</v>
      </c>
      <c r="Q5779" s="2" t="s">
        <v>86</v>
      </c>
    </row>
    <row r="5780">
      <c r="A5780" s="2">
        <v>5779.0</v>
      </c>
      <c r="B5780" s="2" t="s">
        <v>9587</v>
      </c>
      <c r="C5780" s="2" t="s">
        <v>23</v>
      </c>
      <c r="N5780" s="6">
        <v>45567.0</v>
      </c>
      <c r="Q5780" s="2" t="s">
        <v>1814</v>
      </c>
    </row>
    <row r="5781">
      <c r="A5781" s="2">
        <v>5780.0</v>
      </c>
      <c r="B5781" s="2" t="s">
        <v>9588</v>
      </c>
      <c r="C5781" s="2" t="s">
        <v>23</v>
      </c>
      <c r="N5781" s="6">
        <v>44239.0</v>
      </c>
      <c r="Q5781" s="2" t="s">
        <v>86</v>
      </c>
    </row>
    <row r="5782">
      <c r="A5782" s="2">
        <v>5781.0</v>
      </c>
      <c r="B5782" s="2" t="s">
        <v>9589</v>
      </c>
      <c r="C5782" s="2" t="s">
        <v>23</v>
      </c>
      <c r="K5782" s="2">
        <v>20.0</v>
      </c>
      <c r="N5782" s="6">
        <v>44186.0</v>
      </c>
      <c r="Q5782" s="2" t="s">
        <v>1123</v>
      </c>
    </row>
    <row r="5783">
      <c r="A5783" s="2">
        <v>5782.0</v>
      </c>
      <c r="B5783" s="2" t="s">
        <v>9590</v>
      </c>
      <c r="C5783" s="2" t="s">
        <v>23</v>
      </c>
      <c r="K5783" s="2">
        <v>20.0</v>
      </c>
      <c r="N5783" s="6">
        <v>44798.0</v>
      </c>
      <c r="Q5783" s="2" t="s">
        <v>86</v>
      </c>
    </row>
    <row r="5784">
      <c r="A5784" s="2">
        <v>5783.0</v>
      </c>
      <c r="B5784" s="2" t="s">
        <v>9591</v>
      </c>
      <c r="C5784" s="2" t="s">
        <v>23</v>
      </c>
      <c r="K5784" s="2">
        <v>30.0</v>
      </c>
      <c r="N5784" s="6">
        <v>44403.0</v>
      </c>
      <c r="Q5784" s="2" t="s">
        <v>235</v>
      </c>
    </row>
    <row r="5785">
      <c r="A5785" s="2">
        <v>5784.0</v>
      </c>
      <c r="B5785" s="2" t="s">
        <v>9592</v>
      </c>
      <c r="C5785" s="2" t="s">
        <v>23</v>
      </c>
      <c r="N5785" s="6">
        <v>44184.0</v>
      </c>
      <c r="Q5785" s="2" t="s">
        <v>86</v>
      </c>
    </row>
    <row r="5786">
      <c r="A5786" s="2">
        <v>5785.0</v>
      </c>
      <c r="B5786" s="2" t="s">
        <v>9593</v>
      </c>
      <c r="C5786" s="2" t="s">
        <v>23</v>
      </c>
      <c r="N5786" s="6">
        <v>44865.0</v>
      </c>
      <c r="Q5786" s="2" t="s">
        <v>86</v>
      </c>
    </row>
    <row r="5787">
      <c r="A5787" s="2">
        <v>5786.0</v>
      </c>
      <c r="B5787" s="2" t="s">
        <v>9594</v>
      </c>
      <c r="C5787" s="2" t="s">
        <v>23</v>
      </c>
      <c r="N5787" s="6">
        <v>44648.0</v>
      </c>
      <c r="Q5787" s="2" t="s">
        <v>86</v>
      </c>
    </row>
    <row r="5788">
      <c r="A5788" s="2">
        <v>5787.0</v>
      </c>
      <c r="B5788" s="2" t="s">
        <v>9595</v>
      </c>
      <c r="C5788" s="2" t="s">
        <v>23</v>
      </c>
      <c r="K5788" s="2">
        <v>60.0</v>
      </c>
      <c r="N5788" s="6">
        <v>44381.0</v>
      </c>
      <c r="Q5788" s="2" t="s">
        <v>1048</v>
      </c>
    </row>
    <row r="5789">
      <c r="A5789" s="2">
        <v>5788.0</v>
      </c>
      <c r="B5789" s="2" t="s">
        <v>9596</v>
      </c>
      <c r="C5789" s="2" t="s">
        <v>23</v>
      </c>
      <c r="K5789" s="2">
        <v>40.0</v>
      </c>
      <c r="N5789" s="6">
        <v>44563.0</v>
      </c>
      <c r="Q5789" s="2" t="s">
        <v>86</v>
      </c>
    </row>
    <row r="5790">
      <c r="A5790" s="2">
        <v>5789.0</v>
      </c>
      <c r="B5790" s="2" t="s">
        <v>9597</v>
      </c>
      <c r="C5790" s="2" t="s">
        <v>23</v>
      </c>
      <c r="K5790" s="2">
        <v>10.0</v>
      </c>
      <c r="N5790" s="6">
        <v>45157.0</v>
      </c>
      <c r="Q5790" s="2" t="s">
        <v>9598</v>
      </c>
    </row>
    <row r="5791">
      <c r="A5791" s="2">
        <v>5790.0</v>
      </c>
      <c r="B5791" s="2" t="s">
        <v>9599</v>
      </c>
      <c r="C5791" s="2" t="s">
        <v>23</v>
      </c>
      <c r="N5791" s="6">
        <v>45387.0</v>
      </c>
      <c r="Q5791" s="2" t="s">
        <v>9600</v>
      </c>
    </row>
    <row r="5792">
      <c r="A5792" s="2">
        <v>5791.0</v>
      </c>
      <c r="B5792" s="2" t="s">
        <v>9601</v>
      </c>
      <c r="C5792" s="2" t="s">
        <v>23</v>
      </c>
      <c r="N5792" s="6">
        <v>45992.0</v>
      </c>
      <c r="Q5792" s="2" t="s">
        <v>1109</v>
      </c>
    </row>
    <row r="5793">
      <c r="A5793" s="2">
        <v>5792.0</v>
      </c>
      <c r="B5793" s="2" t="s">
        <v>9602</v>
      </c>
      <c r="C5793" s="2" t="s">
        <v>23</v>
      </c>
      <c r="K5793" s="2">
        <v>300.0</v>
      </c>
      <c r="N5793" s="6">
        <v>44154.0</v>
      </c>
      <c r="Q5793" s="2" t="s">
        <v>9603</v>
      </c>
    </row>
    <row r="5794">
      <c r="A5794" s="2">
        <v>5793.0</v>
      </c>
      <c r="B5794" s="2" t="s">
        <v>9604</v>
      </c>
      <c r="C5794" s="2" t="s">
        <v>23</v>
      </c>
      <c r="N5794" s="6">
        <v>45590.0</v>
      </c>
      <c r="Q5794" s="2" t="s">
        <v>1549</v>
      </c>
    </row>
    <row r="5795">
      <c r="A5795" s="2">
        <v>5794.0</v>
      </c>
      <c r="B5795" s="2" t="s">
        <v>9605</v>
      </c>
      <c r="C5795" s="2" t="s">
        <v>23</v>
      </c>
      <c r="K5795" s="2">
        <v>50.0</v>
      </c>
      <c r="N5795" s="6">
        <v>45700.0</v>
      </c>
      <c r="Q5795" s="2" t="s">
        <v>9606</v>
      </c>
    </row>
    <row r="5796">
      <c r="A5796" s="2">
        <v>5795.0</v>
      </c>
      <c r="B5796" s="2" t="s">
        <v>9607</v>
      </c>
      <c r="C5796" s="2" t="s">
        <v>23</v>
      </c>
      <c r="K5796" s="2">
        <v>250.0</v>
      </c>
      <c r="N5796" s="6">
        <v>44803.0</v>
      </c>
      <c r="Q5796" s="2" t="s">
        <v>9608</v>
      </c>
    </row>
    <row r="5797">
      <c r="A5797" s="2">
        <v>5796.0</v>
      </c>
      <c r="B5797" s="2" t="s">
        <v>9609</v>
      </c>
      <c r="C5797" s="2" t="s">
        <v>23</v>
      </c>
      <c r="N5797" s="6">
        <v>45469.0</v>
      </c>
      <c r="Q5797" s="2" t="s">
        <v>510</v>
      </c>
    </row>
    <row r="5798">
      <c r="A5798" s="2">
        <v>5797.0</v>
      </c>
      <c r="B5798" s="2" t="s">
        <v>9610</v>
      </c>
      <c r="C5798" s="2" t="s">
        <v>23</v>
      </c>
      <c r="K5798" s="2">
        <v>20.0</v>
      </c>
      <c r="N5798" s="6">
        <v>45503.0</v>
      </c>
      <c r="Q5798" s="2" t="s">
        <v>9611</v>
      </c>
    </row>
    <row r="5799">
      <c r="A5799" s="2">
        <v>5798.0</v>
      </c>
      <c r="B5799" s="2" t="s">
        <v>9612</v>
      </c>
      <c r="C5799" s="2" t="s">
        <v>23</v>
      </c>
      <c r="N5799" s="6">
        <v>43154.0</v>
      </c>
      <c r="Q5799" s="2" t="s">
        <v>9613</v>
      </c>
    </row>
    <row r="5800">
      <c r="A5800" s="2">
        <v>5799.0</v>
      </c>
      <c r="B5800" s="2" t="s">
        <v>9614</v>
      </c>
      <c r="C5800" s="2" t="s">
        <v>23</v>
      </c>
      <c r="K5800" s="2">
        <v>100.0</v>
      </c>
      <c r="N5800" s="6">
        <v>43972.0</v>
      </c>
      <c r="Q5800" s="2" t="s">
        <v>9615</v>
      </c>
    </row>
    <row r="5801">
      <c r="A5801" s="2">
        <v>5800.0</v>
      </c>
      <c r="B5801" s="2" t="s">
        <v>9616</v>
      </c>
      <c r="C5801" s="2" t="s">
        <v>23</v>
      </c>
      <c r="K5801" s="2">
        <v>30.0</v>
      </c>
      <c r="N5801" s="6">
        <v>43853.0</v>
      </c>
      <c r="Q5801" s="2" t="s">
        <v>9617</v>
      </c>
    </row>
    <row r="5802">
      <c r="A5802" s="2">
        <v>5801.0</v>
      </c>
      <c r="B5802" s="2" t="s">
        <v>9618</v>
      </c>
      <c r="C5802" s="2" t="s">
        <v>23</v>
      </c>
      <c r="K5802" s="2">
        <v>20.0</v>
      </c>
      <c r="N5802" s="6">
        <v>44589.0</v>
      </c>
      <c r="Q5802" s="2" t="s">
        <v>3075</v>
      </c>
    </row>
    <row r="5803">
      <c r="A5803" s="2">
        <v>5802.0</v>
      </c>
      <c r="B5803" s="2" t="s">
        <v>9619</v>
      </c>
      <c r="C5803" s="2" t="s">
        <v>23</v>
      </c>
      <c r="K5803" s="2">
        <v>80.0</v>
      </c>
      <c r="N5803" s="6">
        <v>44257.0</v>
      </c>
      <c r="Q5803" s="2" t="s">
        <v>9620</v>
      </c>
    </row>
    <row r="5804">
      <c r="A5804" s="2">
        <v>5803.0</v>
      </c>
      <c r="B5804" s="2" t="s">
        <v>9621</v>
      </c>
      <c r="C5804" s="2" t="s">
        <v>23</v>
      </c>
      <c r="N5804" s="6">
        <v>43955.0</v>
      </c>
      <c r="Q5804" s="2" t="s">
        <v>295</v>
      </c>
    </row>
    <row r="5805">
      <c r="A5805" s="2">
        <v>5804.0</v>
      </c>
      <c r="B5805" s="2" t="s">
        <v>9622</v>
      </c>
      <c r="C5805" s="2" t="s">
        <v>23</v>
      </c>
      <c r="K5805" s="2">
        <v>20.0</v>
      </c>
      <c r="N5805" s="6">
        <v>45502.0</v>
      </c>
      <c r="Q5805" s="2" t="s">
        <v>6725</v>
      </c>
    </row>
    <row r="5806">
      <c r="A5806" s="2">
        <v>5805.0</v>
      </c>
      <c r="B5806" s="2" t="s">
        <v>9623</v>
      </c>
      <c r="C5806" s="2" t="s">
        <v>23</v>
      </c>
      <c r="N5806" s="6">
        <v>44142.0</v>
      </c>
      <c r="Q5806" s="2" t="s">
        <v>86</v>
      </c>
    </row>
    <row r="5807">
      <c r="A5807" s="2">
        <v>5806.0</v>
      </c>
      <c r="B5807" s="2" t="s">
        <v>9624</v>
      </c>
      <c r="C5807" s="2" t="s">
        <v>23</v>
      </c>
      <c r="N5807" s="6">
        <v>44697.0</v>
      </c>
      <c r="Q5807" s="2" t="s">
        <v>86</v>
      </c>
    </row>
    <row r="5808">
      <c r="A5808" s="2">
        <v>5807.0</v>
      </c>
      <c r="B5808" s="2" t="s">
        <v>9625</v>
      </c>
      <c r="C5808" s="2" t="s">
        <v>23</v>
      </c>
      <c r="K5808" s="2">
        <v>300.0</v>
      </c>
      <c r="N5808" s="6">
        <v>44018.0</v>
      </c>
      <c r="Q5808" s="2" t="s">
        <v>9626</v>
      </c>
    </row>
    <row r="5809">
      <c r="A5809" s="2">
        <v>5808.0</v>
      </c>
      <c r="B5809" s="2" t="s">
        <v>9627</v>
      </c>
      <c r="C5809" s="2" t="s">
        <v>23</v>
      </c>
      <c r="K5809" s="2">
        <v>100.0</v>
      </c>
      <c r="N5809" s="6">
        <v>42975.0</v>
      </c>
      <c r="Q5809" s="2" t="s">
        <v>9628</v>
      </c>
    </row>
    <row r="5810">
      <c r="A5810" s="2">
        <v>5809.0</v>
      </c>
      <c r="B5810" s="2" t="s">
        <v>9629</v>
      </c>
      <c r="C5810" s="2" t="s">
        <v>23</v>
      </c>
      <c r="K5810" s="2">
        <v>10.0</v>
      </c>
      <c r="N5810" s="6">
        <v>44310.0</v>
      </c>
      <c r="Q5810" s="2" t="s">
        <v>5350</v>
      </c>
    </row>
    <row r="5811">
      <c r="A5811" s="2">
        <v>5810.0</v>
      </c>
      <c r="B5811" s="2" t="s">
        <v>9630</v>
      </c>
      <c r="C5811" s="2" t="s">
        <v>23</v>
      </c>
      <c r="K5811" s="2">
        <v>60.0</v>
      </c>
      <c r="N5811" s="6">
        <v>44016.0</v>
      </c>
      <c r="Q5811" s="2" t="s">
        <v>9631</v>
      </c>
    </row>
    <row r="5812">
      <c r="A5812" s="2">
        <v>5811.0</v>
      </c>
      <c r="B5812" s="2" t="s">
        <v>9632</v>
      </c>
      <c r="C5812" s="2" t="s">
        <v>23</v>
      </c>
      <c r="K5812" s="2">
        <v>90.0</v>
      </c>
      <c r="N5812" s="6">
        <v>43901.0</v>
      </c>
      <c r="Q5812" s="2" t="s">
        <v>86</v>
      </c>
    </row>
    <row r="5813">
      <c r="A5813" s="2">
        <v>5812.0</v>
      </c>
      <c r="B5813" s="2" t="s">
        <v>9633</v>
      </c>
      <c r="C5813" s="2" t="s">
        <v>23</v>
      </c>
      <c r="K5813" s="2">
        <v>20.0</v>
      </c>
      <c r="N5813" s="6">
        <v>44027.0</v>
      </c>
      <c r="Q5813" s="2" t="s">
        <v>9634</v>
      </c>
    </row>
    <row r="5814">
      <c r="A5814" s="2">
        <v>5813.0</v>
      </c>
      <c r="B5814" s="2" t="s">
        <v>9635</v>
      </c>
      <c r="C5814" s="2" t="s">
        <v>23</v>
      </c>
      <c r="K5814" s="2">
        <v>50.0</v>
      </c>
      <c r="N5814" s="6">
        <v>42915.0</v>
      </c>
      <c r="Q5814" s="2" t="s">
        <v>9636</v>
      </c>
    </row>
    <row r="5815">
      <c r="A5815" s="2">
        <v>5814.0</v>
      </c>
      <c r="B5815" s="2" t="s">
        <v>389</v>
      </c>
      <c r="C5815" s="2" t="s">
        <v>23</v>
      </c>
      <c r="N5815" s="6">
        <v>45023.0</v>
      </c>
      <c r="Q5815" s="2" t="s">
        <v>392</v>
      </c>
    </row>
    <row r="5816">
      <c r="A5816" s="2">
        <v>5815.0</v>
      </c>
      <c r="B5816" s="2" t="s">
        <v>9637</v>
      </c>
      <c r="C5816" s="2" t="s">
        <v>23</v>
      </c>
      <c r="K5816" s="2">
        <v>40.0</v>
      </c>
      <c r="N5816" s="6">
        <v>45392.0</v>
      </c>
      <c r="Q5816" s="2" t="s">
        <v>4678</v>
      </c>
    </row>
    <row r="5817">
      <c r="A5817" s="2">
        <v>5816.0</v>
      </c>
      <c r="B5817" s="2" t="s">
        <v>9638</v>
      </c>
      <c r="C5817" s="2" t="s">
        <v>23</v>
      </c>
      <c r="N5817" s="6">
        <v>44893.0</v>
      </c>
      <c r="Q5817" s="2" t="s">
        <v>86</v>
      </c>
    </row>
    <row r="5818">
      <c r="A5818" s="2">
        <v>5817.0</v>
      </c>
      <c r="B5818" s="2" t="s">
        <v>9639</v>
      </c>
      <c r="C5818" s="2" t="s">
        <v>23</v>
      </c>
      <c r="N5818" s="6">
        <v>44557.0</v>
      </c>
      <c r="Q5818" s="2" t="s">
        <v>86</v>
      </c>
    </row>
    <row r="5819">
      <c r="A5819" s="2">
        <v>5818.0</v>
      </c>
      <c r="B5819" s="2" t="s">
        <v>9640</v>
      </c>
      <c r="C5819" s="2" t="s">
        <v>23</v>
      </c>
      <c r="K5819" s="2">
        <v>10.0</v>
      </c>
      <c r="N5819" s="6">
        <v>44790.0</v>
      </c>
      <c r="Q5819" s="2" t="s">
        <v>200</v>
      </c>
    </row>
    <row r="5820">
      <c r="A5820" s="2">
        <v>5819.0</v>
      </c>
      <c r="B5820" s="2" t="s">
        <v>9641</v>
      </c>
      <c r="C5820" s="2" t="s">
        <v>23</v>
      </c>
      <c r="N5820" s="6">
        <v>44447.0</v>
      </c>
      <c r="Q5820" s="2" t="s">
        <v>1116</v>
      </c>
    </row>
    <row r="5821">
      <c r="A5821" s="2">
        <v>5820.0</v>
      </c>
      <c r="B5821" s="2" t="s">
        <v>9642</v>
      </c>
      <c r="C5821" s="2" t="s">
        <v>23</v>
      </c>
      <c r="N5821" s="6">
        <v>44711.0</v>
      </c>
      <c r="Q5821" s="2" t="s">
        <v>86</v>
      </c>
    </row>
    <row r="5822">
      <c r="A5822" s="2">
        <v>5821.0</v>
      </c>
      <c r="B5822" s="2" t="s">
        <v>9643</v>
      </c>
      <c r="C5822" s="2" t="s">
        <v>23</v>
      </c>
      <c r="K5822" s="2">
        <v>70.0</v>
      </c>
      <c r="N5822" s="6">
        <v>45100.0</v>
      </c>
      <c r="Q5822" s="2" t="s">
        <v>9644</v>
      </c>
    </row>
    <row r="5823">
      <c r="A5823" s="2">
        <v>5822.0</v>
      </c>
      <c r="B5823" s="2" t="s">
        <v>9645</v>
      </c>
      <c r="C5823" s="2" t="s">
        <v>23</v>
      </c>
      <c r="K5823" s="2">
        <v>50.0</v>
      </c>
      <c r="N5823" s="6">
        <v>44424.0</v>
      </c>
      <c r="Q5823" s="2" t="s">
        <v>200</v>
      </c>
    </row>
    <row r="5824">
      <c r="A5824" s="2">
        <v>5823.0</v>
      </c>
      <c r="B5824" s="2" t="s">
        <v>9646</v>
      </c>
      <c r="C5824" s="2" t="s">
        <v>23</v>
      </c>
      <c r="N5824" s="6">
        <v>44267.0</v>
      </c>
      <c r="Q5824" s="2" t="s">
        <v>86</v>
      </c>
    </row>
    <row r="5825">
      <c r="A5825" s="2">
        <v>5824.0</v>
      </c>
      <c r="B5825" s="2" t="s">
        <v>9647</v>
      </c>
      <c r="C5825" s="2" t="s">
        <v>23</v>
      </c>
      <c r="K5825" s="2">
        <v>10.0</v>
      </c>
      <c r="N5825" s="6">
        <v>44737.0</v>
      </c>
      <c r="Q5825" s="2" t="s">
        <v>9648</v>
      </c>
    </row>
    <row r="5826">
      <c r="A5826" s="2">
        <v>5825.0</v>
      </c>
      <c r="B5826" s="2" t="s">
        <v>9649</v>
      </c>
      <c r="C5826" s="2" t="s">
        <v>23</v>
      </c>
      <c r="K5826" s="2">
        <v>10.0</v>
      </c>
      <c r="N5826" s="6">
        <v>44720.0</v>
      </c>
      <c r="Q5826" s="2" t="s">
        <v>2876</v>
      </c>
    </row>
    <row r="5827">
      <c r="A5827" s="2">
        <v>5826.0</v>
      </c>
      <c r="B5827" s="2" t="s">
        <v>9650</v>
      </c>
      <c r="C5827" s="2" t="s">
        <v>23</v>
      </c>
      <c r="K5827" s="2">
        <v>150.0</v>
      </c>
      <c r="N5827" s="6">
        <v>44402.0</v>
      </c>
      <c r="Q5827" s="2" t="s">
        <v>60</v>
      </c>
    </row>
    <row r="5828">
      <c r="A5828" s="2">
        <v>5827.0</v>
      </c>
      <c r="B5828" s="2" t="s">
        <v>9651</v>
      </c>
      <c r="C5828" s="2" t="s">
        <v>23</v>
      </c>
      <c r="N5828" s="6">
        <v>44618.0</v>
      </c>
      <c r="Q5828" s="2" t="s">
        <v>86</v>
      </c>
    </row>
    <row r="5829">
      <c r="A5829" s="2">
        <v>5828.0</v>
      </c>
      <c r="B5829" s="2" t="s">
        <v>9652</v>
      </c>
      <c r="C5829" s="2" t="s">
        <v>23</v>
      </c>
      <c r="N5829" s="6">
        <v>44366.0</v>
      </c>
      <c r="Q5829" s="2" t="s">
        <v>86</v>
      </c>
    </row>
    <row r="5830">
      <c r="A5830" s="2">
        <v>5829.0</v>
      </c>
      <c r="B5830" s="2" t="s">
        <v>9653</v>
      </c>
      <c r="C5830" s="2" t="s">
        <v>23</v>
      </c>
      <c r="K5830" s="2">
        <v>20.0</v>
      </c>
      <c r="N5830" s="6">
        <v>44165.0</v>
      </c>
      <c r="Q5830" s="2" t="s">
        <v>175</v>
      </c>
    </row>
    <row r="5831">
      <c r="A5831" s="2">
        <v>5830.0</v>
      </c>
      <c r="B5831" s="2" t="s">
        <v>9654</v>
      </c>
      <c r="C5831" s="2" t="s">
        <v>23</v>
      </c>
      <c r="K5831" s="2">
        <v>100.0</v>
      </c>
      <c r="N5831" s="6">
        <v>44059.0</v>
      </c>
      <c r="Q5831" s="2" t="s">
        <v>9655</v>
      </c>
    </row>
    <row r="5832">
      <c r="A5832" s="2">
        <v>5831.0</v>
      </c>
      <c r="B5832" s="2" t="s">
        <v>9656</v>
      </c>
      <c r="C5832" s="2" t="s">
        <v>23</v>
      </c>
      <c r="K5832" s="2">
        <v>90.0</v>
      </c>
      <c r="N5832" s="6">
        <v>44129.0</v>
      </c>
      <c r="Q5832" s="2" t="s">
        <v>60</v>
      </c>
    </row>
    <row r="5833">
      <c r="A5833" s="2">
        <v>5832.0</v>
      </c>
      <c r="B5833" s="2" t="s">
        <v>9657</v>
      </c>
      <c r="C5833" s="2" t="s">
        <v>23</v>
      </c>
      <c r="N5833" s="6">
        <v>42569.0</v>
      </c>
      <c r="Q5833" s="2" t="s">
        <v>86</v>
      </c>
    </row>
    <row r="5834">
      <c r="A5834" s="2">
        <v>5833.0</v>
      </c>
      <c r="B5834" s="2" t="s">
        <v>9658</v>
      </c>
      <c r="C5834" s="2" t="s">
        <v>23</v>
      </c>
      <c r="N5834" s="6">
        <v>44493.0</v>
      </c>
      <c r="Q5834" s="2" t="s">
        <v>86</v>
      </c>
    </row>
    <row r="5835">
      <c r="A5835" s="2">
        <v>5834.0</v>
      </c>
      <c r="B5835" s="2" t="s">
        <v>9659</v>
      </c>
      <c r="C5835" s="2" t="s">
        <v>23</v>
      </c>
      <c r="K5835" s="2">
        <v>20.0</v>
      </c>
      <c r="N5835" s="6">
        <v>44599.0</v>
      </c>
      <c r="Q5835" s="2" t="s">
        <v>7502</v>
      </c>
    </row>
    <row r="5836">
      <c r="A5836" s="2">
        <v>5835.0</v>
      </c>
      <c r="B5836" s="2" t="s">
        <v>9660</v>
      </c>
      <c r="C5836" s="2" t="s">
        <v>23</v>
      </c>
      <c r="K5836" s="2">
        <v>20.0</v>
      </c>
      <c r="N5836" s="6">
        <v>44504.0</v>
      </c>
      <c r="Q5836" s="2" t="s">
        <v>86</v>
      </c>
    </row>
    <row r="5837">
      <c r="A5837" s="2">
        <v>5836.0</v>
      </c>
      <c r="B5837" s="2" t="s">
        <v>9661</v>
      </c>
      <c r="C5837" s="2" t="s">
        <v>23</v>
      </c>
      <c r="K5837" s="2">
        <v>70.0</v>
      </c>
      <c r="N5837" s="6">
        <v>44480.0</v>
      </c>
      <c r="Q5837" s="2" t="s">
        <v>9662</v>
      </c>
    </row>
    <row r="5838">
      <c r="A5838" s="2">
        <v>5837.0</v>
      </c>
      <c r="B5838" s="2" t="s">
        <v>9663</v>
      </c>
      <c r="C5838" s="2" t="s">
        <v>23</v>
      </c>
      <c r="N5838" s="6">
        <v>44375.0</v>
      </c>
      <c r="Q5838" s="2" t="s">
        <v>86</v>
      </c>
    </row>
    <row r="5839">
      <c r="A5839" s="2">
        <v>5838.0</v>
      </c>
      <c r="B5839" s="2" t="s">
        <v>9664</v>
      </c>
      <c r="C5839" s="2" t="s">
        <v>23</v>
      </c>
      <c r="N5839" s="6">
        <v>44402.0</v>
      </c>
      <c r="Q5839" s="2" t="s">
        <v>86</v>
      </c>
    </row>
    <row r="5840">
      <c r="A5840" s="2">
        <v>5839.0</v>
      </c>
      <c r="B5840" s="2" t="s">
        <v>9665</v>
      </c>
      <c r="C5840" s="2" t="s">
        <v>23</v>
      </c>
      <c r="N5840" s="6">
        <v>45549.0</v>
      </c>
      <c r="Q5840" s="2" t="s">
        <v>9666</v>
      </c>
    </row>
    <row r="5841">
      <c r="A5841" s="2">
        <v>5840.0</v>
      </c>
      <c r="B5841" s="2" t="s">
        <v>9667</v>
      </c>
      <c r="C5841" s="2" t="s">
        <v>23</v>
      </c>
      <c r="K5841" s="2">
        <v>10.0</v>
      </c>
      <c r="N5841" s="6">
        <v>44294.0</v>
      </c>
      <c r="Q5841" s="2" t="s">
        <v>9668</v>
      </c>
    </row>
    <row r="5842">
      <c r="A5842" s="2">
        <v>5841.0</v>
      </c>
      <c r="B5842" s="2" t="s">
        <v>9669</v>
      </c>
      <c r="C5842" s="2" t="s">
        <v>23</v>
      </c>
      <c r="N5842" s="6">
        <v>44986.0</v>
      </c>
      <c r="Q5842" s="2" t="s">
        <v>86</v>
      </c>
    </row>
    <row r="5843">
      <c r="A5843" s="2">
        <v>5842.0</v>
      </c>
      <c r="B5843" s="2" t="s">
        <v>9670</v>
      </c>
      <c r="C5843" s="2" t="s">
        <v>23</v>
      </c>
      <c r="N5843" s="6">
        <v>43248.0</v>
      </c>
      <c r="Q5843" s="2" t="s">
        <v>86</v>
      </c>
    </row>
    <row r="5844">
      <c r="A5844" s="2">
        <v>5843.0</v>
      </c>
      <c r="B5844" s="2" t="s">
        <v>9671</v>
      </c>
      <c r="C5844" s="2" t="s">
        <v>23</v>
      </c>
      <c r="K5844" s="2">
        <v>70.0</v>
      </c>
      <c r="N5844" s="6">
        <v>45435.0</v>
      </c>
      <c r="Q5844" s="2" t="s">
        <v>6616</v>
      </c>
    </row>
    <row r="5845">
      <c r="A5845" s="2">
        <v>5844.0</v>
      </c>
      <c r="B5845" s="2" t="s">
        <v>9672</v>
      </c>
      <c r="C5845" s="2" t="s">
        <v>23</v>
      </c>
      <c r="K5845" s="2">
        <v>90.0</v>
      </c>
      <c r="N5845" s="6">
        <v>43947.0</v>
      </c>
      <c r="Q5845" s="2" t="s">
        <v>9673</v>
      </c>
    </row>
    <row r="5846">
      <c r="A5846" s="2">
        <v>5845.0</v>
      </c>
      <c r="B5846" s="2" t="s">
        <v>9674</v>
      </c>
      <c r="C5846" s="2" t="s">
        <v>23</v>
      </c>
      <c r="K5846" s="2">
        <v>70.0</v>
      </c>
      <c r="N5846" s="6">
        <v>43903.0</v>
      </c>
      <c r="Q5846" s="2" t="s">
        <v>9675</v>
      </c>
    </row>
    <row r="5847">
      <c r="A5847" s="2">
        <v>5846.0</v>
      </c>
      <c r="B5847" s="2" t="s">
        <v>9676</v>
      </c>
      <c r="C5847" s="2" t="s">
        <v>23</v>
      </c>
      <c r="K5847" s="2">
        <v>60.0</v>
      </c>
      <c r="N5847" s="6">
        <v>44900.0</v>
      </c>
      <c r="Q5847" s="2" t="s">
        <v>9677</v>
      </c>
    </row>
    <row r="5848">
      <c r="A5848" s="2">
        <v>5847.0</v>
      </c>
      <c r="B5848" s="2" t="s">
        <v>9678</v>
      </c>
      <c r="C5848" s="2" t="s">
        <v>23</v>
      </c>
      <c r="N5848" s="6">
        <v>44223.0</v>
      </c>
      <c r="Q5848" s="2" t="s">
        <v>86</v>
      </c>
    </row>
    <row r="5849">
      <c r="A5849" s="2">
        <v>5848.0</v>
      </c>
      <c r="B5849" s="2" t="s">
        <v>9679</v>
      </c>
      <c r="C5849" s="2" t="s">
        <v>23</v>
      </c>
      <c r="K5849" s="2">
        <v>10.0</v>
      </c>
      <c r="N5849" s="6">
        <v>44606.0</v>
      </c>
      <c r="Q5849" s="2" t="s">
        <v>401</v>
      </c>
    </row>
    <row r="5850">
      <c r="A5850" s="2">
        <v>5849.0</v>
      </c>
      <c r="B5850" s="2" t="s">
        <v>9680</v>
      </c>
      <c r="C5850" s="2" t="s">
        <v>23</v>
      </c>
      <c r="K5850" s="2">
        <v>250.0</v>
      </c>
      <c r="N5850" s="6">
        <v>43302.0</v>
      </c>
      <c r="Q5850" s="2" t="s">
        <v>9681</v>
      </c>
    </row>
    <row r="5851">
      <c r="A5851" s="2">
        <v>5850.0</v>
      </c>
      <c r="B5851" s="2" t="s">
        <v>9682</v>
      </c>
      <c r="C5851" s="2" t="s">
        <v>23</v>
      </c>
      <c r="N5851" s="6">
        <v>42357.0</v>
      </c>
      <c r="Q5851" s="2" t="s">
        <v>9683</v>
      </c>
    </row>
    <row r="5852">
      <c r="A5852" s="2">
        <v>5851.0</v>
      </c>
      <c r="B5852" s="2" t="s">
        <v>9684</v>
      </c>
      <c r="C5852" s="2" t="s">
        <v>23</v>
      </c>
      <c r="K5852" s="2">
        <v>30.0</v>
      </c>
      <c r="N5852" s="6">
        <v>45265.0</v>
      </c>
      <c r="Q5852" s="2" t="s">
        <v>1466</v>
      </c>
    </row>
    <row r="5853">
      <c r="A5853" s="2">
        <v>5852.0</v>
      </c>
      <c r="B5853" s="2" t="s">
        <v>9685</v>
      </c>
      <c r="C5853" s="2" t="s">
        <v>23</v>
      </c>
      <c r="K5853" s="2">
        <v>30.0</v>
      </c>
      <c r="N5853" s="6">
        <v>44484.0</v>
      </c>
      <c r="Q5853" s="2" t="s">
        <v>1472</v>
      </c>
    </row>
    <row r="5854">
      <c r="A5854" s="2">
        <v>5853.0</v>
      </c>
      <c r="B5854" s="2" t="s">
        <v>9686</v>
      </c>
      <c r="C5854" s="2" t="s">
        <v>23</v>
      </c>
      <c r="K5854" s="2">
        <v>20.0</v>
      </c>
      <c r="N5854" s="6">
        <v>43896.0</v>
      </c>
      <c r="Q5854" s="2" t="s">
        <v>3997</v>
      </c>
    </row>
    <row r="5855">
      <c r="A5855" s="2">
        <v>5854.0</v>
      </c>
      <c r="B5855" s="2" t="s">
        <v>9687</v>
      </c>
      <c r="C5855" s="2" t="s">
        <v>23</v>
      </c>
      <c r="N5855" s="6">
        <v>44544.0</v>
      </c>
      <c r="Q5855" s="2" t="s">
        <v>86</v>
      </c>
    </row>
    <row r="5856">
      <c r="A5856" s="2">
        <v>5855.0</v>
      </c>
      <c r="B5856" s="2" t="s">
        <v>9688</v>
      </c>
      <c r="C5856" s="2" t="s">
        <v>23</v>
      </c>
      <c r="N5856" s="6">
        <v>43892.0</v>
      </c>
      <c r="Q5856" s="2" t="s">
        <v>86</v>
      </c>
    </row>
    <row r="5857">
      <c r="A5857" s="2">
        <v>5856.0</v>
      </c>
      <c r="B5857" s="2" t="s">
        <v>9689</v>
      </c>
      <c r="C5857" s="2" t="s">
        <v>23</v>
      </c>
      <c r="N5857" s="6">
        <v>45328.0</v>
      </c>
      <c r="Q5857" s="2" t="s">
        <v>86</v>
      </c>
    </row>
    <row r="5858">
      <c r="A5858" s="2">
        <v>5857.0</v>
      </c>
      <c r="B5858" s="2" t="s">
        <v>9690</v>
      </c>
      <c r="C5858" s="2" t="s">
        <v>23</v>
      </c>
      <c r="K5858" s="2">
        <v>10.0</v>
      </c>
      <c r="N5858" s="6">
        <v>44020.0</v>
      </c>
      <c r="Q5858" s="2" t="s">
        <v>9691</v>
      </c>
    </row>
    <row r="5859">
      <c r="A5859" s="2">
        <v>5858.0</v>
      </c>
      <c r="B5859" s="2" t="s">
        <v>9692</v>
      </c>
      <c r="C5859" s="2" t="s">
        <v>23</v>
      </c>
      <c r="K5859" s="2">
        <v>10.0</v>
      </c>
      <c r="N5859" s="6">
        <v>45159.0</v>
      </c>
      <c r="Q5859" s="2" t="s">
        <v>9693</v>
      </c>
    </row>
    <row r="5860">
      <c r="A5860" s="2">
        <v>5859.0</v>
      </c>
      <c r="B5860" s="2" t="s">
        <v>9694</v>
      </c>
      <c r="C5860" s="2" t="s">
        <v>23</v>
      </c>
      <c r="N5860" s="6">
        <v>44298.0</v>
      </c>
      <c r="Q5860" s="2" t="s">
        <v>200</v>
      </c>
    </row>
    <row r="5861">
      <c r="A5861" s="2">
        <v>5860.0</v>
      </c>
      <c r="B5861" s="2" t="s">
        <v>9695</v>
      </c>
      <c r="C5861" s="2" t="s">
        <v>23</v>
      </c>
      <c r="K5861" s="2">
        <v>10.0</v>
      </c>
      <c r="N5861" s="6">
        <v>43872.0</v>
      </c>
      <c r="Q5861" s="2" t="s">
        <v>86</v>
      </c>
    </row>
    <row r="5862">
      <c r="A5862" s="2">
        <v>5861.0</v>
      </c>
      <c r="B5862" s="2" t="s">
        <v>9696</v>
      </c>
      <c r="C5862" s="2" t="s">
        <v>23</v>
      </c>
      <c r="K5862" s="2">
        <v>30.0</v>
      </c>
      <c r="N5862" s="6">
        <v>44282.0</v>
      </c>
      <c r="Q5862" s="2" t="s">
        <v>1466</v>
      </c>
    </row>
    <row r="5863">
      <c r="A5863" s="2">
        <v>5862.0</v>
      </c>
      <c r="B5863" s="2" t="s">
        <v>9697</v>
      </c>
      <c r="C5863" s="2" t="s">
        <v>23</v>
      </c>
      <c r="K5863" s="2">
        <v>80.0</v>
      </c>
      <c r="N5863" s="6">
        <v>44603.0</v>
      </c>
      <c r="Q5863" s="2" t="s">
        <v>86</v>
      </c>
    </row>
    <row r="5864">
      <c r="A5864" s="2">
        <v>5863.0</v>
      </c>
      <c r="B5864" s="2" t="s">
        <v>9698</v>
      </c>
      <c r="C5864" s="2" t="s">
        <v>23</v>
      </c>
      <c r="K5864" s="2">
        <v>70.0</v>
      </c>
      <c r="N5864" s="6">
        <v>44334.0</v>
      </c>
      <c r="Q5864" s="2" t="s">
        <v>9699</v>
      </c>
    </row>
    <row r="5865">
      <c r="A5865" s="2">
        <v>5864.0</v>
      </c>
      <c r="B5865" s="2" t="s">
        <v>9700</v>
      </c>
      <c r="C5865" s="2" t="s">
        <v>23</v>
      </c>
      <c r="K5865" s="2">
        <v>100.0</v>
      </c>
      <c r="N5865" s="6">
        <v>44329.0</v>
      </c>
      <c r="Q5865" s="2" t="s">
        <v>86</v>
      </c>
    </row>
    <row r="5866">
      <c r="A5866" s="2">
        <v>5865.0</v>
      </c>
      <c r="B5866" s="2" t="s">
        <v>9701</v>
      </c>
      <c r="C5866" s="2" t="s">
        <v>23</v>
      </c>
      <c r="K5866" s="2">
        <v>20.0</v>
      </c>
      <c r="N5866" s="6">
        <v>44999.0</v>
      </c>
      <c r="Q5866" s="2" t="s">
        <v>9702</v>
      </c>
    </row>
    <row r="5867">
      <c r="A5867" s="2">
        <v>5866.0</v>
      </c>
      <c r="B5867" s="2" t="s">
        <v>9703</v>
      </c>
      <c r="C5867" s="2" t="s">
        <v>23</v>
      </c>
      <c r="K5867" s="2">
        <v>150.0</v>
      </c>
      <c r="N5867" s="6">
        <v>44224.0</v>
      </c>
      <c r="Q5867" s="2" t="s">
        <v>9704</v>
      </c>
    </row>
    <row r="5868">
      <c r="A5868" s="2">
        <v>5867.0</v>
      </c>
      <c r="B5868" s="2" t="s">
        <v>9705</v>
      </c>
      <c r="C5868" s="2" t="s">
        <v>23</v>
      </c>
      <c r="N5868" s="6">
        <v>44087.0</v>
      </c>
      <c r="Q5868" s="2" t="s">
        <v>86</v>
      </c>
    </row>
    <row r="5869">
      <c r="A5869" s="2">
        <v>5868.0</v>
      </c>
      <c r="B5869" s="2" t="s">
        <v>9706</v>
      </c>
      <c r="C5869" s="2" t="s">
        <v>23</v>
      </c>
      <c r="G5869" s="2">
        <v>1.08</v>
      </c>
      <c r="K5869" s="2">
        <v>10.0</v>
      </c>
      <c r="N5869" s="6">
        <v>42263.0</v>
      </c>
      <c r="O5869" s="2" t="s">
        <v>49</v>
      </c>
      <c r="P5869" s="2" t="s">
        <v>36</v>
      </c>
      <c r="Q5869" s="2" t="s">
        <v>9707</v>
      </c>
      <c r="S5869" s="2" t="s">
        <v>658</v>
      </c>
    </row>
    <row r="5870">
      <c r="A5870" s="2">
        <v>5869.0</v>
      </c>
      <c r="B5870" s="2" t="s">
        <v>9708</v>
      </c>
      <c r="C5870" s="2" t="s">
        <v>23</v>
      </c>
      <c r="K5870" s="2">
        <v>10.0</v>
      </c>
      <c r="N5870" s="6">
        <v>43953.0</v>
      </c>
      <c r="Q5870" s="2" t="s">
        <v>86</v>
      </c>
    </row>
    <row r="5871">
      <c r="A5871" s="2">
        <v>5870.0</v>
      </c>
      <c r="B5871" s="2" t="s">
        <v>9709</v>
      </c>
      <c r="C5871" s="2" t="s">
        <v>23</v>
      </c>
      <c r="N5871" s="6">
        <v>42754.0</v>
      </c>
      <c r="Q5871" s="2" t="s">
        <v>86</v>
      </c>
    </row>
    <row r="5872">
      <c r="A5872" s="2">
        <v>5871.0</v>
      </c>
      <c r="B5872" s="2" t="s">
        <v>9710</v>
      </c>
      <c r="C5872" s="2" t="s">
        <v>23</v>
      </c>
      <c r="N5872" s="6">
        <v>44603.0</v>
      </c>
      <c r="Q5872" s="2" t="s">
        <v>86</v>
      </c>
    </row>
    <row r="5873">
      <c r="A5873" s="2">
        <v>5872.0</v>
      </c>
      <c r="B5873" s="2" t="s">
        <v>9711</v>
      </c>
      <c r="C5873" s="2" t="s">
        <v>23</v>
      </c>
      <c r="N5873" s="6">
        <v>44494.0</v>
      </c>
      <c r="Q5873" s="2" t="s">
        <v>86</v>
      </c>
    </row>
    <row r="5874">
      <c r="A5874" s="2">
        <v>5873.0</v>
      </c>
      <c r="B5874" s="2" t="s">
        <v>9712</v>
      </c>
      <c r="C5874" s="2" t="s">
        <v>23</v>
      </c>
      <c r="K5874" s="2">
        <v>10.0</v>
      </c>
      <c r="N5874" s="6">
        <v>43923.0</v>
      </c>
      <c r="Q5874" s="2" t="s">
        <v>1466</v>
      </c>
    </row>
    <row r="5875">
      <c r="A5875" s="2">
        <v>5874.0</v>
      </c>
      <c r="B5875" s="2" t="s">
        <v>9713</v>
      </c>
      <c r="C5875" s="2" t="s">
        <v>23</v>
      </c>
      <c r="K5875" s="2">
        <v>10.0</v>
      </c>
      <c r="N5875" s="6">
        <v>45327.0</v>
      </c>
      <c r="Q5875" s="2" t="s">
        <v>426</v>
      </c>
    </row>
    <row r="5876">
      <c r="A5876" s="2">
        <v>5875.0</v>
      </c>
      <c r="B5876" s="2" t="s">
        <v>9714</v>
      </c>
      <c r="C5876" s="2" t="s">
        <v>23</v>
      </c>
      <c r="K5876" s="2">
        <v>150.0</v>
      </c>
      <c r="N5876" s="6">
        <v>44580.0</v>
      </c>
      <c r="Q5876" s="2" t="s">
        <v>9715</v>
      </c>
    </row>
    <row r="5877">
      <c r="A5877" s="2">
        <v>5876.0</v>
      </c>
      <c r="B5877" s="2" t="s">
        <v>9716</v>
      </c>
      <c r="C5877" s="2" t="s">
        <v>23</v>
      </c>
      <c r="K5877" s="2">
        <v>10.0</v>
      </c>
      <c r="N5877" s="6">
        <v>43516.0</v>
      </c>
      <c r="Q5877" s="2" t="s">
        <v>9717</v>
      </c>
    </row>
    <row r="5878">
      <c r="A5878" s="2">
        <v>5877.0</v>
      </c>
      <c r="B5878" s="2" t="s">
        <v>9718</v>
      </c>
      <c r="C5878" s="2" t="s">
        <v>23</v>
      </c>
      <c r="K5878" s="2">
        <v>90.0</v>
      </c>
      <c r="N5878" s="6">
        <v>44062.0</v>
      </c>
      <c r="Q5878" s="2" t="s">
        <v>9719</v>
      </c>
    </row>
    <row r="5879">
      <c r="A5879" s="2">
        <v>5878.0</v>
      </c>
      <c r="B5879" s="2" t="s">
        <v>9720</v>
      </c>
      <c r="C5879" s="2" t="s">
        <v>23</v>
      </c>
      <c r="K5879" s="2">
        <v>10.0</v>
      </c>
      <c r="N5879" s="6">
        <v>43663.0</v>
      </c>
      <c r="Q5879" s="2" t="s">
        <v>9721</v>
      </c>
    </row>
    <row r="5880">
      <c r="A5880" s="2">
        <v>5879.0</v>
      </c>
      <c r="B5880" s="2" t="s">
        <v>9722</v>
      </c>
      <c r="C5880" s="2" t="s">
        <v>23</v>
      </c>
      <c r="K5880" s="2">
        <v>40.0</v>
      </c>
      <c r="N5880" s="6">
        <v>44385.0</v>
      </c>
      <c r="Q5880" s="2" t="s">
        <v>9723</v>
      </c>
    </row>
    <row r="5881">
      <c r="A5881" s="2">
        <v>5880.0</v>
      </c>
      <c r="B5881" s="2" t="s">
        <v>9724</v>
      </c>
      <c r="C5881" s="2" t="s">
        <v>23</v>
      </c>
      <c r="K5881" s="2">
        <v>150.0</v>
      </c>
      <c r="N5881" s="6">
        <v>44164.0</v>
      </c>
      <c r="Q5881" s="2" t="s">
        <v>2869</v>
      </c>
    </row>
    <row r="5882">
      <c r="A5882" s="2">
        <v>5881.0</v>
      </c>
      <c r="B5882" s="2" t="s">
        <v>9725</v>
      </c>
      <c r="C5882" s="2" t="s">
        <v>23</v>
      </c>
      <c r="K5882" s="2">
        <v>40.0</v>
      </c>
      <c r="N5882" s="6">
        <v>43971.0</v>
      </c>
      <c r="Q5882" s="2" t="s">
        <v>9726</v>
      </c>
    </row>
    <row r="5883">
      <c r="A5883" s="2">
        <v>5882.0</v>
      </c>
      <c r="B5883" s="2" t="s">
        <v>9727</v>
      </c>
      <c r="C5883" s="2" t="s">
        <v>23</v>
      </c>
      <c r="K5883" s="2">
        <v>30.0</v>
      </c>
      <c r="N5883" s="6">
        <v>45205.0</v>
      </c>
      <c r="Q5883" s="2" t="s">
        <v>9728</v>
      </c>
    </row>
    <row r="5884">
      <c r="A5884" s="2">
        <v>5883.0</v>
      </c>
      <c r="B5884" s="2" t="s">
        <v>9729</v>
      </c>
      <c r="C5884" s="2" t="s">
        <v>23</v>
      </c>
      <c r="K5884" s="2">
        <v>20.0</v>
      </c>
      <c r="N5884" s="6">
        <v>44964.0</v>
      </c>
      <c r="Q5884" s="2" t="s">
        <v>1437</v>
      </c>
    </row>
    <row r="5885">
      <c r="A5885" s="2">
        <v>5884.0</v>
      </c>
      <c r="B5885" s="2" t="s">
        <v>9730</v>
      </c>
      <c r="C5885" s="2" t="s">
        <v>23</v>
      </c>
      <c r="K5885" s="2">
        <v>40.0</v>
      </c>
      <c r="N5885" s="6">
        <v>45641.0</v>
      </c>
      <c r="Q5885" s="2" t="s">
        <v>9731</v>
      </c>
    </row>
    <row r="5886">
      <c r="A5886" s="2">
        <v>5885.0</v>
      </c>
      <c r="B5886" s="2" t="s">
        <v>9732</v>
      </c>
      <c r="C5886" s="2" t="s">
        <v>23</v>
      </c>
      <c r="N5886" s="6">
        <v>45114.0</v>
      </c>
      <c r="Q5886" s="2" t="s">
        <v>9323</v>
      </c>
    </row>
    <row r="5887">
      <c r="A5887" s="2">
        <v>5886.0</v>
      </c>
      <c r="B5887" s="2" t="s">
        <v>9733</v>
      </c>
      <c r="C5887" s="2" t="s">
        <v>23</v>
      </c>
      <c r="N5887" s="6">
        <v>44894.0</v>
      </c>
      <c r="Q5887" s="2" t="s">
        <v>86</v>
      </c>
    </row>
    <row r="5888">
      <c r="A5888" s="2">
        <v>5887.0</v>
      </c>
      <c r="B5888" s="2" t="s">
        <v>9734</v>
      </c>
      <c r="C5888" s="2" t="s">
        <v>23</v>
      </c>
      <c r="K5888" s="2">
        <v>50.0</v>
      </c>
      <c r="N5888" s="6">
        <v>43914.0</v>
      </c>
      <c r="Q5888" s="2" t="s">
        <v>7509</v>
      </c>
    </row>
    <row r="5889">
      <c r="A5889" s="2">
        <v>5888.0</v>
      </c>
      <c r="B5889" s="2" t="s">
        <v>9735</v>
      </c>
      <c r="C5889" s="2" t="s">
        <v>23</v>
      </c>
      <c r="K5889" s="2">
        <v>50.0</v>
      </c>
      <c r="N5889" s="6">
        <v>44655.0</v>
      </c>
      <c r="Q5889" s="2" t="s">
        <v>86</v>
      </c>
    </row>
    <row r="5890">
      <c r="A5890" s="2">
        <v>5889.0</v>
      </c>
      <c r="B5890" s="2" t="s">
        <v>9736</v>
      </c>
      <c r="C5890" s="2" t="s">
        <v>23</v>
      </c>
      <c r="N5890" s="6">
        <v>45467.0</v>
      </c>
      <c r="Q5890" s="2" t="s">
        <v>1116</v>
      </c>
    </row>
    <row r="5891">
      <c r="A5891" s="2">
        <v>5890.0</v>
      </c>
      <c r="B5891" s="2" t="s">
        <v>9737</v>
      </c>
      <c r="C5891" s="2" t="s">
        <v>23</v>
      </c>
      <c r="K5891" s="2">
        <v>10.0</v>
      </c>
      <c r="N5891" s="6">
        <v>44905.0</v>
      </c>
      <c r="Q5891" s="2" t="s">
        <v>9738</v>
      </c>
    </row>
    <row r="5892">
      <c r="A5892" s="2">
        <v>5891.0</v>
      </c>
      <c r="B5892" s="2" t="s">
        <v>9739</v>
      </c>
      <c r="C5892" s="2" t="s">
        <v>23</v>
      </c>
      <c r="K5892" s="2">
        <v>40.0</v>
      </c>
      <c r="N5892" s="6">
        <v>44852.0</v>
      </c>
      <c r="Q5892" s="2" t="s">
        <v>86</v>
      </c>
    </row>
    <row r="5893">
      <c r="A5893" s="2">
        <v>5892.0</v>
      </c>
      <c r="B5893" s="2" t="s">
        <v>274</v>
      </c>
      <c r="C5893" s="2" t="s">
        <v>23</v>
      </c>
      <c r="K5893" s="2">
        <v>70.0</v>
      </c>
      <c r="N5893" s="6">
        <v>44177.0</v>
      </c>
      <c r="Q5893" s="2" t="s">
        <v>86</v>
      </c>
    </row>
    <row r="5894">
      <c r="A5894" s="2">
        <v>5893.0</v>
      </c>
      <c r="B5894" s="2" t="s">
        <v>9740</v>
      </c>
      <c r="C5894" s="2" t="s">
        <v>23</v>
      </c>
      <c r="N5894" s="6">
        <v>42858.0</v>
      </c>
      <c r="Q5894" s="2" t="s">
        <v>9741</v>
      </c>
    </row>
    <row r="5895">
      <c r="A5895" s="2">
        <v>5894.0</v>
      </c>
      <c r="B5895" s="2" t="s">
        <v>9742</v>
      </c>
      <c r="C5895" s="2" t="s">
        <v>23</v>
      </c>
      <c r="K5895" s="2">
        <v>30.0</v>
      </c>
      <c r="N5895" s="6">
        <v>43891.0</v>
      </c>
      <c r="Q5895" s="2" t="s">
        <v>1675</v>
      </c>
    </row>
    <row r="5896">
      <c r="A5896" s="2">
        <v>5895.0</v>
      </c>
      <c r="B5896" s="2" t="s">
        <v>9743</v>
      </c>
      <c r="C5896" s="2" t="s">
        <v>23</v>
      </c>
      <c r="N5896" s="6">
        <v>43926.0</v>
      </c>
      <c r="Q5896" s="2" t="s">
        <v>86</v>
      </c>
    </row>
    <row r="5897">
      <c r="A5897" s="2">
        <v>5896.0</v>
      </c>
      <c r="B5897" s="2" t="s">
        <v>9744</v>
      </c>
      <c r="C5897" s="2" t="s">
        <v>23</v>
      </c>
      <c r="K5897" s="2">
        <v>60.0</v>
      </c>
      <c r="N5897" s="6">
        <v>43854.0</v>
      </c>
      <c r="Q5897" s="2" t="s">
        <v>9745</v>
      </c>
    </row>
    <row r="5898">
      <c r="A5898" s="2">
        <v>5897.0</v>
      </c>
      <c r="B5898" s="2" t="s">
        <v>9746</v>
      </c>
      <c r="C5898" s="2" t="s">
        <v>23</v>
      </c>
      <c r="K5898" s="2">
        <v>60.0</v>
      </c>
      <c r="N5898" s="6">
        <v>44682.0</v>
      </c>
      <c r="Q5898" s="2" t="s">
        <v>3082</v>
      </c>
    </row>
    <row r="5899">
      <c r="A5899" s="2">
        <v>5898.0</v>
      </c>
      <c r="B5899" s="2" t="s">
        <v>9747</v>
      </c>
      <c r="C5899" s="2" t="s">
        <v>23</v>
      </c>
      <c r="N5899" s="6">
        <v>43912.0</v>
      </c>
      <c r="Q5899" s="2" t="s">
        <v>86</v>
      </c>
    </row>
    <row r="5900">
      <c r="A5900" s="2">
        <v>5899.0</v>
      </c>
      <c r="B5900" s="2" t="s">
        <v>9748</v>
      </c>
      <c r="C5900" s="2" t="s">
        <v>23</v>
      </c>
      <c r="K5900" s="2">
        <v>10.0</v>
      </c>
      <c r="N5900" s="6">
        <v>44359.0</v>
      </c>
      <c r="Q5900" s="2" t="s">
        <v>401</v>
      </c>
    </row>
    <row r="5901">
      <c r="A5901" s="2">
        <v>5900.0</v>
      </c>
      <c r="B5901" s="2" t="s">
        <v>9749</v>
      </c>
      <c r="C5901" s="2" t="s">
        <v>23</v>
      </c>
      <c r="N5901" s="6">
        <v>45742.0</v>
      </c>
      <c r="Q5901" s="2" t="s">
        <v>9750</v>
      </c>
    </row>
    <row r="5902">
      <c r="A5902" s="2">
        <v>5901.0</v>
      </c>
      <c r="B5902" s="2" t="s">
        <v>9751</v>
      </c>
      <c r="C5902" s="2" t="s">
        <v>23</v>
      </c>
      <c r="N5902" s="6">
        <v>44546.0</v>
      </c>
      <c r="Q5902" s="2" t="s">
        <v>86</v>
      </c>
    </row>
    <row r="5903">
      <c r="A5903" s="2">
        <v>5902.0</v>
      </c>
      <c r="B5903" s="2" t="s">
        <v>9752</v>
      </c>
      <c r="C5903" s="2" t="s">
        <v>23</v>
      </c>
      <c r="K5903" s="2">
        <v>10.0</v>
      </c>
      <c r="N5903" s="6">
        <v>45371.0</v>
      </c>
      <c r="Q5903" s="2" t="s">
        <v>546</v>
      </c>
    </row>
    <row r="5904">
      <c r="A5904" s="2">
        <v>5903.0</v>
      </c>
      <c r="B5904" s="2" t="s">
        <v>9753</v>
      </c>
      <c r="C5904" s="2" t="s">
        <v>23</v>
      </c>
      <c r="K5904" s="2">
        <v>200.0</v>
      </c>
      <c r="N5904" s="6">
        <v>44126.0</v>
      </c>
      <c r="Q5904" s="2" t="s">
        <v>9754</v>
      </c>
    </row>
    <row r="5905">
      <c r="A5905" s="2">
        <v>5904.0</v>
      </c>
      <c r="B5905" s="2" t="s">
        <v>9755</v>
      </c>
      <c r="C5905" s="2" t="s">
        <v>23</v>
      </c>
      <c r="N5905" s="6">
        <v>45995.0</v>
      </c>
      <c r="Q5905" s="2" t="s">
        <v>9756</v>
      </c>
    </row>
    <row r="5906">
      <c r="A5906" s="2">
        <v>5905.0</v>
      </c>
      <c r="B5906" s="2" t="s">
        <v>9757</v>
      </c>
      <c r="C5906" s="2" t="s">
        <v>23</v>
      </c>
      <c r="K5906" s="2">
        <v>100.0</v>
      </c>
      <c r="N5906" s="6">
        <v>44655.0</v>
      </c>
      <c r="Q5906" s="2" t="s">
        <v>9758</v>
      </c>
    </row>
    <row r="5907">
      <c r="A5907" s="2">
        <v>5906.0</v>
      </c>
      <c r="B5907" s="2" t="s">
        <v>9759</v>
      </c>
      <c r="C5907" s="2" t="s">
        <v>23</v>
      </c>
      <c r="K5907" s="2">
        <v>150.0</v>
      </c>
      <c r="N5907" s="6">
        <v>45149.0</v>
      </c>
      <c r="Q5907" s="2" t="s">
        <v>9760</v>
      </c>
    </row>
    <row r="5908">
      <c r="A5908" s="2">
        <v>5907.0</v>
      </c>
      <c r="B5908" s="2" t="s">
        <v>9761</v>
      </c>
      <c r="C5908" s="2" t="s">
        <v>23</v>
      </c>
      <c r="K5908" s="2">
        <v>200.0</v>
      </c>
      <c r="N5908" s="6">
        <v>44620.0</v>
      </c>
      <c r="Q5908" s="2" t="s">
        <v>9762</v>
      </c>
    </row>
    <row r="5909">
      <c r="A5909" s="2">
        <v>5908.0</v>
      </c>
      <c r="B5909" s="2" t="s">
        <v>9763</v>
      </c>
      <c r="C5909" s="2" t="s">
        <v>23</v>
      </c>
      <c r="K5909" s="2">
        <v>10.0</v>
      </c>
      <c r="N5909" s="6">
        <v>44644.0</v>
      </c>
      <c r="Q5909" s="2" t="s">
        <v>86</v>
      </c>
    </row>
    <row r="5910">
      <c r="A5910" s="2">
        <v>5909.0</v>
      </c>
      <c r="B5910" s="2" t="s">
        <v>9764</v>
      </c>
      <c r="C5910" s="2" t="s">
        <v>23</v>
      </c>
      <c r="N5910" s="6">
        <v>44326.0</v>
      </c>
      <c r="Q5910" s="2" t="s">
        <v>86</v>
      </c>
    </row>
    <row r="5911">
      <c r="A5911" s="2">
        <v>5910.0</v>
      </c>
      <c r="B5911" s="2" t="s">
        <v>9765</v>
      </c>
      <c r="C5911" s="2" t="s">
        <v>23</v>
      </c>
      <c r="K5911" s="2">
        <v>50.0</v>
      </c>
      <c r="N5911" s="6">
        <v>45639.0</v>
      </c>
      <c r="Q5911" s="2" t="s">
        <v>9766</v>
      </c>
    </row>
    <row r="5912">
      <c r="A5912" s="2">
        <v>5911.0</v>
      </c>
      <c r="B5912" s="2" t="s">
        <v>9767</v>
      </c>
      <c r="C5912" s="2" t="s">
        <v>23</v>
      </c>
      <c r="N5912" s="6">
        <v>44326.0</v>
      </c>
      <c r="Q5912" s="2" t="s">
        <v>86</v>
      </c>
    </row>
    <row r="5913">
      <c r="A5913" s="2">
        <v>5912.0</v>
      </c>
      <c r="B5913" s="2" t="s">
        <v>9768</v>
      </c>
      <c r="C5913" s="2" t="s">
        <v>23</v>
      </c>
      <c r="K5913" s="2">
        <v>30.0</v>
      </c>
      <c r="N5913" s="6">
        <v>43902.0</v>
      </c>
      <c r="Q5913" s="2" t="s">
        <v>9769</v>
      </c>
    </row>
    <row r="5914">
      <c r="A5914" s="2">
        <v>5913.0</v>
      </c>
      <c r="B5914" s="2" t="s">
        <v>9770</v>
      </c>
      <c r="C5914" s="2" t="s">
        <v>23</v>
      </c>
      <c r="K5914" s="2">
        <v>10.0</v>
      </c>
      <c r="N5914" s="6">
        <v>45525.0</v>
      </c>
      <c r="Q5914" s="2" t="s">
        <v>9771</v>
      </c>
    </row>
    <row r="5915">
      <c r="A5915" s="2">
        <v>5914.0</v>
      </c>
      <c r="B5915" s="2" t="s">
        <v>9772</v>
      </c>
      <c r="C5915" s="2" t="s">
        <v>23</v>
      </c>
      <c r="N5915" s="6">
        <v>44915.0</v>
      </c>
      <c r="Q5915" s="2" t="s">
        <v>1116</v>
      </c>
    </row>
    <row r="5916">
      <c r="A5916" s="2">
        <v>5915.0</v>
      </c>
      <c r="B5916" s="2" t="s">
        <v>9773</v>
      </c>
      <c r="C5916" s="2" t="s">
        <v>23</v>
      </c>
      <c r="K5916" s="2">
        <v>200.0</v>
      </c>
      <c r="N5916" s="6">
        <v>44286.0</v>
      </c>
      <c r="Q5916" s="2" t="s">
        <v>9774</v>
      </c>
    </row>
    <row r="5917">
      <c r="A5917" s="2">
        <v>5916.0</v>
      </c>
      <c r="B5917" s="2" t="s">
        <v>9775</v>
      </c>
      <c r="C5917" s="2" t="s">
        <v>23</v>
      </c>
      <c r="K5917" s="2">
        <v>40.0</v>
      </c>
      <c r="N5917" s="6">
        <v>44415.0</v>
      </c>
      <c r="Q5917" s="2" t="s">
        <v>9693</v>
      </c>
    </row>
    <row r="5918">
      <c r="A5918" s="2">
        <v>5917.0</v>
      </c>
      <c r="B5918" s="2" t="s">
        <v>9776</v>
      </c>
      <c r="C5918" s="2" t="s">
        <v>23</v>
      </c>
      <c r="N5918" s="6">
        <v>44685.0</v>
      </c>
      <c r="Q5918" s="2" t="s">
        <v>3584</v>
      </c>
    </row>
    <row r="5919">
      <c r="A5919" s="2">
        <v>5918.0</v>
      </c>
      <c r="B5919" s="2" t="s">
        <v>9777</v>
      </c>
      <c r="C5919" s="2" t="s">
        <v>23</v>
      </c>
      <c r="N5919" s="6">
        <v>44091.0</v>
      </c>
      <c r="Q5919" s="2" t="s">
        <v>1116</v>
      </c>
    </row>
    <row r="5920">
      <c r="A5920" s="2">
        <v>5919.0</v>
      </c>
      <c r="B5920" s="2" t="s">
        <v>9778</v>
      </c>
      <c r="C5920" s="2" t="s">
        <v>23</v>
      </c>
      <c r="N5920" s="6">
        <v>43887.0</v>
      </c>
      <c r="Q5920" s="2" t="s">
        <v>86</v>
      </c>
    </row>
    <row r="5921">
      <c r="A5921" s="2">
        <v>5920.0</v>
      </c>
      <c r="B5921" s="2" t="s">
        <v>9779</v>
      </c>
      <c r="C5921" s="2" t="s">
        <v>23</v>
      </c>
      <c r="K5921" s="2">
        <v>10.0</v>
      </c>
      <c r="N5921" s="6">
        <v>45104.0</v>
      </c>
      <c r="Q5921" s="2" t="s">
        <v>2948</v>
      </c>
    </row>
    <row r="5922">
      <c r="A5922" s="2">
        <v>5921.0</v>
      </c>
      <c r="B5922" s="2" t="s">
        <v>9780</v>
      </c>
      <c r="C5922" s="2" t="s">
        <v>23</v>
      </c>
      <c r="N5922" s="6">
        <v>45215.0</v>
      </c>
      <c r="Q5922" s="2" t="s">
        <v>86</v>
      </c>
    </row>
    <row r="5923">
      <c r="A5923" s="2">
        <v>5922.0</v>
      </c>
      <c r="B5923" s="2" t="s">
        <v>9781</v>
      </c>
      <c r="C5923" s="2" t="s">
        <v>23</v>
      </c>
      <c r="K5923" s="2">
        <v>2200.0</v>
      </c>
      <c r="N5923" s="6">
        <v>42627.0</v>
      </c>
      <c r="Q5923" s="2" t="s">
        <v>9782</v>
      </c>
    </row>
    <row r="5924">
      <c r="A5924" s="2">
        <v>5923.0</v>
      </c>
      <c r="B5924" s="2" t="s">
        <v>9783</v>
      </c>
      <c r="C5924" s="2" t="s">
        <v>23</v>
      </c>
      <c r="K5924" s="2">
        <v>100.0</v>
      </c>
      <c r="N5924" s="6">
        <v>44118.0</v>
      </c>
      <c r="Q5924" s="2" t="s">
        <v>3080</v>
      </c>
    </row>
    <row r="5925">
      <c r="A5925" s="2">
        <v>5924.0</v>
      </c>
      <c r="B5925" s="2" t="s">
        <v>9784</v>
      </c>
      <c r="C5925" s="2" t="s">
        <v>23</v>
      </c>
      <c r="K5925" s="2">
        <v>70.0</v>
      </c>
      <c r="N5925" s="6">
        <v>45175.0</v>
      </c>
      <c r="Q5925" s="2" t="s">
        <v>491</v>
      </c>
    </row>
    <row r="5926">
      <c r="A5926" s="2">
        <v>5925.0</v>
      </c>
      <c r="B5926" s="2" t="s">
        <v>9785</v>
      </c>
      <c r="C5926" s="2" t="s">
        <v>23</v>
      </c>
      <c r="K5926" s="2">
        <v>70.0</v>
      </c>
      <c r="N5926" s="6">
        <v>42326.0</v>
      </c>
      <c r="Q5926" s="2" t="s">
        <v>9786</v>
      </c>
    </row>
    <row r="5927">
      <c r="A5927" s="2">
        <v>5926.0</v>
      </c>
      <c r="B5927" s="2" t="s">
        <v>9787</v>
      </c>
      <c r="C5927" s="2" t="s">
        <v>23</v>
      </c>
      <c r="K5927" s="2">
        <v>40.0</v>
      </c>
      <c r="N5927" s="6">
        <v>44142.0</v>
      </c>
      <c r="Q5927" s="2" t="s">
        <v>9788</v>
      </c>
    </row>
    <row r="5928">
      <c r="A5928" s="2">
        <v>5927.0</v>
      </c>
      <c r="B5928" s="2" t="s">
        <v>9789</v>
      </c>
      <c r="C5928" s="2" t="s">
        <v>23</v>
      </c>
      <c r="K5928" s="2">
        <v>30.0</v>
      </c>
      <c r="N5928" s="6">
        <v>44660.0</v>
      </c>
      <c r="Q5928" s="2" t="s">
        <v>9790</v>
      </c>
    </row>
    <row r="5929">
      <c r="A5929" s="2">
        <v>5928.0</v>
      </c>
      <c r="B5929" s="2" t="s">
        <v>9791</v>
      </c>
      <c r="C5929" s="2" t="s">
        <v>23</v>
      </c>
      <c r="K5929" s="2">
        <v>40.0</v>
      </c>
      <c r="N5929" s="6">
        <v>45600.0</v>
      </c>
      <c r="Q5929" s="2" t="s">
        <v>4332</v>
      </c>
    </row>
    <row r="5930">
      <c r="A5930" s="2">
        <v>5929.0</v>
      </c>
      <c r="B5930" s="2" t="s">
        <v>9792</v>
      </c>
      <c r="C5930" s="2" t="s">
        <v>23</v>
      </c>
      <c r="K5930" s="2">
        <v>10.0</v>
      </c>
      <c r="N5930" s="6">
        <v>43920.0</v>
      </c>
      <c r="Q5930" s="2" t="s">
        <v>86</v>
      </c>
    </row>
    <row r="5931">
      <c r="A5931" s="2">
        <v>5930.0</v>
      </c>
      <c r="B5931" s="2" t="s">
        <v>9793</v>
      </c>
      <c r="C5931" s="2" t="s">
        <v>23</v>
      </c>
      <c r="N5931" s="6">
        <v>44146.0</v>
      </c>
      <c r="Q5931" s="2" t="s">
        <v>86</v>
      </c>
    </row>
    <row r="5932">
      <c r="A5932" s="2">
        <v>5931.0</v>
      </c>
      <c r="B5932" s="2" t="s">
        <v>9794</v>
      </c>
      <c r="C5932" s="2" t="s">
        <v>23</v>
      </c>
      <c r="K5932" s="2">
        <v>150.0</v>
      </c>
      <c r="N5932" s="6">
        <v>43923.0</v>
      </c>
      <c r="Q5932" s="2" t="s">
        <v>9795</v>
      </c>
    </row>
    <row r="5933">
      <c r="A5933" s="2">
        <v>5932.0</v>
      </c>
      <c r="B5933" s="2" t="s">
        <v>9796</v>
      </c>
      <c r="C5933" s="2" t="s">
        <v>23</v>
      </c>
      <c r="N5933" s="6">
        <v>44753.0</v>
      </c>
      <c r="Q5933" s="2" t="s">
        <v>86</v>
      </c>
    </row>
    <row r="5934">
      <c r="A5934" s="2">
        <v>5933.0</v>
      </c>
      <c r="B5934" s="2" t="s">
        <v>9797</v>
      </c>
      <c r="C5934" s="2" t="s">
        <v>23</v>
      </c>
      <c r="K5934" s="2">
        <v>10.0</v>
      </c>
      <c r="N5934" s="6">
        <v>42797.0</v>
      </c>
      <c r="Q5934" s="2" t="s">
        <v>9798</v>
      </c>
    </row>
    <row r="5935">
      <c r="A5935" s="2">
        <v>5934.0</v>
      </c>
      <c r="B5935" s="2" t="s">
        <v>9799</v>
      </c>
      <c r="C5935" s="2" t="s">
        <v>23</v>
      </c>
      <c r="K5935" s="2">
        <v>10.0</v>
      </c>
      <c r="N5935" s="6">
        <v>44502.0</v>
      </c>
      <c r="Q5935" s="2" t="s">
        <v>86</v>
      </c>
    </row>
    <row r="5936">
      <c r="A5936" s="2">
        <v>5935.0</v>
      </c>
      <c r="B5936" s="2" t="s">
        <v>9800</v>
      </c>
      <c r="C5936" s="2" t="s">
        <v>23</v>
      </c>
      <c r="K5936" s="2">
        <v>20.0</v>
      </c>
      <c r="N5936" s="6">
        <v>43598.0</v>
      </c>
      <c r="Q5936" s="2" t="s">
        <v>9801</v>
      </c>
    </row>
    <row r="5937">
      <c r="A5937" s="2">
        <v>5936.0</v>
      </c>
      <c r="B5937" s="2" t="s">
        <v>9802</v>
      </c>
      <c r="C5937" s="2" t="s">
        <v>23</v>
      </c>
      <c r="K5937" s="2">
        <v>50.0</v>
      </c>
      <c r="N5937" s="6">
        <v>44378.0</v>
      </c>
      <c r="Q5937" s="2" t="s">
        <v>9803</v>
      </c>
    </row>
    <row r="5938">
      <c r="A5938" s="2">
        <v>5937.0</v>
      </c>
      <c r="B5938" s="2" t="s">
        <v>9804</v>
      </c>
      <c r="C5938" s="2" t="s">
        <v>23</v>
      </c>
      <c r="K5938" s="2">
        <v>10.0</v>
      </c>
      <c r="N5938" s="6">
        <v>44368.0</v>
      </c>
      <c r="Q5938" s="2" t="s">
        <v>9805</v>
      </c>
    </row>
    <row r="5939">
      <c r="A5939" s="2">
        <v>5938.0</v>
      </c>
      <c r="B5939" s="2" t="s">
        <v>9806</v>
      </c>
      <c r="C5939" s="2" t="s">
        <v>23</v>
      </c>
      <c r="K5939" s="2">
        <v>100.0</v>
      </c>
      <c r="N5939" s="6">
        <v>42921.0</v>
      </c>
      <c r="Q5939" s="2" t="s">
        <v>9807</v>
      </c>
    </row>
    <row r="5940">
      <c r="A5940" s="2">
        <v>5939.0</v>
      </c>
      <c r="B5940" s="2" t="s">
        <v>9808</v>
      </c>
      <c r="C5940" s="2" t="s">
        <v>23</v>
      </c>
      <c r="N5940" s="6">
        <v>44017.0</v>
      </c>
      <c r="Q5940" s="2" t="s">
        <v>86</v>
      </c>
    </row>
    <row r="5941">
      <c r="A5941" s="2">
        <v>5940.0</v>
      </c>
      <c r="B5941" s="2" t="s">
        <v>9809</v>
      </c>
      <c r="C5941" s="2" t="s">
        <v>23</v>
      </c>
      <c r="K5941" s="2">
        <v>60.0</v>
      </c>
      <c r="N5941" s="6">
        <v>44444.0</v>
      </c>
      <c r="Q5941" s="2" t="s">
        <v>86</v>
      </c>
    </row>
    <row r="5942">
      <c r="A5942" s="2">
        <v>5941.0</v>
      </c>
      <c r="B5942" s="2" t="s">
        <v>9810</v>
      </c>
      <c r="C5942" s="2" t="s">
        <v>23</v>
      </c>
      <c r="K5942" s="2">
        <v>70.0</v>
      </c>
      <c r="N5942" s="6">
        <v>43905.0</v>
      </c>
      <c r="Q5942" s="2" t="s">
        <v>9811</v>
      </c>
    </row>
    <row r="5943">
      <c r="A5943" s="2">
        <v>5942.0</v>
      </c>
      <c r="B5943" s="2" t="s">
        <v>9812</v>
      </c>
      <c r="C5943" s="2" t="s">
        <v>23</v>
      </c>
      <c r="K5943" s="2">
        <v>50.0</v>
      </c>
      <c r="N5943" s="6">
        <v>45695.0</v>
      </c>
      <c r="Q5943" s="2" t="s">
        <v>9813</v>
      </c>
    </row>
    <row r="5944">
      <c r="A5944" s="2">
        <v>5943.0</v>
      </c>
      <c r="B5944" s="2" t="s">
        <v>9814</v>
      </c>
      <c r="C5944" s="2" t="s">
        <v>23</v>
      </c>
      <c r="K5944" s="2">
        <v>30.0</v>
      </c>
      <c r="N5944" s="6">
        <v>44529.0</v>
      </c>
      <c r="Q5944" s="2" t="s">
        <v>9815</v>
      </c>
    </row>
    <row r="5945">
      <c r="A5945" s="2">
        <v>5944.0</v>
      </c>
      <c r="B5945" s="2" t="s">
        <v>9816</v>
      </c>
      <c r="C5945" s="2" t="s">
        <v>23</v>
      </c>
      <c r="N5945" s="6">
        <v>45172.0</v>
      </c>
      <c r="Q5945" s="2" t="s">
        <v>86</v>
      </c>
    </row>
    <row r="5946">
      <c r="A5946" s="2">
        <v>5945.0</v>
      </c>
      <c r="B5946" s="2" t="s">
        <v>9817</v>
      </c>
      <c r="C5946" s="2" t="s">
        <v>23</v>
      </c>
      <c r="K5946" s="2">
        <v>150.0</v>
      </c>
      <c r="N5946" s="6">
        <v>44626.0</v>
      </c>
      <c r="Q5946" s="2" t="s">
        <v>9818</v>
      </c>
    </row>
    <row r="5947">
      <c r="A5947" s="2">
        <v>5946.0</v>
      </c>
      <c r="B5947" s="2" t="s">
        <v>9819</v>
      </c>
      <c r="C5947" s="2" t="s">
        <v>23</v>
      </c>
      <c r="N5947" s="6">
        <v>44444.0</v>
      </c>
      <c r="Q5947" s="2" t="s">
        <v>1801</v>
      </c>
    </row>
    <row r="5948">
      <c r="A5948" s="2">
        <v>5947.0</v>
      </c>
      <c r="B5948" s="2" t="s">
        <v>9820</v>
      </c>
      <c r="C5948" s="2" t="s">
        <v>23</v>
      </c>
      <c r="N5948" s="6">
        <v>44137.0</v>
      </c>
      <c r="Q5948" s="2" t="s">
        <v>86</v>
      </c>
    </row>
    <row r="5949">
      <c r="A5949" s="2">
        <v>5948.0</v>
      </c>
      <c r="B5949" s="2" t="s">
        <v>9821</v>
      </c>
      <c r="C5949" s="2" t="s">
        <v>23</v>
      </c>
      <c r="N5949" s="6">
        <v>44987.0</v>
      </c>
      <c r="Q5949" s="2" t="s">
        <v>86</v>
      </c>
    </row>
    <row r="5950">
      <c r="A5950" s="2">
        <v>5949.0</v>
      </c>
      <c r="B5950" s="2" t="s">
        <v>9822</v>
      </c>
      <c r="C5950" s="2" t="s">
        <v>23</v>
      </c>
      <c r="K5950" s="2">
        <v>20.0</v>
      </c>
      <c r="N5950" s="6">
        <v>44960.0</v>
      </c>
      <c r="Q5950" s="2" t="s">
        <v>9823</v>
      </c>
    </row>
    <row r="5951">
      <c r="A5951" s="2">
        <v>5950.0</v>
      </c>
      <c r="B5951" s="2" t="s">
        <v>9824</v>
      </c>
      <c r="C5951" s="2" t="s">
        <v>23</v>
      </c>
      <c r="N5951" s="6">
        <v>45351.0</v>
      </c>
      <c r="Q5951" s="2" t="s">
        <v>426</v>
      </c>
    </row>
    <row r="5952">
      <c r="A5952" s="2">
        <v>5951.0</v>
      </c>
      <c r="B5952" s="2" t="s">
        <v>9825</v>
      </c>
      <c r="C5952" s="2" t="s">
        <v>23</v>
      </c>
      <c r="N5952" s="6">
        <v>44620.0</v>
      </c>
      <c r="Q5952" s="2" t="s">
        <v>86</v>
      </c>
    </row>
    <row r="5953">
      <c r="A5953" s="2">
        <v>5952.0</v>
      </c>
      <c r="B5953" s="2" t="s">
        <v>9826</v>
      </c>
      <c r="C5953" s="2" t="s">
        <v>23</v>
      </c>
      <c r="K5953" s="2">
        <v>10.0</v>
      </c>
      <c r="N5953" s="6">
        <v>42600.0</v>
      </c>
      <c r="Q5953" s="2" t="s">
        <v>9827</v>
      </c>
    </row>
    <row r="5954">
      <c r="A5954" s="2">
        <v>5953.0</v>
      </c>
      <c r="B5954" s="2" t="s">
        <v>9828</v>
      </c>
      <c r="C5954" s="2" t="s">
        <v>23</v>
      </c>
      <c r="K5954" s="2">
        <v>250.0</v>
      </c>
      <c r="N5954" s="6">
        <v>45397.0</v>
      </c>
      <c r="Q5954" s="2" t="s">
        <v>9829</v>
      </c>
    </row>
    <row r="5955">
      <c r="A5955" s="2">
        <v>5954.0</v>
      </c>
      <c r="B5955" s="2" t="s">
        <v>9830</v>
      </c>
      <c r="C5955" s="2" t="s">
        <v>23</v>
      </c>
      <c r="N5955" s="6">
        <v>44648.0</v>
      </c>
      <c r="Q5955" s="2" t="s">
        <v>86</v>
      </c>
    </row>
    <row r="5956">
      <c r="A5956" s="2">
        <v>5955.0</v>
      </c>
      <c r="B5956" s="2" t="s">
        <v>9831</v>
      </c>
      <c r="C5956" s="2" t="s">
        <v>23</v>
      </c>
      <c r="K5956" s="2">
        <v>60.0</v>
      </c>
      <c r="N5956" s="6">
        <v>43961.0</v>
      </c>
      <c r="Q5956" s="2" t="s">
        <v>9832</v>
      </c>
    </row>
    <row r="5957">
      <c r="A5957" s="2">
        <v>5956.0</v>
      </c>
      <c r="B5957" s="2" t="s">
        <v>9833</v>
      </c>
      <c r="C5957" s="2" t="s">
        <v>23</v>
      </c>
      <c r="K5957" s="2">
        <v>50.0</v>
      </c>
      <c r="N5957" s="6">
        <v>43280.0</v>
      </c>
      <c r="Q5957" s="2" t="s">
        <v>1895</v>
      </c>
    </row>
    <row r="5958">
      <c r="A5958" s="2">
        <v>5957.0</v>
      </c>
      <c r="B5958" s="2" t="s">
        <v>9834</v>
      </c>
      <c r="C5958" s="2" t="s">
        <v>23</v>
      </c>
      <c r="N5958" s="6">
        <v>44900.0</v>
      </c>
      <c r="Q5958" s="2" t="s">
        <v>4554</v>
      </c>
    </row>
    <row r="5959">
      <c r="A5959" s="2">
        <v>5958.0</v>
      </c>
      <c r="B5959" s="2" t="s">
        <v>9835</v>
      </c>
      <c r="C5959" s="2" t="s">
        <v>23</v>
      </c>
      <c r="K5959" s="2">
        <v>10.0</v>
      </c>
      <c r="N5959" s="6">
        <v>42650.0</v>
      </c>
      <c r="Q5959" s="2" t="s">
        <v>1116</v>
      </c>
    </row>
    <row r="5960">
      <c r="A5960" s="2">
        <v>5959.0</v>
      </c>
      <c r="B5960" s="2" t="s">
        <v>9836</v>
      </c>
      <c r="C5960" s="2" t="s">
        <v>23</v>
      </c>
      <c r="K5960" s="2">
        <v>100.0</v>
      </c>
      <c r="N5960" s="6">
        <v>44035.0</v>
      </c>
      <c r="Q5960" s="2" t="s">
        <v>9837</v>
      </c>
    </row>
    <row r="5961">
      <c r="A5961" s="2">
        <v>5960.0</v>
      </c>
      <c r="B5961" s="2" t="s">
        <v>9838</v>
      </c>
      <c r="C5961" s="2" t="s">
        <v>23</v>
      </c>
      <c r="K5961" s="2">
        <v>10.0</v>
      </c>
      <c r="N5961" s="6">
        <v>44483.0</v>
      </c>
      <c r="Q5961" s="2" t="s">
        <v>9839</v>
      </c>
    </row>
    <row r="5962">
      <c r="A5962" s="2">
        <v>5961.0</v>
      </c>
      <c r="B5962" s="2" t="s">
        <v>9840</v>
      </c>
      <c r="C5962" s="2" t="s">
        <v>23</v>
      </c>
      <c r="K5962" s="2">
        <v>100.0</v>
      </c>
      <c r="N5962" s="6">
        <v>43913.0</v>
      </c>
      <c r="Q5962" s="2" t="s">
        <v>9841</v>
      </c>
    </row>
    <row r="5963">
      <c r="A5963" s="2">
        <v>5962.0</v>
      </c>
      <c r="B5963" s="2" t="s">
        <v>9842</v>
      </c>
      <c r="C5963" s="2" t="s">
        <v>23</v>
      </c>
      <c r="K5963" s="2">
        <v>80.0</v>
      </c>
      <c r="N5963" s="6">
        <v>45561.0</v>
      </c>
      <c r="Q5963" s="2" t="s">
        <v>9843</v>
      </c>
    </row>
    <row r="5964">
      <c r="A5964" s="2">
        <v>5963.0</v>
      </c>
      <c r="B5964" s="2" t="s">
        <v>9844</v>
      </c>
      <c r="C5964" s="2" t="s">
        <v>23</v>
      </c>
      <c r="K5964" s="2">
        <v>10.0</v>
      </c>
      <c r="N5964" s="6">
        <v>44847.0</v>
      </c>
      <c r="Q5964" s="2" t="s">
        <v>175</v>
      </c>
    </row>
    <row r="5965">
      <c r="A5965" s="2">
        <v>5964.0</v>
      </c>
      <c r="B5965" s="2" t="s">
        <v>9845</v>
      </c>
      <c r="C5965" s="2" t="s">
        <v>23</v>
      </c>
      <c r="K5965" s="2">
        <v>30.0</v>
      </c>
      <c r="N5965" s="6">
        <v>44085.0</v>
      </c>
      <c r="Q5965" s="2" t="s">
        <v>3225</v>
      </c>
    </row>
    <row r="5966">
      <c r="A5966" s="2">
        <v>5965.0</v>
      </c>
      <c r="B5966" s="2" t="s">
        <v>9846</v>
      </c>
      <c r="C5966" s="2" t="s">
        <v>23</v>
      </c>
      <c r="N5966" s="6">
        <v>44948.0</v>
      </c>
      <c r="Q5966" s="2" t="s">
        <v>86</v>
      </c>
    </row>
    <row r="5967">
      <c r="A5967" s="2">
        <v>5966.0</v>
      </c>
      <c r="B5967" s="2" t="s">
        <v>9847</v>
      </c>
      <c r="C5967" s="2" t="s">
        <v>23</v>
      </c>
      <c r="K5967" s="2">
        <v>300.0</v>
      </c>
      <c r="N5967" s="6">
        <v>44091.0</v>
      </c>
      <c r="Q5967" s="2" t="s">
        <v>9848</v>
      </c>
    </row>
    <row r="5968">
      <c r="A5968" s="2">
        <v>5967.0</v>
      </c>
      <c r="B5968" s="2" t="s">
        <v>9849</v>
      </c>
      <c r="C5968" s="2" t="s">
        <v>23</v>
      </c>
      <c r="K5968" s="2">
        <v>10.0</v>
      </c>
      <c r="N5968" s="6">
        <v>45164.0</v>
      </c>
      <c r="Q5968" s="2" t="s">
        <v>9850</v>
      </c>
    </row>
    <row r="5969">
      <c r="A5969" s="2">
        <v>5968.0</v>
      </c>
      <c r="B5969" s="2" t="s">
        <v>9851</v>
      </c>
      <c r="C5969" s="2" t="s">
        <v>23</v>
      </c>
      <c r="N5969" s="6">
        <v>42661.0</v>
      </c>
      <c r="Q5969" s="2" t="s">
        <v>3955</v>
      </c>
    </row>
    <row r="5970">
      <c r="A5970" s="2">
        <v>5969.0</v>
      </c>
      <c r="B5970" s="2" t="s">
        <v>9852</v>
      </c>
      <c r="C5970" s="2" t="s">
        <v>23</v>
      </c>
      <c r="N5970" s="6">
        <v>45481.0</v>
      </c>
      <c r="Q5970" s="2" t="s">
        <v>369</v>
      </c>
    </row>
    <row r="5971">
      <c r="A5971" s="2">
        <v>5970.0</v>
      </c>
      <c r="B5971" s="2" t="s">
        <v>9853</v>
      </c>
      <c r="C5971" s="2" t="s">
        <v>23</v>
      </c>
      <c r="K5971" s="2">
        <v>30.0</v>
      </c>
      <c r="N5971" s="6">
        <v>45605.0</v>
      </c>
      <c r="Q5971" s="2" t="s">
        <v>3724</v>
      </c>
    </row>
    <row r="5972">
      <c r="A5972" s="2">
        <v>5971.0</v>
      </c>
      <c r="B5972" s="2" t="s">
        <v>9854</v>
      </c>
      <c r="C5972" s="2" t="s">
        <v>23</v>
      </c>
      <c r="N5972" s="6">
        <v>45471.0</v>
      </c>
      <c r="Q5972" s="2" t="s">
        <v>1156</v>
      </c>
    </row>
    <row r="5973">
      <c r="A5973" s="2">
        <v>5972.0</v>
      </c>
      <c r="B5973" s="2" t="s">
        <v>9855</v>
      </c>
      <c r="C5973" s="2" t="s">
        <v>23</v>
      </c>
      <c r="K5973" s="2">
        <v>10.0</v>
      </c>
      <c r="N5973" s="6">
        <v>44547.0</v>
      </c>
      <c r="Q5973" s="2" t="s">
        <v>2411</v>
      </c>
    </row>
    <row r="5974">
      <c r="A5974" s="2">
        <v>5973.0</v>
      </c>
      <c r="B5974" s="2" t="s">
        <v>9856</v>
      </c>
      <c r="C5974" s="2" t="s">
        <v>23</v>
      </c>
      <c r="K5974" s="2">
        <v>20.0</v>
      </c>
      <c r="N5974" s="6">
        <v>43860.0</v>
      </c>
      <c r="Q5974" s="2" t="s">
        <v>9857</v>
      </c>
    </row>
    <row r="5975">
      <c r="A5975" s="2">
        <v>5974.0</v>
      </c>
      <c r="B5975" s="2" t="s">
        <v>9858</v>
      </c>
      <c r="C5975" s="2" t="s">
        <v>23</v>
      </c>
      <c r="K5975" s="2">
        <v>10.0</v>
      </c>
      <c r="N5975" s="6">
        <v>44859.0</v>
      </c>
      <c r="Q5975" s="2" t="s">
        <v>9859</v>
      </c>
    </row>
    <row r="5976">
      <c r="A5976" s="2">
        <v>5975.0</v>
      </c>
      <c r="B5976" s="2" t="s">
        <v>9860</v>
      </c>
      <c r="C5976" s="2" t="s">
        <v>23</v>
      </c>
      <c r="K5976" s="2">
        <v>20.0</v>
      </c>
      <c r="N5976" s="6">
        <v>45266.0</v>
      </c>
      <c r="Q5976" s="2" t="s">
        <v>1156</v>
      </c>
    </row>
    <row r="5977">
      <c r="A5977" s="2">
        <v>5976.0</v>
      </c>
      <c r="B5977" s="2" t="s">
        <v>9861</v>
      </c>
      <c r="C5977" s="2" t="s">
        <v>23</v>
      </c>
      <c r="K5977" s="2">
        <v>40.0</v>
      </c>
      <c r="N5977" s="6">
        <v>42603.0</v>
      </c>
      <c r="Q5977" s="2" t="s">
        <v>9862</v>
      </c>
    </row>
    <row r="5978">
      <c r="A5978" s="2">
        <v>5977.0</v>
      </c>
      <c r="B5978" s="2" t="s">
        <v>9863</v>
      </c>
      <c r="C5978" s="2" t="s">
        <v>23</v>
      </c>
      <c r="K5978" s="2">
        <v>20.0</v>
      </c>
      <c r="N5978" s="6">
        <v>44908.0</v>
      </c>
      <c r="Q5978" s="2" t="s">
        <v>9864</v>
      </c>
    </row>
    <row r="5979">
      <c r="A5979" s="2">
        <v>5978.0</v>
      </c>
      <c r="B5979" s="2" t="s">
        <v>9865</v>
      </c>
      <c r="C5979" s="2" t="s">
        <v>23</v>
      </c>
      <c r="N5979" s="6">
        <v>45686.0</v>
      </c>
      <c r="Q5979" s="2" t="s">
        <v>2738</v>
      </c>
    </row>
    <row r="5980">
      <c r="A5980" s="2">
        <v>5979.0</v>
      </c>
      <c r="B5980" s="2" t="s">
        <v>9866</v>
      </c>
      <c r="C5980" s="2" t="s">
        <v>23</v>
      </c>
      <c r="K5980" s="2">
        <v>100.0</v>
      </c>
      <c r="N5980" s="6">
        <v>43965.0</v>
      </c>
      <c r="Q5980" s="2" t="s">
        <v>60</v>
      </c>
    </row>
    <row r="5981">
      <c r="A5981" s="2">
        <v>5980.0</v>
      </c>
      <c r="B5981" s="2" t="s">
        <v>9867</v>
      </c>
      <c r="C5981" s="2" t="s">
        <v>23</v>
      </c>
      <c r="K5981" s="2">
        <v>100.0</v>
      </c>
      <c r="N5981" s="6">
        <v>45450.0</v>
      </c>
      <c r="Q5981" s="2" t="s">
        <v>9868</v>
      </c>
    </row>
    <row r="5982">
      <c r="A5982" s="2">
        <v>5981.0</v>
      </c>
      <c r="B5982" s="2" t="s">
        <v>9869</v>
      </c>
      <c r="C5982" s="2" t="s">
        <v>23</v>
      </c>
      <c r="K5982" s="2">
        <v>40.0</v>
      </c>
      <c r="N5982" s="6">
        <v>45695.0</v>
      </c>
      <c r="Q5982" s="2" t="s">
        <v>7712</v>
      </c>
    </row>
    <row r="5983">
      <c r="A5983" s="2">
        <v>5982.0</v>
      </c>
      <c r="B5983" s="2" t="s">
        <v>9870</v>
      </c>
      <c r="C5983" s="2" t="s">
        <v>23</v>
      </c>
      <c r="K5983" s="2">
        <v>60.0</v>
      </c>
      <c r="N5983" s="6">
        <v>45021.0</v>
      </c>
      <c r="Q5983" s="2" t="s">
        <v>3724</v>
      </c>
    </row>
    <row r="5984">
      <c r="A5984" s="2">
        <v>5983.0</v>
      </c>
      <c r="B5984" s="2" t="s">
        <v>9871</v>
      </c>
      <c r="C5984" s="2" t="s">
        <v>23</v>
      </c>
      <c r="N5984" s="6">
        <v>45065.0</v>
      </c>
      <c r="Q5984" s="2" t="s">
        <v>86</v>
      </c>
    </row>
    <row r="5985">
      <c r="A5985" s="2">
        <v>5984.0</v>
      </c>
      <c r="B5985" s="2" t="s">
        <v>9872</v>
      </c>
      <c r="C5985" s="2" t="s">
        <v>23</v>
      </c>
      <c r="N5985" s="6">
        <v>44388.0</v>
      </c>
      <c r="Q5985" s="2" t="s">
        <v>86</v>
      </c>
    </row>
    <row r="5986">
      <c r="A5986" s="2">
        <v>5985.0</v>
      </c>
      <c r="B5986" s="2" t="s">
        <v>9873</v>
      </c>
      <c r="C5986" s="2" t="s">
        <v>23</v>
      </c>
      <c r="K5986" s="2">
        <v>60.0</v>
      </c>
      <c r="N5986" s="6">
        <v>44666.0</v>
      </c>
      <c r="Q5986" s="2" t="s">
        <v>8899</v>
      </c>
    </row>
    <row r="5987">
      <c r="A5987" s="2">
        <v>5986.0</v>
      </c>
      <c r="B5987" s="2" t="s">
        <v>9874</v>
      </c>
      <c r="C5987" s="2" t="s">
        <v>23</v>
      </c>
      <c r="K5987" s="2">
        <v>50.0</v>
      </c>
      <c r="N5987" s="6">
        <v>42701.0</v>
      </c>
      <c r="Q5987" s="2" t="s">
        <v>9875</v>
      </c>
    </row>
    <row r="5988">
      <c r="A5988" s="2">
        <v>5987.0</v>
      </c>
      <c r="B5988" s="2" t="s">
        <v>9876</v>
      </c>
      <c r="C5988" s="2" t="s">
        <v>23</v>
      </c>
      <c r="N5988" s="6">
        <v>43865.0</v>
      </c>
      <c r="Q5988" s="2" t="s">
        <v>86</v>
      </c>
    </row>
    <row r="5989">
      <c r="A5989" s="2">
        <v>5988.0</v>
      </c>
      <c r="B5989" s="2" t="s">
        <v>9877</v>
      </c>
      <c r="C5989" s="2" t="s">
        <v>23</v>
      </c>
      <c r="N5989" s="6">
        <v>44318.0</v>
      </c>
      <c r="Q5989" s="2" t="s">
        <v>86</v>
      </c>
    </row>
    <row r="5990">
      <c r="A5990" s="2">
        <v>5989.0</v>
      </c>
      <c r="B5990" s="2" t="s">
        <v>9878</v>
      </c>
      <c r="C5990" s="2" t="s">
        <v>23</v>
      </c>
      <c r="K5990" s="2">
        <v>100.0</v>
      </c>
      <c r="N5990" s="6">
        <v>45642.0</v>
      </c>
      <c r="Q5990" s="2" t="s">
        <v>9879</v>
      </c>
    </row>
    <row r="5991">
      <c r="A5991" s="2">
        <v>5990.0</v>
      </c>
      <c r="B5991" s="2" t="s">
        <v>9880</v>
      </c>
      <c r="C5991" s="2" t="s">
        <v>23</v>
      </c>
      <c r="K5991" s="2">
        <v>100.0</v>
      </c>
      <c r="N5991" s="6">
        <v>45770.0</v>
      </c>
      <c r="Q5991" s="2" t="s">
        <v>9881</v>
      </c>
    </row>
    <row r="5992">
      <c r="A5992" s="2">
        <v>5991.0</v>
      </c>
      <c r="B5992" s="2" t="s">
        <v>9882</v>
      </c>
      <c r="C5992" s="2" t="s">
        <v>23</v>
      </c>
      <c r="K5992" s="2">
        <v>20.0</v>
      </c>
      <c r="N5992" s="6">
        <v>43480.0</v>
      </c>
      <c r="Q5992" s="2" t="s">
        <v>9883</v>
      </c>
    </row>
    <row r="5993">
      <c r="A5993" s="2">
        <v>5992.0</v>
      </c>
      <c r="B5993" s="2" t="s">
        <v>9884</v>
      </c>
      <c r="C5993" s="2" t="s">
        <v>23</v>
      </c>
      <c r="N5993" s="6">
        <v>45015.0</v>
      </c>
      <c r="Q5993" s="2" t="s">
        <v>86</v>
      </c>
    </row>
    <row r="5994">
      <c r="A5994" s="2">
        <v>5993.0</v>
      </c>
      <c r="B5994" s="2" t="s">
        <v>9885</v>
      </c>
      <c r="C5994" s="2" t="s">
        <v>23</v>
      </c>
      <c r="K5994" s="2">
        <v>90.0</v>
      </c>
      <c r="N5994" s="6">
        <v>43881.0</v>
      </c>
      <c r="Q5994" s="2" t="s">
        <v>9886</v>
      </c>
    </row>
    <row r="5995">
      <c r="A5995" s="2">
        <v>5994.0</v>
      </c>
      <c r="B5995" s="2" t="s">
        <v>9887</v>
      </c>
      <c r="C5995" s="2" t="s">
        <v>23</v>
      </c>
      <c r="K5995" s="2">
        <v>40.0</v>
      </c>
      <c r="N5995" s="6">
        <v>44677.0</v>
      </c>
      <c r="Q5995" s="2" t="s">
        <v>86</v>
      </c>
    </row>
    <row r="5996">
      <c r="A5996" s="2">
        <v>5995.0</v>
      </c>
      <c r="B5996" s="2" t="s">
        <v>9888</v>
      </c>
      <c r="C5996" s="2" t="s">
        <v>23</v>
      </c>
      <c r="K5996" s="2">
        <v>10.0</v>
      </c>
      <c r="N5996" s="6">
        <v>44354.0</v>
      </c>
      <c r="Q5996" s="2" t="s">
        <v>86</v>
      </c>
    </row>
    <row r="5997">
      <c r="A5997" s="2">
        <v>5996.0</v>
      </c>
      <c r="B5997" s="2" t="s">
        <v>9889</v>
      </c>
      <c r="C5997" s="2" t="s">
        <v>23</v>
      </c>
      <c r="K5997" s="2">
        <v>60.0</v>
      </c>
      <c r="N5997" s="6">
        <v>45579.0</v>
      </c>
      <c r="Q5997" s="2" t="s">
        <v>9890</v>
      </c>
    </row>
    <row r="5998">
      <c r="A5998" s="2">
        <v>5997.0</v>
      </c>
      <c r="B5998" s="2" t="s">
        <v>9891</v>
      </c>
      <c r="C5998" s="2" t="s">
        <v>23</v>
      </c>
      <c r="K5998" s="2">
        <v>20.0</v>
      </c>
      <c r="N5998" s="6">
        <v>44487.0</v>
      </c>
      <c r="Q5998" s="2" t="s">
        <v>2771</v>
      </c>
    </row>
    <row r="5999">
      <c r="A5999" s="2">
        <v>5998.0</v>
      </c>
      <c r="B5999" s="2" t="s">
        <v>9892</v>
      </c>
      <c r="C5999" s="2" t="s">
        <v>23</v>
      </c>
      <c r="N5999" s="6">
        <v>43862.0</v>
      </c>
      <c r="Q5999" s="2" t="s">
        <v>86</v>
      </c>
    </row>
    <row r="6000">
      <c r="A6000" s="2">
        <v>5999.0</v>
      </c>
      <c r="B6000" s="2" t="s">
        <v>9893</v>
      </c>
      <c r="C6000" s="2" t="s">
        <v>23</v>
      </c>
      <c r="N6000" s="6">
        <v>42655.0</v>
      </c>
      <c r="Q6000" s="2" t="s">
        <v>86</v>
      </c>
    </row>
    <row r="6001">
      <c r="A6001" s="2">
        <v>6000.0</v>
      </c>
      <c r="B6001" s="2" t="s">
        <v>9894</v>
      </c>
      <c r="C6001" s="2" t="s">
        <v>23</v>
      </c>
      <c r="K6001" s="2">
        <v>80.0</v>
      </c>
      <c r="N6001" s="6">
        <v>45747.0</v>
      </c>
      <c r="Q6001" s="2" t="s">
        <v>9895</v>
      </c>
    </row>
    <row r="6002">
      <c r="A6002" s="2">
        <v>6001.0</v>
      </c>
      <c r="B6002" s="2" t="s">
        <v>9896</v>
      </c>
      <c r="C6002" s="2" t="s">
        <v>23</v>
      </c>
      <c r="N6002" s="6">
        <v>44020.0</v>
      </c>
      <c r="Q6002" s="2" t="s">
        <v>86</v>
      </c>
    </row>
    <row r="6003">
      <c r="A6003" s="2">
        <v>6002.0</v>
      </c>
      <c r="B6003" s="2" t="s">
        <v>9897</v>
      </c>
      <c r="C6003" s="2" t="s">
        <v>23</v>
      </c>
      <c r="N6003" s="6">
        <v>43946.0</v>
      </c>
      <c r="Q6003" s="2" t="s">
        <v>86</v>
      </c>
    </row>
    <row r="6004">
      <c r="A6004" s="2">
        <v>6003.0</v>
      </c>
      <c r="B6004" s="2" t="s">
        <v>393</v>
      </c>
      <c r="C6004" s="2" t="s">
        <v>23</v>
      </c>
      <c r="K6004" s="2">
        <v>90.0</v>
      </c>
      <c r="N6004" s="6">
        <v>44725.0</v>
      </c>
      <c r="Q6004" s="2" t="s">
        <v>397</v>
      </c>
    </row>
    <row r="6005">
      <c r="A6005" s="2">
        <v>6004.0</v>
      </c>
      <c r="B6005" s="2" t="s">
        <v>9898</v>
      </c>
      <c r="C6005" s="2" t="s">
        <v>23</v>
      </c>
      <c r="K6005" s="2">
        <v>40.0</v>
      </c>
      <c r="N6005" s="6">
        <v>45082.0</v>
      </c>
      <c r="Q6005" s="2" t="s">
        <v>5556</v>
      </c>
    </row>
    <row r="6006">
      <c r="A6006" s="2">
        <v>6005.0</v>
      </c>
      <c r="B6006" s="2" t="s">
        <v>9899</v>
      </c>
      <c r="C6006" s="2" t="s">
        <v>23</v>
      </c>
      <c r="K6006" s="2">
        <v>80.0</v>
      </c>
      <c r="N6006" s="6">
        <v>43884.0</v>
      </c>
      <c r="Q6006" s="2" t="s">
        <v>9900</v>
      </c>
    </row>
    <row r="6007">
      <c r="A6007" s="2">
        <v>6006.0</v>
      </c>
      <c r="B6007" s="2" t="s">
        <v>9901</v>
      </c>
      <c r="C6007" s="2" t="s">
        <v>23</v>
      </c>
      <c r="K6007" s="2">
        <v>40.0</v>
      </c>
      <c r="N6007" s="6">
        <v>44325.0</v>
      </c>
      <c r="Q6007" s="2" t="s">
        <v>86</v>
      </c>
    </row>
    <row r="6008">
      <c r="A6008" s="2">
        <v>6007.0</v>
      </c>
      <c r="B6008" s="2" t="s">
        <v>9902</v>
      </c>
      <c r="C6008" s="2" t="s">
        <v>23</v>
      </c>
      <c r="K6008" s="2">
        <v>10.0</v>
      </c>
      <c r="N6008" s="6">
        <v>45018.0</v>
      </c>
      <c r="Q6008" s="2" t="s">
        <v>86</v>
      </c>
    </row>
    <row r="6009">
      <c r="A6009" s="2">
        <v>6008.0</v>
      </c>
      <c r="B6009" s="2" t="s">
        <v>9903</v>
      </c>
      <c r="C6009" s="2" t="s">
        <v>23</v>
      </c>
      <c r="K6009" s="2">
        <v>50.0</v>
      </c>
      <c r="N6009" s="6">
        <v>43887.0</v>
      </c>
      <c r="Q6009" s="2" t="s">
        <v>9904</v>
      </c>
    </row>
    <row r="6010">
      <c r="A6010" s="2">
        <v>6009.0</v>
      </c>
      <c r="B6010" s="2" t="s">
        <v>9905</v>
      </c>
      <c r="C6010" s="2" t="s">
        <v>23</v>
      </c>
      <c r="K6010" s="2">
        <v>150.0</v>
      </c>
      <c r="N6010" s="6">
        <v>44568.0</v>
      </c>
      <c r="Q6010" s="2" t="s">
        <v>9906</v>
      </c>
    </row>
    <row r="6011">
      <c r="A6011" s="2">
        <v>6010.0</v>
      </c>
      <c r="B6011" s="2" t="s">
        <v>9907</v>
      </c>
      <c r="C6011" s="2" t="s">
        <v>23</v>
      </c>
      <c r="N6011" s="6">
        <v>45647.0</v>
      </c>
      <c r="Q6011" s="2" t="s">
        <v>9908</v>
      </c>
    </row>
    <row r="6012">
      <c r="A6012" s="2">
        <v>6011.0</v>
      </c>
      <c r="B6012" s="2" t="s">
        <v>9909</v>
      </c>
      <c r="C6012" s="2" t="s">
        <v>23</v>
      </c>
      <c r="K6012" s="2">
        <v>150.0</v>
      </c>
      <c r="N6012" s="6">
        <v>45459.0</v>
      </c>
      <c r="Q6012" s="2" t="s">
        <v>9910</v>
      </c>
    </row>
    <row r="6013">
      <c r="A6013" s="2">
        <v>6012.0</v>
      </c>
      <c r="B6013" s="2" t="s">
        <v>9911</v>
      </c>
      <c r="C6013" s="2" t="s">
        <v>23</v>
      </c>
      <c r="K6013" s="2">
        <v>100.0</v>
      </c>
      <c r="N6013" s="6">
        <v>44125.0</v>
      </c>
      <c r="Q6013" s="2" t="s">
        <v>9912</v>
      </c>
    </row>
    <row r="6014">
      <c r="A6014" s="2">
        <v>6013.0</v>
      </c>
      <c r="B6014" s="2" t="s">
        <v>9913</v>
      </c>
      <c r="C6014" s="2" t="s">
        <v>23</v>
      </c>
      <c r="K6014" s="2">
        <v>10.0</v>
      </c>
      <c r="N6014" s="6">
        <v>45177.0</v>
      </c>
      <c r="Q6014" s="2" t="s">
        <v>9914</v>
      </c>
    </row>
    <row r="6015">
      <c r="A6015" s="2">
        <v>6014.0</v>
      </c>
      <c r="B6015" s="2" t="s">
        <v>9915</v>
      </c>
      <c r="C6015" s="2" t="s">
        <v>23</v>
      </c>
      <c r="N6015" s="6">
        <v>45213.0</v>
      </c>
      <c r="Q6015" s="2" t="s">
        <v>86</v>
      </c>
    </row>
    <row r="6016">
      <c r="A6016" s="2">
        <v>6015.0</v>
      </c>
      <c r="B6016" s="2" t="s">
        <v>9916</v>
      </c>
      <c r="C6016" s="2" t="s">
        <v>23</v>
      </c>
      <c r="K6016" s="2">
        <v>70.0</v>
      </c>
      <c r="N6016" s="6">
        <v>44664.0</v>
      </c>
      <c r="Q6016" s="2" t="s">
        <v>1156</v>
      </c>
    </row>
    <row r="6017">
      <c r="A6017" s="2">
        <v>6016.0</v>
      </c>
      <c r="B6017" s="2" t="s">
        <v>9917</v>
      </c>
      <c r="C6017" s="2" t="s">
        <v>23</v>
      </c>
      <c r="N6017" s="6">
        <v>44635.0</v>
      </c>
      <c r="Q6017" s="2" t="s">
        <v>86</v>
      </c>
    </row>
    <row r="6018">
      <c r="A6018" s="2">
        <v>6017.0</v>
      </c>
      <c r="B6018" s="2" t="s">
        <v>9918</v>
      </c>
      <c r="C6018" s="2" t="s">
        <v>23</v>
      </c>
      <c r="K6018" s="2">
        <v>10.0</v>
      </c>
      <c r="N6018" s="6">
        <v>43865.0</v>
      </c>
      <c r="Q6018" s="2" t="s">
        <v>9919</v>
      </c>
    </row>
    <row r="6019">
      <c r="A6019" s="2">
        <v>6018.0</v>
      </c>
      <c r="B6019" s="2" t="s">
        <v>9920</v>
      </c>
      <c r="C6019" s="2" t="s">
        <v>23</v>
      </c>
      <c r="N6019" s="6">
        <v>44417.0</v>
      </c>
      <c r="Q6019" s="2" t="s">
        <v>86</v>
      </c>
    </row>
    <row r="6020">
      <c r="A6020" s="2">
        <v>6019.0</v>
      </c>
      <c r="B6020" s="2" t="s">
        <v>9921</v>
      </c>
      <c r="C6020" s="2" t="s">
        <v>23</v>
      </c>
      <c r="K6020" s="2">
        <v>20.0</v>
      </c>
      <c r="N6020" s="6">
        <v>45273.0</v>
      </c>
      <c r="Q6020" s="2" t="s">
        <v>546</v>
      </c>
    </row>
    <row r="6021">
      <c r="A6021" s="2">
        <v>6020.0</v>
      </c>
      <c r="B6021" s="2" t="s">
        <v>9922</v>
      </c>
      <c r="C6021" s="2" t="s">
        <v>23</v>
      </c>
      <c r="N6021" s="6">
        <v>44071.0</v>
      </c>
      <c r="Q6021" s="2" t="s">
        <v>86</v>
      </c>
    </row>
    <row r="6022">
      <c r="A6022" s="2">
        <v>6021.0</v>
      </c>
      <c r="B6022" s="2" t="s">
        <v>9923</v>
      </c>
      <c r="C6022" s="2" t="s">
        <v>23</v>
      </c>
      <c r="K6022" s="2">
        <v>100.0</v>
      </c>
      <c r="N6022" s="6">
        <v>43847.0</v>
      </c>
      <c r="Q6022" s="2" t="s">
        <v>9924</v>
      </c>
    </row>
    <row r="6023">
      <c r="A6023" s="2">
        <v>6022.0</v>
      </c>
      <c r="B6023" s="2" t="s">
        <v>9925</v>
      </c>
      <c r="C6023" s="2" t="s">
        <v>23</v>
      </c>
      <c r="N6023" s="6">
        <v>44805.0</v>
      </c>
      <c r="Q6023" s="2" t="s">
        <v>86</v>
      </c>
    </row>
    <row r="6024">
      <c r="A6024" s="2">
        <v>6023.0</v>
      </c>
      <c r="B6024" s="2" t="s">
        <v>9926</v>
      </c>
      <c r="C6024" s="2" t="s">
        <v>23</v>
      </c>
      <c r="N6024" s="6">
        <v>45611.0</v>
      </c>
      <c r="Q6024" s="2" t="s">
        <v>9927</v>
      </c>
    </row>
    <row r="6025">
      <c r="A6025" s="2">
        <v>6024.0</v>
      </c>
      <c r="B6025" s="2" t="s">
        <v>9928</v>
      </c>
      <c r="C6025" s="2" t="s">
        <v>23</v>
      </c>
      <c r="K6025" s="2">
        <v>150.0</v>
      </c>
      <c r="N6025" s="6">
        <v>45496.0</v>
      </c>
      <c r="Q6025" s="2" t="s">
        <v>9929</v>
      </c>
    </row>
    <row r="6026">
      <c r="A6026" s="2">
        <v>6025.0</v>
      </c>
      <c r="B6026" s="2" t="s">
        <v>9930</v>
      </c>
      <c r="C6026" s="2" t="s">
        <v>23</v>
      </c>
      <c r="N6026" s="6">
        <v>45280.0</v>
      </c>
      <c r="Q6026" s="2" t="s">
        <v>86</v>
      </c>
    </row>
    <row r="6027">
      <c r="A6027" s="2">
        <v>6026.0</v>
      </c>
      <c r="B6027" s="2" t="s">
        <v>9931</v>
      </c>
      <c r="C6027" s="2" t="s">
        <v>23</v>
      </c>
      <c r="K6027" s="2">
        <v>10.0</v>
      </c>
      <c r="N6027" s="6">
        <v>44095.0</v>
      </c>
      <c r="Q6027" s="2" t="s">
        <v>1156</v>
      </c>
    </row>
    <row r="6028">
      <c r="A6028" s="2">
        <v>6027.0</v>
      </c>
      <c r="B6028" s="2" t="s">
        <v>9932</v>
      </c>
      <c r="C6028" s="2" t="s">
        <v>23</v>
      </c>
      <c r="K6028" s="2">
        <v>800.0</v>
      </c>
      <c r="N6028" s="6">
        <v>44563.0</v>
      </c>
      <c r="Q6028" s="2" t="s">
        <v>9933</v>
      </c>
    </row>
    <row r="6029">
      <c r="A6029" s="2">
        <v>6028.0</v>
      </c>
      <c r="B6029" s="2" t="s">
        <v>9934</v>
      </c>
      <c r="C6029" s="2" t="s">
        <v>23</v>
      </c>
      <c r="K6029" s="2">
        <v>10.0</v>
      </c>
      <c r="N6029" s="6">
        <v>44909.0</v>
      </c>
      <c r="Q6029" s="2" t="s">
        <v>9935</v>
      </c>
    </row>
    <row r="6030">
      <c r="A6030" s="2">
        <v>6029.0</v>
      </c>
      <c r="B6030" s="2" t="s">
        <v>9936</v>
      </c>
      <c r="C6030" s="2" t="s">
        <v>23</v>
      </c>
      <c r="K6030" s="2">
        <v>20.0</v>
      </c>
      <c r="N6030" s="6">
        <v>44757.0</v>
      </c>
      <c r="Q6030" s="2" t="s">
        <v>9937</v>
      </c>
    </row>
    <row r="6031">
      <c r="A6031" s="2">
        <v>6030.0</v>
      </c>
      <c r="B6031" s="2" t="s">
        <v>9938</v>
      </c>
      <c r="C6031" s="2" t="s">
        <v>23</v>
      </c>
      <c r="K6031" s="2">
        <v>60.0</v>
      </c>
      <c r="N6031" s="6">
        <v>43850.0</v>
      </c>
      <c r="Q6031" s="2" t="s">
        <v>4537</v>
      </c>
    </row>
    <row r="6032">
      <c r="A6032" s="2">
        <v>6031.0</v>
      </c>
      <c r="B6032" s="2" t="s">
        <v>9939</v>
      </c>
      <c r="C6032" s="2" t="s">
        <v>23</v>
      </c>
      <c r="K6032" s="2">
        <v>20.0</v>
      </c>
      <c r="N6032" s="6">
        <v>44821.0</v>
      </c>
      <c r="Q6032" s="2" t="s">
        <v>9940</v>
      </c>
    </row>
    <row r="6033">
      <c r="A6033" s="2">
        <v>6032.0</v>
      </c>
      <c r="B6033" s="2" t="s">
        <v>9941</v>
      </c>
      <c r="C6033" s="2" t="s">
        <v>23</v>
      </c>
      <c r="K6033" s="2">
        <v>10.0</v>
      </c>
      <c r="N6033" s="6">
        <v>45214.0</v>
      </c>
      <c r="Q6033" s="2" t="s">
        <v>9942</v>
      </c>
    </row>
    <row r="6034">
      <c r="A6034" s="2">
        <v>6033.0</v>
      </c>
      <c r="B6034" s="2" t="s">
        <v>9943</v>
      </c>
      <c r="C6034" s="2" t="s">
        <v>23</v>
      </c>
      <c r="N6034" s="6">
        <v>44901.0</v>
      </c>
      <c r="Q6034" s="2" t="s">
        <v>426</v>
      </c>
    </row>
    <row r="6035">
      <c r="A6035" s="2">
        <v>6034.0</v>
      </c>
      <c r="B6035" s="2" t="s">
        <v>9944</v>
      </c>
      <c r="C6035" s="2" t="s">
        <v>23</v>
      </c>
      <c r="N6035" s="6">
        <v>44177.0</v>
      </c>
      <c r="Q6035" s="2" t="s">
        <v>86</v>
      </c>
    </row>
    <row r="6036">
      <c r="A6036" s="2">
        <v>6035.0</v>
      </c>
      <c r="B6036" s="2" t="s">
        <v>9945</v>
      </c>
      <c r="C6036" s="2" t="s">
        <v>23</v>
      </c>
      <c r="K6036" s="2">
        <v>40.0</v>
      </c>
      <c r="N6036" s="6">
        <v>45582.0</v>
      </c>
      <c r="Q6036" s="2" t="s">
        <v>9946</v>
      </c>
    </row>
    <row r="6037">
      <c r="A6037" s="2">
        <v>6036.0</v>
      </c>
      <c r="B6037" s="2" t="s">
        <v>9947</v>
      </c>
      <c r="C6037" s="2" t="s">
        <v>23</v>
      </c>
      <c r="K6037" s="2">
        <v>50.0</v>
      </c>
      <c r="N6037" s="6">
        <v>45618.0</v>
      </c>
      <c r="Q6037" s="2" t="s">
        <v>7681</v>
      </c>
    </row>
    <row r="6038">
      <c r="A6038" s="2">
        <v>6037.0</v>
      </c>
      <c r="B6038" s="2" t="s">
        <v>9948</v>
      </c>
      <c r="C6038" s="2" t="s">
        <v>23</v>
      </c>
      <c r="K6038" s="2">
        <v>100.0</v>
      </c>
      <c r="N6038" s="6">
        <v>44859.0</v>
      </c>
      <c r="Q6038" s="2" t="s">
        <v>9949</v>
      </c>
    </row>
    <row r="6039">
      <c r="A6039" s="2">
        <v>6038.0</v>
      </c>
      <c r="B6039" s="2" t="s">
        <v>9950</v>
      </c>
      <c r="C6039" s="2" t="s">
        <v>23</v>
      </c>
      <c r="N6039" s="6">
        <v>44672.0</v>
      </c>
      <c r="Q6039" s="2" t="s">
        <v>86</v>
      </c>
    </row>
    <row r="6040">
      <c r="A6040" s="2">
        <v>6039.0</v>
      </c>
      <c r="B6040" s="2" t="s">
        <v>9951</v>
      </c>
      <c r="C6040" s="2" t="s">
        <v>23</v>
      </c>
      <c r="N6040" s="6">
        <v>45137.0</v>
      </c>
      <c r="Q6040" s="2" t="s">
        <v>9952</v>
      </c>
    </row>
    <row r="6041">
      <c r="A6041" s="2">
        <v>6040.0</v>
      </c>
      <c r="B6041" s="2" t="s">
        <v>9953</v>
      </c>
      <c r="C6041" s="2" t="s">
        <v>23</v>
      </c>
      <c r="N6041" s="6">
        <v>44550.0</v>
      </c>
      <c r="Q6041" s="2" t="s">
        <v>86</v>
      </c>
    </row>
    <row r="6042">
      <c r="A6042" s="2">
        <v>6041.0</v>
      </c>
      <c r="B6042" s="2" t="s">
        <v>9954</v>
      </c>
      <c r="C6042" s="2" t="s">
        <v>23</v>
      </c>
      <c r="N6042" s="6">
        <v>44683.0</v>
      </c>
      <c r="Q6042" s="2" t="s">
        <v>86</v>
      </c>
    </row>
    <row r="6043">
      <c r="A6043" s="2">
        <v>6042.0</v>
      </c>
      <c r="B6043" s="2" t="s">
        <v>9955</v>
      </c>
      <c r="C6043" s="2" t="s">
        <v>23</v>
      </c>
      <c r="K6043" s="2">
        <v>200.0</v>
      </c>
      <c r="N6043" s="6">
        <v>43200.0</v>
      </c>
      <c r="Q6043" s="2" t="s">
        <v>9956</v>
      </c>
    </row>
    <row r="6044">
      <c r="A6044" s="2">
        <v>6043.0</v>
      </c>
      <c r="B6044" s="2" t="s">
        <v>9957</v>
      </c>
      <c r="C6044" s="2" t="s">
        <v>23</v>
      </c>
      <c r="N6044" s="6">
        <v>44224.0</v>
      </c>
      <c r="Q6044" s="2" t="s">
        <v>86</v>
      </c>
    </row>
    <row r="6045">
      <c r="A6045" s="2">
        <v>6044.0</v>
      </c>
      <c r="B6045" s="2" t="s">
        <v>9958</v>
      </c>
      <c r="C6045" s="2" t="s">
        <v>23</v>
      </c>
      <c r="N6045" s="6">
        <v>44156.0</v>
      </c>
      <c r="Q6045" s="2" t="s">
        <v>86</v>
      </c>
    </row>
    <row r="6046">
      <c r="A6046" s="2">
        <v>6045.0</v>
      </c>
      <c r="B6046" s="2" t="s">
        <v>9959</v>
      </c>
      <c r="C6046" s="2" t="s">
        <v>23</v>
      </c>
      <c r="K6046" s="2">
        <v>10.0</v>
      </c>
      <c r="N6046" s="6">
        <v>45306.0</v>
      </c>
      <c r="Q6046" s="2" t="s">
        <v>9960</v>
      </c>
    </row>
    <row r="6047">
      <c r="A6047" s="2">
        <v>6046.0</v>
      </c>
      <c r="B6047" s="2" t="s">
        <v>9961</v>
      </c>
      <c r="C6047" s="2" t="s">
        <v>23</v>
      </c>
      <c r="N6047" s="6">
        <v>44572.0</v>
      </c>
      <c r="Q6047" s="2" t="s">
        <v>86</v>
      </c>
    </row>
    <row r="6048">
      <c r="A6048" s="2">
        <v>6047.0</v>
      </c>
      <c r="B6048" s="2" t="s">
        <v>9962</v>
      </c>
      <c r="C6048" s="2" t="s">
        <v>23</v>
      </c>
      <c r="N6048" s="6">
        <v>44160.0</v>
      </c>
      <c r="Q6048" s="2" t="s">
        <v>86</v>
      </c>
    </row>
    <row r="6049">
      <c r="A6049" s="2">
        <v>6048.0</v>
      </c>
      <c r="B6049" s="2" t="s">
        <v>9963</v>
      </c>
      <c r="C6049" s="2" t="s">
        <v>23</v>
      </c>
      <c r="K6049" s="2">
        <v>20.0</v>
      </c>
      <c r="N6049" s="6">
        <v>44718.0</v>
      </c>
      <c r="Q6049" s="2" t="s">
        <v>86</v>
      </c>
    </row>
    <row r="6050">
      <c r="A6050" s="2">
        <v>6049.0</v>
      </c>
      <c r="B6050" s="2" t="s">
        <v>9964</v>
      </c>
      <c r="C6050" s="2" t="s">
        <v>23</v>
      </c>
      <c r="N6050" s="6">
        <v>44353.0</v>
      </c>
      <c r="Q6050" s="2" t="s">
        <v>86</v>
      </c>
    </row>
    <row r="6051">
      <c r="A6051" s="2">
        <v>6050.0</v>
      </c>
      <c r="B6051" s="2" t="s">
        <v>9965</v>
      </c>
      <c r="C6051" s="2" t="s">
        <v>23</v>
      </c>
      <c r="K6051" s="2">
        <v>90.0</v>
      </c>
      <c r="N6051" s="6">
        <v>45818.0</v>
      </c>
      <c r="Q6051" s="2" t="s">
        <v>9966</v>
      </c>
    </row>
    <row r="6052">
      <c r="A6052" s="2">
        <v>6051.0</v>
      </c>
      <c r="B6052" s="2" t="s">
        <v>9967</v>
      </c>
      <c r="C6052" s="2" t="s">
        <v>23</v>
      </c>
      <c r="N6052" s="6">
        <v>44270.0</v>
      </c>
      <c r="Q6052" s="2" t="s">
        <v>1070</v>
      </c>
    </row>
    <row r="6053">
      <c r="A6053" s="2">
        <v>6052.0</v>
      </c>
      <c r="B6053" s="2" t="s">
        <v>9968</v>
      </c>
      <c r="C6053" s="2" t="s">
        <v>23</v>
      </c>
      <c r="K6053" s="2">
        <v>10.0</v>
      </c>
      <c r="N6053" s="6">
        <v>42997.0</v>
      </c>
      <c r="Q6053" s="2" t="s">
        <v>86</v>
      </c>
    </row>
    <row r="6054">
      <c r="A6054" s="2">
        <v>6053.0</v>
      </c>
      <c r="B6054" s="2" t="s">
        <v>9969</v>
      </c>
      <c r="C6054" s="2" t="s">
        <v>23</v>
      </c>
      <c r="K6054" s="2">
        <v>100.0</v>
      </c>
      <c r="N6054" s="6">
        <v>44309.0</v>
      </c>
      <c r="Q6054" s="2" t="s">
        <v>9970</v>
      </c>
    </row>
    <row r="6055">
      <c r="A6055" s="2">
        <v>6054.0</v>
      </c>
      <c r="B6055" s="2" t="s">
        <v>9971</v>
      </c>
      <c r="C6055" s="2" t="s">
        <v>23</v>
      </c>
      <c r="N6055" s="6">
        <v>45594.0</v>
      </c>
      <c r="Q6055" s="2" t="s">
        <v>2372</v>
      </c>
    </row>
    <row r="6056">
      <c r="A6056" s="2">
        <v>6055.0</v>
      </c>
      <c r="B6056" s="2" t="s">
        <v>279</v>
      </c>
      <c r="C6056" s="2" t="s">
        <v>23</v>
      </c>
      <c r="K6056" s="2">
        <v>300.0</v>
      </c>
      <c r="N6056" s="6">
        <v>44404.0</v>
      </c>
      <c r="Q6056" s="2" t="s">
        <v>282</v>
      </c>
    </row>
    <row r="6057">
      <c r="A6057" s="2">
        <v>6056.0</v>
      </c>
      <c r="B6057" s="2" t="s">
        <v>9972</v>
      </c>
      <c r="C6057" s="2" t="s">
        <v>23</v>
      </c>
      <c r="K6057" s="2">
        <v>40.0</v>
      </c>
      <c r="N6057" s="6">
        <v>44605.0</v>
      </c>
      <c r="Q6057" s="2" t="s">
        <v>60</v>
      </c>
    </row>
    <row r="6058">
      <c r="A6058" s="2">
        <v>6057.0</v>
      </c>
      <c r="B6058" s="2" t="s">
        <v>9973</v>
      </c>
      <c r="C6058" s="2" t="s">
        <v>23</v>
      </c>
      <c r="K6058" s="2">
        <v>10.0</v>
      </c>
      <c r="N6058" s="6">
        <v>43859.0</v>
      </c>
      <c r="Q6058" s="2" t="s">
        <v>9974</v>
      </c>
    </row>
    <row r="6059">
      <c r="A6059" s="2">
        <v>6058.0</v>
      </c>
      <c r="B6059" s="2" t="s">
        <v>9975</v>
      </c>
      <c r="C6059" s="2" t="s">
        <v>23</v>
      </c>
      <c r="K6059" s="2">
        <v>150.0</v>
      </c>
      <c r="N6059" s="6">
        <v>44230.0</v>
      </c>
      <c r="Q6059" s="2" t="s">
        <v>9976</v>
      </c>
    </row>
    <row r="6060">
      <c r="A6060" s="2">
        <v>6059.0</v>
      </c>
      <c r="B6060" s="2" t="s">
        <v>9977</v>
      </c>
      <c r="C6060" s="2" t="s">
        <v>23</v>
      </c>
      <c r="K6060" s="2">
        <v>10.0</v>
      </c>
      <c r="N6060" s="6">
        <v>44248.0</v>
      </c>
      <c r="Q6060" s="2" t="s">
        <v>86</v>
      </c>
    </row>
    <row r="6061">
      <c r="A6061" s="2">
        <v>6060.0</v>
      </c>
      <c r="B6061" s="2" t="s">
        <v>9978</v>
      </c>
      <c r="C6061" s="2" t="s">
        <v>23</v>
      </c>
      <c r="F6061" s="2">
        <v>0.3</v>
      </c>
      <c r="N6061" s="6">
        <v>43487.0</v>
      </c>
      <c r="Q6061" s="2" t="s">
        <v>86</v>
      </c>
    </row>
    <row r="6062">
      <c r="A6062" s="2">
        <v>6061.0</v>
      </c>
      <c r="B6062" s="2" t="s">
        <v>9979</v>
      </c>
      <c r="C6062" s="2" t="s">
        <v>23</v>
      </c>
      <c r="K6062" s="2">
        <v>200.0</v>
      </c>
      <c r="N6062" s="6">
        <v>43860.0</v>
      </c>
      <c r="Q6062" s="2" t="s">
        <v>9980</v>
      </c>
    </row>
    <row r="6063">
      <c r="A6063" s="2">
        <v>6062.0</v>
      </c>
      <c r="B6063" s="2" t="s">
        <v>9981</v>
      </c>
      <c r="C6063" s="2" t="s">
        <v>23</v>
      </c>
      <c r="K6063" s="2">
        <v>30.0</v>
      </c>
      <c r="N6063" s="6">
        <v>44648.0</v>
      </c>
      <c r="Q6063" s="2" t="s">
        <v>9982</v>
      </c>
    </row>
    <row r="6064">
      <c r="A6064" s="2">
        <v>6063.0</v>
      </c>
      <c r="B6064" s="2" t="s">
        <v>9983</v>
      </c>
      <c r="C6064" s="2" t="s">
        <v>23</v>
      </c>
      <c r="N6064" s="6">
        <v>45256.0</v>
      </c>
      <c r="Q6064" s="2" t="s">
        <v>9984</v>
      </c>
    </row>
    <row r="6065">
      <c r="A6065" s="2">
        <v>6064.0</v>
      </c>
      <c r="B6065" s="2" t="s">
        <v>9985</v>
      </c>
      <c r="C6065" s="2" t="s">
        <v>23</v>
      </c>
      <c r="K6065" s="2">
        <v>100.0</v>
      </c>
      <c r="N6065" s="6">
        <v>45561.0</v>
      </c>
      <c r="Q6065" s="2" t="s">
        <v>9986</v>
      </c>
    </row>
    <row r="6066">
      <c r="A6066" s="2">
        <v>6065.0</v>
      </c>
      <c r="B6066" s="2" t="s">
        <v>9987</v>
      </c>
      <c r="C6066" s="2" t="s">
        <v>23</v>
      </c>
      <c r="N6066" s="6">
        <v>44470.0</v>
      </c>
      <c r="Q6066" s="2" t="s">
        <v>86</v>
      </c>
    </row>
    <row r="6067">
      <c r="A6067" s="2">
        <v>6066.0</v>
      </c>
      <c r="B6067" s="2" t="s">
        <v>9988</v>
      </c>
      <c r="C6067" s="2" t="s">
        <v>23</v>
      </c>
      <c r="K6067" s="2">
        <v>90.0</v>
      </c>
      <c r="N6067" s="6">
        <v>44508.0</v>
      </c>
      <c r="Q6067" s="2" t="s">
        <v>1437</v>
      </c>
    </row>
    <row r="6068">
      <c r="A6068" s="2">
        <v>6067.0</v>
      </c>
      <c r="B6068" s="2" t="s">
        <v>9989</v>
      </c>
      <c r="C6068" s="2" t="s">
        <v>23</v>
      </c>
      <c r="K6068" s="2">
        <v>250.0</v>
      </c>
      <c r="N6068" s="6">
        <v>45774.0</v>
      </c>
      <c r="Q6068" s="2" t="s">
        <v>9990</v>
      </c>
    </row>
    <row r="6069">
      <c r="A6069" s="2">
        <v>6068.0</v>
      </c>
      <c r="B6069" s="2" t="s">
        <v>9991</v>
      </c>
      <c r="C6069" s="2" t="s">
        <v>23</v>
      </c>
      <c r="K6069" s="2">
        <v>150.0</v>
      </c>
      <c r="N6069" s="6">
        <v>44516.0</v>
      </c>
      <c r="Q6069" s="2" t="s">
        <v>9992</v>
      </c>
    </row>
    <row r="6070">
      <c r="A6070" s="2">
        <v>6069.0</v>
      </c>
      <c r="B6070" s="2" t="s">
        <v>9993</v>
      </c>
      <c r="C6070" s="2" t="s">
        <v>23</v>
      </c>
      <c r="K6070" s="2">
        <v>20.0</v>
      </c>
      <c r="N6070" s="6">
        <v>43990.0</v>
      </c>
      <c r="Q6070" s="2" t="s">
        <v>9994</v>
      </c>
    </row>
    <row r="6071">
      <c r="A6071" s="2">
        <v>6070.0</v>
      </c>
      <c r="B6071" s="2" t="s">
        <v>9995</v>
      </c>
      <c r="C6071" s="2" t="s">
        <v>23</v>
      </c>
      <c r="K6071" s="2">
        <v>40.0</v>
      </c>
      <c r="N6071" s="6">
        <v>44122.0</v>
      </c>
      <c r="Q6071" s="2" t="s">
        <v>9996</v>
      </c>
    </row>
    <row r="6072">
      <c r="A6072" s="2">
        <v>6071.0</v>
      </c>
      <c r="B6072" s="2" t="s">
        <v>9997</v>
      </c>
      <c r="C6072" s="2" t="s">
        <v>23</v>
      </c>
      <c r="K6072" s="2">
        <v>100.0</v>
      </c>
      <c r="N6072" s="6">
        <v>44265.0</v>
      </c>
      <c r="Q6072" s="2" t="s">
        <v>9998</v>
      </c>
    </row>
    <row r="6073">
      <c r="A6073" s="2">
        <v>6072.0</v>
      </c>
      <c r="B6073" s="2" t="s">
        <v>9999</v>
      </c>
      <c r="C6073" s="2" t="s">
        <v>23</v>
      </c>
      <c r="K6073" s="2">
        <v>10.0</v>
      </c>
      <c r="N6073" s="6">
        <v>43923.0</v>
      </c>
      <c r="Q6073" s="2" t="s">
        <v>1094</v>
      </c>
    </row>
    <row r="6074">
      <c r="A6074" s="2">
        <v>6073.0</v>
      </c>
      <c r="B6074" s="2" t="s">
        <v>10000</v>
      </c>
      <c r="C6074" s="2" t="s">
        <v>23</v>
      </c>
      <c r="K6074" s="2">
        <v>100.0</v>
      </c>
      <c r="N6074" s="6">
        <v>42568.0</v>
      </c>
      <c r="Q6074" s="2" t="s">
        <v>10001</v>
      </c>
    </row>
    <row r="6075">
      <c r="A6075" s="2">
        <v>6074.0</v>
      </c>
      <c r="B6075" s="2" t="s">
        <v>10002</v>
      </c>
      <c r="C6075" s="2" t="s">
        <v>23</v>
      </c>
      <c r="N6075" s="6">
        <v>43882.0</v>
      </c>
      <c r="Q6075" s="2" t="s">
        <v>86</v>
      </c>
    </row>
    <row r="6076">
      <c r="A6076" s="2">
        <v>6075.0</v>
      </c>
      <c r="B6076" s="2" t="s">
        <v>10003</v>
      </c>
      <c r="C6076" s="2" t="s">
        <v>23</v>
      </c>
      <c r="N6076" s="6">
        <v>43975.0</v>
      </c>
      <c r="Q6076" s="2" t="s">
        <v>86</v>
      </c>
    </row>
    <row r="6077">
      <c r="A6077" s="2">
        <v>6076.0</v>
      </c>
      <c r="B6077" s="2" t="s">
        <v>398</v>
      </c>
      <c r="C6077" s="2" t="s">
        <v>23</v>
      </c>
      <c r="K6077" s="2">
        <v>30.0</v>
      </c>
      <c r="N6077" s="6">
        <v>43847.0</v>
      </c>
      <c r="Q6077" s="2" t="s">
        <v>401</v>
      </c>
    </row>
    <row r="6078">
      <c r="A6078" s="2">
        <v>6077.0</v>
      </c>
      <c r="B6078" s="2" t="s">
        <v>10004</v>
      </c>
      <c r="C6078" s="2" t="s">
        <v>23</v>
      </c>
      <c r="K6078" s="2">
        <v>350.0</v>
      </c>
      <c r="N6078" s="6">
        <v>43868.0</v>
      </c>
      <c r="Q6078" s="2" t="s">
        <v>10005</v>
      </c>
    </row>
    <row r="6079">
      <c r="A6079" s="2">
        <v>6078.0</v>
      </c>
      <c r="B6079" s="2" t="s">
        <v>10006</v>
      </c>
      <c r="C6079" s="2" t="s">
        <v>23</v>
      </c>
      <c r="K6079" s="2">
        <v>100.0</v>
      </c>
      <c r="N6079" s="6">
        <v>43929.0</v>
      </c>
      <c r="Q6079" s="2" t="s">
        <v>10007</v>
      </c>
    </row>
    <row r="6080">
      <c r="A6080" s="2">
        <v>6079.0</v>
      </c>
      <c r="B6080" s="2" t="s">
        <v>10008</v>
      </c>
      <c r="C6080" s="2" t="s">
        <v>23</v>
      </c>
      <c r="K6080" s="2">
        <v>70.0</v>
      </c>
      <c r="N6080" s="6">
        <v>43912.0</v>
      </c>
      <c r="Q6080" s="2" t="s">
        <v>10009</v>
      </c>
    </row>
    <row r="6081">
      <c r="A6081" s="2">
        <v>6080.0</v>
      </c>
      <c r="B6081" s="2" t="s">
        <v>10010</v>
      </c>
      <c r="C6081" s="2" t="s">
        <v>23</v>
      </c>
      <c r="K6081" s="2">
        <v>20.0</v>
      </c>
      <c r="N6081" s="6">
        <v>44893.0</v>
      </c>
      <c r="Q6081" s="2" t="s">
        <v>10011</v>
      </c>
    </row>
    <row r="6082">
      <c r="A6082" s="2">
        <v>6081.0</v>
      </c>
      <c r="B6082" s="2" t="s">
        <v>10012</v>
      </c>
      <c r="C6082" s="2" t="s">
        <v>23</v>
      </c>
      <c r="K6082" s="2">
        <v>10.0</v>
      </c>
      <c r="N6082" s="6">
        <v>43844.0</v>
      </c>
      <c r="Q6082" s="2" t="s">
        <v>4472</v>
      </c>
    </row>
    <row r="6083">
      <c r="A6083" s="2">
        <v>6082.0</v>
      </c>
      <c r="B6083" s="2" t="s">
        <v>10013</v>
      </c>
      <c r="C6083" s="2" t="s">
        <v>23</v>
      </c>
      <c r="K6083" s="2">
        <v>250.0</v>
      </c>
      <c r="N6083" s="6">
        <v>44669.0</v>
      </c>
      <c r="Q6083" s="2" t="s">
        <v>10014</v>
      </c>
    </row>
    <row r="6084">
      <c r="A6084" s="2">
        <v>6083.0</v>
      </c>
      <c r="B6084" s="2" t="s">
        <v>10015</v>
      </c>
      <c r="C6084" s="2" t="s">
        <v>23</v>
      </c>
      <c r="N6084" s="6">
        <v>43412.0</v>
      </c>
      <c r="Q6084" s="2" t="s">
        <v>86</v>
      </c>
    </row>
    <row r="6085">
      <c r="A6085" s="2">
        <v>6084.0</v>
      </c>
      <c r="B6085" s="2" t="s">
        <v>10016</v>
      </c>
      <c r="C6085" s="2" t="s">
        <v>23</v>
      </c>
      <c r="K6085" s="2">
        <v>20.0</v>
      </c>
      <c r="N6085" s="6">
        <v>45621.0</v>
      </c>
      <c r="Q6085" s="2" t="s">
        <v>10017</v>
      </c>
    </row>
    <row r="6086">
      <c r="A6086" s="2">
        <v>6085.0</v>
      </c>
      <c r="B6086" s="2" t="s">
        <v>10018</v>
      </c>
      <c r="C6086" s="2" t="s">
        <v>23</v>
      </c>
      <c r="K6086" s="2">
        <v>20.0</v>
      </c>
      <c r="N6086" s="6">
        <v>44719.0</v>
      </c>
      <c r="Q6086" s="2" t="s">
        <v>86</v>
      </c>
    </row>
    <row r="6087">
      <c r="A6087" s="2">
        <v>6086.0</v>
      </c>
      <c r="B6087" s="2" t="s">
        <v>10019</v>
      </c>
      <c r="C6087" s="2" t="s">
        <v>23</v>
      </c>
      <c r="N6087" s="6">
        <v>44655.0</v>
      </c>
      <c r="Q6087" s="2" t="s">
        <v>86</v>
      </c>
    </row>
    <row r="6088">
      <c r="A6088" s="2">
        <v>6087.0</v>
      </c>
      <c r="B6088" s="2" t="s">
        <v>10020</v>
      </c>
      <c r="C6088" s="2" t="s">
        <v>23</v>
      </c>
      <c r="K6088" s="2">
        <v>150.0</v>
      </c>
      <c r="N6088" s="6">
        <v>44591.0</v>
      </c>
      <c r="Q6088" s="2" t="s">
        <v>10021</v>
      </c>
    </row>
    <row r="6089">
      <c r="A6089" s="2">
        <v>6088.0</v>
      </c>
      <c r="B6089" s="2" t="s">
        <v>10022</v>
      </c>
      <c r="C6089" s="2" t="s">
        <v>23</v>
      </c>
      <c r="K6089" s="2">
        <v>10.0</v>
      </c>
      <c r="N6089" s="6">
        <v>45460.0</v>
      </c>
      <c r="Q6089" s="2" t="s">
        <v>86</v>
      </c>
    </row>
    <row r="6090">
      <c r="A6090" s="2">
        <v>6089.0</v>
      </c>
      <c r="B6090" s="2" t="s">
        <v>10023</v>
      </c>
      <c r="C6090" s="2" t="s">
        <v>23</v>
      </c>
      <c r="N6090" s="6">
        <v>42464.0</v>
      </c>
      <c r="Q6090" s="2" t="s">
        <v>86</v>
      </c>
    </row>
    <row r="6091">
      <c r="A6091" s="2">
        <v>6090.0</v>
      </c>
      <c r="B6091" s="2" t="s">
        <v>10024</v>
      </c>
      <c r="C6091" s="2" t="s">
        <v>23</v>
      </c>
      <c r="N6091" s="6">
        <v>44103.0</v>
      </c>
      <c r="Q6091" s="2" t="s">
        <v>10025</v>
      </c>
    </row>
    <row r="6092">
      <c r="A6092" s="2">
        <v>6091.0</v>
      </c>
      <c r="B6092" s="2" t="s">
        <v>10026</v>
      </c>
      <c r="C6092" s="2" t="s">
        <v>23</v>
      </c>
      <c r="K6092" s="2">
        <v>20.0</v>
      </c>
      <c r="N6092" s="6">
        <v>44272.0</v>
      </c>
      <c r="Q6092" s="2" t="s">
        <v>10027</v>
      </c>
    </row>
    <row r="6093">
      <c r="A6093" s="2">
        <v>6092.0</v>
      </c>
      <c r="B6093" s="2" t="s">
        <v>10028</v>
      </c>
      <c r="C6093" s="2" t="s">
        <v>23</v>
      </c>
      <c r="K6093" s="2">
        <v>30.0</v>
      </c>
      <c r="N6093" s="6">
        <v>42473.0</v>
      </c>
      <c r="Q6093" s="2" t="s">
        <v>10029</v>
      </c>
    </row>
    <row r="6094">
      <c r="A6094" s="2">
        <v>6093.0</v>
      </c>
      <c r="B6094" s="2" t="s">
        <v>10030</v>
      </c>
      <c r="C6094" s="2" t="s">
        <v>23</v>
      </c>
      <c r="K6094" s="2">
        <v>20.0</v>
      </c>
      <c r="N6094" s="6">
        <v>43996.0</v>
      </c>
      <c r="Q6094" s="2" t="s">
        <v>10031</v>
      </c>
    </row>
    <row r="6095">
      <c r="A6095" s="2">
        <v>6094.0</v>
      </c>
      <c r="B6095" s="2" t="s">
        <v>10032</v>
      </c>
      <c r="C6095" s="2" t="s">
        <v>23</v>
      </c>
      <c r="N6095" s="6">
        <v>42626.0</v>
      </c>
      <c r="O6095" s="2" t="s">
        <v>49</v>
      </c>
      <c r="P6095" s="2" t="s">
        <v>36</v>
      </c>
      <c r="Q6095" s="2" t="s">
        <v>86</v>
      </c>
      <c r="S6095" s="2" t="s">
        <v>59</v>
      </c>
    </row>
    <row r="6096">
      <c r="A6096" s="2">
        <v>6095.0</v>
      </c>
      <c r="B6096" s="2" t="s">
        <v>10033</v>
      </c>
      <c r="C6096" s="2" t="s">
        <v>23</v>
      </c>
      <c r="N6096" s="6">
        <v>43926.0</v>
      </c>
      <c r="Q6096" s="2" t="s">
        <v>86</v>
      </c>
    </row>
    <row r="6097">
      <c r="A6097" s="2">
        <v>6096.0</v>
      </c>
      <c r="B6097" s="2" t="s">
        <v>10034</v>
      </c>
      <c r="C6097" s="2" t="s">
        <v>23</v>
      </c>
      <c r="K6097" s="2">
        <v>80.0</v>
      </c>
      <c r="N6097" s="6">
        <v>43875.0</v>
      </c>
      <c r="Q6097" s="2" t="s">
        <v>10035</v>
      </c>
    </row>
    <row r="6098">
      <c r="A6098" s="2">
        <v>6097.0</v>
      </c>
      <c r="B6098" s="2" t="s">
        <v>10036</v>
      </c>
      <c r="C6098" s="2" t="s">
        <v>23</v>
      </c>
      <c r="N6098" s="6">
        <v>44831.0</v>
      </c>
      <c r="Q6098" s="2" t="s">
        <v>86</v>
      </c>
    </row>
    <row r="6099">
      <c r="A6099" s="2">
        <v>6098.0</v>
      </c>
      <c r="B6099" s="2" t="s">
        <v>10037</v>
      </c>
      <c r="C6099" s="2" t="s">
        <v>23</v>
      </c>
      <c r="N6099" s="6">
        <v>45958.0</v>
      </c>
      <c r="Q6099" s="2" t="s">
        <v>10038</v>
      </c>
    </row>
    <row r="6100">
      <c r="A6100" s="2">
        <v>6099.0</v>
      </c>
      <c r="B6100" s="2" t="s">
        <v>10039</v>
      </c>
      <c r="C6100" s="2" t="s">
        <v>23</v>
      </c>
      <c r="K6100" s="2">
        <v>10.0</v>
      </c>
      <c r="N6100" s="6">
        <v>45601.0</v>
      </c>
      <c r="Q6100" s="2" t="s">
        <v>10040</v>
      </c>
    </row>
    <row r="6101">
      <c r="A6101" s="2">
        <v>6100.0</v>
      </c>
      <c r="B6101" s="2" t="s">
        <v>10041</v>
      </c>
      <c r="C6101" s="2" t="s">
        <v>23</v>
      </c>
      <c r="K6101" s="2">
        <v>80.0</v>
      </c>
      <c r="N6101" s="6">
        <v>42522.0</v>
      </c>
      <c r="Q6101" s="2" t="s">
        <v>5379</v>
      </c>
    </row>
    <row r="6102">
      <c r="A6102" s="2">
        <v>6101.0</v>
      </c>
      <c r="B6102" s="2" t="s">
        <v>10042</v>
      </c>
      <c r="C6102" s="2" t="s">
        <v>23</v>
      </c>
      <c r="K6102" s="2">
        <v>20.0</v>
      </c>
      <c r="N6102" s="6">
        <v>44732.0</v>
      </c>
      <c r="Q6102" s="2" t="s">
        <v>86</v>
      </c>
    </row>
    <row r="6103">
      <c r="A6103" s="2">
        <v>6102.0</v>
      </c>
      <c r="B6103" s="2" t="s">
        <v>10043</v>
      </c>
      <c r="C6103" s="2" t="s">
        <v>23</v>
      </c>
      <c r="K6103" s="2">
        <v>50.0</v>
      </c>
      <c r="N6103" s="6">
        <v>43357.0</v>
      </c>
      <c r="Q6103" s="2" t="s">
        <v>3711</v>
      </c>
    </row>
    <row r="6104">
      <c r="A6104" s="2">
        <v>6103.0</v>
      </c>
      <c r="B6104" s="2" t="s">
        <v>10044</v>
      </c>
      <c r="C6104" s="2" t="s">
        <v>23</v>
      </c>
      <c r="K6104" s="2">
        <v>50.0</v>
      </c>
      <c r="N6104" s="6">
        <v>44161.0</v>
      </c>
      <c r="Q6104" s="2" t="s">
        <v>10045</v>
      </c>
    </row>
    <row r="6105">
      <c r="A6105" s="2">
        <v>6104.0</v>
      </c>
      <c r="B6105" s="2" t="s">
        <v>10046</v>
      </c>
      <c r="C6105" s="2" t="s">
        <v>23</v>
      </c>
      <c r="K6105" s="2">
        <v>1500.0</v>
      </c>
      <c r="N6105" s="6">
        <v>43848.0</v>
      </c>
      <c r="Q6105" s="2" t="s">
        <v>10047</v>
      </c>
    </row>
    <row r="6106">
      <c r="A6106" s="2">
        <v>6105.0</v>
      </c>
      <c r="B6106" s="2" t="s">
        <v>10048</v>
      </c>
      <c r="C6106" s="2" t="s">
        <v>23</v>
      </c>
      <c r="N6106" s="6">
        <v>46005.0</v>
      </c>
      <c r="Q6106" s="2" t="s">
        <v>10049</v>
      </c>
    </row>
    <row r="6107">
      <c r="A6107" s="2">
        <v>6106.0</v>
      </c>
      <c r="B6107" s="2" t="s">
        <v>10050</v>
      </c>
      <c r="C6107" s="2" t="s">
        <v>23</v>
      </c>
      <c r="N6107" s="6">
        <v>43846.0</v>
      </c>
      <c r="Q6107" s="2" t="s">
        <v>86</v>
      </c>
    </row>
    <row r="6108">
      <c r="A6108" s="2">
        <v>6107.0</v>
      </c>
      <c r="B6108" s="2" t="s">
        <v>10051</v>
      </c>
      <c r="C6108" s="2" t="s">
        <v>23</v>
      </c>
      <c r="K6108" s="2">
        <v>10.0</v>
      </c>
      <c r="N6108" s="6">
        <v>43848.0</v>
      </c>
      <c r="Q6108" s="2" t="s">
        <v>5169</v>
      </c>
    </row>
    <row r="6109">
      <c r="A6109" s="2">
        <v>6108.0</v>
      </c>
      <c r="B6109" s="2" t="s">
        <v>10052</v>
      </c>
      <c r="C6109" s="2" t="s">
        <v>23</v>
      </c>
      <c r="N6109" s="6">
        <v>44676.0</v>
      </c>
      <c r="Q6109" s="2" t="s">
        <v>86</v>
      </c>
    </row>
    <row r="6110">
      <c r="A6110" s="2">
        <v>6109.0</v>
      </c>
      <c r="B6110" s="2" t="s">
        <v>10053</v>
      </c>
      <c r="C6110" s="2" t="s">
        <v>23</v>
      </c>
      <c r="K6110" s="2">
        <v>50.0</v>
      </c>
      <c r="N6110" s="6">
        <v>44312.0</v>
      </c>
      <c r="Q6110" s="2" t="s">
        <v>5147</v>
      </c>
    </row>
    <row r="6111">
      <c r="A6111" s="2">
        <v>6110.0</v>
      </c>
      <c r="B6111" s="2" t="s">
        <v>10054</v>
      </c>
      <c r="C6111" s="2" t="s">
        <v>23</v>
      </c>
      <c r="F6111" s="2">
        <v>0.4</v>
      </c>
      <c r="N6111" s="6">
        <v>42990.0</v>
      </c>
      <c r="O6111" s="2" t="s">
        <v>91</v>
      </c>
      <c r="P6111" s="2" t="s">
        <v>36</v>
      </c>
      <c r="Q6111" s="2" t="s">
        <v>86</v>
      </c>
      <c r="S6111" s="2" t="s">
        <v>848</v>
      </c>
    </row>
    <row r="6112">
      <c r="A6112" s="2">
        <v>6111.0</v>
      </c>
      <c r="B6112" s="2" t="s">
        <v>10055</v>
      </c>
      <c r="C6112" s="2" t="s">
        <v>23</v>
      </c>
      <c r="N6112" s="6">
        <v>44648.0</v>
      </c>
      <c r="Q6112" s="2" t="s">
        <v>86</v>
      </c>
    </row>
    <row r="6113">
      <c r="A6113" s="2">
        <v>6112.0</v>
      </c>
      <c r="B6113" s="2" t="s">
        <v>10056</v>
      </c>
      <c r="C6113" s="2" t="s">
        <v>23</v>
      </c>
      <c r="K6113" s="2">
        <v>30.0</v>
      </c>
      <c r="N6113" s="6">
        <v>44423.0</v>
      </c>
      <c r="Q6113" s="2" t="s">
        <v>86</v>
      </c>
    </row>
    <row r="6114">
      <c r="A6114" s="2">
        <v>6113.0</v>
      </c>
      <c r="B6114" s="2" t="s">
        <v>10057</v>
      </c>
      <c r="C6114" s="2" t="s">
        <v>23</v>
      </c>
      <c r="K6114" s="2">
        <v>100.0</v>
      </c>
      <c r="N6114" s="6">
        <v>45626.0</v>
      </c>
      <c r="Q6114" s="2" t="s">
        <v>10058</v>
      </c>
    </row>
    <row r="6115">
      <c r="A6115" s="2">
        <v>6114.0</v>
      </c>
      <c r="B6115" s="2" t="s">
        <v>10059</v>
      </c>
      <c r="C6115" s="2" t="s">
        <v>23</v>
      </c>
      <c r="K6115" s="2">
        <v>150.0</v>
      </c>
      <c r="N6115" s="6">
        <v>44076.0</v>
      </c>
      <c r="Q6115" s="2" t="s">
        <v>295</v>
      </c>
    </row>
    <row r="6116">
      <c r="A6116" s="2">
        <v>6115.0</v>
      </c>
      <c r="B6116" s="2" t="s">
        <v>10060</v>
      </c>
      <c r="C6116" s="2" t="s">
        <v>23</v>
      </c>
      <c r="K6116" s="2">
        <v>10.0</v>
      </c>
      <c r="N6116" s="6">
        <v>45398.0</v>
      </c>
      <c r="Q6116" s="2" t="s">
        <v>10061</v>
      </c>
    </row>
    <row r="6117">
      <c r="A6117" s="2">
        <v>6116.0</v>
      </c>
      <c r="B6117" s="2" t="s">
        <v>10062</v>
      </c>
      <c r="C6117" s="2" t="s">
        <v>23</v>
      </c>
      <c r="N6117" s="6">
        <v>44192.0</v>
      </c>
      <c r="Q6117" s="2" t="s">
        <v>86</v>
      </c>
    </row>
    <row r="6118">
      <c r="A6118" s="2">
        <v>6117.0</v>
      </c>
      <c r="B6118" s="2" t="s">
        <v>10063</v>
      </c>
      <c r="C6118" s="2" t="s">
        <v>23</v>
      </c>
      <c r="K6118" s="2">
        <v>10.0</v>
      </c>
      <c r="N6118" s="6">
        <v>45204.0</v>
      </c>
      <c r="Q6118" s="2" t="s">
        <v>86</v>
      </c>
    </row>
    <row r="6119">
      <c r="A6119" s="2">
        <v>6118.0</v>
      </c>
      <c r="B6119" s="2" t="s">
        <v>10064</v>
      </c>
      <c r="C6119" s="2" t="s">
        <v>23</v>
      </c>
      <c r="N6119" s="6">
        <v>44128.0</v>
      </c>
      <c r="Q6119" s="2" t="s">
        <v>86</v>
      </c>
    </row>
    <row r="6120">
      <c r="A6120" s="2">
        <v>6119.0</v>
      </c>
      <c r="B6120" s="2" t="s">
        <v>10065</v>
      </c>
      <c r="C6120" s="2" t="s">
        <v>23</v>
      </c>
      <c r="N6120" s="6">
        <v>44298.0</v>
      </c>
      <c r="Q6120" s="2" t="s">
        <v>86</v>
      </c>
    </row>
    <row r="6121">
      <c r="A6121" s="2">
        <v>6120.0</v>
      </c>
      <c r="B6121" s="2" t="s">
        <v>10066</v>
      </c>
      <c r="C6121" s="2" t="s">
        <v>23</v>
      </c>
      <c r="N6121" s="6">
        <v>44367.0</v>
      </c>
      <c r="Q6121" s="2" t="s">
        <v>86</v>
      </c>
    </row>
    <row r="6122">
      <c r="A6122" s="2">
        <v>6121.0</v>
      </c>
      <c r="B6122" s="2" t="s">
        <v>10067</v>
      </c>
      <c r="C6122" s="2" t="s">
        <v>23</v>
      </c>
      <c r="K6122" s="2">
        <v>30.0</v>
      </c>
      <c r="N6122" s="6">
        <v>44231.0</v>
      </c>
      <c r="Q6122" s="2" t="s">
        <v>10068</v>
      </c>
    </row>
    <row r="6123">
      <c r="A6123" s="2">
        <v>6122.0</v>
      </c>
      <c r="B6123" s="2" t="s">
        <v>10069</v>
      </c>
      <c r="C6123" s="2" t="s">
        <v>23</v>
      </c>
      <c r="N6123" s="6">
        <v>44601.0</v>
      </c>
      <c r="Q6123" s="2" t="s">
        <v>86</v>
      </c>
    </row>
    <row r="6124">
      <c r="A6124" s="2">
        <v>6123.0</v>
      </c>
      <c r="B6124" s="2" t="s">
        <v>10070</v>
      </c>
      <c r="C6124" s="2" t="s">
        <v>23</v>
      </c>
      <c r="K6124" s="2">
        <v>40.0</v>
      </c>
      <c r="N6124" s="6">
        <v>44271.0</v>
      </c>
      <c r="Q6124" s="2" t="s">
        <v>426</v>
      </c>
    </row>
    <row r="6125">
      <c r="A6125" s="2">
        <v>6124.0</v>
      </c>
      <c r="B6125" s="2" t="s">
        <v>10071</v>
      </c>
      <c r="C6125" s="2" t="s">
        <v>23</v>
      </c>
      <c r="N6125" s="6">
        <v>44901.0</v>
      </c>
      <c r="Q6125" s="2" t="s">
        <v>86</v>
      </c>
    </row>
    <row r="6126">
      <c r="A6126" s="2">
        <v>6125.0</v>
      </c>
      <c r="B6126" s="2" t="s">
        <v>10072</v>
      </c>
      <c r="C6126" s="2" t="s">
        <v>23</v>
      </c>
      <c r="N6126" s="6">
        <v>44316.0</v>
      </c>
      <c r="Q6126" s="2" t="s">
        <v>86</v>
      </c>
    </row>
    <row r="6127">
      <c r="A6127" s="2">
        <v>6126.0</v>
      </c>
      <c r="B6127" s="2" t="s">
        <v>10073</v>
      </c>
      <c r="C6127" s="2" t="s">
        <v>23</v>
      </c>
      <c r="K6127" s="2">
        <v>10.0</v>
      </c>
      <c r="N6127" s="6">
        <v>43883.0</v>
      </c>
      <c r="Q6127" s="2" t="s">
        <v>2604</v>
      </c>
    </row>
    <row r="6128">
      <c r="A6128" s="2">
        <v>6127.0</v>
      </c>
      <c r="B6128" s="2" t="s">
        <v>10074</v>
      </c>
      <c r="C6128" s="2" t="s">
        <v>23</v>
      </c>
      <c r="K6128" s="2">
        <v>10.0</v>
      </c>
      <c r="N6128" s="6">
        <v>45527.0</v>
      </c>
      <c r="Q6128" s="2" t="s">
        <v>10075</v>
      </c>
    </row>
    <row r="6129">
      <c r="A6129" s="2">
        <v>6128.0</v>
      </c>
      <c r="B6129" s="2" t="s">
        <v>10076</v>
      </c>
      <c r="C6129" s="2" t="s">
        <v>23</v>
      </c>
      <c r="N6129" s="6">
        <v>44860.0</v>
      </c>
      <c r="Q6129" s="2" t="s">
        <v>86</v>
      </c>
    </row>
    <row r="6130">
      <c r="A6130" s="2">
        <v>6129.0</v>
      </c>
      <c r="B6130" s="2" t="s">
        <v>10077</v>
      </c>
      <c r="C6130" s="2" t="s">
        <v>23</v>
      </c>
      <c r="N6130" s="6">
        <v>44895.0</v>
      </c>
      <c r="Q6130" s="2" t="s">
        <v>86</v>
      </c>
    </row>
    <row r="6131">
      <c r="A6131" s="2">
        <v>6130.0</v>
      </c>
      <c r="B6131" s="2" t="s">
        <v>10078</v>
      </c>
      <c r="C6131" s="2" t="s">
        <v>23</v>
      </c>
      <c r="K6131" s="2">
        <v>30.0</v>
      </c>
      <c r="N6131" s="6">
        <v>44470.0</v>
      </c>
      <c r="Q6131" s="2" t="s">
        <v>235</v>
      </c>
    </row>
    <row r="6132">
      <c r="A6132" s="2">
        <v>6131.0</v>
      </c>
      <c r="B6132" s="2" t="s">
        <v>10079</v>
      </c>
      <c r="C6132" s="2" t="s">
        <v>23</v>
      </c>
      <c r="K6132" s="2">
        <v>10.0</v>
      </c>
      <c r="N6132" s="6">
        <v>45323.0</v>
      </c>
      <c r="Q6132" s="2" t="s">
        <v>10080</v>
      </c>
    </row>
    <row r="6133">
      <c r="A6133" s="2">
        <v>6132.0</v>
      </c>
      <c r="B6133" s="2" t="s">
        <v>10081</v>
      </c>
      <c r="C6133" s="2" t="s">
        <v>23</v>
      </c>
      <c r="N6133" s="6">
        <v>44639.0</v>
      </c>
      <c r="Q6133" s="2" t="s">
        <v>1763</v>
      </c>
    </row>
    <row r="6134">
      <c r="A6134" s="2">
        <v>6133.0</v>
      </c>
      <c r="B6134" s="2" t="s">
        <v>10082</v>
      </c>
      <c r="C6134" s="2" t="s">
        <v>23</v>
      </c>
      <c r="K6134" s="2">
        <v>40.0</v>
      </c>
      <c r="N6134" s="6">
        <v>43953.0</v>
      </c>
      <c r="Q6134" s="2" t="s">
        <v>10083</v>
      </c>
    </row>
    <row r="6135">
      <c r="A6135" s="2">
        <v>6134.0</v>
      </c>
      <c r="B6135" s="2" t="s">
        <v>10084</v>
      </c>
      <c r="C6135" s="2" t="s">
        <v>23</v>
      </c>
      <c r="K6135" s="2">
        <v>150.0</v>
      </c>
      <c r="N6135" s="6">
        <v>44251.0</v>
      </c>
      <c r="Q6135" s="2" t="s">
        <v>426</v>
      </c>
    </row>
    <row r="6136">
      <c r="A6136" s="2">
        <v>6135.0</v>
      </c>
      <c r="B6136" s="2" t="s">
        <v>10085</v>
      </c>
      <c r="C6136" s="2" t="s">
        <v>23</v>
      </c>
      <c r="N6136" s="6">
        <v>44073.0</v>
      </c>
      <c r="Q6136" s="2" t="s">
        <v>86</v>
      </c>
    </row>
    <row r="6137">
      <c r="A6137" s="2">
        <v>6136.0</v>
      </c>
      <c r="B6137" s="2" t="s">
        <v>10086</v>
      </c>
      <c r="C6137" s="2" t="s">
        <v>23</v>
      </c>
      <c r="K6137" s="2">
        <v>10.0</v>
      </c>
      <c r="N6137" s="6">
        <v>45272.0</v>
      </c>
      <c r="Q6137" s="2" t="s">
        <v>10087</v>
      </c>
    </row>
    <row r="6138">
      <c r="A6138" s="2">
        <v>6137.0</v>
      </c>
      <c r="B6138" s="2" t="s">
        <v>10088</v>
      </c>
      <c r="C6138" s="2" t="s">
        <v>23</v>
      </c>
      <c r="N6138" s="6">
        <v>44916.0</v>
      </c>
      <c r="Q6138" s="2" t="s">
        <v>3849</v>
      </c>
    </row>
    <row r="6139">
      <c r="A6139" s="2">
        <v>6138.0</v>
      </c>
      <c r="B6139" s="2" t="s">
        <v>10089</v>
      </c>
      <c r="C6139" s="2" t="s">
        <v>23</v>
      </c>
      <c r="K6139" s="2">
        <v>200.0</v>
      </c>
      <c r="N6139" s="6">
        <v>44370.0</v>
      </c>
      <c r="Q6139" s="2" t="s">
        <v>10090</v>
      </c>
    </row>
    <row r="6140">
      <c r="A6140" s="2">
        <v>6139.0</v>
      </c>
      <c r="B6140" s="2" t="s">
        <v>10091</v>
      </c>
      <c r="C6140" s="2" t="s">
        <v>23</v>
      </c>
      <c r="K6140" s="2">
        <v>10.0</v>
      </c>
      <c r="N6140" s="6">
        <v>44044.0</v>
      </c>
      <c r="Q6140" s="2" t="s">
        <v>86</v>
      </c>
    </row>
    <row r="6141">
      <c r="A6141" s="2">
        <v>6140.0</v>
      </c>
      <c r="B6141" s="2" t="s">
        <v>10092</v>
      </c>
      <c r="C6141" s="2" t="s">
        <v>23</v>
      </c>
      <c r="K6141" s="2">
        <v>80.0</v>
      </c>
      <c r="N6141" s="6">
        <v>44422.0</v>
      </c>
      <c r="Q6141" s="2" t="s">
        <v>3759</v>
      </c>
    </row>
    <row r="6142">
      <c r="A6142" s="2">
        <v>6141.0</v>
      </c>
      <c r="B6142" s="2" t="s">
        <v>10093</v>
      </c>
      <c r="C6142" s="2" t="s">
        <v>23</v>
      </c>
      <c r="K6142" s="2">
        <v>50.0</v>
      </c>
      <c r="N6142" s="6">
        <v>45692.0</v>
      </c>
      <c r="Q6142" s="2" t="s">
        <v>10094</v>
      </c>
    </row>
    <row r="6143">
      <c r="A6143" s="2">
        <v>6142.0</v>
      </c>
      <c r="B6143" s="2" t="s">
        <v>10095</v>
      </c>
      <c r="C6143" s="2" t="s">
        <v>23</v>
      </c>
      <c r="N6143" s="6">
        <v>44384.0</v>
      </c>
      <c r="Q6143" s="2" t="s">
        <v>86</v>
      </c>
    </row>
    <row r="6144">
      <c r="A6144" s="2">
        <v>6143.0</v>
      </c>
      <c r="B6144" s="2" t="s">
        <v>10096</v>
      </c>
      <c r="C6144" s="2" t="s">
        <v>23</v>
      </c>
      <c r="K6144" s="2">
        <v>30.0</v>
      </c>
      <c r="N6144" s="6">
        <v>45561.0</v>
      </c>
      <c r="Q6144" s="2" t="s">
        <v>2541</v>
      </c>
    </row>
    <row r="6145">
      <c r="A6145" s="2">
        <v>6144.0</v>
      </c>
      <c r="B6145" s="2" t="s">
        <v>10097</v>
      </c>
      <c r="C6145" s="2" t="s">
        <v>23</v>
      </c>
      <c r="K6145" s="2">
        <v>10.0</v>
      </c>
      <c r="N6145" s="6">
        <v>44041.0</v>
      </c>
      <c r="Q6145" s="2" t="s">
        <v>10098</v>
      </c>
    </row>
    <row r="6146">
      <c r="A6146" s="2">
        <v>6145.0</v>
      </c>
      <c r="B6146" s="2" t="s">
        <v>10099</v>
      </c>
      <c r="C6146" s="2" t="s">
        <v>23</v>
      </c>
      <c r="N6146" s="6">
        <v>42761.0</v>
      </c>
      <c r="Q6146" s="2" t="s">
        <v>10100</v>
      </c>
    </row>
    <row r="6147">
      <c r="A6147" s="2">
        <v>6146.0</v>
      </c>
      <c r="B6147" s="2" t="s">
        <v>10101</v>
      </c>
      <c r="C6147" s="2" t="s">
        <v>23</v>
      </c>
      <c r="K6147" s="2">
        <v>200.0</v>
      </c>
      <c r="N6147" s="6">
        <v>45623.0</v>
      </c>
      <c r="Q6147" s="2" t="s">
        <v>10102</v>
      </c>
    </row>
    <row r="6148">
      <c r="A6148" s="2">
        <v>6147.0</v>
      </c>
      <c r="B6148" s="2" t="s">
        <v>10103</v>
      </c>
      <c r="C6148" s="2" t="s">
        <v>23</v>
      </c>
      <c r="N6148" s="6">
        <v>44091.0</v>
      </c>
      <c r="Q6148" s="2" t="s">
        <v>200</v>
      </c>
    </row>
    <row r="6149">
      <c r="A6149" s="2">
        <v>6148.0</v>
      </c>
      <c r="B6149" s="2" t="s">
        <v>10104</v>
      </c>
      <c r="C6149" s="2" t="s">
        <v>23</v>
      </c>
      <c r="K6149" s="2">
        <v>150.0</v>
      </c>
      <c r="N6149" s="6">
        <v>44139.0</v>
      </c>
      <c r="Q6149" s="2" t="s">
        <v>10105</v>
      </c>
    </row>
    <row r="6150">
      <c r="A6150" s="2">
        <v>6149.0</v>
      </c>
      <c r="B6150" s="2" t="s">
        <v>10106</v>
      </c>
      <c r="C6150" s="2" t="s">
        <v>23</v>
      </c>
      <c r="N6150" s="6">
        <v>45087.0</v>
      </c>
      <c r="Q6150" s="2" t="s">
        <v>86</v>
      </c>
    </row>
    <row r="6151">
      <c r="A6151" s="2">
        <v>6150.0</v>
      </c>
      <c r="B6151" s="2" t="s">
        <v>10107</v>
      </c>
      <c r="C6151" s="2" t="s">
        <v>23</v>
      </c>
      <c r="K6151" s="2">
        <v>90.0</v>
      </c>
      <c r="N6151" s="6">
        <v>44296.0</v>
      </c>
      <c r="Q6151" s="2" t="s">
        <v>2820</v>
      </c>
    </row>
    <row r="6152">
      <c r="A6152" s="2">
        <v>6151.0</v>
      </c>
      <c r="B6152" s="2" t="s">
        <v>10108</v>
      </c>
      <c r="C6152" s="2" t="s">
        <v>23</v>
      </c>
      <c r="K6152" s="2">
        <v>20.0</v>
      </c>
      <c r="N6152" s="6">
        <v>44796.0</v>
      </c>
      <c r="Q6152" s="2" t="s">
        <v>86</v>
      </c>
    </row>
    <row r="6153">
      <c r="A6153" s="2">
        <v>6152.0</v>
      </c>
      <c r="B6153" s="2" t="s">
        <v>10109</v>
      </c>
      <c r="C6153" s="2" t="s">
        <v>23</v>
      </c>
      <c r="K6153" s="2">
        <v>100.0</v>
      </c>
      <c r="N6153" s="6">
        <v>44410.0</v>
      </c>
      <c r="Q6153" s="2" t="s">
        <v>10110</v>
      </c>
    </row>
    <row r="6154">
      <c r="A6154" s="2">
        <v>6153.0</v>
      </c>
      <c r="B6154" s="2" t="s">
        <v>10111</v>
      </c>
      <c r="C6154" s="2" t="s">
        <v>23</v>
      </c>
      <c r="N6154" s="6">
        <v>46170.0</v>
      </c>
      <c r="Q6154" s="2" t="s">
        <v>10112</v>
      </c>
    </row>
    <row r="6155">
      <c r="A6155" s="2">
        <v>6154.0</v>
      </c>
      <c r="B6155" s="2" t="s">
        <v>10113</v>
      </c>
      <c r="C6155" s="2" t="s">
        <v>23</v>
      </c>
      <c r="K6155" s="2">
        <v>150.0</v>
      </c>
      <c r="N6155" s="6">
        <v>44061.0</v>
      </c>
      <c r="Q6155" s="2" t="s">
        <v>10114</v>
      </c>
    </row>
    <row r="6156">
      <c r="A6156" s="2">
        <v>6155.0</v>
      </c>
      <c r="B6156" s="2" t="s">
        <v>10115</v>
      </c>
      <c r="C6156" s="2" t="s">
        <v>23</v>
      </c>
      <c r="N6156" s="6">
        <v>45446.0</v>
      </c>
      <c r="Q6156" s="2" t="s">
        <v>1131</v>
      </c>
    </row>
    <row r="6157">
      <c r="A6157" s="2">
        <v>6156.0</v>
      </c>
      <c r="B6157" s="2" t="s">
        <v>10116</v>
      </c>
      <c r="C6157" s="2" t="s">
        <v>23</v>
      </c>
      <c r="K6157" s="2">
        <v>40.0</v>
      </c>
      <c r="N6157" s="6">
        <v>45605.0</v>
      </c>
      <c r="Q6157" s="2" t="s">
        <v>5054</v>
      </c>
    </row>
    <row r="6158">
      <c r="A6158" s="2">
        <v>6157.0</v>
      </c>
      <c r="B6158" s="2" t="s">
        <v>10117</v>
      </c>
      <c r="C6158" s="2" t="s">
        <v>23</v>
      </c>
      <c r="N6158" s="6">
        <v>44987.0</v>
      </c>
      <c r="Q6158" s="2" t="s">
        <v>86</v>
      </c>
    </row>
    <row r="6159">
      <c r="A6159" s="2">
        <v>6158.0</v>
      </c>
      <c r="B6159" s="2" t="s">
        <v>10118</v>
      </c>
      <c r="C6159" s="2" t="s">
        <v>23</v>
      </c>
      <c r="K6159" s="2">
        <v>20.0</v>
      </c>
      <c r="N6159" s="6">
        <v>44445.0</v>
      </c>
      <c r="Q6159" s="2" t="s">
        <v>10119</v>
      </c>
    </row>
    <row r="6160">
      <c r="A6160" s="2">
        <v>6159.0</v>
      </c>
      <c r="B6160" s="2" t="s">
        <v>10120</v>
      </c>
      <c r="C6160" s="2" t="s">
        <v>23</v>
      </c>
      <c r="K6160" s="2">
        <v>20.0</v>
      </c>
      <c r="N6160" s="6">
        <v>44712.0</v>
      </c>
      <c r="Q6160" s="2" t="s">
        <v>10121</v>
      </c>
    </row>
    <row r="6161">
      <c r="A6161" s="2">
        <v>6160.0</v>
      </c>
      <c r="B6161" s="2" t="s">
        <v>10122</v>
      </c>
      <c r="C6161" s="2" t="s">
        <v>23</v>
      </c>
      <c r="K6161" s="2">
        <v>90.0</v>
      </c>
      <c r="N6161" s="6">
        <v>43970.0</v>
      </c>
      <c r="Q6161" s="2" t="s">
        <v>10123</v>
      </c>
    </row>
    <row r="6162">
      <c r="A6162" s="2">
        <v>6161.0</v>
      </c>
      <c r="B6162" s="2" t="s">
        <v>10124</v>
      </c>
      <c r="C6162" s="2" t="s">
        <v>23</v>
      </c>
      <c r="K6162" s="2">
        <v>80.0</v>
      </c>
      <c r="N6162" s="6">
        <v>45740.0</v>
      </c>
      <c r="Q6162" s="2" t="s">
        <v>10125</v>
      </c>
    </row>
    <row r="6163">
      <c r="A6163" s="2">
        <v>6162.0</v>
      </c>
      <c r="B6163" s="2" t="s">
        <v>10126</v>
      </c>
      <c r="C6163" s="2" t="s">
        <v>23</v>
      </c>
      <c r="N6163" s="6">
        <v>43254.0</v>
      </c>
      <c r="Q6163" s="2" t="s">
        <v>86</v>
      </c>
    </row>
    <row r="6164">
      <c r="A6164" s="2">
        <v>6163.0</v>
      </c>
      <c r="B6164" s="2" t="s">
        <v>10127</v>
      </c>
      <c r="C6164" s="2" t="s">
        <v>23</v>
      </c>
      <c r="K6164" s="2">
        <v>30.0</v>
      </c>
      <c r="N6164" s="6">
        <v>45631.0</v>
      </c>
      <c r="Q6164" s="2" t="s">
        <v>3724</v>
      </c>
    </row>
    <row r="6165">
      <c r="A6165" s="2">
        <v>6164.0</v>
      </c>
      <c r="B6165" s="2" t="s">
        <v>10128</v>
      </c>
      <c r="C6165" s="2" t="s">
        <v>23</v>
      </c>
      <c r="K6165" s="2">
        <v>50.0</v>
      </c>
      <c r="N6165" s="6">
        <v>45276.0</v>
      </c>
      <c r="Q6165" s="2" t="s">
        <v>10129</v>
      </c>
    </row>
    <row r="6166">
      <c r="A6166" s="2">
        <v>6165.0</v>
      </c>
      <c r="B6166" s="2" t="s">
        <v>10130</v>
      </c>
      <c r="C6166" s="2" t="s">
        <v>23</v>
      </c>
      <c r="N6166" s="6">
        <v>42620.0</v>
      </c>
      <c r="Q6166" s="2" t="s">
        <v>86</v>
      </c>
    </row>
    <row r="6167">
      <c r="A6167" s="2">
        <v>6166.0</v>
      </c>
      <c r="B6167" s="2" t="s">
        <v>10131</v>
      </c>
      <c r="C6167" s="2" t="s">
        <v>23</v>
      </c>
      <c r="K6167" s="2">
        <v>150.0</v>
      </c>
      <c r="N6167" s="6">
        <v>44168.0</v>
      </c>
      <c r="Q6167" s="2" t="s">
        <v>10132</v>
      </c>
    </row>
    <row r="6168">
      <c r="A6168" s="2">
        <v>6167.0</v>
      </c>
      <c r="B6168" s="2" t="s">
        <v>10133</v>
      </c>
      <c r="C6168" s="2" t="s">
        <v>23</v>
      </c>
      <c r="K6168" s="2">
        <v>70.0</v>
      </c>
      <c r="N6168" s="6">
        <v>44363.0</v>
      </c>
      <c r="Q6168" s="2" t="s">
        <v>10134</v>
      </c>
    </row>
    <row r="6169">
      <c r="A6169" s="2">
        <v>6168.0</v>
      </c>
      <c r="B6169" s="2" t="s">
        <v>10135</v>
      </c>
      <c r="C6169" s="2" t="s">
        <v>23</v>
      </c>
      <c r="K6169" s="2">
        <v>60.0</v>
      </c>
      <c r="N6169" s="6">
        <v>44360.0</v>
      </c>
      <c r="Q6169" s="2" t="s">
        <v>5802</v>
      </c>
    </row>
    <row r="6170">
      <c r="A6170" s="2">
        <v>6169.0</v>
      </c>
      <c r="B6170" s="2" t="s">
        <v>10136</v>
      </c>
      <c r="C6170" s="2" t="s">
        <v>23</v>
      </c>
      <c r="K6170" s="2">
        <v>20.0</v>
      </c>
      <c r="N6170" s="6">
        <v>45477.0</v>
      </c>
      <c r="Q6170" s="2" t="s">
        <v>7563</v>
      </c>
    </row>
    <row r="6171">
      <c r="A6171" s="2">
        <v>6170.0</v>
      </c>
      <c r="B6171" s="2" t="s">
        <v>10137</v>
      </c>
      <c r="C6171" s="2" t="s">
        <v>23</v>
      </c>
      <c r="K6171" s="2">
        <v>40.0</v>
      </c>
      <c r="N6171" s="6">
        <v>44425.0</v>
      </c>
      <c r="Q6171" s="2" t="s">
        <v>86</v>
      </c>
    </row>
    <row r="6172">
      <c r="A6172" s="2">
        <v>6171.0</v>
      </c>
      <c r="B6172" s="2" t="s">
        <v>10138</v>
      </c>
      <c r="C6172" s="2" t="s">
        <v>23</v>
      </c>
      <c r="K6172" s="2">
        <v>10.0</v>
      </c>
      <c r="N6172" s="6">
        <v>45496.0</v>
      </c>
      <c r="Q6172" s="2" t="s">
        <v>10139</v>
      </c>
    </row>
    <row r="6173">
      <c r="A6173" s="2">
        <v>6172.0</v>
      </c>
      <c r="B6173" s="2" t="s">
        <v>10140</v>
      </c>
      <c r="C6173" s="2" t="s">
        <v>23</v>
      </c>
      <c r="K6173" s="2">
        <v>70.0</v>
      </c>
      <c r="N6173" s="6">
        <v>45672.0</v>
      </c>
      <c r="Q6173" s="2" t="s">
        <v>10141</v>
      </c>
    </row>
    <row r="6174">
      <c r="A6174" s="2">
        <v>6173.0</v>
      </c>
      <c r="B6174" s="2" t="s">
        <v>10142</v>
      </c>
      <c r="C6174" s="2" t="s">
        <v>23</v>
      </c>
      <c r="K6174" s="2">
        <v>40.0</v>
      </c>
      <c r="N6174" s="6">
        <v>45573.0</v>
      </c>
      <c r="Q6174" s="2" t="s">
        <v>10143</v>
      </c>
    </row>
    <row r="6175">
      <c r="A6175" s="2">
        <v>6174.0</v>
      </c>
      <c r="B6175" s="2" t="s">
        <v>10144</v>
      </c>
      <c r="C6175" s="2" t="s">
        <v>23</v>
      </c>
      <c r="K6175" s="2">
        <v>250.0</v>
      </c>
      <c r="N6175" s="6">
        <v>43925.0</v>
      </c>
      <c r="Q6175" s="2" t="s">
        <v>10145</v>
      </c>
    </row>
    <row r="6176">
      <c r="A6176" s="2">
        <v>6175.0</v>
      </c>
      <c r="B6176" s="2" t="s">
        <v>10146</v>
      </c>
      <c r="C6176" s="2" t="s">
        <v>23</v>
      </c>
      <c r="K6176" s="2">
        <v>30.0</v>
      </c>
      <c r="N6176" s="6">
        <v>45504.0</v>
      </c>
      <c r="Q6176" s="2" t="s">
        <v>10147</v>
      </c>
    </row>
    <row r="6177">
      <c r="A6177" s="2">
        <v>6176.0</v>
      </c>
      <c r="B6177" s="2" t="s">
        <v>10148</v>
      </c>
      <c r="C6177" s="2" t="s">
        <v>23</v>
      </c>
      <c r="K6177" s="2">
        <v>50.0</v>
      </c>
      <c r="N6177" s="6">
        <v>43123.0</v>
      </c>
      <c r="Q6177" s="2" t="s">
        <v>86</v>
      </c>
    </row>
    <row r="6178">
      <c r="A6178" s="2">
        <v>6177.0</v>
      </c>
      <c r="B6178" s="2" t="s">
        <v>10149</v>
      </c>
      <c r="C6178" s="2" t="s">
        <v>23</v>
      </c>
      <c r="N6178" s="6">
        <v>42615.0</v>
      </c>
      <c r="Q6178" s="2" t="s">
        <v>86</v>
      </c>
    </row>
    <row r="6179">
      <c r="A6179" s="2">
        <v>6178.0</v>
      </c>
      <c r="B6179" s="2" t="s">
        <v>10150</v>
      </c>
      <c r="C6179" s="2" t="s">
        <v>23</v>
      </c>
      <c r="N6179" s="6">
        <v>42535.0</v>
      </c>
      <c r="Q6179" s="2" t="s">
        <v>86</v>
      </c>
    </row>
    <row r="6180">
      <c r="A6180" s="2">
        <v>6179.0</v>
      </c>
      <c r="B6180" s="2" t="s">
        <v>10151</v>
      </c>
      <c r="C6180" s="2" t="s">
        <v>23</v>
      </c>
      <c r="N6180" s="6">
        <v>44036.0</v>
      </c>
      <c r="Q6180" s="2" t="s">
        <v>86</v>
      </c>
    </row>
    <row r="6181">
      <c r="A6181" s="2">
        <v>6180.0</v>
      </c>
      <c r="B6181" s="2" t="s">
        <v>10152</v>
      </c>
      <c r="C6181" s="2" t="s">
        <v>23</v>
      </c>
      <c r="N6181" s="6">
        <v>44245.0</v>
      </c>
      <c r="Q6181" s="2" t="s">
        <v>10153</v>
      </c>
    </row>
    <row r="6182">
      <c r="A6182" s="2">
        <v>6181.0</v>
      </c>
      <c r="B6182" s="2" t="s">
        <v>10154</v>
      </c>
      <c r="C6182" s="2" t="s">
        <v>23</v>
      </c>
      <c r="K6182" s="2">
        <v>30.0</v>
      </c>
      <c r="N6182" s="6">
        <v>45269.0</v>
      </c>
      <c r="Q6182" s="2" t="s">
        <v>2876</v>
      </c>
    </row>
    <row r="6183">
      <c r="A6183" s="2">
        <v>6182.0</v>
      </c>
      <c r="B6183" s="2" t="s">
        <v>10155</v>
      </c>
      <c r="C6183" s="2" t="s">
        <v>23</v>
      </c>
      <c r="N6183" s="6">
        <v>43927.0</v>
      </c>
      <c r="Q6183" s="2" t="s">
        <v>86</v>
      </c>
    </row>
    <row r="6184">
      <c r="A6184" s="2">
        <v>6183.0</v>
      </c>
      <c r="B6184" s="2" t="s">
        <v>10156</v>
      </c>
      <c r="C6184" s="2" t="s">
        <v>23</v>
      </c>
      <c r="N6184" s="6">
        <v>44610.0</v>
      </c>
      <c r="Q6184" s="2" t="s">
        <v>86</v>
      </c>
    </row>
    <row r="6185">
      <c r="A6185" s="2">
        <v>6184.0</v>
      </c>
      <c r="B6185" s="2" t="s">
        <v>10157</v>
      </c>
      <c r="C6185" s="2" t="s">
        <v>23</v>
      </c>
      <c r="K6185" s="2">
        <v>150.0</v>
      </c>
      <c r="N6185" s="6">
        <v>42515.0</v>
      </c>
      <c r="Q6185" s="2" t="s">
        <v>10158</v>
      </c>
    </row>
    <row r="6186">
      <c r="A6186" s="2">
        <v>6185.0</v>
      </c>
      <c r="B6186" s="2" t="s">
        <v>10159</v>
      </c>
      <c r="C6186" s="2" t="s">
        <v>23</v>
      </c>
      <c r="N6186" s="6">
        <v>44857.0</v>
      </c>
      <c r="Q6186" s="2" t="s">
        <v>1466</v>
      </c>
    </row>
    <row r="6187">
      <c r="A6187" s="2">
        <v>6186.0</v>
      </c>
      <c r="B6187" s="2" t="s">
        <v>10160</v>
      </c>
      <c r="C6187" s="2" t="s">
        <v>23</v>
      </c>
      <c r="N6187" s="6">
        <v>44328.0</v>
      </c>
      <c r="Q6187" s="2" t="s">
        <v>86</v>
      </c>
    </row>
    <row r="6188">
      <c r="A6188" s="2">
        <v>6187.0</v>
      </c>
      <c r="B6188" s="2" t="s">
        <v>10161</v>
      </c>
      <c r="C6188" s="2" t="s">
        <v>23</v>
      </c>
      <c r="K6188" s="2">
        <v>10.0</v>
      </c>
      <c r="N6188" s="6">
        <v>45493.0</v>
      </c>
      <c r="Q6188" s="2" t="s">
        <v>4759</v>
      </c>
    </row>
    <row r="6189">
      <c r="A6189" s="2">
        <v>6188.0</v>
      </c>
      <c r="B6189" s="2" t="s">
        <v>10162</v>
      </c>
      <c r="C6189" s="2" t="s">
        <v>23</v>
      </c>
      <c r="K6189" s="2">
        <v>350.0</v>
      </c>
      <c r="N6189" s="6">
        <v>43948.0</v>
      </c>
      <c r="Q6189" s="2" t="s">
        <v>10163</v>
      </c>
    </row>
    <row r="6190">
      <c r="A6190" s="2">
        <v>6189.0</v>
      </c>
      <c r="B6190" s="2" t="s">
        <v>10164</v>
      </c>
      <c r="C6190" s="2" t="s">
        <v>23</v>
      </c>
      <c r="K6190" s="2">
        <v>60.0</v>
      </c>
      <c r="N6190" s="6">
        <v>43405.0</v>
      </c>
      <c r="Q6190" s="2" t="s">
        <v>10165</v>
      </c>
    </row>
    <row r="6191">
      <c r="A6191" s="2">
        <v>6190.0</v>
      </c>
      <c r="B6191" s="2" t="s">
        <v>10166</v>
      </c>
      <c r="C6191" s="2" t="s">
        <v>23</v>
      </c>
      <c r="N6191" s="6">
        <v>44216.0</v>
      </c>
      <c r="Q6191" s="2" t="s">
        <v>1605</v>
      </c>
    </row>
    <row r="6192">
      <c r="A6192" s="2">
        <v>6191.0</v>
      </c>
      <c r="B6192" s="2" t="s">
        <v>10167</v>
      </c>
      <c r="C6192" s="2" t="s">
        <v>23</v>
      </c>
      <c r="K6192" s="2">
        <v>30.0</v>
      </c>
      <c r="N6192" s="6">
        <v>45518.0</v>
      </c>
      <c r="Q6192" s="2" t="s">
        <v>10168</v>
      </c>
    </row>
    <row r="6193">
      <c r="A6193" s="2">
        <v>6192.0</v>
      </c>
      <c r="B6193" s="2" t="s">
        <v>10169</v>
      </c>
      <c r="C6193" s="2" t="s">
        <v>23</v>
      </c>
      <c r="N6193" s="6">
        <v>44494.0</v>
      </c>
      <c r="Q6193" s="2" t="s">
        <v>86</v>
      </c>
    </row>
    <row r="6194">
      <c r="A6194" s="2">
        <v>6193.0</v>
      </c>
      <c r="B6194" s="2" t="s">
        <v>10170</v>
      </c>
      <c r="C6194" s="2" t="s">
        <v>23</v>
      </c>
      <c r="K6194" s="2">
        <v>200.0</v>
      </c>
      <c r="N6194" s="6">
        <v>45173.0</v>
      </c>
      <c r="Q6194" s="2" t="s">
        <v>10171</v>
      </c>
    </row>
    <row r="6195">
      <c r="A6195" s="2">
        <v>6194.0</v>
      </c>
      <c r="B6195" s="2" t="s">
        <v>10172</v>
      </c>
      <c r="C6195" s="2" t="s">
        <v>23</v>
      </c>
      <c r="K6195" s="2">
        <v>150.0</v>
      </c>
      <c r="N6195" s="6">
        <v>44336.0</v>
      </c>
      <c r="Q6195" s="2" t="s">
        <v>9841</v>
      </c>
    </row>
    <row r="6196">
      <c r="A6196" s="2">
        <v>6195.0</v>
      </c>
      <c r="B6196" s="2" t="s">
        <v>10173</v>
      </c>
      <c r="C6196" s="2" t="s">
        <v>23</v>
      </c>
      <c r="K6196" s="2">
        <v>100.0</v>
      </c>
      <c r="N6196" s="6">
        <v>44309.0</v>
      </c>
      <c r="Q6196" s="2" t="s">
        <v>86</v>
      </c>
    </row>
    <row r="6197">
      <c r="A6197" s="2">
        <v>6196.0</v>
      </c>
      <c r="B6197" s="2" t="s">
        <v>10174</v>
      </c>
      <c r="C6197" s="2" t="s">
        <v>23</v>
      </c>
      <c r="K6197" s="2">
        <v>20.0</v>
      </c>
      <c r="N6197" s="6">
        <v>45562.0</v>
      </c>
      <c r="Q6197" s="2" t="s">
        <v>9859</v>
      </c>
    </row>
    <row r="6198">
      <c r="A6198" s="2">
        <v>6197.0</v>
      </c>
      <c r="B6198" s="2" t="s">
        <v>10175</v>
      </c>
      <c r="C6198" s="2" t="s">
        <v>23</v>
      </c>
      <c r="K6198" s="2">
        <v>80.0</v>
      </c>
      <c r="N6198" s="6">
        <v>44111.0</v>
      </c>
      <c r="Q6198" s="2" t="s">
        <v>10176</v>
      </c>
    </row>
    <row r="6199">
      <c r="A6199" s="2">
        <v>6198.0</v>
      </c>
      <c r="B6199" s="2" t="s">
        <v>403</v>
      </c>
      <c r="C6199" s="2" t="s">
        <v>23</v>
      </c>
      <c r="N6199" s="6">
        <v>44041.0</v>
      </c>
      <c r="Q6199" s="2" t="s">
        <v>406</v>
      </c>
    </row>
    <row r="6200">
      <c r="A6200" s="2">
        <v>6199.0</v>
      </c>
      <c r="B6200" s="2" t="s">
        <v>10177</v>
      </c>
      <c r="C6200" s="2" t="s">
        <v>23</v>
      </c>
      <c r="K6200" s="2">
        <v>20.0</v>
      </c>
      <c r="N6200" s="6">
        <v>44611.0</v>
      </c>
      <c r="Q6200" s="2" t="s">
        <v>1472</v>
      </c>
    </row>
    <row r="6201">
      <c r="A6201" s="2">
        <v>6200.0</v>
      </c>
      <c r="B6201" s="2" t="s">
        <v>10178</v>
      </c>
      <c r="C6201" s="2" t="s">
        <v>23</v>
      </c>
      <c r="N6201" s="6">
        <v>44308.0</v>
      </c>
      <c r="Q6201" s="2" t="s">
        <v>86</v>
      </c>
    </row>
    <row r="6202">
      <c r="A6202" s="2">
        <v>6201.0</v>
      </c>
      <c r="B6202" s="2" t="s">
        <v>10179</v>
      </c>
      <c r="C6202" s="2" t="s">
        <v>23</v>
      </c>
      <c r="K6202" s="2">
        <v>10.0</v>
      </c>
      <c r="N6202" s="6">
        <v>45193.0</v>
      </c>
      <c r="Q6202" s="2" t="s">
        <v>10180</v>
      </c>
    </row>
    <row r="6203">
      <c r="A6203" s="2">
        <v>6202.0</v>
      </c>
      <c r="B6203" s="2" t="s">
        <v>10181</v>
      </c>
      <c r="C6203" s="2" t="s">
        <v>23</v>
      </c>
      <c r="K6203" s="2">
        <v>20.0</v>
      </c>
      <c r="N6203" s="6">
        <v>44425.0</v>
      </c>
      <c r="Q6203" s="2" t="s">
        <v>10182</v>
      </c>
    </row>
    <row r="6204">
      <c r="A6204" s="2">
        <v>6203.0</v>
      </c>
      <c r="B6204" s="2" t="s">
        <v>10183</v>
      </c>
      <c r="C6204" s="2" t="s">
        <v>23</v>
      </c>
      <c r="K6204" s="2">
        <v>100.0</v>
      </c>
      <c r="N6204" s="6">
        <v>44665.0</v>
      </c>
      <c r="Q6204" s="2" t="s">
        <v>10184</v>
      </c>
    </row>
    <row r="6205">
      <c r="A6205" s="2">
        <v>6204.0</v>
      </c>
      <c r="B6205" s="2" t="s">
        <v>10185</v>
      </c>
      <c r="C6205" s="2" t="s">
        <v>23</v>
      </c>
      <c r="K6205" s="2">
        <v>20.0</v>
      </c>
      <c r="N6205" s="6">
        <v>45724.0</v>
      </c>
      <c r="Q6205" s="2" t="s">
        <v>10186</v>
      </c>
    </row>
    <row r="6206">
      <c r="A6206" s="2">
        <v>6205.0</v>
      </c>
      <c r="B6206" s="2" t="s">
        <v>10187</v>
      </c>
      <c r="C6206" s="2" t="s">
        <v>23</v>
      </c>
      <c r="K6206" s="2">
        <v>40.0</v>
      </c>
      <c r="N6206" s="6">
        <v>43936.0</v>
      </c>
      <c r="Q6206" s="2" t="s">
        <v>5587</v>
      </c>
    </row>
    <row r="6207">
      <c r="A6207" s="2">
        <v>6206.0</v>
      </c>
      <c r="B6207" s="2" t="s">
        <v>10188</v>
      </c>
      <c r="C6207" s="2" t="s">
        <v>23</v>
      </c>
      <c r="K6207" s="2">
        <v>20.0</v>
      </c>
      <c r="N6207" s="6">
        <v>45677.0</v>
      </c>
      <c r="Q6207" s="2" t="s">
        <v>10189</v>
      </c>
    </row>
    <row r="6208">
      <c r="A6208" s="2">
        <v>6207.0</v>
      </c>
      <c r="B6208" s="2" t="s">
        <v>10190</v>
      </c>
      <c r="C6208" s="2" t="s">
        <v>23</v>
      </c>
      <c r="K6208" s="2">
        <v>60.0</v>
      </c>
      <c r="N6208" s="6">
        <v>45059.0</v>
      </c>
      <c r="Q6208" s="2" t="s">
        <v>10191</v>
      </c>
    </row>
    <row r="6209">
      <c r="A6209" s="2">
        <v>6208.0</v>
      </c>
      <c r="B6209" s="2" t="s">
        <v>10192</v>
      </c>
      <c r="C6209" s="2" t="s">
        <v>23</v>
      </c>
      <c r="K6209" s="2">
        <v>50.0</v>
      </c>
      <c r="N6209" s="6">
        <v>45770.0</v>
      </c>
      <c r="Q6209" s="2" t="s">
        <v>10193</v>
      </c>
    </row>
    <row r="6210">
      <c r="A6210" s="2">
        <v>6209.0</v>
      </c>
      <c r="B6210" s="2" t="s">
        <v>10194</v>
      </c>
      <c r="C6210" s="2" t="s">
        <v>23</v>
      </c>
      <c r="K6210" s="2">
        <v>10.0</v>
      </c>
      <c r="N6210" s="6">
        <v>44393.0</v>
      </c>
      <c r="Q6210" s="2" t="s">
        <v>6273</v>
      </c>
    </row>
    <row r="6211">
      <c r="A6211" s="2">
        <v>6210.0</v>
      </c>
      <c r="B6211" s="2" t="s">
        <v>10195</v>
      </c>
      <c r="C6211" s="2" t="s">
        <v>23</v>
      </c>
      <c r="K6211" s="2">
        <v>20.0</v>
      </c>
      <c r="N6211" s="6">
        <v>45775.0</v>
      </c>
      <c r="Q6211" s="2" t="s">
        <v>6731</v>
      </c>
    </row>
    <row r="6212">
      <c r="A6212" s="2">
        <v>6211.0</v>
      </c>
      <c r="B6212" s="2" t="s">
        <v>10196</v>
      </c>
      <c r="C6212" s="2" t="s">
        <v>23</v>
      </c>
      <c r="N6212" s="6">
        <v>44945.0</v>
      </c>
      <c r="Q6212" s="2" t="s">
        <v>86</v>
      </c>
    </row>
    <row r="6213">
      <c r="A6213" s="2">
        <v>6212.0</v>
      </c>
      <c r="B6213" s="2" t="s">
        <v>10197</v>
      </c>
      <c r="C6213" s="2" t="s">
        <v>23</v>
      </c>
      <c r="N6213" s="6">
        <v>45580.0</v>
      </c>
      <c r="Q6213" s="2" t="s">
        <v>10198</v>
      </c>
    </row>
    <row r="6214">
      <c r="A6214" s="2">
        <v>6213.0</v>
      </c>
      <c r="B6214" s="2" t="s">
        <v>10199</v>
      </c>
      <c r="C6214" s="2" t="s">
        <v>23</v>
      </c>
      <c r="K6214" s="2">
        <v>20.0</v>
      </c>
      <c r="N6214" s="6">
        <v>44516.0</v>
      </c>
      <c r="Q6214" s="2" t="s">
        <v>1437</v>
      </c>
    </row>
    <row r="6215">
      <c r="A6215" s="2">
        <v>6214.0</v>
      </c>
      <c r="B6215" s="2" t="s">
        <v>10200</v>
      </c>
      <c r="C6215" s="2" t="s">
        <v>23</v>
      </c>
      <c r="K6215" s="2">
        <v>100.0</v>
      </c>
      <c r="N6215" s="6">
        <v>44501.0</v>
      </c>
      <c r="Q6215" s="2" t="s">
        <v>4156</v>
      </c>
    </row>
    <row r="6216">
      <c r="A6216" s="2">
        <v>6215.0</v>
      </c>
      <c r="B6216" s="2" t="s">
        <v>10201</v>
      </c>
      <c r="C6216" s="2" t="s">
        <v>23</v>
      </c>
      <c r="N6216" s="6">
        <v>44726.0</v>
      </c>
      <c r="Q6216" s="2" t="s">
        <v>86</v>
      </c>
    </row>
    <row r="6217">
      <c r="A6217" s="2">
        <v>6216.0</v>
      </c>
      <c r="B6217" s="2" t="s">
        <v>10202</v>
      </c>
      <c r="C6217" s="2" t="s">
        <v>23</v>
      </c>
      <c r="K6217" s="2">
        <v>80.0</v>
      </c>
      <c r="N6217" s="6">
        <v>44448.0</v>
      </c>
      <c r="Q6217" s="2" t="s">
        <v>10203</v>
      </c>
    </row>
    <row r="6218">
      <c r="A6218" s="2">
        <v>6217.0</v>
      </c>
      <c r="B6218" s="2" t="s">
        <v>10204</v>
      </c>
      <c r="C6218" s="2" t="s">
        <v>23</v>
      </c>
      <c r="N6218" s="6">
        <v>44376.0</v>
      </c>
      <c r="Q6218" s="2" t="s">
        <v>86</v>
      </c>
    </row>
    <row r="6219">
      <c r="A6219" s="2">
        <v>6218.0</v>
      </c>
      <c r="B6219" s="2" t="s">
        <v>10205</v>
      </c>
      <c r="C6219" s="2" t="s">
        <v>23</v>
      </c>
      <c r="N6219" s="6">
        <v>44004.0</v>
      </c>
      <c r="Q6219" s="2" t="s">
        <v>86</v>
      </c>
    </row>
    <row r="6220">
      <c r="A6220" s="2">
        <v>6219.0</v>
      </c>
      <c r="B6220" s="2" t="s">
        <v>10206</v>
      </c>
      <c r="C6220" s="2" t="s">
        <v>23</v>
      </c>
      <c r="K6220" s="2">
        <v>20.0</v>
      </c>
      <c r="N6220" s="6">
        <v>44804.0</v>
      </c>
      <c r="Q6220" s="2" t="s">
        <v>10207</v>
      </c>
    </row>
    <row r="6221">
      <c r="A6221" s="2">
        <v>6220.0</v>
      </c>
      <c r="B6221" s="2" t="s">
        <v>10208</v>
      </c>
      <c r="C6221" s="2" t="s">
        <v>23</v>
      </c>
      <c r="N6221" s="6">
        <v>44522.0</v>
      </c>
      <c r="Q6221" s="2" t="s">
        <v>86</v>
      </c>
    </row>
    <row r="6222">
      <c r="A6222" s="2">
        <v>6221.0</v>
      </c>
      <c r="B6222" s="2" t="s">
        <v>10209</v>
      </c>
      <c r="C6222" s="2" t="s">
        <v>23</v>
      </c>
      <c r="K6222" s="2">
        <v>40.0</v>
      </c>
      <c r="N6222" s="6">
        <v>45173.0</v>
      </c>
      <c r="Q6222" s="2" t="s">
        <v>426</v>
      </c>
    </row>
    <row r="6223">
      <c r="A6223" s="2">
        <v>6222.0</v>
      </c>
      <c r="B6223" s="2" t="s">
        <v>10210</v>
      </c>
      <c r="C6223" s="2" t="s">
        <v>23</v>
      </c>
      <c r="K6223" s="2">
        <v>20.0</v>
      </c>
      <c r="N6223" s="6">
        <v>43947.0</v>
      </c>
      <c r="Q6223" s="2" t="s">
        <v>10211</v>
      </c>
    </row>
    <row r="6224">
      <c r="A6224" s="2">
        <v>6223.0</v>
      </c>
      <c r="B6224" s="2" t="s">
        <v>10212</v>
      </c>
      <c r="C6224" s="2" t="s">
        <v>23</v>
      </c>
      <c r="K6224" s="2">
        <v>50.0</v>
      </c>
      <c r="N6224" s="6">
        <v>45618.0</v>
      </c>
      <c r="Q6224" s="2" t="s">
        <v>2609</v>
      </c>
    </row>
    <row r="6225">
      <c r="A6225" s="2">
        <v>6224.0</v>
      </c>
      <c r="B6225" s="2" t="s">
        <v>10213</v>
      </c>
      <c r="C6225" s="2" t="s">
        <v>23</v>
      </c>
      <c r="K6225" s="2">
        <v>70.0</v>
      </c>
      <c r="N6225" s="6">
        <v>43979.0</v>
      </c>
      <c r="Q6225" s="2" t="s">
        <v>86</v>
      </c>
    </row>
    <row r="6226">
      <c r="A6226" s="2">
        <v>6225.0</v>
      </c>
      <c r="B6226" s="2" t="s">
        <v>10214</v>
      </c>
      <c r="C6226" s="2" t="s">
        <v>23</v>
      </c>
      <c r="N6226" s="6">
        <v>44217.0</v>
      </c>
      <c r="Q6226" s="2" t="s">
        <v>10215</v>
      </c>
    </row>
    <row r="6227">
      <c r="A6227" s="2">
        <v>6226.0</v>
      </c>
      <c r="B6227" s="2" t="s">
        <v>10216</v>
      </c>
      <c r="C6227" s="2" t="s">
        <v>23</v>
      </c>
      <c r="K6227" s="2">
        <v>30.0</v>
      </c>
      <c r="N6227" s="6">
        <v>44239.0</v>
      </c>
      <c r="Q6227" s="2" t="s">
        <v>1249</v>
      </c>
    </row>
    <row r="6228">
      <c r="A6228" s="2">
        <v>6227.0</v>
      </c>
      <c r="B6228" s="2" t="s">
        <v>10217</v>
      </c>
      <c r="C6228" s="2" t="s">
        <v>23</v>
      </c>
      <c r="N6228" s="6">
        <v>44125.0</v>
      </c>
      <c r="Q6228" s="2" t="s">
        <v>86</v>
      </c>
    </row>
    <row r="6229">
      <c r="A6229" s="2">
        <v>6228.0</v>
      </c>
      <c r="B6229" s="2" t="s">
        <v>10218</v>
      </c>
      <c r="C6229" s="2" t="s">
        <v>23</v>
      </c>
      <c r="K6229" s="2">
        <v>150.0</v>
      </c>
      <c r="N6229" s="6">
        <v>44912.0</v>
      </c>
      <c r="Q6229" s="2" t="s">
        <v>10219</v>
      </c>
    </row>
    <row r="6230">
      <c r="A6230" s="2">
        <v>6229.0</v>
      </c>
      <c r="B6230" s="2" t="s">
        <v>10220</v>
      </c>
      <c r="C6230" s="2" t="s">
        <v>23</v>
      </c>
      <c r="K6230" s="2">
        <v>40.0</v>
      </c>
      <c r="N6230" s="6">
        <v>43868.0</v>
      </c>
      <c r="Q6230" s="2" t="s">
        <v>10221</v>
      </c>
    </row>
    <row r="6231">
      <c r="A6231" s="2">
        <v>6230.0</v>
      </c>
      <c r="B6231" s="2" t="s">
        <v>10222</v>
      </c>
      <c r="C6231" s="2" t="s">
        <v>23</v>
      </c>
      <c r="K6231" s="2">
        <v>30.0</v>
      </c>
      <c r="N6231" s="6">
        <v>45179.0</v>
      </c>
      <c r="Q6231" s="2" t="s">
        <v>10223</v>
      </c>
    </row>
    <row r="6232">
      <c r="A6232" s="2">
        <v>6231.0</v>
      </c>
      <c r="B6232" s="2" t="s">
        <v>10224</v>
      </c>
      <c r="C6232" s="2" t="s">
        <v>23</v>
      </c>
      <c r="N6232" s="6">
        <v>43329.0</v>
      </c>
      <c r="Q6232" s="2" t="s">
        <v>86</v>
      </c>
    </row>
    <row r="6233">
      <c r="A6233" s="2">
        <v>6232.0</v>
      </c>
      <c r="B6233" s="2" t="s">
        <v>10225</v>
      </c>
      <c r="C6233" s="2" t="s">
        <v>23</v>
      </c>
      <c r="K6233" s="2">
        <v>10.0</v>
      </c>
      <c r="N6233" s="6">
        <v>43844.0</v>
      </c>
      <c r="Q6233" s="2" t="s">
        <v>86</v>
      </c>
    </row>
    <row r="6234">
      <c r="A6234" s="2">
        <v>6233.0</v>
      </c>
      <c r="B6234" s="2" t="s">
        <v>10226</v>
      </c>
      <c r="C6234" s="2" t="s">
        <v>23</v>
      </c>
      <c r="K6234" s="2">
        <v>150.0</v>
      </c>
      <c r="N6234" s="6">
        <v>45144.0</v>
      </c>
      <c r="Q6234" s="2" t="s">
        <v>10227</v>
      </c>
    </row>
    <row r="6235">
      <c r="A6235" s="2">
        <v>6234.0</v>
      </c>
      <c r="B6235" s="2" t="s">
        <v>10228</v>
      </c>
      <c r="C6235" s="2" t="s">
        <v>23</v>
      </c>
      <c r="K6235" s="2">
        <v>20.0</v>
      </c>
      <c r="N6235" s="6">
        <v>43917.0</v>
      </c>
      <c r="Q6235" s="2" t="s">
        <v>401</v>
      </c>
    </row>
    <row r="6236">
      <c r="A6236" s="2">
        <v>6235.0</v>
      </c>
      <c r="B6236" s="2" t="s">
        <v>10229</v>
      </c>
      <c r="C6236" s="2" t="s">
        <v>23</v>
      </c>
      <c r="K6236" s="2">
        <v>30.0</v>
      </c>
      <c r="N6236" s="6">
        <v>42785.0</v>
      </c>
      <c r="Q6236" s="2" t="s">
        <v>10230</v>
      </c>
    </row>
    <row r="6237">
      <c r="A6237" s="2">
        <v>6236.0</v>
      </c>
      <c r="B6237" s="2" t="s">
        <v>10231</v>
      </c>
      <c r="C6237" s="2" t="s">
        <v>23</v>
      </c>
      <c r="K6237" s="2">
        <v>200.0</v>
      </c>
      <c r="N6237" s="6">
        <v>44729.0</v>
      </c>
      <c r="Q6237" s="2" t="s">
        <v>10232</v>
      </c>
    </row>
    <row r="6238">
      <c r="A6238" s="2">
        <v>6237.0</v>
      </c>
      <c r="B6238" s="2" t="s">
        <v>10233</v>
      </c>
      <c r="C6238" s="2" t="s">
        <v>23</v>
      </c>
      <c r="K6238" s="2">
        <v>30.0</v>
      </c>
      <c r="N6238" s="6">
        <v>44063.0</v>
      </c>
      <c r="Q6238" s="2" t="s">
        <v>1466</v>
      </c>
    </row>
    <row r="6239">
      <c r="A6239" s="2">
        <v>6238.0</v>
      </c>
      <c r="B6239" s="2" t="s">
        <v>10234</v>
      </c>
      <c r="C6239" s="2" t="s">
        <v>23</v>
      </c>
      <c r="K6239" s="2">
        <v>30.0</v>
      </c>
      <c r="N6239" s="6">
        <v>43981.0</v>
      </c>
      <c r="Q6239" s="2" t="s">
        <v>10235</v>
      </c>
    </row>
    <row r="6240">
      <c r="A6240" s="2">
        <v>6239.0</v>
      </c>
      <c r="B6240" s="2" t="s">
        <v>10236</v>
      </c>
      <c r="C6240" s="2" t="s">
        <v>23</v>
      </c>
      <c r="K6240" s="2">
        <v>150.0</v>
      </c>
      <c r="N6240" s="6">
        <v>44089.0</v>
      </c>
      <c r="Q6240" s="2" t="s">
        <v>6467</v>
      </c>
    </row>
    <row r="6241">
      <c r="A6241" s="2">
        <v>6240.0</v>
      </c>
      <c r="B6241" s="2" t="s">
        <v>10237</v>
      </c>
      <c r="C6241" s="2" t="s">
        <v>23</v>
      </c>
      <c r="K6241" s="2">
        <v>20.0</v>
      </c>
      <c r="N6241" s="6">
        <v>45239.0</v>
      </c>
      <c r="Q6241" s="2" t="s">
        <v>3328</v>
      </c>
    </row>
    <row r="6242">
      <c r="A6242" s="2">
        <v>6241.0</v>
      </c>
      <c r="B6242" s="2" t="s">
        <v>10238</v>
      </c>
      <c r="C6242" s="2" t="s">
        <v>23</v>
      </c>
      <c r="N6242" s="6">
        <v>45231.0</v>
      </c>
      <c r="Q6242" s="2" t="s">
        <v>10239</v>
      </c>
    </row>
    <row r="6243">
      <c r="A6243" s="2">
        <v>6242.0</v>
      </c>
      <c r="B6243" s="2" t="s">
        <v>10240</v>
      </c>
      <c r="C6243" s="2" t="s">
        <v>23</v>
      </c>
      <c r="N6243" s="6">
        <v>44152.0</v>
      </c>
      <c r="Q6243" s="2" t="s">
        <v>86</v>
      </c>
    </row>
    <row r="6244">
      <c r="A6244" s="2">
        <v>6243.0</v>
      </c>
      <c r="B6244" s="2" t="s">
        <v>10241</v>
      </c>
      <c r="C6244" s="2" t="s">
        <v>23</v>
      </c>
      <c r="K6244" s="2">
        <v>40.0</v>
      </c>
      <c r="N6244" s="6">
        <v>45365.0</v>
      </c>
      <c r="Q6244" s="2" t="s">
        <v>2818</v>
      </c>
    </row>
    <row r="6245">
      <c r="A6245" s="2">
        <v>6244.0</v>
      </c>
      <c r="B6245" s="2" t="s">
        <v>10242</v>
      </c>
      <c r="C6245" s="2" t="s">
        <v>23</v>
      </c>
      <c r="N6245" s="6">
        <v>44476.0</v>
      </c>
      <c r="Q6245" s="2" t="s">
        <v>86</v>
      </c>
    </row>
    <row r="6246">
      <c r="A6246" s="2">
        <v>6245.0</v>
      </c>
      <c r="B6246" s="2" t="s">
        <v>10243</v>
      </c>
      <c r="C6246" s="2" t="s">
        <v>23</v>
      </c>
      <c r="N6246" s="6">
        <v>44955.0</v>
      </c>
      <c r="Q6246" s="2" t="s">
        <v>86</v>
      </c>
    </row>
    <row r="6247">
      <c r="A6247" s="2">
        <v>6246.0</v>
      </c>
      <c r="B6247" s="2" t="s">
        <v>407</v>
      </c>
      <c r="C6247" s="2" t="s">
        <v>23</v>
      </c>
      <c r="K6247" s="2">
        <v>10.0</v>
      </c>
      <c r="N6247" s="6">
        <v>43350.0</v>
      </c>
      <c r="Q6247" s="2" t="s">
        <v>411</v>
      </c>
    </row>
    <row r="6248">
      <c r="A6248" s="2">
        <v>6247.0</v>
      </c>
      <c r="B6248" s="2" t="s">
        <v>10244</v>
      </c>
      <c r="C6248" s="2" t="s">
        <v>23</v>
      </c>
      <c r="N6248" s="6">
        <v>44251.0</v>
      </c>
      <c r="Q6248" s="2" t="s">
        <v>86</v>
      </c>
    </row>
    <row r="6249">
      <c r="A6249" s="2">
        <v>6248.0</v>
      </c>
      <c r="B6249" s="2" t="s">
        <v>10245</v>
      </c>
      <c r="C6249" s="2" t="s">
        <v>23</v>
      </c>
      <c r="N6249" s="6">
        <v>44181.0</v>
      </c>
      <c r="Q6249" s="2" t="s">
        <v>86</v>
      </c>
    </row>
    <row r="6250">
      <c r="A6250" s="2">
        <v>6249.0</v>
      </c>
      <c r="B6250" s="2" t="s">
        <v>10246</v>
      </c>
      <c r="C6250" s="2" t="s">
        <v>23</v>
      </c>
      <c r="K6250" s="2">
        <v>50.0</v>
      </c>
      <c r="N6250" s="6">
        <v>45645.0</v>
      </c>
      <c r="Q6250" s="2" t="s">
        <v>10247</v>
      </c>
    </row>
    <row r="6251">
      <c r="A6251" s="2">
        <v>6250.0</v>
      </c>
      <c r="B6251" s="2" t="s">
        <v>10248</v>
      </c>
      <c r="C6251" s="2" t="s">
        <v>23</v>
      </c>
      <c r="K6251" s="2">
        <v>80.0</v>
      </c>
      <c r="N6251" s="6">
        <v>45773.0</v>
      </c>
      <c r="Q6251" s="2" t="s">
        <v>10249</v>
      </c>
    </row>
    <row r="6252">
      <c r="A6252" s="2">
        <v>6251.0</v>
      </c>
      <c r="B6252" s="2" t="s">
        <v>10250</v>
      </c>
      <c r="C6252" s="2" t="s">
        <v>23</v>
      </c>
      <c r="K6252" s="2">
        <v>100.0</v>
      </c>
      <c r="N6252" s="6">
        <v>43915.0</v>
      </c>
      <c r="Q6252" s="2" t="s">
        <v>10251</v>
      </c>
    </row>
    <row r="6253">
      <c r="A6253" s="2">
        <v>6252.0</v>
      </c>
      <c r="B6253" s="2" t="s">
        <v>10252</v>
      </c>
      <c r="C6253" s="2" t="s">
        <v>23</v>
      </c>
      <c r="N6253" s="6">
        <v>43887.0</v>
      </c>
      <c r="Q6253" s="2" t="s">
        <v>86</v>
      </c>
    </row>
    <row r="6254">
      <c r="A6254" s="2">
        <v>6253.0</v>
      </c>
      <c r="B6254" s="2" t="s">
        <v>10253</v>
      </c>
      <c r="C6254" s="2" t="s">
        <v>23</v>
      </c>
      <c r="K6254" s="2">
        <v>40.0</v>
      </c>
      <c r="N6254" s="6">
        <v>43947.0</v>
      </c>
      <c r="Q6254" s="2" t="s">
        <v>10254</v>
      </c>
    </row>
    <row r="6255">
      <c r="A6255" s="2">
        <v>6254.0</v>
      </c>
      <c r="B6255" s="2" t="s">
        <v>10255</v>
      </c>
      <c r="C6255" s="2" t="s">
        <v>23</v>
      </c>
      <c r="K6255" s="2">
        <v>20.0</v>
      </c>
      <c r="N6255" s="6">
        <v>43845.0</v>
      </c>
      <c r="Q6255" s="2" t="s">
        <v>10256</v>
      </c>
    </row>
    <row r="6256">
      <c r="A6256" s="2">
        <v>6255.0</v>
      </c>
      <c r="B6256" s="2" t="s">
        <v>10257</v>
      </c>
      <c r="C6256" s="2" t="s">
        <v>23</v>
      </c>
      <c r="K6256" s="2">
        <v>60.0</v>
      </c>
      <c r="N6256" s="6">
        <v>44729.0</v>
      </c>
      <c r="Q6256" s="2" t="s">
        <v>10258</v>
      </c>
    </row>
    <row r="6257">
      <c r="A6257" s="2">
        <v>6256.0</v>
      </c>
      <c r="B6257" s="2" t="s">
        <v>10259</v>
      </c>
      <c r="C6257" s="2" t="s">
        <v>23</v>
      </c>
      <c r="N6257" s="6">
        <v>43657.0</v>
      </c>
      <c r="Q6257" s="2" t="s">
        <v>1790</v>
      </c>
    </row>
    <row r="6258">
      <c r="A6258" s="2">
        <v>6257.0</v>
      </c>
      <c r="B6258" s="2" t="s">
        <v>10260</v>
      </c>
      <c r="C6258" s="2" t="s">
        <v>23</v>
      </c>
      <c r="K6258" s="2">
        <v>30.0</v>
      </c>
      <c r="N6258" s="6">
        <v>45385.0</v>
      </c>
      <c r="Q6258" s="2" t="s">
        <v>2686</v>
      </c>
    </row>
    <row r="6259">
      <c r="A6259" s="2">
        <v>6258.0</v>
      </c>
      <c r="B6259" s="2" t="s">
        <v>10261</v>
      </c>
      <c r="C6259" s="2" t="s">
        <v>23</v>
      </c>
      <c r="N6259" s="6">
        <v>44574.0</v>
      </c>
      <c r="Q6259" s="2" t="s">
        <v>10262</v>
      </c>
    </row>
    <row r="6260">
      <c r="A6260" s="2">
        <v>6259.0</v>
      </c>
      <c r="B6260" s="2" t="s">
        <v>10263</v>
      </c>
      <c r="C6260" s="2" t="s">
        <v>23</v>
      </c>
      <c r="N6260" s="6">
        <v>44788.0</v>
      </c>
      <c r="Q6260" s="2" t="s">
        <v>86</v>
      </c>
    </row>
    <row r="6261">
      <c r="A6261" s="2">
        <v>6260.0</v>
      </c>
      <c r="B6261" s="2" t="s">
        <v>10264</v>
      </c>
      <c r="C6261" s="2" t="s">
        <v>23</v>
      </c>
      <c r="K6261" s="2">
        <v>200.0</v>
      </c>
      <c r="N6261" s="6">
        <v>45606.0</v>
      </c>
      <c r="Q6261" s="2" t="s">
        <v>10265</v>
      </c>
    </row>
    <row r="6262">
      <c r="A6262" s="2">
        <v>6261.0</v>
      </c>
      <c r="B6262" s="2" t="s">
        <v>10266</v>
      </c>
      <c r="C6262" s="2" t="s">
        <v>23</v>
      </c>
      <c r="K6262" s="2">
        <v>90.0</v>
      </c>
      <c r="N6262" s="6">
        <v>45102.0</v>
      </c>
      <c r="Q6262" s="2" t="s">
        <v>10267</v>
      </c>
    </row>
    <row r="6263">
      <c r="A6263" s="2">
        <v>6262.0</v>
      </c>
      <c r="B6263" s="2" t="s">
        <v>10268</v>
      </c>
      <c r="C6263" s="2" t="s">
        <v>23</v>
      </c>
      <c r="N6263" s="6">
        <v>45173.0</v>
      </c>
      <c r="Q6263" s="2" t="s">
        <v>118</v>
      </c>
    </row>
    <row r="6264">
      <c r="A6264" s="2">
        <v>6263.0</v>
      </c>
      <c r="B6264" s="2" t="s">
        <v>10269</v>
      </c>
      <c r="C6264" s="2" t="s">
        <v>23</v>
      </c>
      <c r="K6264" s="2">
        <v>250.0</v>
      </c>
      <c r="N6264" s="6">
        <v>42479.0</v>
      </c>
      <c r="Q6264" s="2" t="s">
        <v>10270</v>
      </c>
    </row>
    <row r="6265">
      <c r="A6265" s="2">
        <v>6264.0</v>
      </c>
      <c r="B6265" s="2" t="s">
        <v>10271</v>
      </c>
      <c r="C6265" s="2" t="s">
        <v>23</v>
      </c>
      <c r="K6265" s="2">
        <v>50.0</v>
      </c>
      <c r="N6265" s="6">
        <v>43119.0</v>
      </c>
      <c r="Q6265" s="2" t="s">
        <v>10272</v>
      </c>
    </row>
    <row r="6266">
      <c r="A6266" s="2">
        <v>6265.0</v>
      </c>
      <c r="B6266" s="2" t="s">
        <v>10273</v>
      </c>
      <c r="C6266" s="2" t="s">
        <v>23</v>
      </c>
      <c r="K6266" s="2">
        <v>70.0</v>
      </c>
      <c r="N6266" s="6">
        <v>45789.0</v>
      </c>
      <c r="Q6266" s="2" t="s">
        <v>10274</v>
      </c>
    </row>
    <row r="6267">
      <c r="A6267" s="2">
        <v>6266.0</v>
      </c>
      <c r="B6267" s="2" t="s">
        <v>10275</v>
      </c>
      <c r="C6267" s="2" t="s">
        <v>23</v>
      </c>
      <c r="N6267" s="6">
        <v>43915.0</v>
      </c>
      <c r="Q6267" s="2" t="s">
        <v>86</v>
      </c>
    </row>
    <row r="6268">
      <c r="A6268" s="2">
        <v>6267.0</v>
      </c>
      <c r="B6268" s="2" t="s">
        <v>10276</v>
      </c>
      <c r="C6268" s="2" t="s">
        <v>23</v>
      </c>
      <c r="N6268" s="6">
        <v>45099.0</v>
      </c>
      <c r="Q6268" s="2" t="s">
        <v>401</v>
      </c>
    </row>
    <row r="6269">
      <c r="A6269" s="2">
        <v>6268.0</v>
      </c>
      <c r="B6269" s="2" t="s">
        <v>10277</v>
      </c>
      <c r="C6269" s="2" t="s">
        <v>23</v>
      </c>
      <c r="K6269" s="2">
        <v>60.0</v>
      </c>
      <c r="N6269" s="6">
        <v>44543.0</v>
      </c>
      <c r="Q6269" s="2" t="s">
        <v>86</v>
      </c>
    </row>
    <row r="6270">
      <c r="A6270" s="2">
        <v>6269.0</v>
      </c>
      <c r="B6270" s="2" t="s">
        <v>10278</v>
      </c>
      <c r="C6270" s="2" t="s">
        <v>23</v>
      </c>
      <c r="N6270" s="6">
        <v>45882.0</v>
      </c>
      <c r="Q6270" s="2" t="s">
        <v>10279</v>
      </c>
    </row>
    <row r="6271">
      <c r="A6271" s="2">
        <v>6270.0</v>
      </c>
      <c r="B6271" s="2" t="s">
        <v>10280</v>
      </c>
      <c r="C6271" s="2" t="s">
        <v>23</v>
      </c>
      <c r="N6271" s="6">
        <v>43675.0</v>
      </c>
      <c r="Q6271" s="2" t="s">
        <v>86</v>
      </c>
    </row>
    <row r="6272">
      <c r="A6272" s="2">
        <v>6271.0</v>
      </c>
      <c r="B6272" s="2" t="s">
        <v>10281</v>
      </c>
      <c r="C6272" s="2" t="s">
        <v>23</v>
      </c>
      <c r="K6272" s="2">
        <v>90.0</v>
      </c>
      <c r="N6272" s="6">
        <v>45557.0</v>
      </c>
      <c r="Q6272" s="2" t="s">
        <v>10282</v>
      </c>
    </row>
    <row r="6273">
      <c r="A6273" s="2">
        <v>6272.0</v>
      </c>
      <c r="B6273" s="2" t="s">
        <v>10283</v>
      </c>
      <c r="C6273" s="2" t="s">
        <v>23</v>
      </c>
      <c r="K6273" s="2">
        <v>20.0</v>
      </c>
      <c r="N6273" s="6">
        <v>44415.0</v>
      </c>
      <c r="Q6273" s="2" t="s">
        <v>6291</v>
      </c>
    </row>
    <row r="6274">
      <c r="A6274" s="2">
        <v>6273.0</v>
      </c>
      <c r="B6274" s="2" t="s">
        <v>10284</v>
      </c>
      <c r="C6274" s="2" t="s">
        <v>23</v>
      </c>
      <c r="K6274" s="2">
        <v>20.0</v>
      </c>
      <c r="N6274" s="6">
        <v>43865.0</v>
      </c>
      <c r="Q6274" s="2" t="s">
        <v>86</v>
      </c>
    </row>
    <row r="6275">
      <c r="A6275" s="2">
        <v>6274.0</v>
      </c>
      <c r="B6275" s="2" t="s">
        <v>10285</v>
      </c>
      <c r="C6275" s="2" t="s">
        <v>23</v>
      </c>
      <c r="N6275" s="6">
        <v>44712.0</v>
      </c>
      <c r="Q6275" s="2" t="s">
        <v>491</v>
      </c>
    </row>
    <row r="6276">
      <c r="A6276" s="2">
        <v>6275.0</v>
      </c>
      <c r="B6276" s="2" t="s">
        <v>10286</v>
      </c>
      <c r="C6276" s="2" t="s">
        <v>23</v>
      </c>
      <c r="K6276" s="2">
        <v>150.0</v>
      </c>
      <c r="N6276" s="6">
        <v>43948.0</v>
      </c>
      <c r="Q6276" s="2" t="s">
        <v>10287</v>
      </c>
    </row>
    <row r="6277">
      <c r="A6277" s="2">
        <v>6276.0</v>
      </c>
      <c r="B6277" s="2" t="s">
        <v>10288</v>
      </c>
      <c r="C6277" s="2" t="s">
        <v>23</v>
      </c>
      <c r="N6277" s="6">
        <v>42446.0</v>
      </c>
      <c r="O6277" s="2" t="s">
        <v>40</v>
      </c>
      <c r="P6277" s="2" t="s">
        <v>36</v>
      </c>
      <c r="Q6277" s="2" t="s">
        <v>86</v>
      </c>
      <c r="S6277" s="2" t="s">
        <v>59</v>
      </c>
    </row>
    <row r="6278">
      <c r="A6278" s="2">
        <v>6277.0</v>
      </c>
      <c r="B6278" s="2" t="s">
        <v>10289</v>
      </c>
      <c r="C6278" s="2" t="s">
        <v>23</v>
      </c>
      <c r="K6278" s="2">
        <v>10.0</v>
      </c>
      <c r="N6278" s="6">
        <v>45650.0</v>
      </c>
      <c r="Q6278" s="2" t="s">
        <v>10290</v>
      </c>
    </row>
    <row r="6279">
      <c r="A6279" s="2">
        <v>6278.0</v>
      </c>
      <c r="B6279" s="2" t="s">
        <v>10291</v>
      </c>
      <c r="C6279" s="2" t="s">
        <v>23</v>
      </c>
      <c r="K6279" s="2">
        <v>200.0</v>
      </c>
      <c r="N6279" s="6">
        <v>44758.0</v>
      </c>
      <c r="Q6279" s="2" t="s">
        <v>10292</v>
      </c>
    </row>
    <row r="6280">
      <c r="A6280" s="2">
        <v>6279.0</v>
      </c>
      <c r="B6280" s="2" t="s">
        <v>10293</v>
      </c>
      <c r="C6280" s="2" t="s">
        <v>23</v>
      </c>
      <c r="K6280" s="2">
        <v>20.0</v>
      </c>
      <c r="N6280" s="6">
        <v>45013.0</v>
      </c>
      <c r="Q6280" s="2" t="s">
        <v>1070</v>
      </c>
    </row>
    <row r="6281">
      <c r="A6281" s="2">
        <v>6280.0</v>
      </c>
      <c r="B6281" s="2" t="s">
        <v>10294</v>
      </c>
      <c r="C6281" s="2" t="s">
        <v>23</v>
      </c>
      <c r="N6281" s="6">
        <v>42647.0</v>
      </c>
      <c r="Q6281" s="2" t="s">
        <v>86</v>
      </c>
    </row>
    <row r="6282">
      <c r="A6282" s="2">
        <v>6281.0</v>
      </c>
      <c r="B6282" s="2" t="s">
        <v>10295</v>
      </c>
      <c r="C6282" s="2" t="s">
        <v>23</v>
      </c>
      <c r="K6282" s="2">
        <v>40.0</v>
      </c>
      <c r="N6282" s="6">
        <v>44118.0</v>
      </c>
      <c r="Q6282" s="2" t="s">
        <v>86</v>
      </c>
    </row>
    <row r="6283">
      <c r="A6283" s="2">
        <v>6282.0</v>
      </c>
      <c r="B6283" s="2" t="s">
        <v>10296</v>
      </c>
      <c r="C6283" s="2" t="s">
        <v>23</v>
      </c>
      <c r="K6283" s="2">
        <v>100.0</v>
      </c>
      <c r="N6283" s="6">
        <v>43971.0</v>
      </c>
      <c r="Q6283" s="2" t="s">
        <v>86</v>
      </c>
    </row>
    <row r="6284">
      <c r="A6284" s="2">
        <v>6283.0</v>
      </c>
      <c r="B6284" s="2" t="s">
        <v>10297</v>
      </c>
      <c r="C6284" s="2" t="s">
        <v>23</v>
      </c>
      <c r="N6284" s="6">
        <v>44261.0</v>
      </c>
      <c r="Q6284" s="2" t="s">
        <v>86</v>
      </c>
    </row>
    <row r="6285">
      <c r="A6285" s="2">
        <v>6284.0</v>
      </c>
      <c r="B6285" s="2" t="s">
        <v>10298</v>
      </c>
      <c r="C6285" s="2" t="s">
        <v>23</v>
      </c>
      <c r="N6285" s="6">
        <v>44273.0</v>
      </c>
      <c r="Q6285" s="2" t="s">
        <v>86</v>
      </c>
    </row>
    <row r="6286">
      <c r="A6286" s="2">
        <v>6285.0</v>
      </c>
      <c r="B6286" s="2" t="s">
        <v>10299</v>
      </c>
      <c r="C6286" s="2" t="s">
        <v>23</v>
      </c>
      <c r="K6286" s="2">
        <v>30.0</v>
      </c>
      <c r="N6286" s="6">
        <v>45299.0</v>
      </c>
      <c r="Q6286" s="2" t="s">
        <v>10300</v>
      </c>
    </row>
    <row r="6287">
      <c r="A6287" s="2">
        <v>6286.0</v>
      </c>
      <c r="B6287" s="2" t="s">
        <v>10301</v>
      </c>
      <c r="C6287" s="2" t="s">
        <v>23</v>
      </c>
      <c r="K6287" s="2">
        <v>30.0</v>
      </c>
      <c r="N6287" s="6">
        <v>45130.0</v>
      </c>
      <c r="Q6287" s="2" t="s">
        <v>3208</v>
      </c>
    </row>
    <row r="6288">
      <c r="A6288" s="2">
        <v>6287.0</v>
      </c>
      <c r="B6288" s="2" t="s">
        <v>10302</v>
      </c>
      <c r="C6288" s="2" t="s">
        <v>23</v>
      </c>
      <c r="K6288" s="2">
        <v>150.0</v>
      </c>
      <c r="N6288" s="6">
        <v>43860.0</v>
      </c>
      <c r="Q6288" s="2" t="s">
        <v>10303</v>
      </c>
    </row>
    <row r="6289">
      <c r="A6289" s="2">
        <v>6288.0</v>
      </c>
      <c r="B6289" s="2" t="s">
        <v>10304</v>
      </c>
      <c r="C6289" s="2" t="s">
        <v>23</v>
      </c>
      <c r="N6289" s="6">
        <v>44133.0</v>
      </c>
      <c r="Q6289" s="2" t="s">
        <v>86</v>
      </c>
    </row>
    <row r="6290">
      <c r="A6290" s="2">
        <v>6289.0</v>
      </c>
      <c r="B6290" s="2" t="s">
        <v>10305</v>
      </c>
      <c r="C6290" s="2" t="s">
        <v>23</v>
      </c>
      <c r="K6290" s="2">
        <v>150.0</v>
      </c>
      <c r="N6290" s="6">
        <v>44284.0</v>
      </c>
      <c r="Q6290" s="2" t="s">
        <v>10306</v>
      </c>
    </row>
    <row r="6291">
      <c r="A6291" s="2">
        <v>6290.0</v>
      </c>
      <c r="B6291" s="2" t="s">
        <v>10307</v>
      </c>
      <c r="C6291" s="2" t="s">
        <v>23</v>
      </c>
      <c r="K6291" s="2">
        <v>40.0</v>
      </c>
      <c r="N6291" s="6">
        <v>44028.0</v>
      </c>
      <c r="Q6291" s="2" t="s">
        <v>2494</v>
      </c>
    </row>
    <row r="6292">
      <c r="A6292" s="2">
        <v>6291.0</v>
      </c>
      <c r="B6292" s="2" t="s">
        <v>10308</v>
      </c>
      <c r="C6292" s="2" t="s">
        <v>23</v>
      </c>
      <c r="K6292" s="2">
        <v>50.0</v>
      </c>
      <c r="N6292" s="6">
        <v>44753.0</v>
      </c>
      <c r="Q6292" s="2" t="s">
        <v>86</v>
      </c>
    </row>
    <row r="6293">
      <c r="A6293" s="2">
        <v>6292.0</v>
      </c>
      <c r="B6293" s="2" t="s">
        <v>10309</v>
      </c>
      <c r="C6293" s="2" t="s">
        <v>23</v>
      </c>
      <c r="K6293" s="2">
        <v>40.0</v>
      </c>
      <c r="N6293" s="6">
        <v>45112.0</v>
      </c>
      <c r="Q6293" s="2" t="s">
        <v>426</v>
      </c>
    </row>
    <row r="6294">
      <c r="A6294" s="2">
        <v>6293.0</v>
      </c>
      <c r="B6294" s="2" t="s">
        <v>10310</v>
      </c>
      <c r="C6294" s="2" t="s">
        <v>23</v>
      </c>
      <c r="N6294" s="6">
        <v>44310.0</v>
      </c>
      <c r="Q6294" s="2" t="s">
        <v>1243</v>
      </c>
    </row>
    <row r="6295">
      <c r="A6295" s="2">
        <v>6294.0</v>
      </c>
      <c r="B6295" s="2" t="s">
        <v>10311</v>
      </c>
      <c r="C6295" s="2" t="s">
        <v>23</v>
      </c>
      <c r="K6295" s="2">
        <v>80.0</v>
      </c>
      <c r="N6295" s="6">
        <v>45651.0</v>
      </c>
      <c r="Q6295" s="2" t="s">
        <v>5845</v>
      </c>
    </row>
    <row r="6296">
      <c r="A6296" s="2">
        <v>6295.0</v>
      </c>
      <c r="B6296" s="2" t="s">
        <v>10312</v>
      </c>
      <c r="C6296" s="2" t="s">
        <v>23</v>
      </c>
      <c r="K6296" s="2">
        <v>150.0</v>
      </c>
      <c r="N6296" s="6">
        <v>45153.0</v>
      </c>
      <c r="Q6296" s="2" t="s">
        <v>10313</v>
      </c>
    </row>
    <row r="6297">
      <c r="A6297" s="2">
        <v>6296.0</v>
      </c>
      <c r="B6297" s="2" t="s">
        <v>10314</v>
      </c>
      <c r="C6297" s="2" t="s">
        <v>23</v>
      </c>
      <c r="K6297" s="2">
        <v>100.0</v>
      </c>
      <c r="N6297" s="6">
        <v>44187.0</v>
      </c>
      <c r="Q6297" s="2" t="s">
        <v>10315</v>
      </c>
    </row>
    <row r="6298">
      <c r="A6298" s="2">
        <v>6297.0</v>
      </c>
      <c r="B6298" s="2" t="s">
        <v>10316</v>
      </c>
      <c r="C6298" s="2" t="s">
        <v>23</v>
      </c>
      <c r="K6298" s="2">
        <v>10.0</v>
      </c>
      <c r="N6298" s="6">
        <v>45138.0</v>
      </c>
      <c r="Q6298" s="2" t="s">
        <v>10317</v>
      </c>
    </row>
    <row r="6299">
      <c r="A6299" s="2">
        <v>6298.0</v>
      </c>
      <c r="B6299" s="2" t="s">
        <v>10318</v>
      </c>
      <c r="C6299" s="2" t="s">
        <v>23</v>
      </c>
      <c r="N6299" s="6">
        <v>43855.0</v>
      </c>
      <c r="Q6299" s="2" t="s">
        <v>86</v>
      </c>
    </row>
    <row r="6300">
      <c r="A6300" s="2">
        <v>6299.0</v>
      </c>
      <c r="B6300" s="2" t="s">
        <v>10319</v>
      </c>
      <c r="C6300" s="2" t="s">
        <v>23</v>
      </c>
      <c r="N6300" s="6">
        <v>44367.0</v>
      </c>
      <c r="Q6300" s="2" t="s">
        <v>86</v>
      </c>
    </row>
    <row r="6301">
      <c r="A6301" s="2">
        <v>6300.0</v>
      </c>
      <c r="B6301" s="2" t="s">
        <v>10320</v>
      </c>
      <c r="C6301" s="2" t="s">
        <v>23</v>
      </c>
      <c r="K6301" s="2">
        <v>40.0</v>
      </c>
      <c r="N6301" s="6">
        <v>45559.0</v>
      </c>
      <c r="Q6301" s="2" t="s">
        <v>10321</v>
      </c>
    </row>
    <row r="6302">
      <c r="A6302" s="2">
        <v>6301.0</v>
      </c>
      <c r="B6302" s="2" t="s">
        <v>10322</v>
      </c>
      <c r="C6302" s="2" t="s">
        <v>23</v>
      </c>
      <c r="K6302" s="2">
        <v>80.0</v>
      </c>
      <c r="N6302" s="6">
        <v>45743.0</v>
      </c>
      <c r="Q6302" s="2" t="s">
        <v>10323</v>
      </c>
    </row>
    <row r="6303">
      <c r="A6303" s="2">
        <v>6302.0</v>
      </c>
      <c r="B6303" s="2" t="s">
        <v>10324</v>
      </c>
      <c r="C6303" s="2" t="s">
        <v>23</v>
      </c>
      <c r="K6303" s="2">
        <v>50.0</v>
      </c>
      <c r="N6303" s="6">
        <v>45457.0</v>
      </c>
      <c r="Q6303" s="2" t="s">
        <v>4216</v>
      </c>
    </row>
    <row r="6304">
      <c r="A6304" s="2">
        <v>6303.0</v>
      </c>
      <c r="B6304" s="2" t="s">
        <v>10325</v>
      </c>
      <c r="C6304" s="2" t="s">
        <v>23</v>
      </c>
      <c r="N6304" s="6">
        <v>43931.0</v>
      </c>
      <c r="Q6304" s="2" t="s">
        <v>86</v>
      </c>
    </row>
    <row r="6305">
      <c r="A6305" s="2">
        <v>6304.0</v>
      </c>
      <c r="B6305" s="2" t="s">
        <v>10326</v>
      </c>
      <c r="C6305" s="2" t="s">
        <v>23</v>
      </c>
      <c r="K6305" s="2">
        <v>60.0</v>
      </c>
      <c r="N6305" s="6">
        <v>43995.0</v>
      </c>
      <c r="Q6305" s="2" t="s">
        <v>10327</v>
      </c>
    </row>
    <row r="6306">
      <c r="A6306" s="2">
        <v>6305.0</v>
      </c>
      <c r="B6306" s="2" t="s">
        <v>10328</v>
      </c>
      <c r="C6306" s="2" t="s">
        <v>23</v>
      </c>
      <c r="K6306" s="2">
        <v>30.0</v>
      </c>
      <c r="N6306" s="6">
        <v>44272.0</v>
      </c>
      <c r="Q6306" s="2" t="s">
        <v>4680</v>
      </c>
    </row>
    <row r="6307">
      <c r="A6307" s="2">
        <v>6306.0</v>
      </c>
      <c r="B6307" s="2" t="s">
        <v>10329</v>
      </c>
      <c r="C6307" s="2" t="s">
        <v>23</v>
      </c>
      <c r="N6307" s="6">
        <v>42328.0</v>
      </c>
      <c r="O6307" s="2" t="s">
        <v>35</v>
      </c>
      <c r="P6307" s="2" t="s">
        <v>36</v>
      </c>
      <c r="Q6307" s="2" t="s">
        <v>86</v>
      </c>
      <c r="S6307" s="2" t="s">
        <v>10330</v>
      </c>
    </row>
    <row r="6308">
      <c r="A6308" s="2">
        <v>6307.0</v>
      </c>
      <c r="B6308" s="2" t="s">
        <v>10331</v>
      </c>
      <c r="C6308" s="2" t="s">
        <v>23</v>
      </c>
      <c r="N6308" s="6">
        <v>44808.0</v>
      </c>
      <c r="Q6308" s="2" t="s">
        <v>86</v>
      </c>
    </row>
    <row r="6309">
      <c r="A6309" s="2">
        <v>6308.0</v>
      </c>
      <c r="B6309" s="2" t="s">
        <v>10332</v>
      </c>
      <c r="C6309" s="2" t="s">
        <v>23</v>
      </c>
      <c r="K6309" s="2">
        <v>10.0</v>
      </c>
      <c r="N6309" s="6">
        <v>43972.0</v>
      </c>
      <c r="Q6309" s="2" t="s">
        <v>10333</v>
      </c>
    </row>
    <row r="6310">
      <c r="A6310" s="2">
        <v>6309.0</v>
      </c>
      <c r="B6310" s="2" t="s">
        <v>10334</v>
      </c>
      <c r="C6310" s="2" t="s">
        <v>23</v>
      </c>
      <c r="K6310" s="2">
        <v>10.0</v>
      </c>
      <c r="N6310" s="6">
        <v>43714.0</v>
      </c>
      <c r="Q6310" s="2" t="s">
        <v>10335</v>
      </c>
    </row>
    <row r="6311">
      <c r="A6311" s="2">
        <v>6310.0</v>
      </c>
      <c r="B6311" s="2" t="s">
        <v>10336</v>
      </c>
      <c r="C6311" s="2" t="s">
        <v>23</v>
      </c>
      <c r="K6311" s="2">
        <v>60.0</v>
      </c>
      <c r="N6311" s="6">
        <v>44769.0</v>
      </c>
      <c r="Q6311" s="2" t="s">
        <v>86</v>
      </c>
    </row>
    <row r="6312">
      <c r="A6312" s="2">
        <v>6311.0</v>
      </c>
      <c r="B6312" s="2" t="s">
        <v>10337</v>
      </c>
      <c r="C6312" s="2" t="s">
        <v>23</v>
      </c>
      <c r="K6312" s="2">
        <v>40.0</v>
      </c>
      <c r="N6312" s="6">
        <v>44900.0</v>
      </c>
      <c r="Q6312" s="2" t="s">
        <v>5663</v>
      </c>
    </row>
    <row r="6313">
      <c r="A6313" s="2">
        <v>6312.0</v>
      </c>
      <c r="B6313" s="2" t="s">
        <v>10338</v>
      </c>
      <c r="C6313" s="2" t="s">
        <v>23</v>
      </c>
      <c r="K6313" s="2">
        <v>20.0</v>
      </c>
      <c r="N6313" s="6">
        <v>44265.0</v>
      </c>
      <c r="Q6313" s="2" t="s">
        <v>60</v>
      </c>
    </row>
    <row r="6314">
      <c r="A6314" s="2">
        <v>6313.0</v>
      </c>
      <c r="B6314" s="2" t="s">
        <v>10339</v>
      </c>
      <c r="C6314" s="2" t="s">
        <v>23</v>
      </c>
      <c r="K6314" s="2">
        <v>20.0</v>
      </c>
      <c r="N6314" s="6">
        <v>45758.0</v>
      </c>
      <c r="Q6314" s="2" t="s">
        <v>10340</v>
      </c>
    </row>
    <row r="6315">
      <c r="A6315" s="2">
        <v>6314.0</v>
      </c>
      <c r="B6315" s="2" t="s">
        <v>10341</v>
      </c>
      <c r="C6315" s="2" t="s">
        <v>23</v>
      </c>
      <c r="K6315" s="2">
        <v>10.0</v>
      </c>
      <c r="N6315" s="6">
        <v>43911.0</v>
      </c>
      <c r="Q6315" s="2" t="s">
        <v>10342</v>
      </c>
    </row>
    <row r="6316">
      <c r="A6316" s="2">
        <v>6315.0</v>
      </c>
      <c r="B6316" s="2" t="s">
        <v>10343</v>
      </c>
      <c r="C6316" s="2" t="s">
        <v>23</v>
      </c>
      <c r="K6316" s="2">
        <v>10.0</v>
      </c>
      <c r="N6316" s="6">
        <v>44795.0</v>
      </c>
      <c r="Q6316" s="2" t="s">
        <v>86</v>
      </c>
    </row>
    <row r="6317">
      <c r="A6317" s="2">
        <v>6316.0</v>
      </c>
      <c r="B6317" s="2" t="s">
        <v>10344</v>
      </c>
      <c r="C6317" s="2" t="s">
        <v>23</v>
      </c>
      <c r="K6317" s="2">
        <v>30.0</v>
      </c>
      <c r="N6317" s="6">
        <v>44697.0</v>
      </c>
      <c r="Q6317" s="2" t="s">
        <v>1156</v>
      </c>
    </row>
    <row r="6318">
      <c r="A6318" s="2">
        <v>6317.0</v>
      </c>
      <c r="B6318" s="2" t="s">
        <v>10345</v>
      </c>
      <c r="C6318" s="2" t="s">
        <v>23</v>
      </c>
      <c r="K6318" s="2">
        <v>500.0</v>
      </c>
      <c r="N6318" s="6">
        <v>44588.0</v>
      </c>
      <c r="Q6318" s="2" t="s">
        <v>10346</v>
      </c>
    </row>
    <row r="6319">
      <c r="A6319" s="2">
        <v>6318.0</v>
      </c>
      <c r="B6319" s="2" t="s">
        <v>10347</v>
      </c>
      <c r="C6319" s="2" t="s">
        <v>23</v>
      </c>
      <c r="K6319" s="2">
        <v>30.0</v>
      </c>
      <c r="N6319" s="6">
        <v>45000.0</v>
      </c>
      <c r="Q6319" s="2" t="s">
        <v>2604</v>
      </c>
    </row>
    <row r="6320">
      <c r="A6320" s="2">
        <v>6319.0</v>
      </c>
      <c r="B6320" s="2" t="s">
        <v>10348</v>
      </c>
      <c r="C6320" s="2" t="s">
        <v>23</v>
      </c>
      <c r="N6320" s="6">
        <v>45464.0</v>
      </c>
      <c r="Q6320" s="2" t="s">
        <v>1437</v>
      </c>
    </row>
    <row r="6321">
      <c r="A6321" s="2">
        <v>6320.0</v>
      </c>
      <c r="B6321" s="2" t="s">
        <v>10349</v>
      </c>
      <c r="C6321" s="2" t="s">
        <v>23</v>
      </c>
      <c r="N6321" s="6">
        <v>44136.0</v>
      </c>
      <c r="Q6321" s="2" t="s">
        <v>86</v>
      </c>
    </row>
    <row r="6322">
      <c r="A6322" s="2">
        <v>6321.0</v>
      </c>
      <c r="B6322" s="2" t="s">
        <v>10350</v>
      </c>
      <c r="C6322" s="2" t="s">
        <v>23</v>
      </c>
      <c r="N6322" s="6">
        <v>44599.0</v>
      </c>
      <c r="Q6322" s="2" t="s">
        <v>86</v>
      </c>
    </row>
    <row r="6323">
      <c r="A6323" s="2">
        <v>6322.0</v>
      </c>
      <c r="B6323" s="2" t="s">
        <v>10351</v>
      </c>
      <c r="C6323" s="2" t="s">
        <v>23</v>
      </c>
      <c r="N6323" s="6">
        <v>43908.0</v>
      </c>
      <c r="Q6323" s="2" t="s">
        <v>86</v>
      </c>
    </row>
    <row r="6324">
      <c r="A6324" s="2">
        <v>6323.0</v>
      </c>
      <c r="B6324" s="2" t="s">
        <v>10352</v>
      </c>
      <c r="C6324" s="2" t="s">
        <v>23</v>
      </c>
      <c r="K6324" s="2">
        <v>150.0</v>
      </c>
      <c r="N6324" s="6">
        <v>45127.0</v>
      </c>
      <c r="Q6324" s="2" t="s">
        <v>3964</v>
      </c>
    </row>
    <row r="6325">
      <c r="A6325" s="2">
        <v>6324.0</v>
      </c>
      <c r="B6325" s="2" t="s">
        <v>10353</v>
      </c>
      <c r="C6325" s="2" t="s">
        <v>23</v>
      </c>
      <c r="K6325" s="2">
        <v>20.0</v>
      </c>
      <c r="N6325" s="6">
        <v>44367.0</v>
      </c>
      <c r="Q6325" s="2" t="s">
        <v>10354</v>
      </c>
    </row>
    <row r="6326">
      <c r="A6326" s="2">
        <v>6325.0</v>
      </c>
      <c r="B6326" s="2" t="s">
        <v>10355</v>
      </c>
      <c r="C6326" s="2" t="s">
        <v>23</v>
      </c>
      <c r="K6326" s="2">
        <v>20.0</v>
      </c>
      <c r="N6326" s="6">
        <v>44413.0</v>
      </c>
      <c r="Q6326" s="2" t="s">
        <v>10356</v>
      </c>
    </row>
    <row r="6327">
      <c r="A6327" s="2">
        <v>6326.0</v>
      </c>
      <c r="B6327" s="2" t="s">
        <v>10357</v>
      </c>
      <c r="C6327" s="2" t="s">
        <v>23</v>
      </c>
      <c r="N6327" s="6">
        <v>43931.0</v>
      </c>
      <c r="Q6327" s="2" t="s">
        <v>86</v>
      </c>
    </row>
    <row r="6328">
      <c r="A6328" s="2">
        <v>6327.0</v>
      </c>
      <c r="B6328" s="2" t="s">
        <v>10358</v>
      </c>
      <c r="C6328" s="2" t="s">
        <v>23</v>
      </c>
      <c r="N6328" s="6">
        <v>45532.0</v>
      </c>
      <c r="Q6328" s="2" t="s">
        <v>2796</v>
      </c>
    </row>
    <row r="6329">
      <c r="A6329" s="2">
        <v>6328.0</v>
      </c>
      <c r="B6329" s="2" t="s">
        <v>10359</v>
      </c>
      <c r="C6329" s="2" t="s">
        <v>23</v>
      </c>
      <c r="K6329" s="2">
        <v>150.0</v>
      </c>
      <c r="N6329" s="6">
        <v>43098.0</v>
      </c>
      <c r="Q6329" s="2" t="s">
        <v>10360</v>
      </c>
    </row>
    <row r="6330">
      <c r="A6330" s="2">
        <v>6329.0</v>
      </c>
      <c r="B6330" s="2" t="s">
        <v>10361</v>
      </c>
      <c r="C6330" s="2" t="s">
        <v>23</v>
      </c>
      <c r="K6330" s="2">
        <v>20.0</v>
      </c>
      <c r="N6330" s="6">
        <v>43874.0</v>
      </c>
      <c r="Q6330" s="2" t="s">
        <v>10362</v>
      </c>
    </row>
    <row r="6331">
      <c r="A6331" s="2">
        <v>6330.0</v>
      </c>
      <c r="B6331" s="2" t="s">
        <v>10363</v>
      </c>
      <c r="C6331" s="2" t="s">
        <v>23</v>
      </c>
      <c r="N6331" s="6">
        <v>44026.0</v>
      </c>
      <c r="Q6331" s="2" t="s">
        <v>86</v>
      </c>
    </row>
    <row r="6332">
      <c r="A6332" s="2">
        <v>6331.0</v>
      </c>
      <c r="B6332" s="2" t="s">
        <v>10364</v>
      </c>
      <c r="C6332" s="2" t="s">
        <v>23</v>
      </c>
      <c r="K6332" s="2">
        <v>80.0</v>
      </c>
      <c r="N6332" s="6">
        <v>43951.0</v>
      </c>
      <c r="Q6332" s="2" t="s">
        <v>1279</v>
      </c>
    </row>
    <row r="6333">
      <c r="A6333" s="2">
        <v>6332.0</v>
      </c>
      <c r="B6333" s="2" t="s">
        <v>10365</v>
      </c>
      <c r="C6333" s="2" t="s">
        <v>23</v>
      </c>
      <c r="K6333" s="2">
        <v>30.0</v>
      </c>
      <c r="N6333" s="6">
        <v>43913.0</v>
      </c>
      <c r="Q6333" s="2" t="s">
        <v>1243</v>
      </c>
    </row>
    <row r="6334">
      <c r="A6334" s="2">
        <v>6333.0</v>
      </c>
      <c r="B6334" s="2" t="s">
        <v>413</v>
      </c>
      <c r="C6334" s="2" t="s">
        <v>23</v>
      </c>
      <c r="K6334" s="2">
        <v>20.0</v>
      </c>
      <c r="N6334" s="6">
        <v>43847.0</v>
      </c>
      <c r="Q6334" s="2" t="s">
        <v>416</v>
      </c>
    </row>
    <row r="6335">
      <c r="A6335" s="2">
        <v>6334.0</v>
      </c>
      <c r="B6335" s="2" t="s">
        <v>10366</v>
      </c>
      <c r="C6335" s="2" t="s">
        <v>23</v>
      </c>
      <c r="N6335" s="6">
        <v>42390.0</v>
      </c>
      <c r="Q6335" s="2" t="s">
        <v>86</v>
      </c>
    </row>
    <row r="6336">
      <c r="A6336" s="2">
        <v>6335.0</v>
      </c>
      <c r="B6336" s="2" t="s">
        <v>10367</v>
      </c>
      <c r="C6336" s="2" t="s">
        <v>23</v>
      </c>
      <c r="N6336" s="6">
        <v>44536.0</v>
      </c>
      <c r="Q6336" s="2" t="s">
        <v>86</v>
      </c>
    </row>
    <row r="6337">
      <c r="A6337" s="2">
        <v>6336.0</v>
      </c>
      <c r="B6337" s="2" t="s">
        <v>10368</v>
      </c>
      <c r="C6337" s="2" t="s">
        <v>23</v>
      </c>
      <c r="K6337" s="2">
        <v>40.0</v>
      </c>
      <c r="N6337" s="6">
        <v>44589.0</v>
      </c>
      <c r="Q6337" s="2" t="s">
        <v>10369</v>
      </c>
    </row>
    <row r="6338">
      <c r="A6338" s="2">
        <v>6337.0</v>
      </c>
      <c r="B6338" s="2" t="s">
        <v>10370</v>
      </c>
      <c r="C6338" s="2" t="s">
        <v>23</v>
      </c>
      <c r="N6338" s="6">
        <v>44714.0</v>
      </c>
      <c r="Q6338" s="2" t="s">
        <v>86</v>
      </c>
    </row>
    <row r="6339">
      <c r="A6339" s="2">
        <v>6338.0</v>
      </c>
      <c r="B6339" s="2" t="s">
        <v>10371</v>
      </c>
      <c r="C6339" s="2" t="s">
        <v>23</v>
      </c>
      <c r="N6339" s="6">
        <v>44953.0</v>
      </c>
      <c r="Q6339" s="2" t="s">
        <v>546</v>
      </c>
    </row>
    <row r="6340">
      <c r="A6340" s="2">
        <v>6339.0</v>
      </c>
      <c r="B6340" s="2" t="s">
        <v>10372</v>
      </c>
      <c r="C6340" s="2" t="s">
        <v>23</v>
      </c>
      <c r="K6340" s="2">
        <v>30.0</v>
      </c>
      <c r="N6340" s="6">
        <v>45761.0</v>
      </c>
      <c r="Q6340" s="2" t="s">
        <v>10373</v>
      </c>
    </row>
    <row r="6341">
      <c r="A6341" s="2">
        <v>6340.0</v>
      </c>
      <c r="B6341" s="2" t="s">
        <v>10374</v>
      </c>
      <c r="C6341" s="2" t="s">
        <v>23</v>
      </c>
      <c r="K6341" s="2">
        <v>70.0</v>
      </c>
      <c r="N6341" s="6">
        <v>44461.0</v>
      </c>
      <c r="Q6341" s="2" t="s">
        <v>2424</v>
      </c>
    </row>
    <row r="6342">
      <c r="A6342" s="2">
        <v>6341.0</v>
      </c>
      <c r="B6342" s="2" t="s">
        <v>10375</v>
      </c>
      <c r="C6342" s="2" t="s">
        <v>23</v>
      </c>
      <c r="K6342" s="2">
        <v>150.0</v>
      </c>
      <c r="N6342" s="6">
        <v>43976.0</v>
      </c>
      <c r="Q6342" s="2" t="s">
        <v>10376</v>
      </c>
    </row>
    <row r="6343">
      <c r="A6343" s="2">
        <v>6342.0</v>
      </c>
      <c r="B6343" s="2" t="s">
        <v>10377</v>
      </c>
      <c r="C6343" s="2" t="s">
        <v>23</v>
      </c>
      <c r="K6343" s="2">
        <v>10.0</v>
      </c>
      <c r="N6343" s="6">
        <v>44585.0</v>
      </c>
      <c r="Q6343" s="2" t="s">
        <v>86</v>
      </c>
    </row>
    <row r="6344">
      <c r="A6344" s="2">
        <v>6343.0</v>
      </c>
      <c r="B6344" s="2" t="s">
        <v>10378</v>
      </c>
      <c r="C6344" s="2" t="s">
        <v>23</v>
      </c>
      <c r="K6344" s="2">
        <v>10.0</v>
      </c>
      <c r="N6344" s="6">
        <v>44093.0</v>
      </c>
      <c r="Q6344" s="2" t="s">
        <v>426</v>
      </c>
    </row>
    <row r="6345">
      <c r="A6345" s="2">
        <v>6344.0</v>
      </c>
      <c r="B6345" s="2" t="s">
        <v>10379</v>
      </c>
      <c r="C6345" s="2" t="s">
        <v>23</v>
      </c>
      <c r="K6345" s="2">
        <v>30.0</v>
      </c>
      <c r="N6345" s="6">
        <v>44754.0</v>
      </c>
      <c r="Q6345" s="2" t="s">
        <v>10380</v>
      </c>
    </row>
    <row r="6346">
      <c r="A6346" s="2">
        <v>6345.0</v>
      </c>
      <c r="B6346" s="2" t="s">
        <v>10381</v>
      </c>
      <c r="C6346" s="2" t="s">
        <v>23</v>
      </c>
      <c r="K6346" s="2">
        <v>150.0</v>
      </c>
      <c r="N6346" s="6">
        <v>44349.0</v>
      </c>
      <c r="Q6346" s="2" t="s">
        <v>2362</v>
      </c>
    </row>
    <row r="6347">
      <c r="A6347" s="2">
        <v>6346.0</v>
      </c>
      <c r="B6347" s="2" t="s">
        <v>10382</v>
      </c>
      <c r="C6347" s="2" t="s">
        <v>23</v>
      </c>
      <c r="K6347" s="2">
        <v>40.0</v>
      </c>
      <c r="N6347" s="6">
        <v>44751.0</v>
      </c>
      <c r="Q6347" s="2" t="s">
        <v>60</v>
      </c>
    </row>
    <row r="6348">
      <c r="A6348" s="2">
        <v>6347.0</v>
      </c>
      <c r="B6348" s="2" t="s">
        <v>10383</v>
      </c>
      <c r="C6348" s="2" t="s">
        <v>23</v>
      </c>
      <c r="N6348" s="6">
        <v>44125.0</v>
      </c>
      <c r="Q6348" s="2" t="s">
        <v>86</v>
      </c>
    </row>
    <row r="6349">
      <c r="A6349" s="2">
        <v>6348.0</v>
      </c>
      <c r="B6349" s="2" t="s">
        <v>10384</v>
      </c>
      <c r="C6349" s="2" t="s">
        <v>23</v>
      </c>
      <c r="K6349" s="2">
        <v>10.0</v>
      </c>
      <c r="N6349" s="6">
        <v>44874.0</v>
      </c>
      <c r="Q6349" s="2" t="s">
        <v>1123</v>
      </c>
    </row>
    <row r="6350">
      <c r="A6350" s="2">
        <v>6349.0</v>
      </c>
      <c r="B6350" s="2" t="s">
        <v>10385</v>
      </c>
      <c r="C6350" s="2" t="s">
        <v>23</v>
      </c>
      <c r="K6350" s="2">
        <v>40.0</v>
      </c>
      <c r="N6350" s="6">
        <v>42268.0</v>
      </c>
      <c r="Q6350" s="2" t="s">
        <v>10386</v>
      </c>
    </row>
    <row r="6351">
      <c r="A6351" s="2">
        <v>6350.0</v>
      </c>
      <c r="B6351" s="2" t="s">
        <v>10387</v>
      </c>
      <c r="C6351" s="2" t="s">
        <v>23</v>
      </c>
      <c r="K6351" s="2">
        <v>50.0</v>
      </c>
      <c r="N6351" s="6">
        <v>45135.0</v>
      </c>
      <c r="Q6351" s="2" t="s">
        <v>7021</v>
      </c>
    </row>
    <row r="6352">
      <c r="A6352" s="2">
        <v>6351.0</v>
      </c>
      <c r="B6352" s="2" t="s">
        <v>10388</v>
      </c>
      <c r="C6352" s="2" t="s">
        <v>23</v>
      </c>
      <c r="K6352" s="2">
        <v>40.0</v>
      </c>
      <c r="N6352" s="6">
        <v>44543.0</v>
      </c>
      <c r="Q6352" s="2" t="s">
        <v>10389</v>
      </c>
    </row>
    <row r="6353">
      <c r="A6353" s="2">
        <v>6352.0</v>
      </c>
      <c r="B6353" s="2" t="s">
        <v>10390</v>
      </c>
      <c r="C6353" s="2" t="s">
        <v>23</v>
      </c>
      <c r="K6353" s="2">
        <v>10.0</v>
      </c>
      <c r="N6353" s="6">
        <v>44869.0</v>
      </c>
      <c r="Q6353" s="2" t="s">
        <v>1070</v>
      </c>
    </row>
    <row r="6354">
      <c r="A6354" s="2">
        <v>6353.0</v>
      </c>
      <c r="B6354" s="2" t="s">
        <v>10391</v>
      </c>
      <c r="C6354" s="2" t="s">
        <v>23</v>
      </c>
      <c r="K6354" s="2">
        <v>20.0</v>
      </c>
      <c r="N6354" s="6">
        <v>44542.0</v>
      </c>
      <c r="Q6354" s="2" t="s">
        <v>6502</v>
      </c>
    </row>
    <row r="6355">
      <c r="A6355" s="2">
        <v>6354.0</v>
      </c>
      <c r="B6355" s="2" t="s">
        <v>10392</v>
      </c>
      <c r="C6355" s="2" t="s">
        <v>23</v>
      </c>
      <c r="K6355" s="2">
        <v>70.0</v>
      </c>
      <c r="N6355" s="6">
        <v>45751.0</v>
      </c>
      <c r="Q6355" s="2" t="s">
        <v>10393</v>
      </c>
    </row>
    <row r="6356">
      <c r="A6356" s="2">
        <v>6355.0</v>
      </c>
      <c r="B6356" s="2" t="s">
        <v>10394</v>
      </c>
      <c r="C6356" s="2" t="s">
        <v>23</v>
      </c>
      <c r="N6356" s="6">
        <v>45328.0</v>
      </c>
      <c r="Q6356" s="2" t="s">
        <v>86</v>
      </c>
    </row>
    <row r="6357">
      <c r="A6357" s="2">
        <v>6356.0</v>
      </c>
      <c r="B6357" s="2" t="s">
        <v>10395</v>
      </c>
      <c r="C6357" s="2" t="s">
        <v>23</v>
      </c>
      <c r="N6357" s="6">
        <v>45259.0</v>
      </c>
      <c r="Q6357" s="2" t="s">
        <v>86</v>
      </c>
    </row>
    <row r="6358">
      <c r="A6358" s="2">
        <v>6357.0</v>
      </c>
      <c r="B6358" s="2" t="s">
        <v>10396</v>
      </c>
      <c r="C6358" s="2" t="s">
        <v>23</v>
      </c>
      <c r="K6358" s="2">
        <v>80.0</v>
      </c>
      <c r="N6358" s="6">
        <v>43080.0</v>
      </c>
      <c r="Q6358" s="2" t="s">
        <v>10397</v>
      </c>
    </row>
    <row r="6359">
      <c r="A6359" s="2">
        <v>6358.0</v>
      </c>
      <c r="B6359" s="2" t="s">
        <v>10398</v>
      </c>
      <c r="C6359" s="2" t="s">
        <v>23</v>
      </c>
      <c r="K6359" s="2">
        <v>10.0</v>
      </c>
      <c r="N6359" s="6">
        <v>45133.0</v>
      </c>
      <c r="Q6359" s="2" t="s">
        <v>86</v>
      </c>
    </row>
    <row r="6360">
      <c r="A6360" s="2">
        <v>6359.0</v>
      </c>
      <c r="B6360" s="2" t="s">
        <v>10399</v>
      </c>
      <c r="C6360" s="2" t="s">
        <v>23</v>
      </c>
      <c r="K6360" s="2">
        <v>10.0</v>
      </c>
      <c r="N6360" s="6">
        <v>45188.0</v>
      </c>
      <c r="Q6360" s="2" t="s">
        <v>60</v>
      </c>
    </row>
    <row r="6361">
      <c r="A6361" s="2">
        <v>6360.0</v>
      </c>
      <c r="B6361" s="2" t="s">
        <v>10400</v>
      </c>
      <c r="C6361" s="2" t="s">
        <v>23</v>
      </c>
      <c r="K6361" s="2">
        <v>150.0</v>
      </c>
      <c r="N6361" s="6">
        <v>44302.0</v>
      </c>
      <c r="Q6361" s="2" t="s">
        <v>10401</v>
      </c>
    </row>
    <row r="6362">
      <c r="A6362" s="2">
        <v>6361.0</v>
      </c>
      <c r="B6362" s="2" t="s">
        <v>10402</v>
      </c>
      <c r="C6362" s="2" t="s">
        <v>23</v>
      </c>
      <c r="K6362" s="2">
        <v>60.0</v>
      </c>
      <c r="N6362" s="6">
        <v>44180.0</v>
      </c>
      <c r="Q6362" s="2" t="s">
        <v>86</v>
      </c>
    </row>
    <row r="6363">
      <c r="A6363" s="2">
        <v>6362.0</v>
      </c>
      <c r="B6363" s="2" t="s">
        <v>10403</v>
      </c>
      <c r="C6363" s="2" t="s">
        <v>23</v>
      </c>
      <c r="K6363" s="2">
        <v>20.0</v>
      </c>
      <c r="N6363" s="6">
        <v>44171.0</v>
      </c>
      <c r="Q6363" s="2" t="s">
        <v>86</v>
      </c>
    </row>
    <row r="6364">
      <c r="A6364" s="2">
        <v>6363.0</v>
      </c>
      <c r="B6364" s="2" t="s">
        <v>10404</v>
      </c>
      <c r="C6364" s="2" t="s">
        <v>23</v>
      </c>
      <c r="N6364" s="6">
        <v>44025.0</v>
      </c>
      <c r="Q6364" s="2" t="s">
        <v>86</v>
      </c>
    </row>
    <row r="6365">
      <c r="A6365" s="2">
        <v>6364.0</v>
      </c>
      <c r="B6365" s="2" t="s">
        <v>10405</v>
      </c>
      <c r="C6365" s="2" t="s">
        <v>23</v>
      </c>
      <c r="K6365" s="2">
        <v>10.0</v>
      </c>
      <c r="N6365" s="6">
        <v>44162.0</v>
      </c>
      <c r="Q6365" s="2" t="s">
        <v>8539</v>
      </c>
    </row>
    <row r="6366">
      <c r="A6366" s="2">
        <v>6365.0</v>
      </c>
      <c r="B6366" s="2" t="s">
        <v>10406</v>
      </c>
      <c r="C6366" s="2" t="s">
        <v>23</v>
      </c>
      <c r="K6366" s="2">
        <v>10.0</v>
      </c>
      <c r="N6366" s="6">
        <v>44293.0</v>
      </c>
      <c r="Q6366" s="2" t="s">
        <v>60</v>
      </c>
    </row>
    <row r="6367">
      <c r="A6367" s="2">
        <v>6366.0</v>
      </c>
      <c r="B6367" s="2" t="s">
        <v>10407</v>
      </c>
      <c r="C6367" s="2" t="s">
        <v>23</v>
      </c>
      <c r="N6367" s="6">
        <v>44697.0</v>
      </c>
      <c r="Q6367" s="2" t="s">
        <v>86</v>
      </c>
    </row>
    <row r="6368">
      <c r="A6368" s="2">
        <v>6367.0</v>
      </c>
      <c r="B6368" s="2" t="s">
        <v>10408</v>
      </c>
      <c r="C6368" s="2" t="s">
        <v>23</v>
      </c>
      <c r="K6368" s="2">
        <v>150.0</v>
      </c>
      <c r="N6368" s="6">
        <v>44165.0</v>
      </c>
      <c r="Q6368" s="2" t="s">
        <v>2362</v>
      </c>
    </row>
    <row r="6369">
      <c r="A6369" s="2">
        <v>6368.0</v>
      </c>
      <c r="B6369" s="2" t="s">
        <v>10409</v>
      </c>
      <c r="C6369" s="2" t="s">
        <v>23</v>
      </c>
      <c r="K6369" s="2">
        <v>10.0</v>
      </c>
      <c r="N6369" s="6">
        <v>44867.0</v>
      </c>
      <c r="Q6369" s="2" t="s">
        <v>1713</v>
      </c>
    </row>
    <row r="6370">
      <c r="A6370" s="2">
        <v>6369.0</v>
      </c>
      <c r="B6370" s="2" t="s">
        <v>10410</v>
      </c>
      <c r="C6370" s="2" t="s">
        <v>23</v>
      </c>
      <c r="N6370" s="6">
        <v>44644.0</v>
      </c>
      <c r="Q6370" s="2" t="s">
        <v>86</v>
      </c>
    </row>
    <row r="6371">
      <c r="A6371" s="2">
        <v>6370.0</v>
      </c>
      <c r="B6371" s="2" t="s">
        <v>10411</v>
      </c>
      <c r="C6371" s="2" t="s">
        <v>23</v>
      </c>
      <c r="N6371" s="6">
        <v>42772.0</v>
      </c>
      <c r="Q6371" s="2" t="s">
        <v>10412</v>
      </c>
    </row>
    <row r="6372">
      <c r="A6372" s="2">
        <v>6371.0</v>
      </c>
      <c r="B6372" s="2" t="s">
        <v>10413</v>
      </c>
      <c r="C6372" s="2" t="s">
        <v>23</v>
      </c>
      <c r="N6372" s="6">
        <v>42464.0</v>
      </c>
      <c r="O6372" s="2" t="s">
        <v>560</v>
      </c>
      <c r="P6372" s="2" t="s">
        <v>36</v>
      </c>
      <c r="Q6372" s="2" t="s">
        <v>86</v>
      </c>
      <c r="S6372" s="2" t="s">
        <v>131</v>
      </c>
    </row>
    <row r="6373">
      <c r="A6373" s="2">
        <v>6372.0</v>
      </c>
      <c r="B6373" s="2" t="s">
        <v>10414</v>
      </c>
      <c r="C6373" s="2" t="s">
        <v>23</v>
      </c>
      <c r="K6373" s="2">
        <v>40.0</v>
      </c>
      <c r="N6373" s="6">
        <v>45739.0</v>
      </c>
      <c r="Q6373" s="2" t="s">
        <v>10415</v>
      </c>
    </row>
    <row r="6374">
      <c r="A6374" s="2">
        <v>6373.0</v>
      </c>
      <c r="B6374" s="2" t="s">
        <v>10416</v>
      </c>
      <c r="C6374" s="2" t="s">
        <v>23</v>
      </c>
      <c r="N6374" s="6">
        <v>45186.0</v>
      </c>
      <c r="Q6374" s="2" t="s">
        <v>86</v>
      </c>
    </row>
    <row r="6375">
      <c r="A6375" s="2">
        <v>6374.0</v>
      </c>
      <c r="B6375" s="2" t="s">
        <v>10417</v>
      </c>
      <c r="C6375" s="2" t="s">
        <v>23</v>
      </c>
      <c r="K6375" s="2">
        <v>70.0</v>
      </c>
      <c r="N6375" s="6">
        <v>44530.0</v>
      </c>
      <c r="Q6375" s="2" t="s">
        <v>10418</v>
      </c>
    </row>
    <row r="6376">
      <c r="A6376" s="2">
        <v>6375.0</v>
      </c>
      <c r="B6376" s="2" t="s">
        <v>10419</v>
      </c>
      <c r="C6376" s="2" t="s">
        <v>23</v>
      </c>
      <c r="K6376" s="2">
        <v>30.0</v>
      </c>
      <c r="N6376" s="6">
        <v>45147.0</v>
      </c>
      <c r="Q6376" s="2" t="s">
        <v>10420</v>
      </c>
    </row>
    <row r="6377">
      <c r="A6377" s="2">
        <v>6376.0</v>
      </c>
      <c r="B6377" s="2" t="s">
        <v>10421</v>
      </c>
      <c r="C6377" s="2" t="s">
        <v>23</v>
      </c>
      <c r="K6377" s="2">
        <v>300.0</v>
      </c>
      <c r="N6377" s="6">
        <v>43919.0</v>
      </c>
      <c r="Q6377" s="2" t="s">
        <v>10422</v>
      </c>
    </row>
    <row r="6378">
      <c r="A6378" s="2">
        <v>6377.0</v>
      </c>
      <c r="B6378" s="2" t="s">
        <v>10423</v>
      </c>
      <c r="C6378" s="2" t="s">
        <v>23</v>
      </c>
      <c r="K6378" s="2">
        <v>10.0</v>
      </c>
      <c r="N6378" s="6">
        <v>46134.0</v>
      </c>
      <c r="Q6378" s="2" t="s">
        <v>10424</v>
      </c>
    </row>
    <row r="6379">
      <c r="A6379" s="2">
        <v>6378.0</v>
      </c>
      <c r="B6379" s="2" t="s">
        <v>10425</v>
      </c>
      <c r="C6379" s="2" t="s">
        <v>23</v>
      </c>
      <c r="K6379" s="2">
        <v>20.0</v>
      </c>
      <c r="N6379" s="6">
        <v>44821.0</v>
      </c>
      <c r="Q6379" s="2" t="s">
        <v>10426</v>
      </c>
    </row>
    <row r="6380">
      <c r="A6380" s="2">
        <v>6379.0</v>
      </c>
      <c r="B6380" s="2" t="s">
        <v>10427</v>
      </c>
      <c r="C6380" s="2" t="s">
        <v>23</v>
      </c>
      <c r="N6380" s="6">
        <v>44498.0</v>
      </c>
      <c r="Q6380" s="2" t="s">
        <v>86</v>
      </c>
    </row>
    <row r="6381">
      <c r="A6381" s="2">
        <v>6380.0</v>
      </c>
      <c r="B6381" s="2" t="s">
        <v>10428</v>
      </c>
      <c r="C6381" s="2" t="s">
        <v>23</v>
      </c>
      <c r="K6381" s="2">
        <v>50.0</v>
      </c>
      <c r="N6381" s="6">
        <v>44494.0</v>
      </c>
      <c r="Q6381" s="2" t="s">
        <v>10429</v>
      </c>
    </row>
    <row r="6382">
      <c r="A6382" s="2">
        <v>6381.0</v>
      </c>
      <c r="B6382" s="2" t="s">
        <v>10430</v>
      </c>
      <c r="C6382" s="2" t="s">
        <v>23</v>
      </c>
      <c r="K6382" s="2">
        <v>20.0</v>
      </c>
      <c r="N6382" s="6">
        <v>45618.0</v>
      </c>
      <c r="Q6382" s="2" t="s">
        <v>10431</v>
      </c>
    </row>
    <row r="6383">
      <c r="A6383" s="2">
        <v>6382.0</v>
      </c>
      <c r="B6383" s="2" t="s">
        <v>10432</v>
      </c>
      <c r="C6383" s="2" t="s">
        <v>23</v>
      </c>
      <c r="K6383" s="2">
        <v>60.0</v>
      </c>
      <c r="N6383" s="6">
        <v>45296.0</v>
      </c>
      <c r="Q6383" s="2" t="s">
        <v>10433</v>
      </c>
    </row>
    <row r="6384">
      <c r="A6384" s="2">
        <v>6383.0</v>
      </c>
      <c r="B6384" s="2" t="s">
        <v>10434</v>
      </c>
      <c r="C6384" s="2" t="s">
        <v>23</v>
      </c>
      <c r="K6384" s="2">
        <v>30.0</v>
      </c>
      <c r="N6384" s="6">
        <v>43850.0</v>
      </c>
      <c r="Q6384" s="2" t="s">
        <v>10435</v>
      </c>
    </row>
    <row r="6385">
      <c r="A6385" s="2">
        <v>6384.0</v>
      </c>
      <c r="B6385" s="2" t="s">
        <v>10436</v>
      </c>
      <c r="C6385" s="2" t="s">
        <v>23</v>
      </c>
      <c r="K6385" s="2">
        <v>350.0</v>
      </c>
      <c r="N6385" s="6">
        <v>43919.0</v>
      </c>
      <c r="Q6385" s="2" t="s">
        <v>10437</v>
      </c>
    </row>
    <row r="6386">
      <c r="A6386" s="2">
        <v>6385.0</v>
      </c>
      <c r="B6386" s="2" t="s">
        <v>10438</v>
      </c>
      <c r="C6386" s="2" t="s">
        <v>23</v>
      </c>
      <c r="N6386" s="6">
        <v>44055.0</v>
      </c>
      <c r="Q6386" s="2" t="s">
        <v>86</v>
      </c>
    </row>
    <row r="6387">
      <c r="A6387" s="2">
        <v>6386.0</v>
      </c>
      <c r="B6387" s="2" t="s">
        <v>10439</v>
      </c>
      <c r="C6387" s="2" t="s">
        <v>23</v>
      </c>
      <c r="K6387" s="2">
        <v>10.0</v>
      </c>
      <c r="N6387" s="6">
        <v>43881.0</v>
      </c>
      <c r="Q6387" s="2" t="s">
        <v>5417</v>
      </c>
    </row>
    <row r="6388">
      <c r="A6388" s="2">
        <v>6387.0</v>
      </c>
      <c r="B6388" s="2" t="s">
        <v>10440</v>
      </c>
      <c r="C6388" s="2" t="s">
        <v>23</v>
      </c>
      <c r="N6388" s="6">
        <v>45037.0</v>
      </c>
      <c r="Q6388" s="2" t="s">
        <v>86</v>
      </c>
    </row>
    <row r="6389">
      <c r="A6389" s="2">
        <v>6388.0</v>
      </c>
      <c r="B6389" s="2" t="s">
        <v>10441</v>
      </c>
      <c r="C6389" s="2" t="s">
        <v>23</v>
      </c>
      <c r="K6389" s="2">
        <v>30.0</v>
      </c>
      <c r="N6389" s="6">
        <v>44128.0</v>
      </c>
      <c r="Q6389" s="2" t="s">
        <v>2771</v>
      </c>
    </row>
    <row r="6390">
      <c r="A6390" s="2">
        <v>6389.0</v>
      </c>
      <c r="B6390" s="2" t="s">
        <v>10442</v>
      </c>
      <c r="C6390" s="2" t="s">
        <v>23</v>
      </c>
      <c r="K6390" s="2">
        <v>50.0</v>
      </c>
      <c r="N6390" s="6">
        <v>45656.0</v>
      </c>
      <c r="Q6390" s="2" t="s">
        <v>5458</v>
      </c>
    </row>
    <row r="6391">
      <c r="A6391" s="2">
        <v>6390.0</v>
      </c>
      <c r="B6391" s="2" t="s">
        <v>10443</v>
      </c>
      <c r="C6391" s="2" t="s">
        <v>23</v>
      </c>
      <c r="K6391" s="2">
        <v>800.0</v>
      </c>
      <c r="N6391" s="6">
        <v>43891.0</v>
      </c>
      <c r="Q6391" s="2" t="s">
        <v>10444</v>
      </c>
    </row>
    <row r="6392">
      <c r="A6392" s="2">
        <v>6391.0</v>
      </c>
      <c r="B6392" s="2" t="s">
        <v>10445</v>
      </c>
      <c r="C6392" s="2" t="s">
        <v>23</v>
      </c>
      <c r="N6392" s="6">
        <v>44585.0</v>
      </c>
      <c r="Q6392" s="2" t="s">
        <v>86</v>
      </c>
    </row>
    <row r="6393">
      <c r="A6393" s="2">
        <v>6392.0</v>
      </c>
      <c r="B6393" s="2" t="s">
        <v>10446</v>
      </c>
      <c r="C6393" s="2" t="s">
        <v>23</v>
      </c>
      <c r="K6393" s="2">
        <v>80.0</v>
      </c>
      <c r="N6393" s="6">
        <v>42717.0</v>
      </c>
      <c r="Q6393" s="2" t="s">
        <v>10447</v>
      </c>
    </row>
    <row r="6394">
      <c r="A6394" s="2">
        <v>6393.0</v>
      </c>
      <c r="B6394" s="2" t="s">
        <v>10448</v>
      </c>
      <c r="C6394" s="2" t="s">
        <v>23</v>
      </c>
      <c r="K6394" s="2">
        <v>40.0</v>
      </c>
      <c r="N6394" s="6">
        <v>42757.0</v>
      </c>
      <c r="Q6394" s="2" t="s">
        <v>10449</v>
      </c>
    </row>
    <row r="6395">
      <c r="A6395" s="2">
        <v>6394.0</v>
      </c>
      <c r="B6395" s="2" t="s">
        <v>10450</v>
      </c>
      <c r="C6395" s="2" t="s">
        <v>23</v>
      </c>
      <c r="K6395" s="2">
        <v>70.0</v>
      </c>
      <c r="N6395" s="6">
        <v>44075.0</v>
      </c>
      <c r="Q6395" s="2" t="s">
        <v>10451</v>
      </c>
    </row>
    <row r="6396">
      <c r="A6396" s="2">
        <v>6395.0</v>
      </c>
      <c r="B6396" s="2" t="s">
        <v>10452</v>
      </c>
      <c r="C6396" s="2" t="s">
        <v>23</v>
      </c>
      <c r="N6396" s="6">
        <v>44416.0</v>
      </c>
      <c r="Q6396" s="2" t="s">
        <v>1116</v>
      </c>
    </row>
    <row r="6397">
      <c r="A6397" s="2">
        <v>6396.0</v>
      </c>
      <c r="B6397" s="2" t="s">
        <v>10453</v>
      </c>
      <c r="C6397" s="2" t="s">
        <v>23</v>
      </c>
      <c r="K6397" s="2">
        <v>10.0</v>
      </c>
      <c r="N6397" s="6">
        <v>44080.0</v>
      </c>
      <c r="Q6397" s="2" t="s">
        <v>10454</v>
      </c>
    </row>
    <row r="6398">
      <c r="A6398" s="2">
        <v>6397.0</v>
      </c>
      <c r="B6398" s="2" t="s">
        <v>10455</v>
      </c>
      <c r="C6398" s="2" t="s">
        <v>23</v>
      </c>
      <c r="K6398" s="2">
        <v>40.0</v>
      </c>
      <c r="N6398" s="6">
        <v>45543.0</v>
      </c>
      <c r="Q6398" s="2" t="s">
        <v>10456</v>
      </c>
    </row>
    <row r="6399">
      <c r="A6399" s="2">
        <v>6398.0</v>
      </c>
      <c r="B6399" s="2" t="s">
        <v>10457</v>
      </c>
      <c r="C6399" s="2" t="s">
        <v>23</v>
      </c>
      <c r="N6399" s="6">
        <v>42772.0</v>
      </c>
      <c r="Q6399" s="2" t="s">
        <v>86</v>
      </c>
    </row>
    <row r="6400">
      <c r="A6400" s="2">
        <v>6399.0</v>
      </c>
      <c r="B6400" s="2" t="s">
        <v>10458</v>
      </c>
      <c r="C6400" s="2" t="s">
        <v>23</v>
      </c>
      <c r="K6400" s="2">
        <v>90.0</v>
      </c>
      <c r="N6400" s="6">
        <v>45766.0</v>
      </c>
      <c r="Q6400" s="2" t="s">
        <v>10459</v>
      </c>
    </row>
    <row r="6401">
      <c r="A6401" s="2">
        <v>6400.0</v>
      </c>
      <c r="B6401" s="2" t="s">
        <v>10460</v>
      </c>
      <c r="C6401" s="2" t="s">
        <v>23</v>
      </c>
      <c r="N6401" s="6">
        <v>44563.0</v>
      </c>
      <c r="Q6401" s="2" t="s">
        <v>86</v>
      </c>
    </row>
    <row r="6402">
      <c r="A6402" s="2">
        <v>6401.0</v>
      </c>
      <c r="B6402" s="2" t="s">
        <v>10461</v>
      </c>
      <c r="C6402" s="2" t="s">
        <v>23</v>
      </c>
      <c r="K6402" s="2">
        <v>20.0</v>
      </c>
      <c r="N6402" s="6">
        <v>44662.0</v>
      </c>
      <c r="Q6402" s="2" t="s">
        <v>60</v>
      </c>
    </row>
    <row r="6403">
      <c r="A6403" s="2">
        <v>6402.0</v>
      </c>
      <c r="B6403" s="2" t="s">
        <v>10462</v>
      </c>
      <c r="C6403" s="2" t="s">
        <v>23</v>
      </c>
      <c r="K6403" s="2">
        <v>20.0</v>
      </c>
      <c r="N6403" s="6">
        <v>45199.0</v>
      </c>
      <c r="Q6403" s="2" t="s">
        <v>10463</v>
      </c>
    </row>
    <row r="6404">
      <c r="A6404" s="2">
        <v>6403.0</v>
      </c>
      <c r="B6404" s="2" t="s">
        <v>10464</v>
      </c>
      <c r="C6404" s="2" t="s">
        <v>23</v>
      </c>
      <c r="K6404" s="2">
        <v>70.0</v>
      </c>
      <c r="N6404" s="6">
        <v>44788.0</v>
      </c>
      <c r="Q6404" s="2" t="s">
        <v>200</v>
      </c>
    </row>
    <row r="6405">
      <c r="A6405" s="2">
        <v>6404.0</v>
      </c>
      <c r="B6405" s="2" t="s">
        <v>10465</v>
      </c>
      <c r="C6405" s="2" t="s">
        <v>23</v>
      </c>
      <c r="K6405" s="2">
        <v>500.0</v>
      </c>
      <c r="N6405" s="6">
        <v>44317.0</v>
      </c>
      <c r="Q6405" s="2" t="s">
        <v>10466</v>
      </c>
    </row>
    <row r="6406">
      <c r="A6406" s="2">
        <v>6405.0</v>
      </c>
      <c r="B6406" s="2" t="s">
        <v>10467</v>
      </c>
      <c r="C6406" s="2" t="s">
        <v>23</v>
      </c>
      <c r="N6406" s="6">
        <v>43920.0</v>
      </c>
      <c r="Q6406" s="2" t="s">
        <v>86</v>
      </c>
    </row>
    <row r="6407">
      <c r="A6407" s="2">
        <v>6406.0</v>
      </c>
      <c r="B6407" s="2" t="s">
        <v>10468</v>
      </c>
      <c r="C6407" s="2" t="s">
        <v>23</v>
      </c>
      <c r="K6407" s="2">
        <v>40.0</v>
      </c>
      <c r="N6407" s="6">
        <v>45681.0</v>
      </c>
      <c r="Q6407" s="2" t="s">
        <v>10469</v>
      </c>
    </row>
    <row r="6408">
      <c r="A6408" s="2">
        <v>6407.0</v>
      </c>
      <c r="B6408" s="2" t="s">
        <v>10470</v>
      </c>
      <c r="C6408" s="2" t="s">
        <v>23</v>
      </c>
      <c r="K6408" s="2">
        <v>20.0</v>
      </c>
      <c r="N6408" s="6">
        <v>45522.0</v>
      </c>
      <c r="Q6408" s="2" t="s">
        <v>10471</v>
      </c>
    </row>
    <row r="6409">
      <c r="A6409" s="2">
        <v>6408.0</v>
      </c>
      <c r="B6409" s="2" t="s">
        <v>10472</v>
      </c>
      <c r="C6409" s="2" t="s">
        <v>23</v>
      </c>
      <c r="K6409" s="2">
        <v>70.0</v>
      </c>
      <c r="N6409" s="6">
        <v>44298.0</v>
      </c>
      <c r="Q6409" s="2" t="s">
        <v>86</v>
      </c>
    </row>
    <row r="6410">
      <c r="A6410" s="2">
        <v>6409.0</v>
      </c>
      <c r="B6410" s="2" t="s">
        <v>10473</v>
      </c>
      <c r="C6410" s="2" t="s">
        <v>23</v>
      </c>
      <c r="N6410" s="6">
        <v>44798.0</v>
      </c>
      <c r="Q6410" s="2" t="s">
        <v>86</v>
      </c>
    </row>
    <row r="6411">
      <c r="A6411" s="2">
        <v>6410.0</v>
      </c>
      <c r="B6411" s="2" t="s">
        <v>10474</v>
      </c>
      <c r="C6411" s="2" t="s">
        <v>23</v>
      </c>
      <c r="K6411" s="2">
        <v>40.0</v>
      </c>
      <c r="N6411" s="6">
        <v>45156.0</v>
      </c>
      <c r="Q6411" s="2" t="s">
        <v>10475</v>
      </c>
    </row>
    <row r="6412">
      <c r="A6412" s="2">
        <v>6411.0</v>
      </c>
      <c r="B6412" s="2" t="s">
        <v>10476</v>
      </c>
      <c r="C6412" s="2" t="s">
        <v>23</v>
      </c>
      <c r="K6412" s="2">
        <v>80.0</v>
      </c>
      <c r="N6412" s="6">
        <v>45484.0</v>
      </c>
      <c r="Q6412" s="2" t="s">
        <v>10477</v>
      </c>
    </row>
    <row r="6413">
      <c r="A6413" s="2">
        <v>6412.0</v>
      </c>
      <c r="B6413" s="2" t="s">
        <v>10478</v>
      </c>
      <c r="C6413" s="2" t="s">
        <v>23</v>
      </c>
      <c r="N6413" s="6">
        <v>44685.0</v>
      </c>
      <c r="Q6413" s="2" t="s">
        <v>86</v>
      </c>
    </row>
    <row r="6414">
      <c r="A6414" s="2">
        <v>6413.0</v>
      </c>
      <c r="B6414" s="2" t="s">
        <v>10479</v>
      </c>
      <c r="C6414" s="2" t="s">
        <v>23</v>
      </c>
      <c r="N6414" s="6">
        <v>44431.0</v>
      </c>
      <c r="Q6414" s="2" t="s">
        <v>86</v>
      </c>
    </row>
    <row r="6415">
      <c r="A6415" s="2">
        <v>6414.0</v>
      </c>
      <c r="B6415" s="2" t="s">
        <v>10480</v>
      </c>
      <c r="C6415" s="2" t="s">
        <v>23</v>
      </c>
      <c r="N6415" s="6">
        <v>45035.0</v>
      </c>
      <c r="Q6415" s="2" t="s">
        <v>86</v>
      </c>
    </row>
    <row r="6416">
      <c r="A6416" s="2">
        <v>6415.0</v>
      </c>
      <c r="B6416" s="2" t="s">
        <v>10481</v>
      </c>
      <c r="C6416" s="2" t="s">
        <v>23</v>
      </c>
      <c r="K6416" s="2">
        <v>40.0</v>
      </c>
      <c r="N6416" s="6">
        <v>45403.0</v>
      </c>
      <c r="Q6416" s="2" t="s">
        <v>3080</v>
      </c>
    </row>
    <row r="6417">
      <c r="A6417" s="2">
        <v>6416.0</v>
      </c>
      <c r="B6417" s="2" t="s">
        <v>10482</v>
      </c>
      <c r="C6417" s="2" t="s">
        <v>23</v>
      </c>
      <c r="N6417" s="6">
        <v>44018.0</v>
      </c>
      <c r="Q6417" s="2" t="s">
        <v>86</v>
      </c>
    </row>
    <row r="6418">
      <c r="A6418" s="2">
        <v>6417.0</v>
      </c>
      <c r="B6418" s="2" t="s">
        <v>10483</v>
      </c>
      <c r="C6418" s="2" t="s">
        <v>23</v>
      </c>
      <c r="K6418" s="2">
        <v>30.0</v>
      </c>
      <c r="N6418" s="6">
        <v>44887.0</v>
      </c>
      <c r="Q6418" s="2" t="s">
        <v>1727</v>
      </c>
    </row>
    <row r="6419">
      <c r="A6419" s="2">
        <v>6418.0</v>
      </c>
      <c r="B6419" s="2" t="s">
        <v>10484</v>
      </c>
      <c r="C6419" s="2" t="s">
        <v>23</v>
      </c>
      <c r="N6419" s="6">
        <v>44676.0</v>
      </c>
      <c r="Q6419" s="2" t="s">
        <v>86</v>
      </c>
    </row>
    <row r="6420">
      <c r="A6420" s="2">
        <v>6419.0</v>
      </c>
      <c r="B6420" s="2" t="s">
        <v>10485</v>
      </c>
      <c r="C6420" s="2" t="s">
        <v>23</v>
      </c>
      <c r="N6420" s="6">
        <v>44662.0</v>
      </c>
      <c r="Q6420" s="2" t="s">
        <v>86</v>
      </c>
    </row>
    <row r="6421">
      <c r="A6421" s="2">
        <v>6420.0</v>
      </c>
      <c r="B6421" s="2" t="s">
        <v>10486</v>
      </c>
      <c r="C6421" s="2" t="s">
        <v>23</v>
      </c>
      <c r="K6421" s="2">
        <v>60.0</v>
      </c>
      <c r="N6421" s="6">
        <v>44705.0</v>
      </c>
      <c r="Q6421" s="2" t="s">
        <v>10487</v>
      </c>
    </row>
    <row r="6422">
      <c r="A6422" s="2">
        <v>6421.0</v>
      </c>
      <c r="B6422" s="2" t="s">
        <v>10488</v>
      </c>
      <c r="C6422" s="2" t="s">
        <v>23</v>
      </c>
      <c r="K6422" s="2">
        <v>10.0</v>
      </c>
      <c r="N6422" s="6">
        <v>44655.0</v>
      </c>
      <c r="Q6422" s="2" t="s">
        <v>200</v>
      </c>
    </row>
    <row r="6423">
      <c r="A6423" s="2">
        <v>6422.0</v>
      </c>
      <c r="B6423" s="2" t="s">
        <v>10489</v>
      </c>
      <c r="C6423" s="2" t="s">
        <v>23</v>
      </c>
      <c r="N6423" s="6">
        <v>45072.0</v>
      </c>
      <c r="Q6423" s="2" t="s">
        <v>401</v>
      </c>
    </row>
    <row r="6424">
      <c r="A6424" s="2">
        <v>6423.0</v>
      </c>
      <c r="B6424" s="2" t="s">
        <v>10490</v>
      </c>
      <c r="C6424" s="2" t="s">
        <v>23</v>
      </c>
      <c r="N6424" s="6">
        <v>44634.0</v>
      </c>
      <c r="Q6424" s="2" t="s">
        <v>86</v>
      </c>
    </row>
    <row r="6425">
      <c r="A6425" s="2">
        <v>6424.0</v>
      </c>
      <c r="B6425" s="2" t="s">
        <v>10491</v>
      </c>
      <c r="C6425" s="2" t="s">
        <v>23</v>
      </c>
      <c r="N6425" s="6">
        <v>44641.0</v>
      </c>
      <c r="Q6425" s="2" t="s">
        <v>86</v>
      </c>
    </row>
    <row r="6426">
      <c r="A6426" s="2">
        <v>6425.0</v>
      </c>
      <c r="B6426" s="2" t="s">
        <v>10492</v>
      </c>
      <c r="C6426" s="2" t="s">
        <v>23</v>
      </c>
      <c r="K6426" s="2">
        <v>90.0</v>
      </c>
      <c r="N6426" s="6">
        <v>44039.0</v>
      </c>
      <c r="Q6426" s="2" t="s">
        <v>235</v>
      </c>
    </row>
    <row r="6427">
      <c r="A6427" s="2">
        <v>6426.0</v>
      </c>
      <c r="B6427" s="2" t="s">
        <v>10493</v>
      </c>
      <c r="C6427" s="2" t="s">
        <v>23</v>
      </c>
      <c r="K6427" s="2">
        <v>30.0</v>
      </c>
      <c r="N6427" s="6">
        <v>43994.0</v>
      </c>
      <c r="Q6427" s="2" t="s">
        <v>10494</v>
      </c>
    </row>
    <row r="6428">
      <c r="A6428" s="2">
        <v>6427.0</v>
      </c>
      <c r="B6428" s="2" t="s">
        <v>10495</v>
      </c>
      <c r="C6428" s="2" t="s">
        <v>23</v>
      </c>
      <c r="K6428" s="2">
        <v>100.0</v>
      </c>
      <c r="N6428" s="6">
        <v>45094.0</v>
      </c>
      <c r="Q6428" s="2" t="s">
        <v>10496</v>
      </c>
    </row>
    <row r="6429">
      <c r="A6429" s="2">
        <v>6428.0</v>
      </c>
      <c r="B6429" s="2" t="s">
        <v>10497</v>
      </c>
      <c r="C6429" s="2" t="s">
        <v>23</v>
      </c>
      <c r="N6429" s="6">
        <v>44949.0</v>
      </c>
      <c r="Q6429" s="2" t="s">
        <v>86</v>
      </c>
    </row>
    <row r="6430">
      <c r="A6430" s="2">
        <v>6429.0</v>
      </c>
      <c r="B6430" s="2" t="s">
        <v>10498</v>
      </c>
      <c r="C6430" s="2" t="s">
        <v>23</v>
      </c>
      <c r="N6430" s="6">
        <v>44497.0</v>
      </c>
      <c r="Q6430" s="2" t="s">
        <v>86</v>
      </c>
    </row>
    <row r="6431">
      <c r="A6431" s="2">
        <v>6430.0</v>
      </c>
      <c r="B6431" s="2" t="s">
        <v>10499</v>
      </c>
      <c r="C6431" s="2" t="s">
        <v>23</v>
      </c>
      <c r="K6431" s="2">
        <v>60.0</v>
      </c>
      <c r="N6431" s="6">
        <v>44328.0</v>
      </c>
      <c r="Q6431" s="2" t="s">
        <v>1156</v>
      </c>
    </row>
    <row r="6432">
      <c r="A6432" s="2">
        <v>6431.0</v>
      </c>
      <c r="B6432" s="2" t="s">
        <v>10500</v>
      </c>
      <c r="C6432" s="2" t="s">
        <v>23</v>
      </c>
      <c r="K6432" s="2">
        <v>80.0</v>
      </c>
      <c r="N6432" s="6">
        <v>45423.0</v>
      </c>
      <c r="Q6432" s="2" t="s">
        <v>10501</v>
      </c>
    </row>
    <row r="6433">
      <c r="A6433" s="2">
        <v>6432.0</v>
      </c>
      <c r="B6433" s="2" t="s">
        <v>10502</v>
      </c>
      <c r="C6433" s="2" t="s">
        <v>23</v>
      </c>
      <c r="K6433" s="2">
        <v>200.0</v>
      </c>
      <c r="N6433" s="6">
        <v>44176.0</v>
      </c>
      <c r="Q6433" s="2" t="s">
        <v>10503</v>
      </c>
    </row>
    <row r="6434">
      <c r="A6434" s="2">
        <v>6433.0</v>
      </c>
      <c r="B6434" s="2" t="s">
        <v>10504</v>
      </c>
      <c r="C6434" s="2" t="s">
        <v>23</v>
      </c>
      <c r="K6434" s="2">
        <v>100.0</v>
      </c>
      <c r="N6434" s="6">
        <v>45156.0</v>
      </c>
      <c r="Q6434" s="2" t="s">
        <v>10505</v>
      </c>
    </row>
    <row r="6435">
      <c r="A6435" s="2">
        <v>6434.0</v>
      </c>
      <c r="B6435" s="2" t="s">
        <v>10506</v>
      </c>
      <c r="C6435" s="2" t="s">
        <v>23</v>
      </c>
      <c r="K6435" s="2">
        <v>60.0</v>
      </c>
      <c r="N6435" s="6">
        <v>44022.0</v>
      </c>
      <c r="Q6435" s="2" t="s">
        <v>10507</v>
      </c>
    </row>
    <row r="6436">
      <c r="A6436" s="2">
        <v>6435.0</v>
      </c>
      <c r="B6436" s="2" t="s">
        <v>10508</v>
      </c>
      <c r="C6436" s="2" t="s">
        <v>23</v>
      </c>
      <c r="K6436" s="2">
        <v>10.0</v>
      </c>
      <c r="N6436" s="6">
        <v>45609.0</v>
      </c>
      <c r="Q6436" s="2" t="s">
        <v>10509</v>
      </c>
    </row>
    <row r="6437">
      <c r="A6437" s="2">
        <v>6436.0</v>
      </c>
      <c r="B6437" s="2" t="s">
        <v>10510</v>
      </c>
      <c r="C6437" s="2" t="s">
        <v>23</v>
      </c>
      <c r="N6437" s="6">
        <v>45443.0</v>
      </c>
      <c r="Q6437" s="2" t="s">
        <v>10511</v>
      </c>
    </row>
    <row r="6438">
      <c r="A6438" s="2">
        <v>6437.0</v>
      </c>
      <c r="B6438" s="2" t="s">
        <v>10512</v>
      </c>
      <c r="C6438" s="2" t="s">
        <v>23</v>
      </c>
      <c r="N6438" s="6">
        <v>44395.0</v>
      </c>
      <c r="Q6438" s="2" t="s">
        <v>86</v>
      </c>
    </row>
    <row r="6439">
      <c r="A6439" s="2">
        <v>6438.0</v>
      </c>
      <c r="B6439" s="2" t="s">
        <v>10513</v>
      </c>
      <c r="C6439" s="2" t="s">
        <v>23</v>
      </c>
      <c r="K6439" s="2">
        <v>10.0</v>
      </c>
      <c r="N6439" s="6">
        <v>45496.0</v>
      </c>
      <c r="Q6439" s="2" t="s">
        <v>10514</v>
      </c>
    </row>
    <row r="6440">
      <c r="A6440" s="2">
        <v>6439.0</v>
      </c>
      <c r="B6440" s="2" t="s">
        <v>10515</v>
      </c>
      <c r="C6440" s="2" t="s">
        <v>23</v>
      </c>
      <c r="K6440" s="2">
        <v>150.0</v>
      </c>
      <c r="N6440" s="6">
        <v>43918.0</v>
      </c>
      <c r="Q6440" s="2" t="s">
        <v>10516</v>
      </c>
    </row>
    <row r="6441">
      <c r="A6441" s="2">
        <v>6440.0</v>
      </c>
      <c r="B6441" s="2" t="s">
        <v>10517</v>
      </c>
      <c r="C6441" s="2" t="s">
        <v>23</v>
      </c>
      <c r="K6441" s="2">
        <v>20.0</v>
      </c>
      <c r="N6441" s="6">
        <v>44425.0</v>
      </c>
      <c r="Q6441" s="2" t="s">
        <v>60</v>
      </c>
    </row>
    <row r="6442">
      <c r="A6442" s="2">
        <v>6441.0</v>
      </c>
      <c r="B6442" s="2" t="s">
        <v>10518</v>
      </c>
      <c r="C6442" s="2" t="s">
        <v>23</v>
      </c>
      <c r="N6442" s="6">
        <v>45455.0</v>
      </c>
      <c r="Q6442" s="2" t="s">
        <v>10519</v>
      </c>
    </row>
    <row r="6443">
      <c r="A6443" s="2">
        <v>6442.0</v>
      </c>
      <c r="B6443" s="2" t="s">
        <v>10520</v>
      </c>
      <c r="C6443" s="2" t="s">
        <v>23</v>
      </c>
      <c r="K6443" s="2">
        <v>50.0</v>
      </c>
      <c r="N6443" s="6">
        <v>44481.0</v>
      </c>
      <c r="Q6443" s="2" t="s">
        <v>10521</v>
      </c>
    </row>
    <row r="6444">
      <c r="A6444" s="2">
        <v>6443.0</v>
      </c>
      <c r="B6444" s="2" t="s">
        <v>10522</v>
      </c>
      <c r="C6444" s="2" t="s">
        <v>23</v>
      </c>
      <c r="K6444" s="2">
        <v>10.0</v>
      </c>
      <c r="N6444" s="6">
        <v>45656.0</v>
      </c>
      <c r="Q6444" s="2" t="s">
        <v>5273</v>
      </c>
    </row>
    <row r="6445">
      <c r="A6445" s="2">
        <v>6444.0</v>
      </c>
      <c r="B6445" s="2" t="s">
        <v>10523</v>
      </c>
      <c r="C6445" s="2" t="s">
        <v>23</v>
      </c>
      <c r="N6445" s="6">
        <v>43293.0</v>
      </c>
      <c r="Q6445" s="2" t="s">
        <v>86</v>
      </c>
    </row>
    <row r="6446">
      <c r="A6446" s="2">
        <v>6445.0</v>
      </c>
      <c r="B6446" s="2" t="s">
        <v>10524</v>
      </c>
      <c r="C6446" s="2" t="s">
        <v>23</v>
      </c>
      <c r="K6446" s="2">
        <v>70.0</v>
      </c>
      <c r="N6446" s="6">
        <v>43943.0</v>
      </c>
      <c r="Q6446" s="2" t="s">
        <v>10525</v>
      </c>
    </row>
    <row r="6447">
      <c r="A6447" s="2">
        <v>6446.0</v>
      </c>
      <c r="B6447" s="2" t="s">
        <v>10526</v>
      </c>
      <c r="C6447" s="2" t="s">
        <v>23</v>
      </c>
      <c r="K6447" s="2">
        <v>10.0</v>
      </c>
      <c r="N6447" s="6">
        <v>44624.0</v>
      </c>
      <c r="Q6447" s="2" t="s">
        <v>200</v>
      </c>
    </row>
    <row r="6448">
      <c r="A6448" s="2">
        <v>6447.0</v>
      </c>
      <c r="B6448" s="2" t="s">
        <v>10527</v>
      </c>
      <c r="C6448" s="2" t="s">
        <v>23</v>
      </c>
      <c r="K6448" s="2">
        <v>40.0</v>
      </c>
      <c r="N6448" s="6">
        <v>45167.0</v>
      </c>
      <c r="Q6448" s="2" t="s">
        <v>10528</v>
      </c>
    </row>
    <row r="6449">
      <c r="A6449" s="2">
        <v>6448.0</v>
      </c>
      <c r="B6449" s="2" t="s">
        <v>10529</v>
      </c>
      <c r="C6449" s="2" t="s">
        <v>23</v>
      </c>
      <c r="N6449" s="6">
        <v>44155.0</v>
      </c>
      <c r="Q6449" s="2" t="s">
        <v>86</v>
      </c>
    </row>
    <row r="6450">
      <c r="A6450" s="2">
        <v>6449.0</v>
      </c>
      <c r="B6450" s="2" t="s">
        <v>10530</v>
      </c>
      <c r="C6450" s="2" t="s">
        <v>23</v>
      </c>
      <c r="K6450" s="2">
        <v>20.0</v>
      </c>
      <c r="N6450" s="6">
        <v>45129.0</v>
      </c>
      <c r="Q6450" s="2" t="s">
        <v>10531</v>
      </c>
    </row>
    <row r="6451">
      <c r="A6451" s="2">
        <v>6450.0</v>
      </c>
      <c r="B6451" s="2" t="s">
        <v>418</v>
      </c>
      <c r="C6451" s="2" t="s">
        <v>23</v>
      </c>
      <c r="K6451" s="2">
        <v>20.0</v>
      </c>
      <c r="N6451" s="6">
        <v>44030.0</v>
      </c>
      <c r="Q6451" s="2" t="s">
        <v>421</v>
      </c>
    </row>
    <row r="6452">
      <c r="A6452" s="2">
        <v>6451.0</v>
      </c>
      <c r="B6452" s="2" t="s">
        <v>10532</v>
      </c>
      <c r="C6452" s="2" t="s">
        <v>23</v>
      </c>
      <c r="N6452" s="6">
        <v>43842.0</v>
      </c>
      <c r="Q6452" s="2" t="s">
        <v>86</v>
      </c>
    </row>
    <row r="6453">
      <c r="A6453" s="2">
        <v>6452.0</v>
      </c>
      <c r="B6453" s="2" t="s">
        <v>10533</v>
      </c>
      <c r="C6453" s="2" t="s">
        <v>23</v>
      </c>
      <c r="N6453" s="6">
        <v>45154.0</v>
      </c>
      <c r="Q6453" s="2" t="s">
        <v>5929</v>
      </c>
    </row>
    <row r="6454">
      <c r="A6454" s="2">
        <v>6453.0</v>
      </c>
      <c r="B6454" s="2" t="s">
        <v>10534</v>
      </c>
      <c r="C6454" s="2" t="s">
        <v>23</v>
      </c>
      <c r="N6454" s="6">
        <v>42319.0</v>
      </c>
      <c r="Q6454" s="2" t="s">
        <v>86</v>
      </c>
    </row>
    <row r="6455">
      <c r="A6455" s="2">
        <v>6454.0</v>
      </c>
      <c r="B6455" s="2" t="s">
        <v>10535</v>
      </c>
      <c r="C6455" s="2" t="s">
        <v>23</v>
      </c>
      <c r="K6455" s="2">
        <v>70.0</v>
      </c>
      <c r="N6455" s="6">
        <v>43761.0</v>
      </c>
      <c r="Q6455" s="2" t="s">
        <v>10536</v>
      </c>
    </row>
    <row r="6456">
      <c r="A6456" s="2">
        <v>6455.0</v>
      </c>
      <c r="B6456" s="2" t="s">
        <v>10537</v>
      </c>
      <c r="C6456" s="2" t="s">
        <v>23</v>
      </c>
      <c r="K6456" s="2">
        <v>80.0</v>
      </c>
      <c r="N6456" s="6">
        <v>44098.0</v>
      </c>
      <c r="Q6456" s="2" t="s">
        <v>10538</v>
      </c>
    </row>
    <row r="6457">
      <c r="A6457" s="2">
        <v>6456.0</v>
      </c>
      <c r="B6457" s="2" t="s">
        <v>10539</v>
      </c>
      <c r="C6457" s="2" t="s">
        <v>23</v>
      </c>
      <c r="N6457" s="6">
        <v>44656.0</v>
      </c>
      <c r="Q6457" s="2" t="s">
        <v>86</v>
      </c>
    </row>
    <row r="6458">
      <c r="A6458" s="2">
        <v>6457.0</v>
      </c>
      <c r="B6458" s="2" t="s">
        <v>10540</v>
      </c>
      <c r="C6458" s="2" t="s">
        <v>23</v>
      </c>
      <c r="K6458" s="2">
        <v>150.0</v>
      </c>
      <c r="N6458" s="6">
        <v>43928.0</v>
      </c>
      <c r="Q6458" s="2" t="s">
        <v>10541</v>
      </c>
    </row>
    <row r="6459">
      <c r="A6459" s="2">
        <v>6458.0</v>
      </c>
      <c r="B6459" s="2" t="s">
        <v>10542</v>
      </c>
      <c r="C6459" s="2" t="s">
        <v>23</v>
      </c>
      <c r="N6459" s="6">
        <v>44072.0</v>
      </c>
      <c r="Q6459" s="2" t="s">
        <v>86</v>
      </c>
    </row>
    <row r="6460">
      <c r="A6460" s="2">
        <v>6459.0</v>
      </c>
      <c r="B6460" s="2" t="s">
        <v>10543</v>
      </c>
      <c r="C6460" s="2" t="s">
        <v>23</v>
      </c>
      <c r="K6460" s="2">
        <v>150.0</v>
      </c>
      <c r="N6460" s="6">
        <v>45616.0</v>
      </c>
      <c r="Q6460" s="2" t="s">
        <v>10544</v>
      </c>
    </row>
    <row r="6461">
      <c r="A6461" s="2">
        <v>6460.0</v>
      </c>
      <c r="B6461" s="2" t="s">
        <v>10545</v>
      </c>
      <c r="C6461" s="2" t="s">
        <v>23</v>
      </c>
      <c r="K6461" s="2">
        <v>100.0</v>
      </c>
      <c r="N6461" s="6">
        <v>44165.0</v>
      </c>
      <c r="Q6461" s="2" t="s">
        <v>10546</v>
      </c>
    </row>
    <row r="6462">
      <c r="A6462" s="2">
        <v>6461.0</v>
      </c>
      <c r="B6462" s="2" t="s">
        <v>10547</v>
      </c>
      <c r="C6462" s="2" t="s">
        <v>23</v>
      </c>
      <c r="K6462" s="2">
        <v>30.0</v>
      </c>
      <c r="N6462" s="6">
        <v>44254.0</v>
      </c>
      <c r="Q6462" s="2" t="s">
        <v>1713</v>
      </c>
    </row>
    <row r="6463">
      <c r="A6463" s="2">
        <v>6462.0</v>
      </c>
      <c r="B6463" s="2" t="s">
        <v>10548</v>
      </c>
      <c r="C6463" s="2" t="s">
        <v>23</v>
      </c>
      <c r="N6463" s="6">
        <v>44445.0</v>
      </c>
      <c r="Q6463" s="2" t="s">
        <v>86</v>
      </c>
    </row>
    <row r="6464">
      <c r="A6464" s="2">
        <v>6463.0</v>
      </c>
      <c r="B6464" s="2" t="s">
        <v>10549</v>
      </c>
      <c r="C6464" s="2" t="s">
        <v>23</v>
      </c>
      <c r="K6464" s="2">
        <v>30.0</v>
      </c>
      <c r="N6464" s="6">
        <v>44794.0</v>
      </c>
      <c r="Q6464" s="2" t="s">
        <v>3282</v>
      </c>
    </row>
    <row r="6465">
      <c r="A6465" s="2">
        <v>6464.0</v>
      </c>
      <c r="B6465" s="2" t="s">
        <v>10550</v>
      </c>
      <c r="C6465" s="2" t="s">
        <v>23</v>
      </c>
      <c r="N6465" s="6">
        <v>43402.0</v>
      </c>
      <c r="Q6465" s="2" t="s">
        <v>10551</v>
      </c>
    </row>
    <row r="6466">
      <c r="A6466" s="2">
        <v>6465.0</v>
      </c>
      <c r="B6466" s="2" t="s">
        <v>10552</v>
      </c>
      <c r="C6466" s="2" t="s">
        <v>23</v>
      </c>
      <c r="K6466" s="2">
        <v>10.0</v>
      </c>
      <c r="N6466" s="6">
        <v>43981.0</v>
      </c>
      <c r="Q6466" s="2" t="s">
        <v>491</v>
      </c>
    </row>
    <row r="6467">
      <c r="A6467" s="2">
        <v>6466.0</v>
      </c>
      <c r="B6467" s="2" t="s">
        <v>10553</v>
      </c>
      <c r="C6467" s="2" t="s">
        <v>23</v>
      </c>
      <c r="N6467" s="6">
        <v>44320.0</v>
      </c>
      <c r="Q6467" s="2" t="s">
        <v>1249</v>
      </c>
    </row>
    <row r="6468">
      <c r="A6468" s="2">
        <v>6467.0</v>
      </c>
      <c r="B6468" s="2" t="s">
        <v>10554</v>
      </c>
      <c r="C6468" s="2" t="s">
        <v>23</v>
      </c>
      <c r="K6468" s="2">
        <v>40.0</v>
      </c>
      <c r="N6468" s="6">
        <v>45688.0</v>
      </c>
      <c r="Q6468" s="2" t="s">
        <v>2026</v>
      </c>
    </row>
    <row r="6469">
      <c r="A6469" s="2">
        <v>6468.0</v>
      </c>
      <c r="B6469" s="2" t="s">
        <v>10555</v>
      </c>
      <c r="C6469" s="2" t="s">
        <v>23</v>
      </c>
      <c r="K6469" s="2">
        <v>200.0</v>
      </c>
      <c r="N6469" s="6">
        <v>43864.0</v>
      </c>
      <c r="Q6469" s="2" t="s">
        <v>10556</v>
      </c>
    </row>
    <row r="6470">
      <c r="A6470" s="2">
        <v>6469.0</v>
      </c>
      <c r="B6470" s="2" t="s">
        <v>10557</v>
      </c>
      <c r="C6470" s="2" t="s">
        <v>23</v>
      </c>
      <c r="N6470" s="6">
        <v>43974.0</v>
      </c>
      <c r="Q6470" s="2" t="s">
        <v>86</v>
      </c>
    </row>
    <row r="6471">
      <c r="A6471" s="2">
        <v>6470.0</v>
      </c>
      <c r="B6471" s="2" t="s">
        <v>10558</v>
      </c>
      <c r="C6471" s="2" t="s">
        <v>23</v>
      </c>
      <c r="N6471" s="6">
        <v>44023.0</v>
      </c>
      <c r="Q6471" s="2" t="s">
        <v>86</v>
      </c>
    </row>
    <row r="6472">
      <c r="A6472" s="2">
        <v>6471.0</v>
      </c>
      <c r="B6472" s="2" t="s">
        <v>10559</v>
      </c>
      <c r="C6472" s="2" t="s">
        <v>23</v>
      </c>
      <c r="K6472" s="2">
        <v>100.0</v>
      </c>
      <c r="N6472" s="6">
        <v>44744.0</v>
      </c>
      <c r="Q6472" s="2" t="s">
        <v>86</v>
      </c>
    </row>
    <row r="6473">
      <c r="A6473" s="2">
        <v>6472.0</v>
      </c>
      <c r="B6473" s="2" t="s">
        <v>10560</v>
      </c>
      <c r="C6473" s="2" t="s">
        <v>23</v>
      </c>
      <c r="K6473" s="2">
        <v>100.0</v>
      </c>
      <c r="N6473" s="6">
        <v>43858.0</v>
      </c>
      <c r="Q6473" s="2" t="s">
        <v>10561</v>
      </c>
    </row>
    <row r="6474">
      <c r="A6474" s="2">
        <v>6473.0</v>
      </c>
      <c r="B6474" s="2" t="s">
        <v>10562</v>
      </c>
      <c r="C6474" s="2" t="s">
        <v>23</v>
      </c>
      <c r="K6474" s="2">
        <v>100.0</v>
      </c>
      <c r="N6474" s="6">
        <v>43160.0</v>
      </c>
      <c r="Q6474" s="2" t="s">
        <v>10563</v>
      </c>
    </row>
    <row r="6475">
      <c r="A6475" s="2">
        <v>6474.0</v>
      </c>
      <c r="B6475" s="2" t="s">
        <v>10564</v>
      </c>
      <c r="C6475" s="2" t="s">
        <v>23</v>
      </c>
      <c r="K6475" s="2">
        <v>20.0</v>
      </c>
      <c r="N6475" s="6">
        <v>43985.0</v>
      </c>
      <c r="Q6475" s="2" t="s">
        <v>10565</v>
      </c>
    </row>
    <row r="6476">
      <c r="A6476" s="2">
        <v>6475.0</v>
      </c>
      <c r="B6476" s="2" t="s">
        <v>10566</v>
      </c>
      <c r="C6476" s="2" t="s">
        <v>23</v>
      </c>
      <c r="K6476" s="2">
        <v>20.0</v>
      </c>
      <c r="N6476" s="6">
        <v>44098.0</v>
      </c>
      <c r="Q6476" s="2" t="s">
        <v>546</v>
      </c>
    </row>
    <row r="6477">
      <c r="A6477" s="2">
        <v>6476.0</v>
      </c>
      <c r="B6477" s="2" t="s">
        <v>10567</v>
      </c>
      <c r="C6477" s="2" t="s">
        <v>23</v>
      </c>
      <c r="K6477" s="2">
        <v>50.0</v>
      </c>
      <c r="N6477" s="6">
        <v>44225.0</v>
      </c>
      <c r="Q6477" s="2" t="s">
        <v>10568</v>
      </c>
    </row>
    <row r="6478">
      <c r="A6478" s="2">
        <v>6477.0</v>
      </c>
      <c r="B6478" s="2" t="s">
        <v>10569</v>
      </c>
      <c r="C6478" s="2" t="s">
        <v>23</v>
      </c>
      <c r="K6478" s="2">
        <v>40.0</v>
      </c>
      <c r="N6478" s="6">
        <v>43969.0</v>
      </c>
      <c r="Q6478" s="2" t="s">
        <v>10570</v>
      </c>
    </row>
    <row r="6479">
      <c r="A6479" s="2">
        <v>6478.0</v>
      </c>
      <c r="B6479" s="2" t="s">
        <v>10571</v>
      </c>
      <c r="C6479" s="2" t="s">
        <v>23</v>
      </c>
      <c r="K6479" s="2">
        <v>40.0</v>
      </c>
      <c r="N6479" s="6">
        <v>44421.0</v>
      </c>
      <c r="Q6479" s="2" t="s">
        <v>126</v>
      </c>
    </row>
    <row r="6480">
      <c r="A6480" s="2">
        <v>6479.0</v>
      </c>
      <c r="B6480" s="2" t="s">
        <v>10572</v>
      </c>
      <c r="C6480" s="2" t="s">
        <v>23</v>
      </c>
      <c r="K6480" s="2">
        <v>10.0</v>
      </c>
      <c r="N6480" s="6">
        <v>44948.0</v>
      </c>
      <c r="Q6480" s="2" t="s">
        <v>10573</v>
      </c>
    </row>
    <row r="6481">
      <c r="A6481" s="2">
        <v>6480.0</v>
      </c>
      <c r="B6481" s="2" t="s">
        <v>10574</v>
      </c>
      <c r="C6481" s="2" t="s">
        <v>23</v>
      </c>
      <c r="K6481" s="2">
        <v>50.0</v>
      </c>
      <c r="N6481" s="6">
        <v>45725.0</v>
      </c>
      <c r="Q6481" s="2" t="s">
        <v>8169</v>
      </c>
    </row>
    <row r="6482">
      <c r="A6482" s="2">
        <v>6481.0</v>
      </c>
      <c r="B6482" s="2" t="s">
        <v>10575</v>
      </c>
      <c r="C6482" s="2" t="s">
        <v>23</v>
      </c>
      <c r="K6482" s="2">
        <v>60.0</v>
      </c>
      <c r="N6482" s="6">
        <v>44431.0</v>
      </c>
      <c r="Q6482" s="2" t="s">
        <v>10576</v>
      </c>
    </row>
    <row r="6483">
      <c r="A6483" s="2">
        <v>6482.0</v>
      </c>
      <c r="B6483" s="2" t="s">
        <v>10577</v>
      </c>
      <c r="C6483" s="2" t="s">
        <v>23</v>
      </c>
      <c r="K6483" s="2">
        <v>30.0</v>
      </c>
      <c r="N6483" s="6">
        <v>42389.0</v>
      </c>
      <c r="Q6483" s="2" t="s">
        <v>10578</v>
      </c>
    </row>
    <row r="6484">
      <c r="A6484" s="2">
        <v>6483.0</v>
      </c>
      <c r="B6484" s="2" t="s">
        <v>10579</v>
      </c>
      <c r="C6484" s="2" t="s">
        <v>23</v>
      </c>
      <c r="N6484" s="6">
        <v>43958.0</v>
      </c>
      <c r="Q6484" s="2" t="s">
        <v>2738</v>
      </c>
    </row>
    <row r="6485">
      <c r="A6485" s="2">
        <v>6484.0</v>
      </c>
      <c r="B6485" s="2" t="s">
        <v>10580</v>
      </c>
      <c r="C6485" s="2" t="s">
        <v>23</v>
      </c>
      <c r="K6485" s="2">
        <v>50.0</v>
      </c>
      <c r="N6485" s="6">
        <v>44203.0</v>
      </c>
      <c r="Q6485" s="2" t="s">
        <v>10581</v>
      </c>
    </row>
    <row r="6486">
      <c r="A6486" s="2">
        <v>6485.0</v>
      </c>
      <c r="B6486" s="2" t="s">
        <v>10582</v>
      </c>
      <c r="C6486" s="2" t="s">
        <v>23</v>
      </c>
      <c r="K6486" s="2">
        <v>20.0</v>
      </c>
      <c r="N6486" s="6">
        <v>44661.0</v>
      </c>
      <c r="Q6486" s="2" t="s">
        <v>235</v>
      </c>
    </row>
    <row r="6487">
      <c r="A6487" s="2">
        <v>6486.0</v>
      </c>
      <c r="B6487" s="2" t="s">
        <v>10583</v>
      </c>
      <c r="C6487" s="2" t="s">
        <v>23</v>
      </c>
      <c r="K6487" s="2">
        <v>20.0</v>
      </c>
      <c r="N6487" s="6">
        <v>44728.0</v>
      </c>
      <c r="Q6487" s="2" t="s">
        <v>86</v>
      </c>
    </row>
    <row r="6488">
      <c r="A6488" s="2">
        <v>6487.0</v>
      </c>
      <c r="B6488" s="2" t="s">
        <v>10584</v>
      </c>
      <c r="C6488" s="2" t="s">
        <v>23</v>
      </c>
      <c r="K6488" s="2">
        <v>50.0</v>
      </c>
      <c r="N6488" s="6">
        <v>43843.0</v>
      </c>
      <c r="Q6488" s="2" t="s">
        <v>10585</v>
      </c>
    </row>
    <row r="6489">
      <c r="A6489" s="2">
        <v>6488.0</v>
      </c>
      <c r="B6489" s="2" t="s">
        <v>10586</v>
      </c>
      <c r="C6489" s="2" t="s">
        <v>23</v>
      </c>
      <c r="N6489" s="6">
        <v>45979.0</v>
      </c>
      <c r="Q6489" s="2" t="s">
        <v>10587</v>
      </c>
    </row>
    <row r="6490">
      <c r="A6490" s="2">
        <v>6489.0</v>
      </c>
      <c r="B6490" s="2" t="s">
        <v>10588</v>
      </c>
      <c r="C6490" s="2" t="s">
        <v>23</v>
      </c>
      <c r="K6490" s="2">
        <v>30.0</v>
      </c>
      <c r="N6490" s="6">
        <v>44906.0</v>
      </c>
      <c r="Q6490" s="2" t="s">
        <v>10589</v>
      </c>
    </row>
    <row r="6491">
      <c r="A6491" s="2">
        <v>6490.0</v>
      </c>
      <c r="B6491" s="2" t="s">
        <v>10590</v>
      </c>
      <c r="C6491" s="2" t="s">
        <v>23</v>
      </c>
      <c r="K6491" s="2">
        <v>20.0</v>
      </c>
      <c r="N6491" s="6">
        <v>45505.0</v>
      </c>
      <c r="Q6491" s="2" t="s">
        <v>10591</v>
      </c>
    </row>
    <row r="6492">
      <c r="A6492" s="2">
        <v>6491.0</v>
      </c>
      <c r="B6492" s="2" t="s">
        <v>10592</v>
      </c>
      <c r="C6492" s="2" t="s">
        <v>23</v>
      </c>
      <c r="K6492" s="2">
        <v>10.0</v>
      </c>
      <c r="N6492" s="6">
        <v>44718.0</v>
      </c>
      <c r="Q6492" s="2" t="s">
        <v>86</v>
      </c>
    </row>
    <row r="6493">
      <c r="A6493" s="2">
        <v>6492.0</v>
      </c>
      <c r="B6493" s="2" t="s">
        <v>10593</v>
      </c>
      <c r="C6493" s="2" t="s">
        <v>23</v>
      </c>
      <c r="K6493" s="2">
        <v>40.0</v>
      </c>
      <c r="N6493" s="6">
        <v>43923.0</v>
      </c>
      <c r="Q6493" s="2" t="s">
        <v>86</v>
      </c>
    </row>
    <row r="6494">
      <c r="A6494" s="2">
        <v>6493.0</v>
      </c>
      <c r="B6494" s="2" t="s">
        <v>10594</v>
      </c>
      <c r="C6494" s="2" t="s">
        <v>23</v>
      </c>
      <c r="N6494" s="6">
        <v>46105.0</v>
      </c>
      <c r="Q6494" s="2" t="s">
        <v>10595</v>
      </c>
    </row>
    <row r="6495">
      <c r="A6495" s="2">
        <v>6494.0</v>
      </c>
      <c r="B6495" s="2" t="s">
        <v>10596</v>
      </c>
      <c r="C6495" s="2" t="s">
        <v>23</v>
      </c>
      <c r="K6495" s="2">
        <v>100.0</v>
      </c>
      <c r="N6495" s="6">
        <v>44299.0</v>
      </c>
      <c r="Q6495" s="2" t="s">
        <v>10597</v>
      </c>
    </row>
    <row r="6496">
      <c r="A6496" s="2">
        <v>6495.0</v>
      </c>
      <c r="B6496" s="2" t="s">
        <v>10598</v>
      </c>
      <c r="C6496" s="2" t="s">
        <v>23</v>
      </c>
      <c r="N6496" s="6">
        <v>45966.0</v>
      </c>
      <c r="Q6496" s="2" t="s">
        <v>10599</v>
      </c>
    </row>
    <row r="6497">
      <c r="A6497" s="2">
        <v>6496.0</v>
      </c>
      <c r="B6497" s="2" t="s">
        <v>10600</v>
      </c>
      <c r="C6497" s="2" t="s">
        <v>23</v>
      </c>
      <c r="K6497" s="2">
        <v>30.0</v>
      </c>
      <c r="N6497" s="6">
        <v>44181.0</v>
      </c>
      <c r="Q6497" s="2" t="s">
        <v>3205</v>
      </c>
    </row>
    <row r="6498">
      <c r="A6498" s="2">
        <v>6497.0</v>
      </c>
      <c r="B6498" s="2" t="s">
        <v>10601</v>
      </c>
      <c r="C6498" s="2" t="s">
        <v>23</v>
      </c>
      <c r="K6498" s="2">
        <v>20.0</v>
      </c>
      <c r="N6498" s="6">
        <v>44621.0</v>
      </c>
      <c r="Q6498" s="2" t="s">
        <v>10602</v>
      </c>
    </row>
    <row r="6499">
      <c r="A6499" s="2">
        <v>6498.0</v>
      </c>
      <c r="B6499" s="2" t="s">
        <v>10603</v>
      </c>
      <c r="C6499" s="2" t="s">
        <v>23</v>
      </c>
      <c r="N6499" s="6">
        <v>45647.0</v>
      </c>
      <c r="Q6499" s="2" t="s">
        <v>3167</v>
      </c>
    </row>
    <row r="6500">
      <c r="A6500" s="2">
        <v>6499.0</v>
      </c>
      <c r="B6500" s="2" t="s">
        <v>10604</v>
      </c>
      <c r="C6500" s="2" t="s">
        <v>23</v>
      </c>
      <c r="K6500" s="2">
        <v>70.0</v>
      </c>
      <c r="N6500" s="6">
        <v>43927.0</v>
      </c>
      <c r="Q6500" s="2" t="s">
        <v>10605</v>
      </c>
    </row>
    <row r="6501">
      <c r="A6501" s="2">
        <v>6500.0</v>
      </c>
      <c r="B6501" s="2" t="s">
        <v>10606</v>
      </c>
      <c r="C6501" s="2" t="s">
        <v>23</v>
      </c>
      <c r="K6501" s="2">
        <v>20.0</v>
      </c>
      <c r="N6501" s="6">
        <v>44476.0</v>
      </c>
      <c r="Q6501" s="2" t="s">
        <v>10607</v>
      </c>
    </row>
    <row r="6502">
      <c r="A6502" s="2">
        <v>6501.0</v>
      </c>
      <c r="B6502" s="2" t="s">
        <v>10608</v>
      </c>
      <c r="C6502" s="2" t="s">
        <v>23</v>
      </c>
      <c r="N6502" s="6">
        <v>43883.0</v>
      </c>
      <c r="Q6502" s="2" t="s">
        <v>86</v>
      </c>
    </row>
    <row r="6503">
      <c r="A6503" s="2">
        <v>6502.0</v>
      </c>
      <c r="B6503" s="2" t="s">
        <v>10609</v>
      </c>
      <c r="C6503" s="2" t="s">
        <v>23</v>
      </c>
      <c r="K6503" s="2">
        <v>80.0</v>
      </c>
      <c r="N6503" s="6">
        <v>43853.0</v>
      </c>
      <c r="Q6503" s="2" t="s">
        <v>10610</v>
      </c>
    </row>
    <row r="6504">
      <c r="A6504" s="2">
        <v>6503.0</v>
      </c>
      <c r="B6504" s="2" t="s">
        <v>10611</v>
      </c>
      <c r="C6504" s="2" t="s">
        <v>23</v>
      </c>
      <c r="K6504" s="2">
        <v>30.0</v>
      </c>
      <c r="N6504" s="6">
        <v>43970.0</v>
      </c>
      <c r="Q6504" s="2" t="s">
        <v>1466</v>
      </c>
    </row>
    <row r="6505">
      <c r="A6505" s="2">
        <v>6504.0</v>
      </c>
      <c r="B6505" s="2" t="s">
        <v>10612</v>
      </c>
      <c r="C6505" s="2" t="s">
        <v>23</v>
      </c>
      <c r="N6505" s="6">
        <v>44571.0</v>
      </c>
      <c r="Q6505" s="2" t="s">
        <v>86</v>
      </c>
    </row>
    <row r="6506">
      <c r="A6506" s="2">
        <v>6505.0</v>
      </c>
      <c r="B6506" s="2" t="s">
        <v>10613</v>
      </c>
      <c r="C6506" s="2" t="s">
        <v>23</v>
      </c>
      <c r="K6506" s="2">
        <v>10.0</v>
      </c>
      <c r="N6506" s="6">
        <v>45672.0</v>
      </c>
      <c r="Q6506" s="2" t="s">
        <v>4678</v>
      </c>
    </row>
    <row r="6507">
      <c r="A6507" s="2">
        <v>6506.0</v>
      </c>
      <c r="B6507" s="2" t="s">
        <v>10614</v>
      </c>
      <c r="C6507" s="2" t="s">
        <v>23</v>
      </c>
      <c r="N6507" s="6">
        <v>44490.0</v>
      </c>
      <c r="Q6507" s="2" t="s">
        <v>86</v>
      </c>
    </row>
    <row r="6508">
      <c r="A6508" s="2">
        <v>6507.0</v>
      </c>
      <c r="B6508" s="2" t="s">
        <v>10615</v>
      </c>
      <c r="C6508" s="2" t="s">
        <v>23</v>
      </c>
      <c r="N6508" s="6">
        <v>45897.0</v>
      </c>
      <c r="Q6508" s="2" t="s">
        <v>10616</v>
      </c>
    </row>
    <row r="6509">
      <c r="A6509" s="2">
        <v>6508.0</v>
      </c>
      <c r="B6509" s="2" t="s">
        <v>10617</v>
      </c>
      <c r="C6509" s="2" t="s">
        <v>23</v>
      </c>
      <c r="N6509" s="6">
        <v>43326.0</v>
      </c>
      <c r="Q6509" s="2" t="s">
        <v>86</v>
      </c>
    </row>
    <row r="6510">
      <c r="A6510" s="2">
        <v>6509.0</v>
      </c>
      <c r="B6510" s="2" t="s">
        <v>10618</v>
      </c>
      <c r="C6510" s="2" t="s">
        <v>23</v>
      </c>
      <c r="N6510" s="6">
        <v>44076.0</v>
      </c>
      <c r="Q6510" s="2" t="s">
        <v>86</v>
      </c>
    </row>
    <row r="6511">
      <c r="A6511" s="2">
        <v>6510.0</v>
      </c>
      <c r="B6511" s="2" t="s">
        <v>10619</v>
      </c>
      <c r="C6511" s="2" t="s">
        <v>23</v>
      </c>
      <c r="N6511" s="6">
        <v>44053.0</v>
      </c>
      <c r="Q6511" s="2" t="s">
        <v>86</v>
      </c>
    </row>
    <row r="6512">
      <c r="A6512" s="2">
        <v>6511.0</v>
      </c>
      <c r="B6512" s="2" t="s">
        <v>10620</v>
      </c>
      <c r="C6512" s="2" t="s">
        <v>23</v>
      </c>
      <c r="N6512" s="6">
        <v>44065.0</v>
      </c>
      <c r="Q6512" s="2" t="s">
        <v>86</v>
      </c>
    </row>
    <row r="6513">
      <c r="A6513" s="2">
        <v>6512.0</v>
      </c>
      <c r="B6513" s="2" t="s">
        <v>10621</v>
      </c>
      <c r="C6513" s="2" t="s">
        <v>23</v>
      </c>
      <c r="K6513" s="2">
        <v>50.0</v>
      </c>
      <c r="N6513" s="6">
        <v>44138.0</v>
      </c>
      <c r="Q6513" s="2" t="s">
        <v>10622</v>
      </c>
    </row>
    <row r="6514">
      <c r="A6514" s="2">
        <v>6513.0</v>
      </c>
      <c r="B6514" s="2" t="s">
        <v>10623</v>
      </c>
      <c r="C6514" s="2" t="s">
        <v>23</v>
      </c>
      <c r="K6514" s="2">
        <v>10.0</v>
      </c>
      <c r="N6514" s="6">
        <v>45329.0</v>
      </c>
      <c r="Q6514" s="2" t="s">
        <v>10624</v>
      </c>
    </row>
    <row r="6515">
      <c r="A6515" s="2">
        <v>6514.0</v>
      </c>
      <c r="B6515" s="2" t="s">
        <v>10625</v>
      </c>
      <c r="C6515" s="2" t="s">
        <v>23</v>
      </c>
      <c r="N6515" s="6">
        <v>43874.0</v>
      </c>
      <c r="Q6515" s="2" t="s">
        <v>86</v>
      </c>
    </row>
    <row r="6516">
      <c r="A6516" s="2">
        <v>6515.0</v>
      </c>
      <c r="B6516" s="2" t="s">
        <v>10626</v>
      </c>
      <c r="C6516" s="2" t="s">
        <v>23</v>
      </c>
      <c r="K6516" s="2">
        <v>10.0</v>
      </c>
      <c r="N6516" s="6">
        <v>44996.0</v>
      </c>
      <c r="Q6516" s="2" t="s">
        <v>86</v>
      </c>
    </row>
    <row r="6517">
      <c r="A6517" s="2">
        <v>6516.0</v>
      </c>
      <c r="B6517" s="2" t="s">
        <v>10627</v>
      </c>
      <c r="C6517" s="2" t="s">
        <v>23</v>
      </c>
      <c r="K6517" s="2">
        <v>30.0</v>
      </c>
      <c r="N6517" s="6">
        <v>44397.0</v>
      </c>
      <c r="Q6517" s="2" t="s">
        <v>10628</v>
      </c>
    </row>
    <row r="6518">
      <c r="A6518" s="2">
        <v>6517.0</v>
      </c>
      <c r="B6518" s="2" t="s">
        <v>10629</v>
      </c>
      <c r="C6518" s="2" t="s">
        <v>23</v>
      </c>
      <c r="N6518" s="6">
        <v>43884.0</v>
      </c>
      <c r="Q6518" s="2" t="s">
        <v>86</v>
      </c>
    </row>
    <row r="6519">
      <c r="A6519" s="2">
        <v>6518.0</v>
      </c>
      <c r="B6519" s="2" t="s">
        <v>10630</v>
      </c>
      <c r="C6519" s="2" t="s">
        <v>23</v>
      </c>
      <c r="K6519" s="2">
        <v>40.0</v>
      </c>
      <c r="N6519" s="6">
        <v>45665.0</v>
      </c>
      <c r="Q6519" s="2" t="s">
        <v>10631</v>
      </c>
    </row>
    <row r="6520">
      <c r="A6520" s="2">
        <v>6519.0</v>
      </c>
      <c r="B6520" s="2" t="s">
        <v>10632</v>
      </c>
      <c r="C6520" s="2" t="s">
        <v>23</v>
      </c>
      <c r="N6520" s="6">
        <v>44483.0</v>
      </c>
      <c r="Q6520" s="2" t="s">
        <v>86</v>
      </c>
    </row>
    <row r="6521">
      <c r="A6521" s="2">
        <v>6520.0</v>
      </c>
      <c r="B6521" s="2" t="s">
        <v>10633</v>
      </c>
      <c r="C6521" s="2" t="s">
        <v>23</v>
      </c>
      <c r="K6521" s="2">
        <v>40.0</v>
      </c>
      <c r="N6521" s="6">
        <v>45876.0</v>
      </c>
      <c r="Q6521" s="2" t="s">
        <v>10634</v>
      </c>
    </row>
    <row r="6522">
      <c r="A6522" s="2">
        <v>6521.0</v>
      </c>
      <c r="B6522" s="2" t="s">
        <v>10635</v>
      </c>
      <c r="C6522" s="2" t="s">
        <v>23</v>
      </c>
      <c r="K6522" s="2">
        <v>70.0</v>
      </c>
      <c r="N6522" s="6">
        <v>45442.0</v>
      </c>
      <c r="Q6522" s="2" t="s">
        <v>10636</v>
      </c>
    </row>
    <row r="6523">
      <c r="A6523" s="2">
        <v>6522.0</v>
      </c>
      <c r="B6523" s="2" t="s">
        <v>10637</v>
      </c>
      <c r="C6523" s="2" t="s">
        <v>23</v>
      </c>
      <c r="N6523" s="6">
        <v>44091.0</v>
      </c>
      <c r="Q6523" s="2" t="s">
        <v>86</v>
      </c>
    </row>
    <row r="6524">
      <c r="A6524" s="2">
        <v>6523.0</v>
      </c>
      <c r="B6524" s="2" t="s">
        <v>10638</v>
      </c>
      <c r="C6524" s="2" t="s">
        <v>23</v>
      </c>
      <c r="K6524" s="2">
        <v>30.0</v>
      </c>
      <c r="N6524" s="6">
        <v>45629.0</v>
      </c>
      <c r="Q6524" s="2" t="s">
        <v>9715</v>
      </c>
    </row>
    <row r="6525">
      <c r="A6525" s="2">
        <v>6524.0</v>
      </c>
      <c r="B6525" s="2" t="s">
        <v>10639</v>
      </c>
      <c r="C6525" s="2" t="s">
        <v>23</v>
      </c>
      <c r="N6525" s="6">
        <v>42335.0</v>
      </c>
      <c r="O6525" s="2" t="s">
        <v>35</v>
      </c>
      <c r="P6525" s="2" t="s">
        <v>36</v>
      </c>
      <c r="Q6525" s="2" t="s">
        <v>86</v>
      </c>
      <c r="S6525" s="2" t="s">
        <v>146</v>
      </c>
    </row>
    <row r="6526">
      <c r="A6526" s="2">
        <v>6525.0</v>
      </c>
      <c r="B6526" s="2" t="s">
        <v>10640</v>
      </c>
      <c r="C6526" s="2" t="s">
        <v>23</v>
      </c>
      <c r="K6526" s="2">
        <v>50.0</v>
      </c>
      <c r="N6526" s="6">
        <v>45610.0</v>
      </c>
      <c r="Q6526" s="2" t="s">
        <v>10641</v>
      </c>
    </row>
    <row r="6527">
      <c r="A6527" s="2">
        <v>6526.0</v>
      </c>
      <c r="B6527" s="2" t="s">
        <v>10642</v>
      </c>
      <c r="C6527" s="2" t="s">
        <v>23</v>
      </c>
      <c r="K6527" s="2">
        <v>30.0</v>
      </c>
      <c r="N6527" s="6">
        <v>43146.0</v>
      </c>
      <c r="Q6527" s="2" t="s">
        <v>10643</v>
      </c>
    </row>
    <row r="6528">
      <c r="A6528" s="2">
        <v>6527.0</v>
      </c>
      <c r="B6528" s="2" t="s">
        <v>10644</v>
      </c>
      <c r="C6528" s="2" t="s">
        <v>23</v>
      </c>
      <c r="K6528" s="2">
        <v>50.0</v>
      </c>
      <c r="N6528" s="6">
        <v>44243.0</v>
      </c>
      <c r="Q6528" s="2" t="s">
        <v>10645</v>
      </c>
    </row>
    <row r="6529">
      <c r="A6529" s="2">
        <v>6528.0</v>
      </c>
      <c r="B6529" s="2" t="s">
        <v>10646</v>
      </c>
      <c r="C6529" s="2" t="s">
        <v>23</v>
      </c>
      <c r="K6529" s="2">
        <v>150.0</v>
      </c>
      <c r="N6529" s="6">
        <v>45136.0</v>
      </c>
      <c r="Q6529" s="2" t="s">
        <v>10647</v>
      </c>
    </row>
    <row r="6530">
      <c r="A6530" s="2">
        <v>6529.0</v>
      </c>
      <c r="B6530" s="2" t="s">
        <v>10648</v>
      </c>
      <c r="C6530" s="2" t="s">
        <v>23</v>
      </c>
      <c r="N6530" s="6">
        <v>44538.0</v>
      </c>
      <c r="Q6530" s="2" t="s">
        <v>8573</v>
      </c>
    </row>
    <row r="6531">
      <c r="A6531" s="2">
        <v>6530.0</v>
      </c>
      <c r="B6531" s="2" t="s">
        <v>10649</v>
      </c>
      <c r="C6531" s="2" t="s">
        <v>23</v>
      </c>
      <c r="N6531" s="6">
        <v>44674.0</v>
      </c>
      <c r="Q6531" s="2" t="s">
        <v>86</v>
      </c>
    </row>
    <row r="6532">
      <c r="A6532" s="2">
        <v>6531.0</v>
      </c>
      <c r="B6532" s="2" t="s">
        <v>10650</v>
      </c>
      <c r="C6532" s="2" t="s">
        <v>23</v>
      </c>
      <c r="K6532" s="2">
        <v>10.0</v>
      </c>
      <c r="N6532" s="6">
        <v>44125.0</v>
      </c>
      <c r="Q6532" s="2" t="s">
        <v>4958</v>
      </c>
    </row>
    <row r="6533">
      <c r="A6533" s="2">
        <v>6532.0</v>
      </c>
      <c r="B6533" s="2" t="s">
        <v>10651</v>
      </c>
      <c r="C6533" s="2" t="s">
        <v>23</v>
      </c>
      <c r="N6533" s="6">
        <v>45097.0</v>
      </c>
      <c r="Q6533" s="2" t="s">
        <v>86</v>
      </c>
    </row>
    <row r="6534">
      <c r="A6534" s="2">
        <v>6533.0</v>
      </c>
      <c r="B6534" s="2" t="s">
        <v>10652</v>
      </c>
      <c r="C6534" s="2" t="s">
        <v>23</v>
      </c>
      <c r="N6534" s="6">
        <v>45605.0</v>
      </c>
      <c r="Q6534" s="2" t="s">
        <v>4767</v>
      </c>
    </row>
    <row r="6535">
      <c r="A6535" s="2">
        <v>6534.0</v>
      </c>
      <c r="B6535" s="2" t="s">
        <v>10653</v>
      </c>
      <c r="C6535" s="2" t="s">
        <v>23</v>
      </c>
      <c r="K6535" s="2">
        <v>90.0</v>
      </c>
      <c r="N6535" s="6">
        <v>44318.0</v>
      </c>
      <c r="Q6535" s="2" t="s">
        <v>10068</v>
      </c>
    </row>
    <row r="6536">
      <c r="A6536" s="2">
        <v>6535.0</v>
      </c>
      <c r="B6536" s="2" t="s">
        <v>10654</v>
      </c>
      <c r="C6536" s="2" t="s">
        <v>23</v>
      </c>
      <c r="K6536" s="2">
        <v>20.0</v>
      </c>
      <c r="N6536" s="6">
        <v>44522.0</v>
      </c>
      <c r="Q6536" s="2" t="s">
        <v>86</v>
      </c>
    </row>
    <row r="6537">
      <c r="A6537" s="2">
        <v>6536.0</v>
      </c>
      <c r="B6537" s="2" t="s">
        <v>10655</v>
      </c>
      <c r="C6537" s="2" t="s">
        <v>23</v>
      </c>
      <c r="K6537" s="2">
        <v>10.0</v>
      </c>
      <c r="N6537" s="6">
        <v>43937.0</v>
      </c>
      <c r="Q6537" s="2" t="s">
        <v>86</v>
      </c>
    </row>
    <row r="6538">
      <c r="A6538" s="2">
        <v>6537.0</v>
      </c>
      <c r="B6538" s="2" t="s">
        <v>10656</v>
      </c>
      <c r="C6538" s="2" t="s">
        <v>23</v>
      </c>
      <c r="K6538" s="2">
        <v>100.0</v>
      </c>
      <c r="N6538" s="6">
        <v>45574.0</v>
      </c>
      <c r="Q6538" s="2" t="s">
        <v>10657</v>
      </c>
    </row>
    <row r="6539">
      <c r="A6539" s="2">
        <v>6538.0</v>
      </c>
      <c r="B6539" s="2" t="s">
        <v>10658</v>
      </c>
      <c r="C6539" s="2" t="s">
        <v>23</v>
      </c>
      <c r="N6539" s="6">
        <v>45428.0</v>
      </c>
      <c r="Q6539" s="2" t="s">
        <v>2379</v>
      </c>
    </row>
    <row r="6540">
      <c r="A6540" s="2">
        <v>6539.0</v>
      </c>
      <c r="B6540" s="2" t="s">
        <v>10659</v>
      </c>
      <c r="C6540" s="2" t="s">
        <v>23</v>
      </c>
      <c r="K6540" s="2">
        <v>10.0</v>
      </c>
      <c r="N6540" s="6">
        <v>45554.0</v>
      </c>
      <c r="Q6540" s="2" t="s">
        <v>10660</v>
      </c>
    </row>
    <row r="6541">
      <c r="A6541" s="2">
        <v>6540.0</v>
      </c>
      <c r="B6541" s="2" t="s">
        <v>10661</v>
      </c>
      <c r="C6541" s="2" t="s">
        <v>23</v>
      </c>
      <c r="K6541" s="2">
        <v>20.0</v>
      </c>
      <c r="N6541" s="6">
        <v>45617.0</v>
      </c>
      <c r="Q6541" s="2" t="s">
        <v>10662</v>
      </c>
    </row>
    <row r="6542">
      <c r="A6542" s="2">
        <v>6541.0</v>
      </c>
      <c r="B6542" s="2" t="s">
        <v>10663</v>
      </c>
      <c r="C6542" s="2" t="s">
        <v>23</v>
      </c>
      <c r="N6542" s="6">
        <v>44064.0</v>
      </c>
      <c r="Q6542" s="2" t="s">
        <v>86</v>
      </c>
    </row>
    <row r="6543">
      <c r="A6543" s="2">
        <v>6542.0</v>
      </c>
      <c r="B6543" s="2" t="s">
        <v>10664</v>
      </c>
      <c r="C6543" s="2" t="s">
        <v>23</v>
      </c>
      <c r="K6543" s="2">
        <v>10.0</v>
      </c>
      <c r="N6543" s="6">
        <v>45646.0</v>
      </c>
      <c r="Q6543" s="2" t="s">
        <v>4145</v>
      </c>
    </row>
    <row r="6544">
      <c r="A6544" s="2">
        <v>6543.0</v>
      </c>
      <c r="B6544" s="2" t="s">
        <v>10665</v>
      </c>
      <c r="C6544" s="2" t="s">
        <v>23</v>
      </c>
      <c r="N6544" s="6">
        <v>43961.0</v>
      </c>
      <c r="Q6544" s="2" t="s">
        <v>86</v>
      </c>
    </row>
    <row r="6545">
      <c r="A6545" s="2">
        <v>6544.0</v>
      </c>
      <c r="B6545" s="2" t="s">
        <v>10666</v>
      </c>
      <c r="C6545" s="2" t="s">
        <v>23</v>
      </c>
      <c r="K6545" s="2">
        <v>30.0</v>
      </c>
      <c r="N6545" s="6">
        <v>44564.0</v>
      </c>
      <c r="Q6545" s="2" t="s">
        <v>86</v>
      </c>
    </row>
    <row r="6546">
      <c r="A6546" s="2">
        <v>6545.0</v>
      </c>
      <c r="B6546" s="2" t="s">
        <v>10667</v>
      </c>
      <c r="C6546" s="2" t="s">
        <v>23</v>
      </c>
      <c r="K6546" s="2">
        <v>20.0</v>
      </c>
      <c r="N6546" s="6">
        <v>43920.0</v>
      </c>
      <c r="Q6546" s="2" t="s">
        <v>1070</v>
      </c>
    </row>
    <row r="6547">
      <c r="A6547" s="2">
        <v>6546.0</v>
      </c>
      <c r="B6547" s="2" t="s">
        <v>10668</v>
      </c>
      <c r="C6547" s="2" t="s">
        <v>23</v>
      </c>
      <c r="K6547" s="2">
        <v>30.0</v>
      </c>
      <c r="N6547" s="6">
        <v>44754.0</v>
      </c>
      <c r="Q6547" s="2" t="s">
        <v>10669</v>
      </c>
    </row>
    <row r="6548">
      <c r="A6548" s="2">
        <v>6547.0</v>
      </c>
      <c r="B6548" s="2" t="s">
        <v>10670</v>
      </c>
      <c r="C6548" s="2" t="s">
        <v>23</v>
      </c>
      <c r="K6548" s="2">
        <v>30.0</v>
      </c>
      <c r="N6548" s="6">
        <v>44600.0</v>
      </c>
      <c r="Q6548" s="2" t="s">
        <v>10671</v>
      </c>
    </row>
    <row r="6549">
      <c r="A6549" s="2">
        <v>6548.0</v>
      </c>
      <c r="B6549" s="2" t="s">
        <v>10672</v>
      </c>
      <c r="C6549" s="2" t="s">
        <v>23</v>
      </c>
      <c r="N6549" s="6">
        <v>44206.0</v>
      </c>
      <c r="Q6549" s="2" t="s">
        <v>86</v>
      </c>
    </row>
    <row r="6550">
      <c r="A6550" s="2">
        <v>6549.0</v>
      </c>
      <c r="B6550" s="2" t="s">
        <v>10673</v>
      </c>
      <c r="C6550" s="2" t="s">
        <v>23</v>
      </c>
      <c r="K6550" s="2">
        <v>60.0</v>
      </c>
      <c r="N6550" s="6">
        <v>45629.0</v>
      </c>
      <c r="Q6550" s="2" t="s">
        <v>10674</v>
      </c>
    </row>
    <row r="6551">
      <c r="A6551" s="2">
        <v>6550.0</v>
      </c>
      <c r="B6551" s="2" t="s">
        <v>10675</v>
      </c>
      <c r="C6551" s="2" t="s">
        <v>23</v>
      </c>
      <c r="K6551" s="2">
        <v>80.0</v>
      </c>
      <c r="N6551" s="6">
        <v>44433.0</v>
      </c>
      <c r="Q6551" s="2" t="s">
        <v>4302</v>
      </c>
    </row>
    <row r="6552">
      <c r="A6552" s="2">
        <v>6551.0</v>
      </c>
      <c r="B6552" s="2" t="s">
        <v>10676</v>
      </c>
      <c r="C6552" s="2" t="s">
        <v>23</v>
      </c>
      <c r="K6552" s="2">
        <v>20.0</v>
      </c>
      <c r="N6552" s="6">
        <v>43930.0</v>
      </c>
      <c r="Q6552" s="2" t="s">
        <v>2522</v>
      </c>
    </row>
    <row r="6553">
      <c r="A6553" s="2">
        <v>6552.0</v>
      </c>
      <c r="B6553" s="2" t="s">
        <v>10677</v>
      </c>
      <c r="C6553" s="2" t="s">
        <v>23</v>
      </c>
      <c r="K6553" s="2">
        <v>20.0</v>
      </c>
      <c r="N6553" s="6">
        <v>44260.0</v>
      </c>
      <c r="Q6553" s="2" t="s">
        <v>86</v>
      </c>
    </row>
    <row r="6554">
      <c r="A6554" s="2">
        <v>6553.0</v>
      </c>
      <c r="B6554" s="2" t="s">
        <v>10678</v>
      </c>
      <c r="C6554" s="2" t="s">
        <v>23</v>
      </c>
      <c r="K6554" s="2">
        <v>400.0</v>
      </c>
      <c r="N6554" s="6">
        <v>43424.0</v>
      </c>
      <c r="Q6554" s="2" t="s">
        <v>10679</v>
      </c>
    </row>
    <row r="6555">
      <c r="A6555" s="2">
        <v>6554.0</v>
      </c>
      <c r="B6555" s="2" t="s">
        <v>10680</v>
      </c>
      <c r="C6555" s="2" t="s">
        <v>23</v>
      </c>
      <c r="K6555" s="2">
        <v>200.0</v>
      </c>
      <c r="N6555" s="6">
        <v>44087.0</v>
      </c>
      <c r="Q6555" s="2" t="s">
        <v>10681</v>
      </c>
    </row>
    <row r="6556">
      <c r="A6556" s="2">
        <v>6555.0</v>
      </c>
      <c r="B6556" s="2" t="s">
        <v>10682</v>
      </c>
      <c r="C6556" s="2" t="s">
        <v>23</v>
      </c>
      <c r="N6556" s="6">
        <v>45294.0</v>
      </c>
      <c r="Q6556" s="2" t="s">
        <v>426</v>
      </c>
    </row>
    <row r="6557">
      <c r="A6557" s="2">
        <v>6556.0</v>
      </c>
      <c r="B6557" s="2" t="s">
        <v>10683</v>
      </c>
      <c r="C6557" s="2" t="s">
        <v>23</v>
      </c>
      <c r="K6557" s="2">
        <v>10.0</v>
      </c>
      <c r="N6557" s="6">
        <v>45692.0</v>
      </c>
      <c r="Q6557" s="2" t="s">
        <v>10684</v>
      </c>
    </row>
    <row r="6558">
      <c r="A6558" s="2">
        <v>6557.0</v>
      </c>
      <c r="B6558" s="2" t="s">
        <v>10685</v>
      </c>
      <c r="C6558" s="2" t="s">
        <v>23</v>
      </c>
      <c r="N6558" s="6">
        <v>45103.0</v>
      </c>
      <c r="Q6558" s="2" t="s">
        <v>10686</v>
      </c>
    </row>
    <row r="6559">
      <c r="A6559" s="2">
        <v>6558.0</v>
      </c>
      <c r="B6559" s="2" t="s">
        <v>10687</v>
      </c>
      <c r="C6559" s="2" t="s">
        <v>23</v>
      </c>
      <c r="N6559" s="6">
        <v>42936.0</v>
      </c>
      <c r="Q6559" s="2" t="s">
        <v>86</v>
      </c>
    </row>
    <row r="6560">
      <c r="A6560" s="2">
        <v>6559.0</v>
      </c>
      <c r="B6560" s="2" t="s">
        <v>10688</v>
      </c>
      <c r="C6560" s="2" t="s">
        <v>23</v>
      </c>
      <c r="N6560" s="6">
        <v>44819.0</v>
      </c>
      <c r="Q6560" s="2" t="s">
        <v>86</v>
      </c>
    </row>
    <row r="6561">
      <c r="A6561" s="2">
        <v>6560.0</v>
      </c>
      <c r="B6561" s="2" t="s">
        <v>10689</v>
      </c>
      <c r="C6561" s="2" t="s">
        <v>23</v>
      </c>
      <c r="N6561" s="6">
        <v>44078.0</v>
      </c>
      <c r="Q6561" s="2" t="s">
        <v>8960</v>
      </c>
    </row>
    <row r="6562">
      <c r="A6562" s="2">
        <v>6561.0</v>
      </c>
      <c r="B6562" s="2" t="s">
        <v>10690</v>
      </c>
      <c r="C6562" s="2" t="s">
        <v>23</v>
      </c>
      <c r="N6562" s="6">
        <v>45160.0</v>
      </c>
      <c r="Q6562" s="2" t="s">
        <v>10691</v>
      </c>
    </row>
    <row r="6563">
      <c r="A6563" s="2">
        <v>6562.0</v>
      </c>
      <c r="B6563" s="2" t="s">
        <v>10692</v>
      </c>
      <c r="C6563" s="2" t="s">
        <v>23</v>
      </c>
      <c r="N6563" s="6">
        <v>43929.0</v>
      </c>
      <c r="Q6563" s="2" t="s">
        <v>86</v>
      </c>
    </row>
    <row r="6564">
      <c r="A6564" s="2">
        <v>6563.0</v>
      </c>
      <c r="B6564" s="2" t="s">
        <v>10693</v>
      </c>
      <c r="C6564" s="2" t="s">
        <v>23</v>
      </c>
      <c r="N6564" s="6">
        <v>44966.0</v>
      </c>
      <c r="Q6564" s="2" t="s">
        <v>86</v>
      </c>
    </row>
    <row r="6565">
      <c r="A6565" s="2">
        <v>6564.0</v>
      </c>
      <c r="B6565" s="2" t="s">
        <v>10694</v>
      </c>
      <c r="C6565" s="2" t="s">
        <v>23</v>
      </c>
      <c r="N6565" s="6">
        <v>44999.0</v>
      </c>
      <c r="Q6565" s="2" t="s">
        <v>10695</v>
      </c>
    </row>
    <row r="6566">
      <c r="A6566" s="2">
        <v>6565.0</v>
      </c>
      <c r="B6566" s="2" t="s">
        <v>10696</v>
      </c>
      <c r="C6566" s="2" t="s">
        <v>23</v>
      </c>
      <c r="N6566" s="6">
        <v>45802.0</v>
      </c>
      <c r="Q6566" s="2" t="s">
        <v>10697</v>
      </c>
    </row>
    <row r="6567">
      <c r="A6567" s="2">
        <v>6566.0</v>
      </c>
      <c r="B6567" s="2" t="s">
        <v>10698</v>
      </c>
      <c r="C6567" s="2" t="s">
        <v>23</v>
      </c>
      <c r="K6567" s="2">
        <v>100.0</v>
      </c>
      <c r="N6567" s="6">
        <v>45545.0</v>
      </c>
      <c r="Q6567" s="2" t="s">
        <v>10699</v>
      </c>
    </row>
    <row r="6568">
      <c r="A6568" s="2">
        <v>6567.0</v>
      </c>
      <c r="B6568" s="2" t="s">
        <v>10700</v>
      </c>
      <c r="C6568" s="2" t="s">
        <v>23</v>
      </c>
      <c r="K6568" s="2">
        <v>40.0</v>
      </c>
      <c r="N6568" s="6">
        <v>44345.0</v>
      </c>
      <c r="Q6568" s="2" t="s">
        <v>10701</v>
      </c>
    </row>
    <row r="6569">
      <c r="A6569" s="2">
        <v>6568.0</v>
      </c>
      <c r="B6569" s="2" t="s">
        <v>10702</v>
      </c>
      <c r="C6569" s="2" t="s">
        <v>23</v>
      </c>
      <c r="K6569" s="2">
        <v>10.0</v>
      </c>
      <c r="N6569" s="6">
        <v>45336.0</v>
      </c>
      <c r="Q6569" s="2" t="s">
        <v>10703</v>
      </c>
    </row>
    <row r="6570">
      <c r="A6570" s="2">
        <v>6569.0</v>
      </c>
      <c r="B6570" s="2" t="s">
        <v>10704</v>
      </c>
      <c r="C6570" s="2" t="s">
        <v>23</v>
      </c>
      <c r="N6570" s="6">
        <v>44690.0</v>
      </c>
      <c r="Q6570" s="2" t="s">
        <v>86</v>
      </c>
    </row>
    <row r="6571">
      <c r="A6571" s="2">
        <v>6570.0</v>
      </c>
      <c r="B6571" s="2" t="s">
        <v>10705</v>
      </c>
      <c r="C6571" s="2" t="s">
        <v>23</v>
      </c>
      <c r="N6571" s="6">
        <v>44452.0</v>
      </c>
      <c r="Q6571" s="2" t="s">
        <v>86</v>
      </c>
    </row>
    <row r="6572">
      <c r="A6572" s="2">
        <v>6571.0</v>
      </c>
      <c r="B6572" s="2" t="s">
        <v>10706</v>
      </c>
      <c r="C6572" s="2" t="s">
        <v>23</v>
      </c>
      <c r="N6572" s="6">
        <v>44536.0</v>
      </c>
      <c r="Q6572" s="2" t="s">
        <v>86</v>
      </c>
    </row>
    <row r="6573">
      <c r="A6573" s="2">
        <v>6572.0</v>
      </c>
      <c r="B6573" s="2" t="s">
        <v>10707</v>
      </c>
      <c r="C6573" s="2" t="s">
        <v>23</v>
      </c>
      <c r="K6573" s="2">
        <v>50.0</v>
      </c>
      <c r="N6573" s="6">
        <v>45620.0</v>
      </c>
      <c r="Q6573" s="2" t="s">
        <v>10708</v>
      </c>
    </row>
    <row r="6574">
      <c r="A6574" s="2">
        <v>6573.0</v>
      </c>
      <c r="B6574" s="2" t="s">
        <v>10709</v>
      </c>
      <c r="C6574" s="2" t="s">
        <v>23</v>
      </c>
      <c r="N6574" s="6">
        <v>42318.0</v>
      </c>
      <c r="O6574" s="2" t="s">
        <v>35</v>
      </c>
      <c r="P6574" s="2" t="s">
        <v>36</v>
      </c>
      <c r="Q6574" s="2" t="s">
        <v>86</v>
      </c>
      <c r="S6574" s="2" t="s">
        <v>39</v>
      </c>
    </row>
    <row r="6575">
      <c r="A6575" s="2">
        <v>6574.0</v>
      </c>
      <c r="B6575" s="2" t="s">
        <v>10710</v>
      </c>
      <c r="C6575" s="2" t="s">
        <v>23</v>
      </c>
      <c r="K6575" s="2">
        <v>10.0</v>
      </c>
      <c r="N6575" s="6">
        <v>43255.0</v>
      </c>
      <c r="Q6575" s="2" t="s">
        <v>60</v>
      </c>
    </row>
    <row r="6576">
      <c r="A6576" s="2">
        <v>6575.0</v>
      </c>
      <c r="B6576" s="2" t="s">
        <v>10711</v>
      </c>
      <c r="C6576" s="2" t="s">
        <v>23</v>
      </c>
      <c r="K6576" s="2">
        <v>20.0</v>
      </c>
      <c r="N6576" s="6">
        <v>43936.0</v>
      </c>
      <c r="Q6576" s="2" t="s">
        <v>10712</v>
      </c>
    </row>
    <row r="6577">
      <c r="A6577" s="2">
        <v>6576.0</v>
      </c>
      <c r="B6577" s="2" t="s">
        <v>10713</v>
      </c>
      <c r="C6577" s="2" t="s">
        <v>23</v>
      </c>
      <c r="N6577" s="6">
        <v>44034.0</v>
      </c>
      <c r="Q6577" s="2" t="s">
        <v>86</v>
      </c>
    </row>
    <row r="6578">
      <c r="A6578" s="2">
        <v>6577.0</v>
      </c>
      <c r="B6578" s="2" t="s">
        <v>10714</v>
      </c>
      <c r="C6578" s="2" t="s">
        <v>23</v>
      </c>
      <c r="K6578" s="2">
        <v>40.0</v>
      </c>
      <c r="N6578" s="6">
        <v>44842.0</v>
      </c>
      <c r="Q6578" s="2" t="s">
        <v>10715</v>
      </c>
    </row>
    <row r="6579">
      <c r="A6579" s="2">
        <v>6578.0</v>
      </c>
      <c r="B6579" s="2" t="s">
        <v>10716</v>
      </c>
      <c r="C6579" s="2" t="s">
        <v>23</v>
      </c>
      <c r="K6579" s="2">
        <v>30.0</v>
      </c>
      <c r="N6579" s="6">
        <v>45554.0</v>
      </c>
      <c r="Q6579" s="2" t="s">
        <v>5591</v>
      </c>
    </row>
    <row r="6580">
      <c r="A6580" s="2">
        <v>6579.0</v>
      </c>
      <c r="B6580" s="2" t="s">
        <v>10717</v>
      </c>
      <c r="C6580" s="2" t="s">
        <v>23</v>
      </c>
      <c r="K6580" s="2">
        <v>10.0</v>
      </c>
      <c r="N6580" s="6">
        <v>45571.0</v>
      </c>
      <c r="Q6580" s="2" t="s">
        <v>10718</v>
      </c>
    </row>
    <row r="6581">
      <c r="A6581" s="2">
        <v>6580.0</v>
      </c>
      <c r="B6581" s="2" t="s">
        <v>10719</v>
      </c>
      <c r="C6581" s="2" t="s">
        <v>23</v>
      </c>
      <c r="K6581" s="2">
        <v>60.0</v>
      </c>
      <c r="N6581" s="6">
        <v>45626.0</v>
      </c>
      <c r="Q6581" s="2" t="s">
        <v>10720</v>
      </c>
    </row>
    <row r="6582">
      <c r="A6582" s="2">
        <v>6581.0</v>
      </c>
      <c r="B6582" s="2" t="s">
        <v>10721</v>
      </c>
      <c r="C6582" s="2" t="s">
        <v>23</v>
      </c>
      <c r="N6582" s="6">
        <v>42633.0</v>
      </c>
      <c r="Q6582" s="2" t="s">
        <v>86</v>
      </c>
    </row>
    <row r="6583">
      <c r="A6583" s="2">
        <v>6582.0</v>
      </c>
      <c r="B6583" s="2" t="s">
        <v>10722</v>
      </c>
      <c r="C6583" s="2" t="s">
        <v>23</v>
      </c>
      <c r="K6583" s="2">
        <v>20.0</v>
      </c>
      <c r="N6583" s="6">
        <v>44175.0</v>
      </c>
      <c r="Q6583" s="2" t="s">
        <v>401</v>
      </c>
    </row>
    <row r="6584">
      <c r="A6584" s="2">
        <v>6583.0</v>
      </c>
      <c r="B6584" s="2" t="s">
        <v>10723</v>
      </c>
      <c r="C6584" s="2" t="s">
        <v>23</v>
      </c>
      <c r="N6584" s="6">
        <v>42879.0</v>
      </c>
      <c r="Q6584" s="2" t="s">
        <v>86</v>
      </c>
    </row>
    <row r="6585">
      <c r="A6585" s="2">
        <v>6584.0</v>
      </c>
      <c r="B6585" s="2" t="s">
        <v>10724</v>
      </c>
      <c r="C6585" s="2" t="s">
        <v>23</v>
      </c>
      <c r="K6585" s="2">
        <v>40.0</v>
      </c>
      <c r="N6585" s="6">
        <v>44498.0</v>
      </c>
      <c r="Q6585" s="2" t="s">
        <v>86</v>
      </c>
    </row>
    <row r="6586">
      <c r="A6586" s="2">
        <v>6585.0</v>
      </c>
      <c r="B6586" s="2" t="s">
        <v>10725</v>
      </c>
      <c r="C6586" s="2" t="s">
        <v>23</v>
      </c>
      <c r="K6586" s="2">
        <v>10.0</v>
      </c>
      <c r="N6586" s="6">
        <v>44033.0</v>
      </c>
      <c r="Q6586" s="2" t="s">
        <v>491</v>
      </c>
    </row>
    <row r="6587">
      <c r="A6587" s="2">
        <v>6586.0</v>
      </c>
      <c r="B6587" s="2" t="s">
        <v>10726</v>
      </c>
      <c r="C6587" s="2" t="s">
        <v>23</v>
      </c>
      <c r="K6587" s="2">
        <v>150.0</v>
      </c>
      <c r="N6587" s="6">
        <v>45605.0</v>
      </c>
      <c r="Q6587" s="2" t="s">
        <v>10727</v>
      </c>
    </row>
    <row r="6588">
      <c r="A6588" s="2">
        <v>6587.0</v>
      </c>
      <c r="B6588" s="2" t="s">
        <v>10728</v>
      </c>
      <c r="C6588" s="2" t="s">
        <v>23</v>
      </c>
      <c r="K6588" s="2">
        <v>60.0</v>
      </c>
      <c r="N6588" s="6">
        <v>45614.0</v>
      </c>
      <c r="Q6588" s="2" t="s">
        <v>10729</v>
      </c>
    </row>
    <row r="6589">
      <c r="A6589" s="2">
        <v>6588.0</v>
      </c>
      <c r="B6589" s="2" t="s">
        <v>10730</v>
      </c>
      <c r="C6589" s="2" t="s">
        <v>23</v>
      </c>
      <c r="N6589" s="6">
        <v>45827.0</v>
      </c>
      <c r="Q6589" s="2" t="s">
        <v>10731</v>
      </c>
    </row>
    <row r="6590">
      <c r="A6590" s="2">
        <v>6589.0</v>
      </c>
      <c r="B6590" s="2" t="s">
        <v>10732</v>
      </c>
      <c r="C6590" s="2" t="s">
        <v>23</v>
      </c>
      <c r="K6590" s="2">
        <v>30.0</v>
      </c>
      <c r="N6590" s="6">
        <v>44872.0</v>
      </c>
      <c r="Q6590" s="2" t="s">
        <v>1156</v>
      </c>
    </row>
    <row r="6591">
      <c r="A6591" s="2">
        <v>6590.0</v>
      </c>
      <c r="B6591" s="2" t="s">
        <v>10733</v>
      </c>
      <c r="C6591" s="2" t="s">
        <v>23</v>
      </c>
      <c r="K6591" s="2">
        <v>60.0</v>
      </c>
      <c r="N6591" s="6">
        <v>44701.0</v>
      </c>
      <c r="Q6591" s="2" t="s">
        <v>60</v>
      </c>
    </row>
    <row r="6592">
      <c r="A6592" s="2">
        <v>6591.0</v>
      </c>
      <c r="B6592" s="2" t="s">
        <v>10734</v>
      </c>
      <c r="C6592" s="2" t="s">
        <v>23</v>
      </c>
      <c r="N6592" s="6">
        <v>44675.0</v>
      </c>
      <c r="Q6592" s="2" t="s">
        <v>86</v>
      </c>
    </row>
    <row r="6593">
      <c r="A6593" s="2">
        <v>6592.0</v>
      </c>
      <c r="B6593" s="2" t="s">
        <v>10735</v>
      </c>
      <c r="C6593" s="2" t="s">
        <v>23</v>
      </c>
      <c r="N6593" s="6">
        <v>45478.0</v>
      </c>
      <c r="Q6593" s="2" t="s">
        <v>1156</v>
      </c>
    </row>
    <row r="6594">
      <c r="A6594" s="2">
        <v>6593.0</v>
      </c>
      <c r="B6594" s="2" t="s">
        <v>10736</v>
      </c>
      <c r="C6594" s="2" t="s">
        <v>23</v>
      </c>
      <c r="K6594" s="2">
        <v>20.0</v>
      </c>
      <c r="N6594" s="6">
        <v>44493.0</v>
      </c>
      <c r="Q6594" s="2" t="s">
        <v>2701</v>
      </c>
    </row>
    <row r="6595">
      <c r="A6595" s="2">
        <v>6594.0</v>
      </c>
      <c r="B6595" s="2" t="s">
        <v>10737</v>
      </c>
      <c r="C6595" s="2" t="s">
        <v>23</v>
      </c>
      <c r="N6595" s="6">
        <v>43344.0</v>
      </c>
      <c r="Q6595" s="2" t="s">
        <v>86</v>
      </c>
    </row>
    <row r="6596">
      <c r="A6596" s="2">
        <v>6595.0</v>
      </c>
      <c r="B6596" s="2" t="s">
        <v>10738</v>
      </c>
      <c r="C6596" s="2" t="s">
        <v>23</v>
      </c>
      <c r="K6596" s="2">
        <v>30.0</v>
      </c>
      <c r="N6596" s="6">
        <v>45557.0</v>
      </c>
      <c r="Q6596" s="2" t="s">
        <v>10739</v>
      </c>
    </row>
    <row r="6597">
      <c r="A6597" s="2">
        <v>6596.0</v>
      </c>
      <c r="B6597" s="2" t="s">
        <v>10740</v>
      </c>
      <c r="C6597" s="2" t="s">
        <v>23</v>
      </c>
      <c r="N6597" s="6">
        <v>44762.0</v>
      </c>
      <c r="Q6597" s="2" t="s">
        <v>86</v>
      </c>
    </row>
    <row r="6598">
      <c r="A6598" s="2">
        <v>6597.0</v>
      </c>
      <c r="B6598" s="2" t="s">
        <v>10741</v>
      </c>
      <c r="C6598" s="2" t="s">
        <v>23</v>
      </c>
      <c r="K6598" s="2">
        <v>10.0</v>
      </c>
      <c r="N6598" s="6">
        <v>45320.0</v>
      </c>
      <c r="Q6598" s="2" t="s">
        <v>1576</v>
      </c>
    </row>
    <row r="6599">
      <c r="A6599" s="2">
        <v>6598.0</v>
      </c>
      <c r="B6599" s="2" t="s">
        <v>10742</v>
      </c>
      <c r="C6599" s="2" t="s">
        <v>23</v>
      </c>
      <c r="K6599" s="2">
        <v>20.0</v>
      </c>
      <c r="N6599" s="6">
        <v>44137.0</v>
      </c>
      <c r="Q6599" s="2" t="s">
        <v>6104</v>
      </c>
    </row>
    <row r="6600">
      <c r="A6600" s="2">
        <v>6599.0</v>
      </c>
      <c r="B6600" s="2" t="s">
        <v>10743</v>
      </c>
      <c r="C6600" s="2" t="s">
        <v>23</v>
      </c>
      <c r="N6600" s="6">
        <v>44123.0</v>
      </c>
      <c r="Q6600" s="2" t="s">
        <v>86</v>
      </c>
    </row>
    <row r="6601">
      <c r="A6601" s="2">
        <v>6600.0</v>
      </c>
      <c r="B6601" s="2" t="s">
        <v>10744</v>
      </c>
      <c r="C6601" s="2" t="s">
        <v>23</v>
      </c>
      <c r="K6601" s="2">
        <v>30.0</v>
      </c>
      <c r="N6601" s="6">
        <v>44701.0</v>
      </c>
      <c r="Q6601" s="2" t="s">
        <v>10745</v>
      </c>
    </row>
    <row r="6602">
      <c r="A6602" s="2">
        <v>6601.0</v>
      </c>
      <c r="B6602" s="2" t="s">
        <v>10746</v>
      </c>
      <c r="C6602" s="2" t="s">
        <v>23</v>
      </c>
      <c r="N6602" s="6">
        <v>42266.0</v>
      </c>
      <c r="Q6602" s="2" t="s">
        <v>10747</v>
      </c>
    </row>
    <row r="6603">
      <c r="A6603" s="2">
        <v>6602.0</v>
      </c>
      <c r="B6603" s="2" t="s">
        <v>10748</v>
      </c>
      <c r="C6603" s="2" t="s">
        <v>23</v>
      </c>
      <c r="K6603" s="2">
        <v>40.0</v>
      </c>
      <c r="N6603" s="6">
        <v>43137.0</v>
      </c>
      <c r="Q6603" s="2" t="s">
        <v>10749</v>
      </c>
    </row>
    <row r="6604">
      <c r="A6604" s="2">
        <v>6603.0</v>
      </c>
      <c r="B6604" s="2" t="s">
        <v>10750</v>
      </c>
      <c r="C6604" s="2" t="s">
        <v>23</v>
      </c>
      <c r="K6604" s="2">
        <v>80.0</v>
      </c>
      <c r="N6604" s="6">
        <v>44263.0</v>
      </c>
      <c r="Q6604" s="2" t="s">
        <v>10751</v>
      </c>
    </row>
    <row r="6605">
      <c r="A6605" s="2">
        <v>6604.0</v>
      </c>
      <c r="B6605" s="2" t="s">
        <v>10752</v>
      </c>
      <c r="C6605" s="2" t="s">
        <v>23</v>
      </c>
      <c r="N6605" s="6">
        <v>45467.0</v>
      </c>
      <c r="Q6605" s="2" t="s">
        <v>10753</v>
      </c>
    </row>
    <row r="6606">
      <c r="A6606" s="2">
        <v>6605.0</v>
      </c>
      <c r="B6606" s="2" t="s">
        <v>10754</v>
      </c>
      <c r="C6606" s="2" t="s">
        <v>23</v>
      </c>
      <c r="N6606" s="6">
        <v>43984.0</v>
      </c>
      <c r="Q6606" s="2" t="s">
        <v>86</v>
      </c>
    </row>
    <row r="6607">
      <c r="A6607" s="2">
        <v>6606.0</v>
      </c>
      <c r="B6607" s="2" t="s">
        <v>10755</v>
      </c>
      <c r="C6607" s="2" t="s">
        <v>23</v>
      </c>
      <c r="K6607" s="2">
        <v>20.0</v>
      </c>
      <c r="N6607" s="6">
        <v>44103.0</v>
      </c>
      <c r="Q6607" s="2" t="s">
        <v>1466</v>
      </c>
    </row>
    <row r="6608">
      <c r="A6608" s="2">
        <v>6607.0</v>
      </c>
      <c r="B6608" s="2" t="s">
        <v>10756</v>
      </c>
      <c r="C6608" s="2" t="s">
        <v>23</v>
      </c>
      <c r="K6608" s="2">
        <v>20.0</v>
      </c>
      <c r="N6608" s="6">
        <v>45016.0</v>
      </c>
      <c r="Q6608" s="2" t="s">
        <v>1474</v>
      </c>
    </row>
    <row r="6609">
      <c r="A6609" s="2">
        <v>6608.0</v>
      </c>
      <c r="B6609" s="2" t="s">
        <v>10757</v>
      </c>
      <c r="C6609" s="2" t="s">
        <v>23</v>
      </c>
      <c r="K6609" s="2">
        <v>30.0</v>
      </c>
      <c r="N6609" s="6">
        <v>43950.0</v>
      </c>
      <c r="Q6609" s="2" t="s">
        <v>235</v>
      </c>
    </row>
    <row r="6610">
      <c r="A6610" s="2">
        <v>6609.0</v>
      </c>
      <c r="B6610" s="2" t="s">
        <v>10758</v>
      </c>
      <c r="C6610" s="2" t="s">
        <v>23</v>
      </c>
      <c r="K6610" s="2">
        <v>20.0</v>
      </c>
      <c r="N6610" s="6">
        <v>44637.0</v>
      </c>
      <c r="Q6610" s="2" t="s">
        <v>89</v>
      </c>
    </row>
    <row r="6611">
      <c r="A6611" s="2">
        <v>6610.0</v>
      </c>
      <c r="B6611" s="2" t="s">
        <v>10759</v>
      </c>
      <c r="C6611" s="2" t="s">
        <v>23</v>
      </c>
      <c r="K6611" s="2">
        <v>40.0</v>
      </c>
      <c r="N6611" s="6">
        <v>44962.0</v>
      </c>
      <c r="Q6611" s="2" t="s">
        <v>86</v>
      </c>
    </row>
    <row r="6612">
      <c r="A6612" s="2">
        <v>6611.0</v>
      </c>
      <c r="B6612" s="2" t="s">
        <v>10760</v>
      </c>
      <c r="C6612" s="2" t="s">
        <v>23</v>
      </c>
      <c r="N6612" s="6">
        <v>45646.0</v>
      </c>
      <c r="Q6612" s="2" t="s">
        <v>10761</v>
      </c>
    </row>
    <row r="6613">
      <c r="A6613" s="2">
        <v>6612.0</v>
      </c>
      <c r="B6613" s="2" t="s">
        <v>10762</v>
      </c>
      <c r="C6613" s="2" t="s">
        <v>23</v>
      </c>
      <c r="K6613" s="2">
        <v>40.0</v>
      </c>
      <c r="N6613" s="6">
        <v>44254.0</v>
      </c>
      <c r="Q6613" s="2" t="s">
        <v>2932</v>
      </c>
    </row>
    <row r="6614">
      <c r="A6614" s="2">
        <v>6613.0</v>
      </c>
      <c r="B6614" s="2" t="s">
        <v>10763</v>
      </c>
      <c r="C6614" s="2" t="s">
        <v>23</v>
      </c>
      <c r="N6614" s="6">
        <v>44096.0</v>
      </c>
      <c r="Q6614" s="2" t="s">
        <v>10764</v>
      </c>
    </row>
    <row r="6615">
      <c r="A6615" s="2">
        <v>6614.0</v>
      </c>
      <c r="B6615" s="2" t="s">
        <v>10765</v>
      </c>
      <c r="C6615" s="2" t="s">
        <v>23</v>
      </c>
      <c r="K6615" s="2">
        <v>150.0</v>
      </c>
      <c r="N6615" s="6">
        <v>43874.0</v>
      </c>
      <c r="Q6615" s="2" t="s">
        <v>10766</v>
      </c>
    </row>
    <row r="6616">
      <c r="A6616" s="2">
        <v>6615.0</v>
      </c>
      <c r="B6616" s="2" t="s">
        <v>10767</v>
      </c>
      <c r="C6616" s="2" t="s">
        <v>23</v>
      </c>
      <c r="N6616" s="6">
        <v>42442.0</v>
      </c>
      <c r="Q6616" s="2" t="s">
        <v>86</v>
      </c>
    </row>
    <row r="6617">
      <c r="A6617" s="2">
        <v>6616.0</v>
      </c>
      <c r="B6617" s="2" t="s">
        <v>10768</v>
      </c>
      <c r="C6617" s="2" t="s">
        <v>23</v>
      </c>
      <c r="N6617" s="6">
        <v>44204.0</v>
      </c>
      <c r="Q6617" s="2" t="s">
        <v>8922</v>
      </c>
    </row>
    <row r="6618">
      <c r="A6618" s="2">
        <v>6617.0</v>
      </c>
      <c r="B6618" s="2" t="s">
        <v>10769</v>
      </c>
      <c r="C6618" s="2" t="s">
        <v>23</v>
      </c>
      <c r="K6618" s="2">
        <v>20.0</v>
      </c>
      <c r="N6618" s="6">
        <v>44288.0</v>
      </c>
      <c r="Q6618" s="2" t="s">
        <v>86</v>
      </c>
    </row>
    <row r="6619">
      <c r="A6619" s="2">
        <v>6618.0</v>
      </c>
      <c r="B6619" s="2" t="s">
        <v>10770</v>
      </c>
      <c r="C6619" s="2" t="s">
        <v>23</v>
      </c>
      <c r="K6619" s="2">
        <v>70.0</v>
      </c>
      <c r="N6619" s="6">
        <v>45686.0</v>
      </c>
      <c r="Q6619" s="2" t="s">
        <v>9606</v>
      </c>
    </row>
    <row r="6620">
      <c r="A6620" s="2">
        <v>6619.0</v>
      </c>
      <c r="B6620" s="2" t="s">
        <v>10771</v>
      </c>
      <c r="C6620" s="2" t="s">
        <v>23</v>
      </c>
      <c r="K6620" s="2">
        <v>50.0</v>
      </c>
      <c r="N6620" s="6">
        <v>44568.0</v>
      </c>
      <c r="Q6620" s="2" t="s">
        <v>10772</v>
      </c>
    </row>
    <row r="6621">
      <c r="A6621" s="2">
        <v>6620.0</v>
      </c>
      <c r="B6621" s="2" t="s">
        <v>10773</v>
      </c>
      <c r="C6621" s="2" t="s">
        <v>23</v>
      </c>
      <c r="K6621" s="2">
        <v>150.0</v>
      </c>
      <c r="N6621" s="6">
        <v>44226.0</v>
      </c>
      <c r="Q6621" s="2" t="s">
        <v>10774</v>
      </c>
    </row>
    <row r="6622">
      <c r="A6622" s="2">
        <v>6621.0</v>
      </c>
      <c r="B6622" s="2" t="s">
        <v>10775</v>
      </c>
      <c r="C6622" s="2" t="s">
        <v>23</v>
      </c>
      <c r="N6622" s="6">
        <v>45021.0</v>
      </c>
      <c r="Q6622" s="2" t="s">
        <v>86</v>
      </c>
    </row>
    <row r="6623">
      <c r="A6623" s="2">
        <v>6622.0</v>
      </c>
      <c r="B6623" s="2" t="s">
        <v>10776</v>
      </c>
      <c r="C6623" s="2" t="s">
        <v>23</v>
      </c>
      <c r="K6623" s="2">
        <v>50.0</v>
      </c>
      <c r="N6623" s="6">
        <v>43755.0</v>
      </c>
      <c r="Q6623" s="2" t="s">
        <v>3609</v>
      </c>
    </row>
    <row r="6624">
      <c r="A6624" s="2">
        <v>6623.0</v>
      </c>
      <c r="B6624" s="2" t="s">
        <v>10777</v>
      </c>
      <c r="C6624" s="2" t="s">
        <v>23</v>
      </c>
      <c r="N6624" s="6">
        <v>42390.0</v>
      </c>
      <c r="Q6624" s="2" t="s">
        <v>86</v>
      </c>
    </row>
    <row r="6625">
      <c r="A6625" s="2">
        <v>6624.0</v>
      </c>
      <c r="B6625" s="2" t="s">
        <v>10778</v>
      </c>
      <c r="C6625" s="2" t="s">
        <v>23</v>
      </c>
      <c r="N6625" s="6">
        <v>45194.0</v>
      </c>
      <c r="Q6625" s="2" t="s">
        <v>491</v>
      </c>
    </row>
    <row r="6626">
      <c r="A6626" s="2">
        <v>6625.0</v>
      </c>
      <c r="B6626" s="2" t="s">
        <v>10779</v>
      </c>
      <c r="C6626" s="2" t="s">
        <v>23</v>
      </c>
      <c r="K6626" s="2">
        <v>50.0</v>
      </c>
      <c r="N6626" s="6">
        <v>44406.0</v>
      </c>
      <c r="Q6626" s="2" t="s">
        <v>2738</v>
      </c>
    </row>
    <row r="6627">
      <c r="A6627" s="2">
        <v>6626.0</v>
      </c>
      <c r="B6627" s="2" t="s">
        <v>10780</v>
      </c>
      <c r="C6627" s="2" t="s">
        <v>23</v>
      </c>
      <c r="N6627" s="6">
        <v>44402.0</v>
      </c>
      <c r="Q6627" s="2" t="s">
        <v>86</v>
      </c>
    </row>
    <row r="6628">
      <c r="A6628" s="2">
        <v>6627.0</v>
      </c>
      <c r="B6628" s="2" t="s">
        <v>10781</v>
      </c>
      <c r="C6628" s="2" t="s">
        <v>23</v>
      </c>
      <c r="N6628" s="6">
        <v>44289.0</v>
      </c>
      <c r="Q6628" s="2" t="s">
        <v>86</v>
      </c>
    </row>
    <row r="6629">
      <c r="A6629" s="2">
        <v>6628.0</v>
      </c>
      <c r="B6629" s="2" t="s">
        <v>10782</v>
      </c>
      <c r="C6629" s="2" t="s">
        <v>23</v>
      </c>
      <c r="K6629" s="2">
        <v>60.0</v>
      </c>
      <c r="N6629" s="6">
        <v>43983.0</v>
      </c>
      <c r="Q6629" s="2" t="s">
        <v>10783</v>
      </c>
    </row>
    <row r="6630">
      <c r="A6630" s="2">
        <v>6629.0</v>
      </c>
      <c r="B6630" s="2" t="s">
        <v>10784</v>
      </c>
      <c r="C6630" s="2" t="s">
        <v>23</v>
      </c>
      <c r="N6630" s="6">
        <v>44994.0</v>
      </c>
      <c r="Q6630" s="2" t="s">
        <v>86</v>
      </c>
    </row>
    <row r="6631">
      <c r="A6631" s="2">
        <v>6630.0</v>
      </c>
      <c r="B6631" s="2" t="s">
        <v>10785</v>
      </c>
      <c r="C6631" s="2" t="s">
        <v>23</v>
      </c>
      <c r="K6631" s="2">
        <v>60.0</v>
      </c>
      <c r="N6631" s="6">
        <v>44008.0</v>
      </c>
      <c r="Q6631" s="2" t="s">
        <v>86</v>
      </c>
    </row>
    <row r="6632">
      <c r="A6632" s="2">
        <v>6631.0</v>
      </c>
      <c r="B6632" s="2" t="s">
        <v>10786</v>
      </c>
      <c r="C6632" s="2" t="s">
        <v>23</v>
      </c>
      <c r="K6632" s="2">
        <v>60.0</v>
      </c>
      <c r="N6632" s="6">
        <v>44591.0</v>
      </c>
      <c r="Q6632" s="2" t="s">
        <v>2698</v>
      </c>
    </row>
    <row r="6633">
      <c r="A6633" s="2">
        <v>6632.0</v>
      </c>
      <c r="B6633" s="2" t="s">
        <v>10787</v>
      </c>
      <c r="C6633" s="2" t="s">
        <v>23</v>
      </c>
      <c r="K6633" s="2">
        <v>30.0</v>
      </c>
      <c r="N6633" s="6">
        <v>44570.0</v>
      </c>
      <c r="Q6633" s="2" t="s">
        <v>1466</v>
      </c>
    </row>
    <row r="6634">
      <c r="A6634" s="2">
        <v>6633.0</v>
      </c>
      <c r="B6634" s="2" t="s">
        <v>10788</v>
      </c>
      <c r="C6634" s="2" t="s">
        <v>23</v>
      </c>
      <c r="N6634" s="6">
        <v>43083.0</v>
      </c>
      <c r="Q6634" s="2" t="s">
        <v>86</v>
      </c>
    </row>
    <row r="6635">
      <c r="A6635" s="2">
        <v>6634.0</v>
      </c>
      <c r="B6635" s="2" t="s">
        <v>10789</v>
      </c>
      <c r="C6635" s="2" t="s">
        <v>23</v>
      </c>
      <c r="K6635" s="2">
        <v>60.0</v>
      </c>
      <c r="N6635" s="6">
        <v>45088.0</v>
      </c>
      <c r="Q6635" s="2" t="s">
        <v>1814</v>
      </c>
    </row>
    <row r="6636">
      <c r="A6636" s="2">
        <v>6635.0</v>
      </c>
      <c r="B6636" s="2" t="s">
        <v>10790</v>
      </c>
      <c r="C6636" s="2" t="s">
        <v>23</v>
      </c>
      <c r="K6636" s="2">
        <v>90.0</v>
      </c>
      <c r="N6636" s="6">
        <v>43870.0</v>
      </c>
      <c r="Q6636" s="2" t="s">
        <v>2820</v>
      </c>
    </row>
    <row r="6637">
      <c r="A6637" s="2">
        <v>6636.0</v>
      </c>
      <c r="B6637" s="2" t="s">
        <v>10791</v>
      </c>
      <c r="C6637" s="2" t="s">
        <v>23</v>
      </c>
      <c r="K6637" s="2">
        <v>30.0</v>
      </c>
      <c r="N6637" s="6">
        <v>43944.0</v>
      </c>
      <c r="Q6637" s="2" t="s">
        <v>1466</v>
      </c>
    </row>
    <row r="6638">
      <c r="A6638" s="2">
        <v>6637.0</v>
      </c>
      <c r="B6638" s="2" t="s">
        <v>10792</v>
      </c>
      <c r="C6638" s="2" t="s">
        <v>23</v>
      </c>
      <c r="N6638" s="6">
        <v>44328.0</v>
      </c>
      <c r="Q6638" s="2" t="s">
        <v>86</v>
      </c>
    </row>
    <row r="6639">
      <c r="A6639" s="2">
        <v>6638.0</v>
      </c>
      <c r="B6639" s="2" t="s">
        <v>10793</v>
      </c>
      <c r="C6639" s="2" t="s">
        <v>23</v>
      </c>
      <c r="N6639" s="6">
        <v>43976.0</v>
      </c>
      <c r="Q6639" s="2" t="s">
        <v>4759</v>
      </c>
    </row>
    <row r="6640">
      <c r="A6640" s="2">
        <v>6639.0</v>
      </c>
      <c r="B6640" s="2" t="s">
        <v>10794</v>
      </c>
      <c r="C6640" s="2" t="s">
        <v>23</v>
      </c>
      <c r="K6640" s="2">
        <v>200.0</v>
      </c>
      <c r="N6640" s="6">
        <v>43998.0</v>
      </c>
      <c r="Q6640" s="2" t="s">
        <v>10795</v>
      </c>
    </row>
    <row r="6641">
      <c r="A6641" s="2">
        <v>6640.0</v>
      </c>
      <c r="B6641" s="2" t="s">
        <v>10796</v>
      </c>
      <c r="C6641" s="2" t="s">
        <v>23</v>
      </c>
      <c r="N6641" s="6">
        <v>42926.0</v>
      </c>
      <c r="Q6641" s="2" t="s">
        <v>86</v>
      </c>
    </row>
    <row r="6642">
      <c r="A6642" s="2">
        <v>6641.0</v>
      </c>
      <c r="B6642" s="2" t="s">
        <v>10797</v>
      </c>
      <c r="C6642" s="2" t="s">
        <v>23</v>
      </c>
      <c r="K6642" s="2">
        <v>150.0</v>
      </c>
      <c r="N6642" s="6">
        <v>43914.0</v>
      </c>
      <c r="Q6642" s="2" t="s">
        <v>10798</v>
      </c>
    </row>
    <row r="6643">
      <c r="A6643" s="2">
        <v>6642.0</v>
      </c>
      <c r="B6643" s="2" t="s">
        <v>10799</v>
      </c>
      <c r="C6643" s="2" t="s">
        <v>23</v>
      </c>
      <c r="N6643" s="6">
        <v>44305.0</v>
      </c>
      <c r="Q6643" s="2" t="s">
        <v>10800</v>
      </c>
    </row>
    <row r="6644">
      <c r="A6644" s="2">
        <v>6643.0</v>
      </c>
      <c r="B6644" s="2" t="s">
        <v>10801</v>
      </c>
      <c r="C6644" s="2" t="s">
        <v>23</v>
      </c>
      <c r="N6644" s="6">
        <v>44285.0</v>
      </c>
      <c r="Q6644" s="2" t="s">
        <v>86</v>
      </c>
    </row>
    <row r="6645">
      <c r="A6645" s="2">
        <v>6644.0</v>
      </c>
      <c r="B6645" s="2" t="s">
        <v>10802</v>
      </c>
      <c r="C6645" s="2" t="s">
        <v>23</v>
      </c>
      <c r="K6645" s="2">
        <v>20.0</v>
      </c>
      <c r="N6645" s="6">
        <v>44641.0</v>
      </c>
      <c r="Q6645" s="2" t="s">
        <v>86</v>
      </c>
    </row>
    <row r="6646">
      <c r="A6646" s="2">
        <v>6645.0</v>
      </c>
      <c r="B6646" s="2" t="s">
        <v>10803</v>
      </c>
      <c r="C6646" s="2" t="s">
        <v>23</v>
      </c>
      <c r="K6646" s="2">
        <v>250.0</v>
      </c>
      <c r="N6646" s="6">
        <v>44781.0</v>
      </c>
      <c r="Q6646" s="2" t="s">
        <v>10804</v>
      </c>
    </row>
    <row r="6647">
      <c r="A6647" s="2">
        <v>6646.0</v>
      </c>
      <c r="B6647" s="2" t="s">
        <v>10805</v>
      </c>
      <c r="C6647" s="2" t="s">
        <v>23</v>
      </c>
      <c r="K6647" s="2">
        <v>50.0</v>
      </c>
      <c r="N6647" s="6">
        <v>44251.0</v>
      </c>
      <c r="Q6647" s="2" t="s">
        <v>1070</v>
      </c>
    </row>
    <row r="6648">
      <c r="A6648" s="2">
        <v>6647.0</v>
      </c>
      <c r="B6648" s="2" t="s">
        <v>10806</v>
      </c>
      <c r="C6648" s="2" t="s">
        <v>23</v>
      </c>
      <c r="N6648" s="6">
        <v>44566.0</v>
      </c>
      <c r="Q6648" s="2" t="s">
        <v>86</v>
      </c>
    </row>
    <row r="6649">
      <c r="A6649" s="2">
        <v>6648.0</v>
      </c>
      <c r="B6649" s="2" t="s">
        <v>10807</v>
      </c>
      <c r="C6649" s="2" t="s">
        <v>23</v>
      </c>
      <c r="N6649" s="6">
        <v>44342.0</v>
      </c>
      <c r="Q6649" s="2" t="s">
        <v>86</v>
      </c>
    </row>
    <row r="6650">
      <c r="A6650" s="2">
        <v>6649.0</v>
      </c>
      <c r="B6650" s="2" t="s">
        <v>10808</v>
      </c>
      <c r="C6650" s="2" t="s">
        <v>23</v>
      </c>
      <c r="N6650" s="6">
        <v>44518.0</v>
      </c>
      <c r="Q6650" s="2" t="s">
        <v>86</v>
      </c>
    </row>
    <row r="6651">
      <c r="A6651" s="2">
        <v>6650.0</v>
      </c>
      <c r="B6651" s="2" t="s">
        <v>10809</v>
      </c>
      <c r="C6651" s="2" t="s">
        <v>23</v>
      </c>
      <c r="K6651" s="2">
        <v>30.0</v>
      </c>
      <c r="N6651" s="6">
        <v>44724.0</v>
      </c>
      <c r="Q6651" s="2" t="s">
        <v>3208</v>
      </c>
    </row>
    <row r="6652">
      <c r="A6652" s="2">
        <v>6651.0</v>
      </c>
      <c r="B6652" s="2" t="s">
        <v>10810</v>
      </c>
      <c r="C6652" s="2" t="s">
        <v>23</v>
      </c>
      <c r="K6652" s="2">
        <v>40.0</v>
      </c>
      <c r="N6652" s="6">
        <v>44088.0</v>
      </c>
      <c r="Q6652" s="2" t="s">
        <v>10811</v>
      </c>
    </row>
    <row r="6653">
      <c r="A6653" s="2">
        <v>6652.0</v>
      </c>
      <c r="B6653" s="2" t="s">
        <v>10812</v>
      </c>
      <c r="C6653" s="2" t="s">
        <v>23</v>
      </c>
      <c r="N6653" s="6">
        <v>45988.0</v>
      </c>
      <c r="Q6653" s="2" t="s">
        <v>10813</v>
      </c>
    </row>
    <row r="6654">
      <c r="A6654" s="2">
        <v>6653.0</v>
      </c>
      <c r="B6654" s="2" t="s">
        <v>10814</v>
      </c>
      <c r="C6654" s="2" t="s">
        <v>23</v>
      </c>
      <c r="K6654" s="2">
        <v>40.0</v>
      </c>
      <c r="N6654" s="6">
        <v>45311.0</v>
      </c>
      <c r="Q6654" s="2" t="s">
        <v>10815</v>
      </c>
    </row>
    <row r="6655">
      <c r="A6655" s="2">
        <v>6654.0</v>
      </c>
      <c r="B6655" s="2" t="s">
        <v>10816</v>
      </c>
      <c r="C6655" s="2" t="s">
        <v>23</v>
      </c>
      <c r="K6655" s="2">
        <v>200.0</v>
      </c>
      <c r="N6655" s="6">
        <v>43909.0</v>
      </c>
      <c r="Q6655" s="2" t="s">
        <v>10817</v>
      </c>
    </row>
    <row r="6656">
      <c r="A6656" s="2">
        <v>6655.0</v>
      </c>
      <c r="B6656" s="2" t="s">
        <v>10818</v>
      </c>
      <c r="C6656" s="2" t="s">
        <v>23</v>
      </c>
      <c r="K6656" s="2">
        <v>150.0</v>
      </c>
      <c r="N6656" s="6">
        <v>44666.0</v>
      </c>
      <c r="Q6656" s="2" t="s">
        <v>3062</v>
      </c>
    </row>
    <row r="6657">
      <c r="A6657" s="2">
        <v>6656.0</v>
      </c>
      <c r="B6657" s="2" t="s">
        <v>10819</v>
      </c>
      <c r="C6657" s="2" t="s">
        <v>23</v>
      </c>
      <c r="K6657" s="2">
        <v>100.0</v>
      </c>
      <c r="N6657" s="6">
        <v>44247.0</v>
      </c>
      <c r="Q6657" s="2" t="s">
        <v>10820</v>
      </c>
    </row>
    <row r="6658">
      <c r="A6658" s="2">
        <v>6657.0</v>
      </c>
      <c r="B6658" s="2" t="s">
        <v>10821</v>
      </c>
      <c r="C6658" s="2" t="s">
        <v>23</v>
      </c>
      <c r="K6658" s="2">
        <v>10.0</v>
      </c>
      <c r="N6658" s="6">
        <v>45577.0</v>
      </c>
      <c r="Q6658" s="2" t="s">
        <v>1131</v>
      </c>
    </row>
    <row r="6659">
      <c r="A6659" s="2">
        <v>6658.0</v>
      </c>
      <c r="B6659" s="2" t="s">
        <v>10822</v>
      </c>
      <c r="C6659" s="2" t="s">
        <v>23</v>
      </c>
      <c r="N6659" s="6">
        <v>43947.0</v>
      </c>
      <c r="Q6659" s="2" t="s">
        <v>86</v>
      </c>
    </row>
    <row r="6660">
      <c r="A6660" s="2">
        <v>6659.0</v>
      </c>
      <c r="B6660" s="2" t="s">
        <v>10823</v>
      </c>
      <c r="C6660" s="2" t="s">
        <v>23</v>
      </c>
      <c r="K6660" s="2">
        <v>200.0</v>
      </c>
      <c r="N6660" s="6">
        <v>45701.0</v>
      </c>
      <c r="Q6660" s="2" t="s">
        <v>10824</v>
      </c>
    </row>
    <row r="6661">
      <c r="A6661" s="2">
        <v>6660.0</v>
      </c>
      <c r="B6661" s="2" t="s">
        <v>10825</v>
      </c>
      <c r="C6661" s="2" t="s">
        <v>23</v>
      </c>
      <c r="K6661" s="2">
        <v>90.0</v>
      </c>
      <c r="N6661" s="6">
        <v>44308.0</v>
      </c>
      <c r="Q6661" s="2" t="s">
        <v>10826</v>
      </c>
    </row>
    <row r="6662">
      <c r="A6662" s="2">
        <v>6661.0</v>
      </c>
      <c r="B6662" s="2" t="s">
        <v>10827</v>
      </c>
      <c r="C6662" s="2" t="s">
        <v>23</v>
      </c>
      <c r="N6662" s="6">
        <v>44094.0</v>
      </c>
      <c r="Q6662" s="2" t="s">
        <v>491</v>
      </c>
    </row>
    <row r="6663">
      <c r="A6663" s="2">
        <v>6662.0</v>
      </c>
      <c r="B6663" s="2" t="s">
        <v>10828</v>
      </c>
      <c r="C6663" s="2" t="s">
        <v>23</v>
      </c>
      <c r="K6663" s="2">
        <v>100.0</v>
      </c>
      <c r="N6663" s="6">
        <v>44418.0</v>
      </c>
      <c r="Q6663" s="2" t="s">
        <v>10829</v>
      </c>
    </row>
    <row r="6664">
      <c r="A6664" s="2">
        <v>6663.0</v>
      </c>
      <c r="B6664" s="2" t="s">
        <v>10830</v>
      </c>
      <c r="C6664" s="2" t="s">
        <v>23</v>
      </c>
      <c r="K6664" s="2">
        <v>40.0</v>
      </c>
      <c r="N6664" s="6">
        <v>45687.0</v>
      </c>
      <c r="Q6664" s="2" t="s">
        <v>10831</v>
      </c>
    </row>
    <row r="6665">
      <c r="A6665" s="2">
        <v>6664.0</v>
      </c>
      <c r="B6665" s="2" t="s">
        <v>10832</v>
      </c>
      <c r="C6665" s="2" t="s">
        <v>23</v>
      </c>
      <c r="N6665" s="6">
        <v>46184.0</v>
      </c>
      <c r="Q6665" s="2" t="s">
        <v>10833</v>
      </c>
    </row>
    <row r="6666">
      <c r="A6666" s="2">
        <v>6665.0</v>
      </c>
      <c r="B6666" s="2" t="s">
        <v>10834</v>
      </c>
      <c r="C6666" s="2" t="s">
        <v>23</v>
      </c>
      <c r="K6666" s="2">
        <v>20.0</v>
      </c>
      <c r="N6666" s="6">
        <v>44363.0</v>
      </c>
      <c r="Q6666" s="2" t="s">
        <v>10573</v>
      </c>
    </row>
    <row r="6667">
      <c r="A6667" s="2">
        <v>6666.0</v>
      </c>
      <c r="B6667" s="2" t="s">
        <v>10835</v>
      </c>
      <c r="C6667" s="2" t="s">
        <v>23</v>
      </c>
      <c r="N6667" s="6">
        <v>42696.0</v>
      </c>
      <c r="Q6667" s="2" t="s">
        <v>10836</v>
      </c>
    </row>
    <row r="6668">
      <c r="A6668" s="2">
        <v>6667.0</v>
      </c>
      <c r="B6668" s="2" t="s">
        <v>10837</v>
      </c>
      <c r="C6668" s="2" t="s">
        <v>23</v>
      </c>
      <c r="K6668" s="2">
        <v>150.0</v>
      </c>
      <c r="N6668" s="6">
        <v>44020.0</v>
      </c>
      <c r="Q6668" s="2" t="s">
        <v>10838</v>
      </c>
    </row>
    <row r="6669">
      <c r="A6669" s="2">
        <v>6668.0</v>
      </c>
      <c r="B6669" s="2" t="s">
        <v>10839</v>
      </c>
      <c r="C6669" s="2" t="s">
        <v>23</v>
      </c>
      <c r="N6669" s="6">
        <v>42261.0</v>
      </c>
      <c r="Q6669" s="2" t="s">
        <v>10840</v>
      </c>
    </row>
    <row r="6670">
      <c r="A6670" s="2">
        <v>6669.0</v>
      </c>
      <c r="B6670" s="2" t="s">
        <v>10841</v>
      </c>
      <c r="C6670" s="2" t="s">
        <v>23</v>
      </c>
      <c r="N6670" s="6">
        <v>44563.0</v>
      </c>
      <c r="Q6670" s="2" t="s">
        <v>86</v>
      </c>
    </row>
    <row r="6671">
      <c r="A6671" s="2">
        <v>6670.0</v>
      </c>
      <c r="B6671" s="2" t="s">
        <v>10842</v>
      </c>
      <c r="C6671" s="2" t="s">
        <v>23</v>
      </c>
      <c r="K6671" s="2">
        <v>20.0</v>
      </c>
      <c r="N6671" s="6">
        <v>45163.0</v>
      </c>
      <c r="Q6671" s="2" t="s">
        <v>10843</v>
      </c>
    </row>
    <row r="6672">
      <c r="A6672" s="2">
        <v>6671.0</v>
      </c>
      <c r="B6672" s="2" t="s">
        <v>10844</v>
      </c>
      <c r="C6672" s="2" t="s">
        <v>23</v>
      </c>
      <c r="N6672" s="6">
        <v>42823.0</v>
      </c>
      <c r="Q6672" s="2" t="s">
        <v>86</v>
      </c>
    </row>
    <row r="6673">
      <c r="A6673" s="2">
        <v>6672.0</v>
      </c>
      <c r="B6673" s="2" t="s">
        <v>10845</v>
      </c>
      <c r="C6673" s="2" t="s">
        <v>23</v>
      </c>
      <c r="K6673" s="2">
        <v>200.0</v>
      </c>
      <c r="N6673" s="6">
        <v>44633.0</v>
      </c>
      <c r="Q6673" s="2" t="s">
        <v>1656</v>
      </c>
    </row>
    <row r="6674">
      <c r="A6674" s="2">
        <v>6673.0</v>
      </c>
      <c r="B6674" s="2" t="s">
        <v>10846</v>
      </c>
      <c r="C6674" s="2" t="s">
        <v>23</v>
      </c>
      <c r="K6674" s="2">
        <v>20.0</v>
      </c>
      <c r="N6674" s="6">
        <v>45730.0</v>
      </c>
      <c r="Q6674" s="2" t="s">
        <v>10847</v>
      </c>
    </row>
    <row r="6675">
      <c r="A6675" s="2">
        <v>6674.0</v>
      </c>
      <c r="B6675" s="2" t="s">
        <v>10848</v>
      </c>
      <c r="C6675" s="2" t="s">
        <v>23</v>
      </c>
      <c r="K6675" s="2">
        <v>70.0</v>
      </c>
      <c r="N6675" s="6">
        <v>44229.0</v>
      </c>
      <c r="Q6675" s="2" t="s">
        <v>10849</v>
      </c>
    </row>
    <row r="6676">
      <c r="A6676" s="2">
        <v>6675.0</v>
      </c>
      <c r="B6676" s="2" t="s">
        <v>10850</v>
      </c>
      <c r="C6676" s="2" t="s">
        <v>23</v>
      </c>
      <c r="N6676" s="6">
        <v>44330.0</v>
      </c>
      <c r="Q6676" s="2" t="s">
        <v>86</v>
      </c>
    </row>
    <row r="6677">
      <c r="A6677" s="2">
        <v>6676.0</v>
      </c>
      <c r="B6677" s="2" t="s">
        <v>10851</v>
      </c>
      <c r="C6677" s="2" t="s">
        <v>23</v>
      </c>
      <c r="K6677" s="2">
        <v>1200.0</v>
      </c>
      <c r="N6677" s="6">
        <v>43894.0</v>
      </c>
      <c r="Q6677" s="2" t="s">
        <v>10852</v>
      </c>
    </row>
    <row r="6678">
      <c r="A6678" s="2">
        <v>6677.0</v>
      </c>
      <c r="B6678" s="2" t="s">
        <v>10853</v>
      </c>
      <c r="C6678" s="2" t="s">
        <v>23</v>
      </c>
      <c r="K6678" s="2">
        <v>40.0</v>
      </c>
      <c r="N6678" s="6">
        <v>45778.0</v>
      </c>
      <c r="Q6678" s="2" t="s">
        <v>3365</v>
      </c>
    </row>
    <row r="6679">
      <c r="A6679" s="2">
        <v>6678.0</v>
      </c>
      <c r="B6679" s="2" t="s">
        <v>10854</v>
      </c>
      <c r="C6679" s="2" t="s">
        <v>23</v>
      </c>
      <c r="K6679" s="2">
        <v>20.0</v>
      </c>
      <c r="N6679" s="6">
        <v>45679.0</v>
      </c>
      <c r="Q6679" s="2" t="s">
        <v>10855</v>
      </c>
    </row>
    <row r="6680">
      <c r="A6680" s="2">
        <v>6679.0</v>
      </c>
      <c r="B6680" s="2" t="s">
        <v>10856</v>
      </c>
      <c r="C6680" s="2" t="s">
        <v>23</v>
      </c>
      <c r="K6680" s="2">
        <v>10.0</v>
      </c>
      <c r="N6680" s="6">
        <v>44973.0</v>
      </c>
      <c r="Q6680" s="2" t="s">
        <v>10857</v>
      </c>
    </row>
    <row r="6681">
      <c r="A6681" s="2">
        <v>6680.0</v>
      </c>
      <c r="B6681" s="2" t="s">
        <v>10858</v>
      </c>
      <c r="C6681" s="2" t="s">
        <v>23</v>
      </c>
      <c r="N6681" s="6">
        <v>44500.0</v>
      </c>
      <c r="Q6681" s="2" t="s">
        <v>86</v>
      </c>
    </row>
    <row r="6682">
      <c r="A6682" s="2">
        <v>6681.0</v>
      </c>
      <c r="B6682" s="2" t="s">
        <v>10859</v>
      </c>
      <c r="C6682" s="2" t="s">
        <v>23</v>
      </c>
      <c r="N6682" s="6">
        <v>45379.0</v>
      </c>
      <c r="Q6682" s="2" t="s">
        <v>3751</v>
      </c>
    </row>
    <row r="6683">
      <c r="A6683" s="2">
        <v>6682.0</v>
      </c>
      <c r="B6683" s="2" t="s">
        <v>10860</v>
      </c>
      <c r="C6683" s="2" t="s">
        <v>23</v>
      </c>
      <c r="K6683" s="2">
        <v>10.0</v>
      </c>
      <c r="N6683" s="6">
        <v>44990.0</v>
      </c>
      <c r="Q6683" s="2" t="s">
        <v>86</v>
      </c>
    </row>
    <row r="6684">
      <c r="A6684" s="2">
        <v>6683.0</v>
      </c>
      <c r="B6684" s="2" t="s">
        <v>10861</v>
      </c>
      <c r="C6684" s="2" t="s">
        <v>23</v>
      </c>
      <c r="K6684" s="2">
        <v>150.0</v>
      </c>
      <c r="N6684" s="6">
        <v>45716.0</v>
      </c>
      <c r="Q6684" s="2" t="s">
        <v>1853</v>
      </c>
    </row>
    <row r="6685">
      <c r="A6685" s="2">
        <v>6684.0</v>
      </c>
      <c r="B6685" s="2" t="s">
        <v>10862</v>
      </c>
      <c r="C6685" s="2" t="s">
        <v>23</v>
      </c>
      <c r="K6685" s="2">
        <v>40.0</v>
      </c>
      <c r="N6685" s="6">
        <v>44973.0</v>
      </c>
      <c r="Q6685" s="2" t="s">
        <v>86</v>
      </c>
    </row>
    <row r="6686">
      <c r="A6686" s="2">
        <v>6685.0</v>
      </c>
      <c r="B6686" s="2" t="s">
        <v>10863</v>
      </c>
      <c r="C6686" s="2" t="s">
        <v>23</v>
      </c>
      <c r="K6686" s="2">
        <v>30.0</v>
      </c>
      <c r="N6686" s="6">
        <v>44207.0</v>
      </c>
      <c r="Q6686" s="2" t="s">
        <v>86</v>
      </c>
    </row>
    <row r="6687">
      <c r="A6687" s="2">
        <v>6686.0</v>
      </c>
      <c r="B6687" s="2" t="s">
        <v>10864</v>
      </c>
      <c r="C6687" s="2" t="s">
        <v>23</v>
      </c>
      <c r="K6687" s="2">
        <v>60.0</v>
      </c>
      <c r="N6687" s="6">
        <v>45792.0</v>
      </c>
      <c r="Q6687" s="2" t="s">
        <v>4334</v>
      </c>
    </row>
    <row r="6688">
      <c r="A6688" s="2">
        <v>6687.0</v>
      </c>
      <c r="B6688" s="2" t="s">
        <v>10865</v>
      </c>
      <c r="C6688" s="2" t="s">
        <v>23</v>
      </c>
      <c r="K6688" s="2">
        <v>50.0</v>
      </c>
      <c r="N6688" s="6">
        <v>45655.0</v>
      </c>
      <c r="Q6688" s="2" t="s">
        <v>10866</v>
      </c>
    </row>
    <row r="6689">
      <c r="A6689" s="2">
        <v>6688.0</v>
      </c>
      <c r="B6689" s="2" t="s">
        <v>10867</v>
      </c>
      <c r="C6689" s="2" t="s">
        <v>23</v>
      </c>
      <c r="N6689" s="6">
        <v>44739.0</v>
      </c>
      <c r="Q6689" s="2" t="s">
        <v>86</v>
      </c>
    </row>
    <row r="6690">
      <c r="A6690" s="2">
        <v>6689.0</v>
      </c>
      <c r="B6690" s="2" t="s">
        <v>10868</v>
      </c>
      <c r="C6690" s="2" t="s">
        <v>23</v>
      </c>
      <c r="N6690" s="6">
        <v>45138.0</v>
      </c>
      <c r="Q6690" s="2" t="s">
        <v>1116</v>
      </c>
    </row>
    <row r="6691">
      <c r="A6691" s="2">
        <v>6690.0</v>
      </c>
      <c r="B6691" s="2" t="s">
        <v>10869</v>
      </c>
      <c r="C6691" s="2" t="s">
        <v>23</v>
      </c>
      <c r="N6691" s="6">
        <v>44022.0</v>
      </c>
      <c r="Q6691" s="2" t="s">
        <v>86</v>
      </c>
    </row>
    <row r="6692">
      <c r="A6692" s="2">
        <v>6691.0</v>
      </c>
      <c r="B6692" s="2" t="s">
        <v>10870</v>
      </c>
      <c r="C6692" s="2" t="s">
        <v>23</v>
      </c>
      <c r="N6692" s="6">
        <v>45332.0</v>
      </c>
      <c r="Q6692" s="2" t="s">
        <v>7021</v>
      </c>
    </row>
    <row r="6693">
      <c r="A6693" s="2">
        <v>6692.0</v>
      </c>
      <c r="B6693" s="2" t="s">
        <v>10871</v>
      </c>
      <c r="C6693" s="2" t="s">
        <v>23</v>
      </c>
      <c r="K6693" s="2">
        <v>10.0</v>
      </c>
      <c r="N6693" s="6">
        <v>45567.0</v>
      </c>
      <c r="Q6693" s="2" t="s">
        <v>10872</v>
      </c>
    </row>
    <row r="6694">
      <c r="A6694" s="2">
        <v>6693.0</v>
      </c>
      <c r="B6694" s="2" t="s">
        <v>10873</v>
      </c>
      <c r="C6694" s="2" t="s">
        <v>23</v>
      </c>
      <c r="K6694" s="2">
        <v>10.0</v>
      </c>
      <c r="N6694" s="6">
        <v>44242.0</v>
      </c>
      <c r="Q6694" s="2" t="s">
        <v>10874</v>
      </c>
    </row>
    <row r="6695">
      <c r="A6695" s="2">
        <v>6694.0</v>
      </c>
      <c r="B6695" s="2" t="s">
        <v>10875</v>
      </c>
      <c r="C6695" s="2" t="s">
        <v>23</v>
      </c>
      <c r="K6695" s="2">
        <v>40.0</v>
      </c>
      <c r="N6695" s="6">
        <v>44723.0</v>
      </c>
      <c r="Q6695" s="2" t="s">
        <v>10876</v>
      </c>
    </row>
    <row r="6696">
      <c r="A6696" s="2">
        <v>6695.0</v>
      </c>
      <c r="B6696" s="2" t="s">
        <v>10877</v>
      </c>
      <c r="C6696" s="2" t="s">
        <v>23</v>
      </c>
      <c r="N6696" s="6">
        <v>44097.0</v>
      </c>
      <c r="Q6696" s="2" t="s">
        <v>86</v>
      </c>
    </row>
    <row r="6697">
      <c r="A6697" s="2">
        <v>6696.0</v>
      </c>
      <c r="B6697" s="2" t="s">
        <v>10878</v>
      </c>
      <c r="C6697" s="2" t="s">
        <v>23</v>
      </c>
      <c r="K6697" s="2">
        <v>10.0</v>
      </c>
      <c r="N6697" s="6">
        <v>46102.0</v>
      </c>
      <c r="Q6697" s="2" t="s">
        <v>10879</v>
      </c>
    </row>
    <row r="6698">
      <c r="A6698" s="2">
        <v>6697.0</v>
      </c>
      <c r="B6698" s="2" t="s">
        <v>10880</v>
      </c>
      <c r="C6698" s="2" t="s">
        <v>23</v>
      </c>
      <c r="K6698" s="2">
        <v>30.0</v>
      </c>
      <c r="N6698" s="6">
        <v>42257.0</v>
      </c>
      <c r="Q6698" s="2" t="s">
        <v>10881</v>
      </c>
    </row>
    <row r="6699">
      <c r="A6699" s="2">
        <v>6698.0</v>
      </c>
      <c r="B6699" s="2" t="s">
        <v>10882</v>
      </c>
      <c r="C6699" s="2" t="s">
        <v>23</v>
      </c>
      <c r="K6699" s="2">
        <v>200.0</v>
      </c>
      <c r="N6699" s="6">
        <v>44147.0</v>
      </c>
      <c r="Q6699" s="2" t="s">
        <v>10883</v>
      </c>
    </row>
    <row r="6700">
      <c r="A6700" s="2">
        <v>6699.0</v>
      </c>
      <c r="B6700" s="2" t="s">
        <v>10884</v>
      </c>
      <c r="C6700" s="2" t="s">
        <v>23</v>
      </c>
      <c r="K6700" s="2">
        <v>30.0</v>
      </c>
      <c r="N6700" s="6">
        <v>44748.0</v>
      </c>
      <c r="Q6700" s="2" t="s">
        <v>10885</v>
      </c>
    </row>
    <row r="6701">
      <c r="A6701" s="2">
        <v>6700.0</v>
      </c>
      <c r="B6701" s="2" t="s">
        <v>10886</v>
      </c>
      <c r="C6701" s="2" t="s">
        <v>23</v>
      </c>
      <c r="K6701" s="2">
        <v>20.0</v>
      </c>
      <c r="N6701" s="6">
        <v>44851.0</v>
      </c>
      <c r="Q6701" s="2" t="s">
        <v>10887</v>
      </c>
    </row>
    <row r="6702">
      <c r="A6702" s="2">
        <v>6701.0</v>
      </c>
      <c r="B6702" s="2" t="s">
        <v>10888</v>
      </c>
      <c r="C6702" s="2" t="s">
        <v>23</v>
      </c>
      <c r="K6702" s="2">
        <v>50.0</v>
      </c>
      <c r="N6702" s="6">
        <v>44096.0</v>
      </c>
      <c r="Q6702" s="2" t="s">
        <v>86</v>
      </c>
    </row>
    <row r="6703">
      <c r="A6703" s="2">
        <v>6702.0</v>
      </c>
      <c r="B6703" s="2" t="s">
        <v>10889</v>
      </c>
      <c r="C6703" s="2" t="s">
        <v>23</v>
      </c>
      <c r="N6703" s="6">
        <v>44250.0</v>
      </c>
      <c r="Q6703" s="2" t="s">
        <v>86</v>
      </c>
    </row>
    <row r="6704">
      <c r="A6704" s="2">
        <v>6703.0</v>
      </c>
      <c r="B6704" s="2" t="s">
        <v>10890</v>
      </c>
      <c r="C6704" s="2" t="s">
        <v>23</v>
      </c>
      <c r="N6704" s="6">
        <v>45382.0</v>
      </c>
      <c r="Q6704" s="2" t="s">
        <v>1116</v>
      </c>
    </row>
    <row r="6705">
      <c r="A6705" s="2">
        <v>6704.0</v>
      </c>
      <c r="B6705" s="2" t="s">
        <v>10891</v>
      </c>
      <c r="C6705" s="2" t="s">
        <v>23</v>
      </c>
      <c r="N6705" s="6">
        <v>44697.0</v>
      </c>
      <c r="Q6705" s="2" t="s">
        <v>86</v>
      </c>
    </row>
    <row r="6706">
      <c r="A6706" s="2">
        <v>6705.0</v>
      </c>
      <c r="B6706" s="2" t="s">
        <v>10892</v>
      </c>
      <c r="C6706" s="2" t="s">
        <v>23</v>
      </c>
      <c r="N6706" s="6">
        <v>44037.0</v>
      </c>
      <c r="Q6706" s="2" t="s">
        <v>118</v>
      </c>
    </row>
    <row r="6707">
      <c r="A6707" s="2">
        <v>6706.0</v>
      </c>
      <c r="B6707" s="2" t="s">
        <v>10893</v>
      </c>
      <c r="C6707" s="2" t="s">
        <v>23</v>
      </c>
      <c r="N6707" s="6">
        <v>44434.0</v>
      </c>
      <c r="Q6707" s="2" t="s">
        <v>86</v>
      </c>
    </row>
    <row r="6708">
      <c r="A6708" s="2">
        <v>6707.0</v>
      </c>
      <c r="B6708" s="2" t="s">
        <v>10894</v>
      </c>
      <c r="C6708" s="2" t="s">
        <v>23</v>
      </c>
      <c r="K6708" s="2">
        <v>40.0</v>
      </c>
      <c r="N6708" s="6">
        <v>43867.0</v>
      </c>
      <c r="Q6708" s="2" t="s">
        <v>10895</v>
      </c>
    </row>
    <row r="6709">
      <c r="A6709" s="2">
        <v>6708.0</v>
      </c>
      <c r="B6709" s="2" t="s">
        <v>10896</v>
      </c>
      <c r="C6709" s="2" t="s">
        <v>23</v>
      </c>
      <c r="K6709" s="2">
        <v>20.0</v>
      </c>
      <c r="N6709" s="6">
        <v>44558.0</v>
      </c>
      <c r="Q6709" s="2" t="s">
        <v>10897</v>
      </c>
    </row>
    <row r="6710">
      <c r="A6710" s="2">
        <v>6709.0</v>
      </c>
      <c r="B6710" s="2" t="s">
        <v>10898</v>
      </c>
      <c r="C6710" s="2" t="s">
        <v>23</v>
      </c>
      <c r="K6710" s="2">
        <v>10.0</v>
      </c>
      <c r="N6710" s="6">
        <v>44641.0</v>
      </c>
      <c r="Q6710" s="2" t="s">
        <v>86</v>
      </c>
    </row>
    <row r="6711">
      <c r="A6711" s="2">
        <v>6710.0</v>
      </c>
      <c r="B6711" s="2" t="s">
        <v>10899</v>
      </c>
      <c r="C6711" s="2" t="s">
        <v>23</v>
      </c>
      <c r="K6711" s="2">
        <v>40.0</v>
      </c>
      <c r="N6711" s="6">
        <v>44100.0</v>
      </c>
      <c r="Q6711" s="2" t="s">
        <v>86</v>
      </c>
    </row>
    <row r="6712">
      <c r="A6712" s="2">
        <v>6711.0</v>
      </c>
      <c r="B6712" s="2" t="s">
        <v>10900</v>
      </c>
      <c r="C6712" s="2" t="s">
        <v>23</v>
      </c>
      <c r="N6712" s="6">
        <v>44630.0</v>
      </c>
      <c r="Q6712" s="2" t="s">
        <v>86</v>
      </c>
    </row>
    <row r="6713">
      <c r="A6713" s="2">
        <v>6712.0</v>
      </c>
      <c r="B6713" s="2" t="s">
        <v>10901</v>
      </c>
      <c r="C6713" s="2" t="s">
        <v>23</v>
      </c>
      <c r="K6713" s="2">
        <v>50.0</v>
      </c>
      <c r="N6713" s="6">
        <v>42259.0</v>
      </c>
      <c r="Q6713" s="2" t="s">
        <v>10902</v>
      </c>
    </row>
    <row r="6714">
      <c r="A6714" s="2">
        <v>6713.0</v>
      </c>
      <c r="B6714" s="2" t="s">
        <v>10903</v>
      </c>
      <c r="C6714" s="2" t="s">
        <v>23</v>
      </c>
      <c r="N6714" s="6">
        <v>44031.0</v>
      </c>
      <c r="Q6714" s="2" t="s">
        <v>86</v>
      </c>
    </row>
    <row r="6715">
      <c r="A6715" s="2">
        <v>6714.0</v>
      </c>
      <c r="B6715" s="2" t="s">
        <v>10904</v>
      </c>
      <c r="C6715" s="2" t="s">
        <v>23</v>
      </c>
      <c r="K6715" s="2">
        <v>100.0</v>
      </c>
      <c r="N6715" s="6">
        <v>42801.0</v>
      </c>
      <c r="Q6715" s="2" t="s">
        <v>3062</v>
      </c>
    </row>
    <row r="6716">
      <c r="A6716" s="2">
        <v>6715.0</v>
      </c>
      <c r="B6716" s="2" t="s">
        <v>10905</v>
      </c>
      <c r="C6716" s="2" t="s">
        <v>23</v>
      </c>
      <c r="K6716" s="2">
        <v>20.0</v>
      </c>
      <c r="N6716" s="6">
        <v>44616.0</v>
      </c>
      <c r="Q6716" s="2" t="s">
        <v>10906</v>
      </c>
    </row>
    <row r="6717">
      <c r="A6717" s="2">
        <v>6716.0</v>
      </c>
      <c r="B6717" s="2" t="s">
        <v>10907</v>
      </c>
      <c r="C6717" s="2" t="s">
        <v>23</v>
      </c>
      <c r="N6717" s="6">
        <v>44601.0</v>
      </c>
      <c r="Q6717" s="2" t="s">
        <v>86</v>
      </c>
    </row>
    <row r="6718">
      <c r="A6718" s="2">
        <v>6717.0</v>
      </c>
      <c r="B6718" s="2" t="s">
        <v>10908</v>
      </c>
      <c r="C6718" s="2" t="s">
        <v>23</v>
      </c>
      <c r="K6718" s="2">
        <v>80.0</v>
      </c>
      <c r="N6718" s="6">
        <v>45897.0</v>
      </c>
      <c r="Q6718" s="2" t="s">
        <v>10909</v>
      </c>
    </row>
    <row r="6719">
      <c r="A6719" s="2">
        <v>6718.0</v>
      </c>
      <c r="B6719" s="2" t="s">
        <v>10910</v>
      </c>
      <c r="C6719" s="2" t="s">
        <v>23</v>
      </c>
      <c r="N6719" s="6">
        <v>44187.0</v>
      </c>
      <c r="Q6719" s="2" t="s">
        <v>86</v>
      </c>
    </row>
    <row r="6720">
      <c r="A6720" s="2">
        <v>6719.0</v>
      </c>
      <c r="B6720" s="2" t="s">
        <v>10911</v>
      </c>
      <c r="C6720" s="2" t="s">
        <v>23</v>
      </c>
      <c r="K6720" s="2">
        <v>20.0</v>
      </c>
      <c r="N6720" s="6">
        <v>43920.0</v>
      </c>
      <c r="Q6720" s="2" t="s">
        <v>86</v>
      </c>
    </row>
    <row r="6721">
      <c r="A6721" s="2">
        <v>6720.0</v>
      </c>
      <c r="B6721" s="2" t="s">
        <v>10912</v>
      </c>
      <c r="C6721" s="2" t="s">
        <v>23</v>
      </c>
      <c r="N6721" s="6">
        <v>44173.0</v>
      </c>
      <c r="Q6721" s="2" t="s">
        <v>86</v>
      </c>
    </row>
    <row r="6722">
      <c r="A6722" s="2">
        <v>6721.0</v>
      </c>
      <c r="B6722" s="2" t="s">
        <v>10913</v>
      </c>
      <c r="C6722" s="2" t="s">
        <v>23</v>
      </c>
      <c r="K6722" s="2">
        <v>20.0</v>
      </c>
      <c r="N6722" s="6">
        <v>44522.0</v>
      </c>
      <c r="Q6722" s="2" t="s">
        <v>1156</v>
      </c>
    </row>
    <row r="6723">
      <c r="A6723" s="2">
        <v>6722.0</v>
      </c>
      <c r="B6723" s="2" t="s">
        <v>10914</v>
      </c>
      <c r="C6723" s="2" t="s">
        <v>23</v>
      </c>
      <c r="N6723" s="6">
        <v>44323.0</v>
      </c>
      <c r="Q6723" s="2" t="s">
        <v>86</v>
      </c>
    </row>
    <row r="6724">
      <c r="A6724" s="2">
        <v>6723.0</v>
      </c>
      <c r="B6724" s="2" t="s">
        <v>10915</v>
      </c>
      <c r="C6724" s="2" t="s">
        <v>23</v>
      </c>
      <c r="K6724" s="2">
        <v>500.0</v>
      </c>
      <c r="N6724" s="6">
        <v>43846.0</v>
      </c>
      <c r="Q6724" s="2" t="s">
        <v>10916</v>
      </c>
    </row>
    <row r="6725">
      <c r="A6725" s="2">
        <v>6724.0</v>
      </c>
      <c r="B6725" s="2" t="s">
        <v>10917</v>
      </c>
      <c r="C6725" s="2" t="s">
        <v>23</v>
      </c>
      <c r="N6725" s="6">
        <v>42548.0</v>
      </c>
      <c r="Q6725" s="2" t="s">
        <v>1070</v>
      </c>
    </row>
    <row r="6726">
      <c r="A6726" s="2">
        <v>6725.0</v>
      </c>
      <c r="B6726" s="2" t="s">
        <v>10918</v>
      </c>
      <c r="C6726" s="2" t="s">
        <v>23</v>
      </c>
      <c r="K6726" s="2">
        <v>20.0</v>
      </c>
      <c r="N6726" s="6">
        <v>44542.0</v>
      </c>
      <c r="Q6726" s="2" t="s">
        <v>86</v>
      </c>
    </row>
    <row r="6727">
      <c r="A6727" s="2">
        <v>6726.0</v>
      </c>
      <c r="B6727" s="2" t="s">
        <v>10919</v>
      </c>
      <c r="C6727" s="2" t="s">
        <v>23</v>
      </c>
      <c r="K6727" s="2">
        <v>30.0</v>
      </c>
      <c r="N6727" s="6">
        <v>45085.0</v>
      </c>
      <c r="Q6727" s="2" t="s">
        <v>10920</v>
      </c>
    </row>
    <row r="6728">
      <c r="A6728" s="2">
        <v>6727.0</v>
      </c>
      <c r="B6728" s="2" t="s">
        <v>10921</v>
      </c>
      <c r="C6728" s="2" t="s">
        <v>23</v>
      </c>
      <c r="N6728" s="6">
        <v>44584.0</v>
      </c>
      <c r="Q6728" s="2" t="s">
        <v>86</v>
      </c>
    </row>
    <row r="6729">
      <c r="A6729" s="2">
        <v>6728.0</v>
      </c>
      <c r="B6729" s="2" t="s">
        <v>10922</v>
      </c>
      <c r="C6729" s="2" t="s">
        <v>23</v>
      </c>
      <c r="K6729" s="2">
        <v>50.0</v>
      </c>
      <c r="N6729" s="6">
        <v>43606.0</v>
      </c>
      <c r="Q6729" s="2" t="s">
        <v>10923</v>
      </c>
    </row>
    <row r="6730">
      <c r="A6730" s="2">
        <v>6729.0</v>
      </c>
      <c r="B6730" s="2" t="s">
        <v>10924</v>
      </c>
      <c r="C6730" s="2" t="s">
        <v>23</v>
      </c>
      <c r="K6730" s="2">
        <v>20.0</v>
      </c>
      <c r="N6730" s="6">
        <v>45256.0</v>
      </c>
      <c r="Q6730" s="2" t="s">
        <v>2701</v>
      </c>
    </row>
    <row r="6731">
      <c r="A6731" s="2">
        <v>6730.0</v>
      </c>
      <c r="B6731" s="2" t="s">
        <v>10925</v>
      </c>
      <c r="C6731" s="2" t="s">
        <v>23</v>
      </c>
      <c r="K6731" s="2">
        <v>10.0</v>
      </c>
      <c r="N6731" s="6">
        <v>43941.0</v>
      </c>
      <c r="Q6731" s="2" t="s">
        <v>86</v>
      </c>
    </row>
    <row r="6732">
      <c r="A6732" s="2">
        <v>6731.0</v>
      </c>
      <c r="B6732" s="2" t="s">
        <v>424</v>
      </c>
      <c r="C6732" s="2" t="s">
        <v>23</v>
      </c>
      <c r="K6732" s="2">
        <v>70.0</v>
      </c>
      <c r="N6732" s="6">
        <v>44442.0</v>
      </c>
      <c r="Q6732" s="2" t="s">
        <v>426</v>
      </c>
    </row>
    <row r="6733">
      <c r="A6733" s="2">
        <v>6732.0</v>
      </c>
      <c r="B6733" s="2" t="s">
        <v>10926</v>
      </c>
      <c r="C6733" s="2" t="s">
        <v>23</v>
      </c>
      <c r="K6733" s="2">
        <v>20.0</v>
      </c>
      <c r="N6733" s="6">
        <v>44085.0</v>
      </c>
      <c r="Q6733" s="2" t="s">
        <v>86</v>
      </c>
    </row>
    <row r="6734">
      <c r="A6734" s="2">
        <v>6733.0</v>
      </c>
      <c r="B6734" s="2" t="s">
        <v>10927</v>
      </c>
      <c r="C6734" s="2" t="s">
        <v>23</v>
      </c>
      <c r="K6734" s="2">
        <v>10.0</v>
      </c>
      <c r="N6734" s="6">
        <v>45239.0</v>
      </c>
      <c r="Q6734" s="2" t="s">
        <v>1156</v>
      </c>
    </row>
    <row r="6735">
      <c r="A6735" s="2">
        <v>6734.0</v>
      </c>
      <c r="B6735" s="2" t="s">
        <v>10928</v>
      </c>
      <c r="C6735" s="2" t="s">
        <v>23</v>
      </c>
      <c r="N6735" s="6">
        <v>44696.0</v>
      </c>
      <c r="Q6735" s="2" t="s">
        <v>86</v>
      </c>
    </row>
    <row r="6736">
      <c r="A6736" s="2">
        <v>6735.0</v>
      </c>
      <c r="B6736" s="2" t="s">
        <v>10929</v>
      </c>
      <c r="C6736" s="2" t="s">
        <v>23</v>
      </c>
      <c r="K6736" s="2">
        <v>50.0</v>
      </c>
      <c r="N6736" s="6">
        <v>42260.0</v>
      </c>
      <c r="Q6736" s="2" t="s">
        <v>10930</v>
      </c>
    </row>
    <row r="6737">
      <c r="A6737" s="2">
        <v>6736.0</v>
      </c>
      <c r="B6737" s="2" t="s">
        <v>10931</v>
      </c>
      <c r="C6737" s="2" t="s">
        <v>23</v>
      </c>
      <c r="K6737" s="2">
        <v>30.0</v>
      </c>
      <c r="N6737" s="6">
        <v>43925.0</v>
      </c>
      <c r="Q6737" s="2" t="s">
        <v>10932</v>
      </c>
    </row>
    <row r="6738">
      <c r="A6738" s="2">
        <v>6737.0</v>
      </c>
      <c r="B6738" s="2" t="s">
        <v>10933</v>
      </c>
      <c r="C6738" s="2" t="s">
        <v>23</v>
      </c>
      <c r="K6738" s="2">
        <v>30.0</v>
      </c>
      <c r="N6738" s="6">
        <v>45479.0</v>
      </c>
      <c r="Q6738" s="2" t="s">
        <v>2746</v>
      </c>
    </row>
    <row r="6739">
      <c r="A6739" s="2">
        <v>6738.0</v>
      </c>
      <c r="B6739" s="2" t="s">
        <v>10934</v>
      </c>
      <c r="C6739" s="2" t="s">
        <v>23</v>
      </c>
      <c r="K6739" s="2">
        <v>150.0</v>
      </c>
      <c r="N6739" s="6">
        <v>44437.0</v>
      </c>
      <c r="Q6739" s="2" t="s">
        <v>10935</v>
      </c>
    </row>
    <row r="6740">
      <c r="A6740" s="2">
        <v>6739.0</v>
      </c>
      <c r="B6740" s="2" t="s">
        <v>10936</v>
      </c>
      <c r="C6740" s="2" t="s">
        <v>23</v>
      </c>
      <c r="K6740" s="2">
        <v>100.0</v>
      </c>
      <c r="N6740" s="6">
        <v>45747.0</v>
      </c>
      <c r="Q6740" s="2" t="s">
        <v>10937</v>
      </c>
    </row>
    <row r="6741">
      <c r="A6741" s="2">
        <v>6740.0</v>
      </c>
      <c r="B6741" s="2" t="s">
        <v>10938</v>
      </c>
      <c r="C6741" s="2" t="s">
        <v>23</v>
      </c>
      <c r="K6741" s="2">
        <v>30.0</v>
      </c>
      <c r="N6741" s="6">
        <v>44714.0</v>
      </c>
      <c r="Q6741" s="2" t="s">
        <v>3321</v>
      </c>
    </row>
    <row r="6742">
      <c r="A6742" s="2">
        <v>6741.0</v>
      </c>
      <c r="B6742" s="2" t="s">
        <v>10939</v>
      </c>
      <c r="C6742" s="2" t="s">
        <v>23</v>
      </c>
      <c r="K6742" s="2">
        <v>20.0</v>
      </c>
      <c r="N6742" s="6">
        <v>44427.0</v>
      </c>
      <c r="Q6742" s="2" t="s">
        <v>86</v>
      </c>
    </row>
    <row r="6743">
      <c r="A6743" s="2">
        <v>6742.0</v>
      </c>
      <c r="B6743" s="2" t="s">
        <v>10940</v>
      </c>
      <c r="C6743" s="2" t="s">
        <v>23</v>
      </c>
      <c r="N6743" s="6">
        <v>43853.0</v>
      </c>
      <c r="Q6743" s="2" t="s">
        <v>86</v>
      </c>
    </row>
    <row r="6744">
      <c r="A6744" s="2">
        <v>6743.0</v>
      </c>
      <c r="B6744" s="2" t="s">
        <v>10941</v>
      </c>
      <c r="C6744" s="2" t="s">
        <v>23</v>
      </c>
      <c r="K6744" s="2">
        <v>250.0</v>
      </c>
      <c r="N6744" s="6">
        <v>43975.0</v>
      </c>
      <c r="Q6744" s="2" t="s">
        <v>10942</v>
      </c>
    </row>
    <row r="6745">
      <c r="A6745" s="2">
        <v>6744.0</v>
      </c>
      <c r="B6745" s="2" t="s">
        <v>10943</v>
      </c>
      <c r="C6745" s="2" t="s">
        <v>23</v>
      </c>
      <c r="K6745" s="2">
        <v>60.0</v>
      </c>
      <c r="N6745" s="6">
        <v>45180.0</v>
      </c>
      <c r="Q6745" s="2" t="s">
        <v>1711</v>
      </c>
    </row>
    <row r="6746">
      <c r="A6746" s="2">
        <v>6745.0</v>
      </c>
      <c r="B6746" s="2" t="s">
        <v>10944</v>
      </c>
      <c r="C6746" s="2" t="s">
        <v>23</v>
      </c>
      <c r="K6746" s="2">
        <v>40.0</v>
      </c>
      <c r="N6746" s="6">
        <v>45679.0</v>
      </c>
      <c r="Q6746" s="2" t="s">
        <v>10945</v>
      </c>
    </row>
    <row r="6747">
      <c r="A6747" s="2">
        <v>6746.0</v>
      </c>
      <c r="B6747" s="2" t="s">
        <v>10946</v>
      </c>
      <c r="C6747" s="2" t="s">
        <v>23</v>
      </c>
      <c r="K6747" s="2">
        <v>200.0</v>
      </c>
      <c r="N6747" s="6">
        <v>42808.0</v>
      </c>
      <c r="Q6747" s="2" t="s">
        <v>10947</v>
      </c>
    </row>
    <row r="6748">
      <c r="A6748" s="2">
        <v>6747.0</v>
      </c>
      <c r="B6748" s="2" t="s">
        <v>10948</v>
      </c>
      <c r="C6748" s="2" t="s">
        <v>23</v>
      </c>
      <c r="N6748" s="6">
        <v>44131.0</v>
      </c>
      <c r="Q6748" s="2" t="s">
        <v>1116</v>
      </c>
    </row>
    <row r="6749">
      <c r="A6749" s="2">
        <v>6748.0</v>
      </c>
      <c r="B6749" s="2" t="s">
        <v>10949</v>
      </c>
      <c r="C6749" s="2" t="s">
        <v>23</v>
      </c>
      <c r="N6749" s="6">
        <v>43929.0</v>
      </c>
      <c r="Q6749" s="2" t="s">
        <v>86</v>
      </c>
    </row>
    <row r="6750">
      <c r="A6750" s="2">
        <v>6749.0</v>
      </c>
      <c r="B6750" s="2" t="s">
        <v>10950</v>
      </c>
      <c r="C6750" s="2" t="s">
        <v>23</v>
      </c>
      <c r="N6750" s="6">
        <v>43931.0</v>
      </c>
      <c r="Q6750" s="2" t="s">
        <v>10951</v>
      </c>
    </row>
    <row r="6751">
      <c r="A6751" s="2">
        <v>6750.0</v>
      </c>
      <c r="B6751" s="2" t="s">
        <v>10952</v>
      </c>
      <c r="C6751" s="2" t="s">
        <v>23</v>
      </c>
      <c r="K6751" s="2">
        <v>20.0</v>
      </c>
      <c r="N6751" s="6">
        <v>44638.0</v>
      </c>
      <c r="Q6751" s="2" t="s">
        <v>10953</v>
      </c>
    </row>
    <row r="6752">
      <c r="A6752" s="2">
        <v>6751.0</v>
      </c>
      <c r="B6752" s="2" t="s">
        <v>10954</v>
      </c>
      <c r="C6752" s="2" t="s">
        <v>23</v>
      </c>
      <c r="N6752" s="6">
        <v>45942.0</v>
      </c>
      <c r="Q6752" s="2" t="s">
        <v>10955</v>
      </c>
    </row>
    <row r="6753">
      <c r="A6753" s="2">
        <v>6752.0</v>
      </c>
      <c r="B6753" s="2" t="s">
        <v>10956</v>
      </c>
      <c r="C6753" s="2" t="s">
        <v>23</v>
      </c>
      <c r="K6753" s="2">
        <v>10.0</v>
      </c>
      <c r="N6753" s="6">
        <v>45200.0</v>
      </c>
      <c r="Q6753" s="2" t="s">
        <v>10957</v>
      </c>
    </row>
    <row r="6754">
      <c r="A6754" s="2">
        <v>6753.0</v>
      </c>
      <c r="B6754" s="2" t="s">
        <v>10958</v>
      </c>
      <c r="C6754" s="2" t="s">
        <v>23</v>
      </c>
      <c r="K6754" s="2">
        <v>10.0</v>
      </c>
      <c r="N6754" s="6">
        <v>44788.0</v>
      </c>
      <c r="Q6754" s="2" t="s">
        <v>295</v>
      </c>
    </row>
    <row r="6755">
      <c r="A6755" s="2">
        <v>6754.0</v>
      </c>
      <c r="B6755" s="2" t="s">
        <v>10959</v>
      </c>
      <c r="C6755" s="2" t="s">
        <v>23</v>
      </c>
      <c r="N6755" s="6">
        <v>44423.0</v>
      </c>
      <c r="Q6755" s="2" t="s">
        <v>86</v>
      </c>
    </row>
    <row r="6756">
      <c r="A6756" s="2">
        <v>6755.0</v>
      </c>
      <c r="B6756" s="2" t="s">
        <v>10960</v>
      </c>
      <c r="C6756" s="2" t="s">
        <v>23</v>
      </c>
      <c r="N6756" s="6">
        <v>44628.0</v>
      </c>
      <c r="Q6756" s="2" t="s">
        <v>86</v>
      </c>
    </row>
    <row r="6757">
      <c r="A6757" s="2">
        <v>6756.0</v>
      </c>
      <c r="B6757" s="2" t="s">
        <v>10961</v>
      </c>
      <c r="C6757" s="2" t="s">
        <v>23</v>
      </c>
      <c r="N6757" s="6">
        <v>42289.0</v>
      </c>
      <c r="Q6757" s="2" t="s">
        <v>86</v>
      </c>
    </row>
    <row r="6758">
      <c r="A6758" s="2">
        <v>6757.0</v>
      </c>
      <c r="B6758" s="2" t="s">
        <v>10962</v>
      </c>
      <c r="C6758" s="2" t="s">
        <v>23</v>
      </c>
      <c r="N6758" s="6">
        <v>44965.0</v>
      </c>
      <c r="Q6758" s="2" t="s">
        <v>86</v>
      </c>
    </row>
    <row r="6759">
      <c r="A6759" s="2">
        <v>6758.0</v>
      </c>
      <c r="B6759" s="2" t="s">
        <v>10963</v>
      </c>
      <c r="C6759" s="2" t="s">
        <v>23</v>
      </c>
      <c r="K6759" s="2">
        <v>250.0</v>
      </c>
      <c r="N6759" s="6">
        <v>44254.0</v>
      </c>
      <c r="Q6759" s="2" t="s">
        <v>10964</v>
      </c>
    </row>
    <row r="6760">
      <c r="A6760" s="2">
        <v>6759.0</v>
      </c>
      <c r="B6760" s="2" t="s">
        <v>10965</v>
      </c>
      <c r="C6760" s="2" t="s">
        <v>23</v>
      </c>
      <c r="K6760" s="2">
        <v>10.0</v>
      </c>
      <c r="N6760" s="6">
        <v>45198.0</v>
      </c>
      <c r="Q6760" s="2" t="s">
        <v>60</v>
      </c>
    </row>
    <row r="6761">
      <c r="A6761" s="2">
        <v>6760.0</v>
      </c>
      <c r="B6761" s="2" t="s">
        <v>10966</v>
      </c>
      <c r="C6761" s="2" t="s">
        <v>23</v>
      </c>
      <c r="N6761" s="6">
        <v>44648.0</v>
      </c>
      <c r="Q6761" s="2" t="s">
        <v>86</v>
      </c>
    </row>
    <row r="6762">
      <c r="A6762" s="2">
        <v>6761.0</v>
      </c>
      <c r="B6762" s="2" t="s">
        <v>10967</v>
      </c>
      <c r="C6762" s="2" t="s">
        <v>23</v>
      </c>
      <c r="K6762" s="2">
        <v>30.0</v>
      </c>
      <c r="N6762" s="6">
        <v>44076.0</v>
      </c>
      <c r="Q6762" s="2" t="s">
        <v>60</v>
      </c>
    </row>
    <row r="6763">
      <c r="A6763" s="2">
        <v>6762.0</v>
      </c>
      <c r="B6763" s="2" t="s">
        <v>10968</v>
      </c>
      <c r="C6763" s="2" t="s">
        <v>23</v>
      </c>
      <c r="K6763" s="2">
        <v>10.0</v>
      </c>
      <c r="N6763" s="6">
        <v>45027.0</v>
      </c>
      <c r="Q6763" s="2" t="s">
        <v>86</v>
      </c>
    </row>
    <row r="6764">
      <c r="A6764" s="2">
        <v>6763.0</v>
      </c>
      <c r="B6764" s="2" t="s">
        <v>10969</v>
      </c>
      <c r="C6764" s="2" t="s">
        <v>23</v>
      </c>
      <c r="N6764" s="6">
        <v>43558.0</v>
      </c>
      <c r="Q6764" s="2" t="s">
        <v>10970</v>
      </c>
    </row>
    <row r="6765">
      <c r="A6765" s="2">
        <v>6764.0</v>
      </c>
      <c r="B6765" s="2" t="s">
        <v>10971</v>
      </c>
      <c r="C6765" s="2" t="s">
        <v>23</v>
      </c>
      <c r="N6765" s="6">
        <v>44117.0</v>
      </c>
      <c r="Q6765" s="2" t="s">
        <v>86</v>
      </c>
    </row>
    <row r="6766">
      <c r="A6766" s="2">
        <v>6765.0</v>
      </c>
      <c r="B6766" s="2" t="s">
        <v>10972</v>
      </c>
      <c r="C6766" s="2" t="s">
        <v>23</v>
      </c>
      <c r="K6766" s="2">
        <v>150.0</v>
      </c>
      <c r="N6766" s="6">
        <v>43844.0</v>
      </c>
      <c r="Q6766" s="2" t="s">
        <v>10973</v>
      </c>
    </row>
    <row r="6767">
      <c r="A6767" s="2">
        <v>6766.0</v>
      </c>
      <c r="B6767" s="2" t="s">
        <v>10974</v>
      </c>
      <c r="C6767" s="2" t="s">
        <v>23</v>
      </c>
      <c r="N6767" s="6">
        <v>44036.0</v>
      </c>
      <c r="Q6767" s="2" t="s">
        <v>546</v>
      </c>
    </row>
    <row r="6768">
      <c r="A6768" s="2">
        <v>6767.0</v>
      </c>
      <c r="B6768" s="2" t="s">
        <v>10975</v>
      </c>
      <c r="C6768" s="2" t="s">
        <v>23</v>
      </c>
      <c r="K6768" s="2">
        <v>50.0</v>
      </c>
      <c r="N6768" s="6">
        <v>43249.0</v>
      </c>
      <c r="Q6768" s="2" t="s">
        <v>10976</v>
      </c>
    </row>
    <row r="6769">
      <c r="A6769" s="2">
        <v>6768.0</v>
      </c>
      <c r="B6769" s="2" t="s">
        <v>10977</v>
      </c>
      <c r="C6769" s="2" t="s">
        <v>23</v>
      </c>
      <c r="N6769" s="6">
        <v>43535.0</v>
      </c>
      <c r="Q6769" s="2" t="s">
        <v>10978</v>
      </c>
    </row>
    <row r="6770">
      <c r="A6770" s="2">
        <v>6769.0</v>
      </c>
      <c r="B6770" s="2" t="s">
        <v>10979</v>
      </c>
      <c r="C6770" s="2" t="s">
        <v>23</v>
      </c>
      <c r="K6770" s="2">
        <v>50.0</v>
      </c>
      <c r="N6770" s="6">
        <v>44143.0</v>
      </c>
      <c r="Q6770" s="2" t="s">
        <v>10980</v>
      </c>
    </row>
    <row r="6771">
      <c r="A6771" s="2">
        <v>6770.0</v>
      </c>
      <c r="B6771" s="2" t="s">
        <v>10981</v>
      </c>
      <c r="C6771" s="2" t="s">
        <v>23</v>
      </c>
      <c r="K6771" s="2">
        <v>20.0</v>
      </c>
      <c r="N6771" s="6">
        <v>44501.0</v>
      </c>
      <c r="Q6771" s="2" t="s">
        <v>10040</v>
      </c>
    </row>
    <row r="6772">
      <c r="A6772" s="2">
        <v>6771.0</v>
      </c>
      <c r="B6772" s="2" t="s">
        <v>10982</v>
      </c>
      <c r="C6772" s="2" t="s">
        <v>23</v>
      </c>
      <c r="N6772" s="6">
        <v>44605.0</v>
      </c>
      <c r="Q6772" s="2" t="s">
        <v>86</v>
      </c>
    </row>
    <row r="6773">
      <c r="A6773" s="2">
        <v>6772.0</v>
      </c>
      <c r="B6773" s="2" t="s">
        <v>10983</v>
      </c>
      <c r="C6773" s="2" t="s">
        <v>23</v>
      </c>
      <c r="N6773" s="6">
        <v>45991.0</v>
      </c>
      <c r="Q6773" s="2" t="s">
        <v>9086</v>
      </c>
    </row>
    <row r="6774">
      <c r="A6774" s="2">
        <v>6773.0</v>
      </c>
      <c r="B6774" s="2" t="s">
        <v>10984</v>
      </c>
      <c r="C6774" s="2" t="s">
        <v>23</v>
      </c>
      <c r="N6774" s="6">
        <v>44627.0</v>
      </c>
      <c r="Q6774" s="2" t="s">
        <v>86</v>
      </c>
    </row>
    <row r="6775">
      <c r="A6775" s="2">
        <v>6774.0</v>
      </c>
      <c r="B6775" s="2" t="s">
        <v>10985</v>
      </c>
      <c r="C6775" s="2" t="s">
        <v>23</v>
      </c>
      <c r="K6775" s="2">
        <v>10.0</v>
      </c>
      <c r="N6775" s="6">
        <v>43906.0</v>
      </c>
      <c r="Q6775" s="2" t="s">
        <v>86</v>
      </c>
    </row>
    <row r="6776">
      <c r="A6776" s="2">
        <v>6775.0</v>
      </c>
      <c r="B6776" s="2" t="s">
        <v>10986</v>
      </c>
      <c r="C6776" s="2" t="s">
        <v>23</v>
      </c>
      <c r="K6776" s="2">
        <v>70.0</v>
      </c>
      <c r="N6776" s="6">
        <v>44303.0</v>
      </c>
      <c r="Q6776" s="2" t="s">
        <v>10987</v>
      </c>
    </row>
    <row r="6777">
      <c r="A6777" s="2">
        <v>6776.0</v>
      </c>
      <c r="B6777" s="2" t="s">
        <v>10988</v>
      </c>
      <c r="C6777" s="2" t="s">
        <v>23</v>
      </c>
      <c r="K6777" s="2">
        <v>50.0</v>
      </c>
      <c r="N6777" s="6">
        <v>45470.0</v>
      </c>
      <c r="Q6777" s="2" t="s">
        <v>1528</v>
      </c>
    </row>
    <row r="6778">
      <c r="A6778" s="2">
        <v>6777.0</v>
      </c>
      <c r="B6778" s="2" t="s">
        <v>10989</v>
      </c>
      <c r="C6778" s="2" t="s">
        <v>23</v>
      </c>
      <c r="N6778" s="6">
        <v>45109.0</v>
      </c>
      <c r="Q6778" s="2" t="s">
        <v>86</v>
      </c>
    </row>
    <row r="6779">
      <c r="A6779" s="2">
        <v>6778.0</v>
      </c>
      <c r="B6779" s="2" t="s">
        <v>10990</v>
      </c>
      <c r="C6779" s="2" t="s">
        <v>23</v>
      </c>
      <c r="N6779" s="6">
        <v>43956.0</v>
      </c>
      <c r="Q6779" s="2" t="s">
        <v>86</v>
      </c>
    </row>
    <row r="6780">
      <c r="A6780" s="2">
        <v>6779.0</v>
      </c>
      <c r="B6780" s="2" t="s">
        <v>10991</v>
      </c>
      <c r="C6780" s="2" t="s">
        <v>23</v>
      </c>
      <c r="K6780" s="2">
        <v>450.0</v>
      </c>
      <c r="N6780" s="6">
        <v>43850.0</v>
      </c>
      <c r="Q6780" s="2" t="s">
        <v>10992</v>
      </c>
    </row>
    <row r="6781">
      <c r="A6781" s="2">
        <v>6780.0</v>
      </c>
      <c r="B6781" s="2" t="s">
        <v>10993</v>
      </c>
      <c r="C6781" s="2" t="s">
        <v>23</v>
      </c>
      <c r="K6781" s="2">
        <v>40.0</v>
      </c>
      <c r="N6781" s="6">
        <v>44806.0</v>
      </c>
      <c r="Q6781" s="2" t="s">
        <v>1466</v>
      </c>
    </row>
    <row r="6782">
      <c r="A6782" s="2">
        <v>6781.0</v>
      </c>
      <c r="B6782" s="2" t="s">
        <v>10994</v>
      </c>
      <c r="C6782" s="2" t="s">
        <v>23</v>
      </c>
      <c r="N6782" s="6">
        <v>44522.0</v>
      </c>
      <c r="Q6782" s="2" t="s">
        <v>86</v>
      </c>
    </row>
    <row r="6783">
      <c r="A6783" s="2">
        <v>6782.0</v>
      </c>
      <c r="B6783" s="2" t="s">
        <v>10995</v>
      </c>
      <c r="C6783" s="2" t="s">
        <v>23</v>
      </c>
      <c r="K6783" s="2">
        <v>10.0</v>
      </c>
      <c r="N6783" s="6">
        <v>44994.0</v>
      </c>
      <c r="Q6783" s="2" t="s">
        <v>10996</v>
      </c>
    </row>
    <row r="6784">
      <c r="A6784" s="2">
        <v>6783.0</v>
      </c>
      <c r="B6784" s="2" t="s">
        <v>10997</v>
      </c>
      <c r="C6784" s="2" t="s">
        <v>23</v>
      </c>
      <c r="K6784" s="2">
        <v>10.0</v>
      </c>
      <c r="N6784" s="6">
        <v>45515.0</v>
      </c>
      <c r="Q6784" s="2" t="s">
        <v>10998</v>
      </c>
    </row>
    <row r="6785">
      <c r="A6785" s="2">
        <v>6784.0</v>
      </c>
      <c r="B6785" s="2" t="s">
        <v>10999</v>
      </c>
      <c r="C6785" s="2" t="s">
        <v>23</v>
      </c>
      <c r="K6785" s="2">
        <v>40.0</v>
      </c>
      <c r="N6785" s="6">
        <v>45737.0</v>
      </c>
      <c r="Q6785" s="2" t="s">
        <v>6432</v>
      </c>
    </row>
    <row r="6786">
      <c r="A6786" s="2">
        <v>6785.0</v>
      </c>
      <c r="B6786" s="2" t="s">
        <v>11000</v>
      </c>
      <c r="C6786" s="2" t="s">
        <v>23</v>
      </c>
      <c r="N6786" s="6">
        <v>44269.0</v>
      </c>
      <c r="Q6786" s="2" t="s">
        <v>86</v>
      </c>
    </row>
    <row r="6787">
      <c r="A6787" s="2">
        <v>6786.0</v>
      </c>
      <c r="B6787" s="2" t="s">
        <v>11001</v>
      </c>
      <c r="C6787" s="2" t="s">
        <v>23</v>
      </c>
      <c r="N6787" s="6">
        <v>45581.0</v>
      </c>
      <c r="Q6787" s="2" t="s">
        <v>11002</v>
      </c>
    </row>
    <row r="6788">
      <c r="A6788" s="2">
        <v>6787.0</v>
      </c>
      <c r="B6788" s="2" t="s">
        <v>11003</v>
      </c>
      <c r="C6788" s="2" t="s">
        <v>23</v>
      </c>
      <c r="K6788" s="2">
        <v>10.0</v>
      </c>
      <c r="N6788" s="6">
        <v>45685.0</v>
      </c>
      <c r="Q6788" s="2" t="s">
        <v>1853</v>
      </c>
    </row>
    <row r="6789">
      <c r="A6789" s="2">
        <v>6788.0</v>
      </c>
      <c r="B6789" s="2" t="s">
        <v>11004</v>
      </c>
      <c r="C6789" s="2" t="s">
        <v>23</v>
      </c>
      <c r="N6789" s="6">
        <v>45360.0</v>
      </c>
      <c r="Q6789" s="2" t="s">
        <v>401</v>
      </c>
    </row>
    <row r="6790">
      <c r="A6790" s="2">
        <v>6789.0</v>
      </c>
      <c r="B6790" s="2" t="s">
        <v>11005</v>
      </c>
      <c r="C6790" s="2" t="s">
        <v>23</v>
      </c>
      <c r="N6790" s="6">
        <v>43291.0</v>
      </c>
      <c r="Q6790" s="2" t="s">
        <v>11006</v>
      </c>
    </row>
    <row r="6791">
      <c r="A6791" s="2">
        <v>6790.0</v>
      </c>
      <c r="B6791" s="2" t="s">
        <v>11007</v>
      </c>
      <c r="C6791" s="2" t="s">
        <v>23</v>
      </c>
      <c r="K6791" s="2">
        <v>800.0</v>
      </c>
      <c r="N6791" s="6">
        <v>43869.0</v>
      </c>
      <c r="Q6791" s="2" t="s">
        <v>11008</v>
      </c>
    </row>
    <row r="6792">
      <c r="A6792" s="2">
        <v>6791.0</v>
      </c>
      <c r="B6792" s="2" t="s">
        <v>11009</v>
      </c>
      <c r="C6792" s="2" t="s">
        <v>23</v>
      </c>
      <c r="K6792" s="2">
        <v>450.0</v>
      </c>
      <c r="N6792" s="6">
        <v>44176.0</v>
      </c>
      <c r="Q6792" s="2" t="s">
        <v>11010</v>
      </c>
    </row>
    <row r="6793">
      <c r="A6793" s="2">
        <v>6792.0</v>
      </c>
      <c r="B6793" s="2" t="s">
        <v>11011</v>
      </c>
      <c r="C6793" s="2" t="s">
        <v>23</v>
      </c>
      <c r="K6793" s="2">
        <v>60.0</v>
      </c>
      <c r="N6793" s="6">
        <v>45158.0</v>
      </c>
      <c r="Q6793" s="2" t="s">
        <v>3129</v>
      </c>
    </row>
    <row r="6794">
      <c r="A6794" s="2">
        <v>6793.0</v>
      </c>
      <c r="B6794" s="2" t="s">
        <v>428</v>
      </c>
      <c r="C6794" s="2" t="s">
        <v>23</v>
      </c>
      <c r="K6794" s="2">
        <v>150.0</v>
      </c>
      <c r="N6794" s="6">
        <v>42696.0</v>
      </c>
      <c r="Q6794" s="2" t="s">
        <v>430</v>
      </c>
    </row>
    <row r="6795">
      <c r="A6795" s="2">
        <v>6794.0</v>
      </c>
      <c r="B6795" s="2" t="s">
        <v>11012</v>
      </c>
      <c r="C6795" s="2" t="s">
        <v>23</v>
      </c>
      <c r="N6795" s="6">
        <v>43878.0</v>
      </c>
      <c r="Q6795" s="2" t="s">
        <v>86</v>
      </c>
    </row>
    <row r="6796">
      <c r="A6796" s="2">
        <v>6795.0</v>
      </c>
      <c r="B6796" s="2" t="s">
        <v>11013</v>
      </c>
      <c r="C6796" s="2" t="s">
        <v>23</v>
      </c>
      <c r="K6796" s="2">
        <v>90.0</v>
      </c>
      <c r="N6796" s="6">
        <v>44052.0</v>
      </c>
      <c r="Q6796" s="2" t="s">
        <v>11014</v>
      </c>
    </row>
    <row r="6797">
      <c r="A6797" s="2">
        <v>6796.0</v>
      </c>
      <c r="B6797" s="2" t="s">
        <v>11015</v>
      </c>
      <c r="C6797" s="2" t="s">
        <v>23</v>
      </c>
      <c r="K6797" s="2">
        <v>10.0</v>
      </c>
      <c r="N6797" s="6">
        <v>43905.0</v>
      </c>
      <c r="Q6797" s="2" t="s">
        <v>2409</v>
      </c>
    </row>
    <row r="6798">
      <c r="A6798" s="2">
        <v>6797.0</v>
      </c>
      <c r="B6798" s="2" t="s">
        <v>11016</v>
      </c>
      <c r="C6798" s="2" t="s">
        <v>23</v>
      </c>
      <c r="K6798" s="2">
        <v>10.0</v>
      </c>
      <c r="N6798" s="6">
        <v>44368.0</v>
      </c>
      <c r="Q6798" s="2" t="s">
        <v>86</v>
      </c>
    </row>
    <row r="6799">
      <c r="A6799" s="2">
        <v>6798.0</v>
      </c>
      <c r="B6799" s="2" t="s">
        <v>11017</v>
      </c>
      <c r="C6799" s="2" t="s">
        <v>23</v>
      </c>
      <c r="K6799" s="2">
        <v>20.0</v>
      </c>
      <c r="N6799" s="6">
        <v>44118.0</v>
      </c>
      <c r="Q6799" s="2" t="s">
        <v>1437</v>
      </c>
    </row>
    <row r="6800">
      <c r="A6800" s="2">
        <v>6799.0</v>
      </c>
      <c r="B6800" s="2" t="s">
        <v>11018</v>
      </c>
      <c r="C6800" s="2" t="s">
        <v>23</v>
      </c>
      <c r="K6800" s="2">
        <v>50.0</v>
      </c>
      <c r="N6800" s="6">
        <v>43171.0</v>
      </c>
      <c r="Q6800" s="2" t="s">
        <v>11019</v>
      </c>
    </row>
    <row r="6801">
      <c r="A6801" s="2">
        <v>6800.0</v>
      </c>
      <c r="B6801" s="2" t="s">
        <v>11020</v>
      </c>
      <c r="C6801" s="2" t="s">
        <v>23</v>
      </c>
      <c r="K6801" s="2">
        <v>200.0</v>
      </c>
      <c r="N6801" s="6">
        <v>44414.0</v>
      </c>
      <c r="Q6801" s="2" t="s">
        <v>11021</v>
      </c>
    </row>
    <row r="6802">
      <c r="A6802" s="2">
        <v>6801.0</v>
      </c>
      <c r="B6802" s="2" t="s">
        <v>11022</v>
      </c>
      <c r="C6802" s="2" t="s">
        <v>23</v>
      </c>
      <c r="K6802" s="2">
        <v>10.0</v>
      </c>
      <c r="N6802" s="6">
        <v>45139.0</v>
      </c>
      <c r="Q6802" s="2" t="s">
        <v>11023</v>
      </c>
    </row>
    <row r="6803">
      <c r="A6803" s="2">
        <v>6802.0</v>
      </c>
      <c r="B6803" s="2" t="s">
        <v>11024</v>
      </c>
      <c r="C6803" s="2" t="s">
        <v>23</v>
      </c>
      <c r="K6803" s="2">
        <v>20.0</v>
      </c>
      <c r="N6803" s="6">
        <v>44814.0</v>
      </c>
      <c r="Q6803" s="2" t="s">
        <v>86</v>
      </c>
    </row>
    <row r="6804">
      <c r="A6804" s="2">
        <v>6803.0</v>
      </c>
      <c r="B6804" s="2" t="s">
        <v>11025</v>
      </c>
      <c r="C6804" s="2" t="s">
        <v>23</v>
      </c>
      <c r="N6804" s="6">
        <v>45588.0</v>
      </c>
      <c r="Q6804" s="2" t="s">
        <v>2876</v>
      </c>
    </row>
    <row r="6805">
      <c r="A6805" s="2">
        <v>6804.0</v>
      </c>
      <c r="B6805" s="2" t="s">
        <v>11026</v>
      </c>
      <c r="C6805" s="2" t="s">
        <v>23</v>
      </c>
      <c r="K6805" s="2">
        <v>10.0</v>
      </c>
      <c r="N6805" s="6">
        <v>44651.0</v>
      </c>
      <c r="Q6805" s="2" t="s">
        <v>86</v>
      </c>
    </row>
    <row r="6806">
      <c r="A6806" s="2">
        <v>6805.0</v>
      </c>
      <c r="B6806" s="2" t="s">
        <v>11027</v>
      </c>
      <c r="C6806" s="2" t="s">
        <v>23</v>
      </c>
      <c r="N6806" s="6">
        <v>44711.0</v>
      </c>
      <c r="Q6806" s="2" t="s">
        <v>86</v>
      </c>
    </row>
    <row r="6807">
      <c r="A6807" s="2">
        <v>6806.0</v>
      </c>
      <c r="B6807" s="2" t="s">
        <v>11028</v>
      </c>
      <c r="C6807" s="2" t="s">
        <v>23</v>
      </c>
      <c r="K6807" s="2">
        <v>60.0</v>
      </c>
      <c r="N6807" s="6">
        <v>44273.0</v>
      </c>
      <c r="Q6807" s="2" t="s">
        <v>1156</v>
      </c>
    </row>
    <row r="6808">
      <c r="A6808" s="2">
        <v>6807.0</v>
      </c>
      <c r="B6808" s="2" t="s">
        <v>11029</v>
      </c>
      <c r="C6808" s="2" t="s">
        <v>23</v>
      </c>
      <c r="N6808" s="6">
        <v>42485.0</v>
      </c>
      <c r="Q6808" s="2" t="s">
        <v>86</v>
      </c>
    </row>
    <row r="6809">
      <c r="A6809" s="2">
        <v>6808.0</v>
      </c>
      <c r="B6809" s="2" t="s">
        <v>11030</v>
      </c>
      <c r="C6809" s="2" t="s">
        <v>23</v>
      </c>
      <c r="K6809" s="2">
        <v>40.0</v>
      </c>
      <c r="N6809" s="6">
        <v>45737.0</v>
      </c>
      <c r="Q6809" s="2" t="s">
        <v>11031</v>
      </c>
    </row>
    <row r="6810">
      <c r="A6810" s="2">
        <v>6809.0</v>
      </c>
      <c r="B6810" s="2" t="s">
        <v>11032</v>
      </c>
      <c r="C6810" s="2" t="s">
        <v>23</v>
      </c>
      <c r="K6810" s="2">
        <v>100.0</v>
      </c>
      <c r="N6810" s="6">
        <v>44314.0</v>
      </c>
      <c r="Q6810" s="2" t="s">
        <v>11033</v>
      </c>
    </row>
    <row r="6811">
      <c r="A6811" s="2">
        <v>6810.0</v>
      </c>
      <c r="B6811" s="2" t="s">
        <v>11034</v>
      </c>
      <c r="C6811" s="2" t="s">
        <v>23</v>
      </c>
      <c r="N6811" s="6">
        <v>43934.0</v>
      </c>
      <c r="Q6811" s="2" t="s">
        <v>86</v>
      </c>
    </row>
    <row r="6812">
      <c r="A6812" s="2">
        <v>6811.0</v>
      </c>
      <c r="B6812" s="2" t="s">
        <v>11035</v>
      </c>
      <c r="C6812" s="2" t="s">
        <v>23</v>
      </c>
      <c r="K6812" s="2">
        <v>10.0</v>
      </c>
      <c r="N6812" s="6">
        <v>43936.0</v>
      </c>
      <c r="Q6812" s="2" t="s">
        <v>11036</v>
      </c>
    </row>
    <row r="6813">
      <c r="A6813" s="2">
        <v>6812.0</v>
      </c>
      <c r="B6813" s="2" t="s">
        <v>11037</v>
      </c>
      <c r="C6813" s="2" t="s">
        <v>23</v>
      </c>
      <c r="K6813" s="2">
        <v>20.0</v>
      </c>
      <c r="N6813" s="6">
        <v>44430.0</v>
      </c>
      <c r="Q6813" s="2" t="s">
        <v>4153</v>
      </c>
    </row>
    <row r="6814">
      <c r="A6814" s="2">
        <v>6813.0</v>
      </c>
      <c r="B6814" s="2" t="s">
        <v>11038</v>
      </c>
      <c r="C6814" s="2" t="s">
        <v>23</v>
      </c>
      <c r="K6814" s="2">
        <v>10.0</v>
      </c>
      <c r="N6814" s="6">
        <v>45725.0</v>
      </c>
      <c r="Q6814" s="2" t="s">
        <v>11039</v>
      </c>
    </row>
    <row r="6815">
      <c r="A6815" s="2">
        <v>6814.0</v>
      </c>
      <c r="B6815" s="2" t="s">
        <v>11040</v>
      </c>
      <c r="C6815" s="2" t="s">
        <v>23</v>
      </c>
      <c r="K6815" s="2">
        <v>100.0</v>
      </c>
      <c r="N6815" s="6">
        <v>45547.0</v>
      </c>
      <c r="Q6815" s="2" t="s">
        <v>11041</v>
      </c>
    </row>
    <row r="6816">
      <c r="A6816" s="2">
        <v>6815.0</v>
      </c>
      <c r="B6816" s="2" t="s">
        <v>11042</v>
      </c>
      <c r="C6816" s="2" t="s">
        <v>23</v>
      </c>
      <c r="K6816" s="2">
        <v>10.0</v>
      </c>
      <c r="N6816" s="6">
        <v>43992.0</v>
      </c>
      <c r="Q6816" s="2" t="s">
        <v>401</v>
      </c>
    </row>
    <row r="6817">
      <c r="A6817" s="2">
        <v>6816.0</v>
      </c>
      <c r="B6817" s="2" t="s">
        <v>11043</v>
      </c>
      <c r="C6817" s="2" t="s">
        <v>23</v>
      </c>
      <c r="N6817" s="6">
        <v>45059.0</v>
      </c>
      <c r="Q6817" s="2" t="s">
        <v>6674</v>
      </c>
    </row>
    <row r="6818">
      <c r="A6818" s="2">
        <v>6817.0</v>
      </c>
      <c r="B6818" s="2" t="s">
        <v>11044</v>
      </c>
      <c r="C6818" s="2" t="s">
        <v>23</v>
      </c>
      <c r="K6818" s="2">
        <v>30.0</v>
      </c>
      <c r="N6818" s="6">
        <v>44663.0</v>
      </c>
      <c r="Q6818" s="2" t="s">
        <v>11045</v>
      </c>
    </row>
    <row r="6819">
      <c r="A6819" s="2">
        <v>6818.0</v>
      </c>
      <c r="B6819" s="2" t="s">
        <v>11046</v>
      </c>
      <c r="C6819" s="2" t="s">
        <v>23</v>
      </c>
      <c r="N6819" s="6">
        <v>44489.0</v>
      </c>
      <c r="Q6819" s="2" t="s">
        <v>60</v>
      </c>
    </row>
    <row r="6820">
      <c r="A6820" s="2">
        <v>6819.0</v>
      </c>
      <c r="B6820" s="2" t="s">
        <v>11047</v>
      </c>
      <c r="C6820" s="2" t="s">
        <v>23</v>
      </c>
      <c r="K6820" s="2">
        <v>10.0</v>
      </c>
      <c r="N6820" s="6">
        <v>43928.0</v>
      </c>
      <c r="Q6820" s="2" t="s">
        <v>200</v>
      </c>
    </row>
    <row r="6821">
      <c r="A6821" s="2">
        <v>6820.0</v>
      </c>
      <c r="B6821" s="2" t="s">
        <v>11048</v>
      </c>
      <c r="C6821" s="2" t="s">
        <v>23</v>
      </c>
      <c r="K6821" s="2">
        <v>40.0</v>
      </c>
      <c r="N6821" s="6">
        <v>45733.0</v>
      </c>
      <c r="Q6821" s="2" t="s">
        <v>6312</v>
      </c>
    </row>
    <row r="6822">
      <c r="A6822" s="2">
        <v>6821.0</v>
      </c>
      <c r="B6822" s="2" t="s">
        <v>11049</v>
      </c>
      <c r="C6822" s="2" t="s">
        <v>23</v>
      </c>
      <c r="K6822" s="2">
        <v>200.0</v>
      </c>
      <c r="N6822" s="6">
        <v>44605.0</v>
      </c>
      <c r="Q6822" s="2" t="s">
        <v>11050</v>
      </c>
    </row>
    <row r="6823">
      <c r="A6823" s="2">
        <v>6822.0</v>
      </c>
      <c r="B6823" s="2" t="s">
        <v>432</v>
      </c>
      <c r="C6823" s="2" t="s">
        <v>23</v>
      </c>
      <c r="K6823" s="2">
        <v>20.0</v>
      </c>
      <c r="N6823" s="6">
        <v>43904.0</v>
      </c>
      <c r="Q6823" s="2" t="s">
        <v>434</v>
      </c>
    </row>
    <row r="6824">
      <c r="A6824" s="2">
        <v>6823.0</v>
      </c>
      <c r="B6824" s="2" t="s">
        <v>11051</v>
      </c>
      <c r="C6824" s="2" t="s">
        <v>23</v>
      </c>
      <c r="N6824" s="6">
        <v>44739.0</v>
      </c>
      <c r="Q6824" s="2" t="s">
        <v>86</v>
      </c>
    </row>
    <row r="6825">
      <c r="A6825" s="2">
        <v>6824.0</v>
      </c>
      <c r="B6825" s="2" t="s">
        <v>11052</v>
      </c>
      <c r="C6825" s="2" t="s">
        <v>23</v>
      </c>
      <c r="K6825" s="2">
        <v>150.0</v>
      </c>
      <c r="N6825" s="6">
        <v>44017.0</v>
      </c>
      <c r="Q6825" s="2" t="s">
        <v>2496</v>
      </c>
    </row>
    <row r="6826">
      <c r="A6826" s="2">
        <v>6825.0</v>
      </c>
      <c r="B6826" s="2" t="s">
        <v>11053</v>
      </c>
      <c r="C6826" s="2" t="s">
        <v>23</v>
      </c>
      <c r="K6826" s="2">
        <v>40.0</v>
      </c>
      <c r="N6826" s="6">
        <v>44331.0</v>
      </c>
      <c r="Q6826" s="2" t="s">
        <v>426</v>
      </c>
    </row>
    <row r="6827">
      <c r="A6827" s="2">
        <v>6826.0</v>
      </c>
      <c r="B6827" s="2" t="s">
        <v>11054</v>
      </c>
      <c r="C6827" s="2" t="s">
        <v>23</v>
      </c>
      <c r="N6827" s="6">
        <v>44545.0</v>
      </c>
      <c r="Q6827" s="2" t="s">
        <v>86</v>
      </c>
    </row>
    <row r="6828">
      <c r="A6828" s="2">
        <v>6827.0</v>
      </c>
      <c r="B6828" s="2" t="s">
        <v>11055</v>
      </c>
      <c r="C6828" s="2" t="s">
        <v>23</v>
      </c>
      <c r="K6828" s="2">
        <v>30.0</v>
      </c>
      <c r="N6828" s="6">
        <v>44324.0</v>
      </c>
      <c r="Q6828" s="2" t="s">
        <v>11056</v>
      </c>
    </row>
    <row r="6829">
      <c r="A6829" s="2">
        <v>6828.0</v>
      </c>
      <c r="B6829" s="2" t="s">
        <v>11057</v>
      </c>
      <c r="C6829" s="2" t="s">
        <v>23</v>
      </c>
      <c r="K6829" s="2">
        <v>250.0</v>
      </c>
      <c r="N6829" s="6">
        <v>44017.0</v>
      </c>
      <c r="Q6829" s="2" t="s">
        <v>11058</v>
      </c>
    </row>
    <row r="6830">
      <c r="A6830" s="2">
        <v>6829.0</v>
      </c>
      <c r="B6830" s="2" t="s">
        <v>11059</v>
      </c>
      <c r="C6830" s="2" t="s">
        <v>23</v>
      </c>
      <c r="N6830" s="6">
        <v>44780.0</v>
      </c>
      <c r="Q6830" s="2" t="s">
        <v>86</v>
      </c>
    </row>
    <row r="6831">
      <c r="A6831" s="2">
        <v>6830.0</v>
      </c>
      <c r="B6831" s="2" t="s">
        <v>437</v>
      </c>
      <c r="C6831" s="2" t="s">
        <v>23</v>
      </c>
      <c r="N6831" s="6">
        <v>44326.0</v>
      </c>
      <c r="Q6831" s="2" t="s">
        <v>86</v>
      </c>
    </row>
    <row r="6832">
      <c r="A6832" s="2">
        <v>6831.0</v>
      </c>
      <c r="B6832" s="2" t="s">
        <v>11060</v>
      </c>
      <c r="C6832" s="2" t="s">
        <v>23</v>
      </c>
      <c r="K6832" s="2">
        <v>20.0</v>
      </c>
      <c r="N6832" s="6">
        <v>45131.0</v>
      </c>
      <c r="Q6832" s="2" t="s">
        <v>1156</v>
      </c>
    </row>
    <row r="6833">
      <c r="A6833" s="2">
        <v>6832.0</v>
      </c>
      <c r="B6833" s="2" t="s">
        <v>11061</v>
      </c>
      <c r="C6833" s="2" t="s">
        <v>23</v>
      </c>
      <c r="K6833" s="2">
        <v>30.0</v>
      </c>
      <c r="N6833" s="6">
        <v>45646.0</v>
      </c>
      <c r="Q6833" s="2" t="s">
        <v>2838</v>
      </c>
    </row>
    <row r="6834">
      <c r="A6834" s="2">
        <v>6833.0</v>
      </c>
      <c r="B6834" s="2" t="s">
        <v>11062</v>
      </c>
      <c r="C6834" s="2" t="s">
        <v>23</v>
      </c>
      <c r="K6834" s="2">
        <v>20.0</v>
      </c>
      <c r="N6834" s="6">
        <v>43916.0</v>
      </c>
      <c r="Q6834" s="2" t="s">
        <v>86</v>
      </c>
    </row>
    <row r="6835">
      <c r="A6835" s="2">
        <v>6834.0</v>
      </c>
      <c r="B6835" s="2" t="s">
        <v>11063</v>
      </c>
      <c r="C6835" s="2" t="s">
        <v>23</v>
      </c>
      <c r="K6835" s="2">
        <v>80.0</v>
      </c>
      <c r="N6835" s="6">
        <v>43843.0</v>
      </c>
      <c r="Q6835" s="2" t="s">
        <v>11064</v>
      </c>
    </row>
    <row r="6836">
      <c r="A6836" s="2">
        <v>6835.0</v>
      </c>
      <c r="B6836" s="2" t="s">
        <v>11065</v>
      </c>
      <c r="C6836" s="2" t="s">
        <v>23</v>
      </c>
      <c r="K6836" s="2">
        <v>50.0</v>
      </c>
      <c r="N6836" s="6">
        <v>44679.0</v>
      </c>
      <c r="Q6836" s="2" t="s">
        <v>11066</v>
      </c>
    </row>
    <row r="6837">
      <c r="A6837" s="2">
        <v>6836.0</v>
      </c>
      <c r="B6837" s="2" t="s">
        <v>11067</v>
      </c>
      <c r="C6837" s="2" t="s">
        <v>23</v>
      </c>
      <c r="N6837" s="6">
        <v>43976.0</v>
      </c>
      <c r="Q6837" s="2" t="s">
        <v>86</v>
      </c>
    </row>
    <row r="6838">
      <c r="A6838" s="2">
        <v>6837.0</v>
      </c>
      <c r="B6838" s="2" t="s">
        <v>11068</v>
      </c>
      <c r="C6838" s="2" t="s">
        <v>23</v>
      </c>
      <c r="N6838" s="6">
        <v>44433.0</v>
      </c>
      <c r="Q6838" s="2" t="s">
        <v>2886</v>
      </c>
    </row>
    <row r="6839">
      <c r="A6839" s="2">
        <v>6838.0</v>
      </c>
      <c r="B6839" s="2" t="s">
        <v>11069</v>
      </c>
      <c r="C6839" s="2" t="s">
        <v>23</v>
      </c>
      <c r="N6839" s="6">
        <v>44334.0</v>
      </c>
      <c r="Q6839" s="2" t="s">
        <v>86</v>
      </c>
    </row>
    <row r="6840">
      <c r="A6840" s="2">
        <v>6839.0</v>
      </c>
      <c r="B6840" s="2" t="s">
        <v>11070</v>
      </c>
      <c r="C6840" s="2" t="s">
        <v>23</v>
      </c>
      <c r="K6840" s="2">
        <v>30.0</v>
      </c>
      <c r="N6840" s="6">
        <v>42355.0</v>
      </c>
      <c r="Q6840" s="2" t="s">
        <v>11071</v>
      </c>
    </row>
    <row r="6841">
      <c r="A6841" s="2">
        <v>6840.0</v>
      </c>
      <c r="B6841" s="2" t="s">
        <v>11072</v>
      </c>
      <c r="C6841" s="2" t="s">
        <v>23</v>
      </c>
      <c r="K6841" s="2">
        <v>10.0</v>
      </c>
      <c r="N6841" s="6">
        <v>43939.0</v>
      </c>
      <c r="Q6841" s="2" t="s">
        <v>11073</v>
      </c>
    </row>
    <row r="6842">
      <c r="A6842" s="2">
        <v>6841.0</v>
      </c>
      <c r="B6842" s="2" t="s">
        <v>11074</v>
      </c>
      <c r="C6842" s="2" t="s">
        <v>23</v>
      </c>
      <c r="K6842" s="2">
        <v>30.0</v>
      </c>
      <c r="N6842" s="6">
        <v>44022.0</v>
      </c>
      <c r="Q6842" s="2" t="s">
        <v>3809</v>
      </c>
    </row>
    <row r="6843">
      <c r="A6843" s="2">
        <v>6842.0</v>
      </c>
      <c r="B6843" s="2" t="s">
        <v>11075</v>
      </c>
      <c r="C6843" s="2" t="s">
        <v>23</v>
      </c>
      <c r="N6843" s="6">
        <v>44050.0</v>
      </c>
      <c r="Q6843" s="2" t="s">
        <v>86</v>
      </c>
    </row>
    <row r="6844">
      <c r="A6844" s="2">
        <v>6843.0</v>
      </c>
      <c r="B6844" s="2" t="s">
        <v>11076</v>
      </c>
      <c r="C6844" s="2" t="s">
        <v>23</v>
      </c>
      <c r="N6844" s="6">
        <v>43056.0</v>
      </c>
      <c r="Q6844" s="2" t="s">
        <v>86</v>
      </c>
    </row>
    <row r="6845">
      <c r="A6845" s="2">
        <v>6844.0</v>
      </c>
      <c r="B6845" s="2" t="s">
        <v>11077</v>
      </c>
      <c r="C6845" s="2" t="s">
        <v>23</v>
      </c>
      <c r="N6845" s="6">
        <v>45992.0</v>
      </c>
      <c r="Q6845" s="2" t="s">
        <v>11078</v>
      </c>
    </row>
    <row r="6846">
      <c r="A6846" s="2">
        <v>6845.0</v>
      </c>
      <c r="B6846" s="2" t="s">
        <v>11079</v>
      </c>
      <c r="C6846" s="2" t="s">
        <v>23</v>
      </c>
      <c r="K6846" s="2">
        <v>20.0</v>
      </c>
      <c r="N6846" s="6">
        <v>45012.0</v>
      </c>
      <c r="Q6846" s="2" t="s">
        <v>1801</v>
      </c>
    </row>
    <row r="6847">
      <c r="A6847" s="2">
        <v>6846.0</v>
      </c>
      <c r="B6847" s="2" t="s">
        <v>11080</v>
      </c>
      <c r="C6847" s="2" t="s">
        <v>23</v>
      </c>
      <c r="K6847" s="2">
        <v>20.0</v>
      </c>
      <c r="N6847" s="6">
        <v>44363.0</v>
      </c>
      <c r="Q6847" s="2" t="s">
        <v>11081</v>
      </c>
    </row>
    <row r="6848">
      <c r="A6848" s="2">
        <v>6847.0</v>
      </c>
      <c r="B6848" s="2" t="s">
        <v>11082</v>
      </c>
      <c r="C6848" s="2" t="s">
        <v>23</v>
      </c>
      <c r="K6848" s="2">
        <v>90.0</v>
      </c>
      <c r="N6848" s="6">
        <v>45718.0</v>
      </c>
      <c r="Q6848" s="2" t="s">
        <v>11083</v>
      </c>
    </row>
    <row r="6849">
      <c r="A6849" s="2">
        <v>6848.0</v>
      </c>
      <c r="B6849" s="2" t="s">
        <v>11084</v>
      </c>
      <c r="C6849" s="2" t="s">
        <v>23</v>
      </c>
      <c r="N6849" s="6">
        <v>43898.0</v>
      </c>
      <c r="Q6849" s="2" t="s">
        <v>86</v>
      </c>
    </row>
    <row r="6850">
      <c r="A6850" s="2">
        <v>6849.0</v>
      </c>
      <c r="B6850" s="2" t="s">
        <v>11085</v>
      </c>
      <c r="C6850" s="2" t="s">
        <v>23</v>
      </c>
      <c r="N6850" s="6">
        <v>44176.0</v>
      </c>
      <c r="Q6850" s="2" t="s">
        <v>11086</v>
      </c>
    </row>
    <row r="6851">
      <c r="A6851" s="2">
        <v>6850.0</v>
      </c>
      <c r="B6851" s="2" t="s">
        <v>11087</v>
      </c>
      <c r="C6851" s="2" t="s">
        <v>23</v>
      </c>
      <c r="K6851" s="2">
        <v>10.0</v>
      </c>
      <c r="N6851" s="6">
        <v>45020.0</v>
      </c>
      <c r="Q6851" s="2" t="s">
        <v>1466</v>
      </c>
    </row>
    <row r="6852">
      <c r="A6852" s="2">
        <v>6851.0</v>
      </c>
      <c r="B6852" s="2" t="s">
        <v>11088</v>
      </c>
      <c r="C6852" s="2" t="s">
        <v>23</v>
      </c>
      <c r="K6852" s="2">
        <v>30.0</v>
      </c>
      <c r="N6852" s="6">
        <v>44724.0</v>
      </c>
      <c r="Q6852" s="2" t="s">
        <v>86</v>
      </c>
    </row>
    <row r="6853">
      <c r="A6853" s="2">
        <v>6852.0</v>
      </c>
      <c r="B6853" s="2" t="s">
        <v>11089</v>
      </c>
      <c r="C6853" s="2" t="s">
        <v>23</v>
      </c>
      <c r="K6853" s="2">
        <v>100.0</v>
      </c>
      <c r="N6853" s="6">
        <v>43866.0</v>
      </c>
      <c r="Q6853" s="2" t="s">
        <v>11090</v>
      </c>
    </row>
    <row r="6854">
      <c r="A6854" s="2">
        <v>6853.0</v>
      </c>
      <c r="B6854" s="2" t="s">
        <v>11091</v>
      </c>
      <c r="C6854" s="2" t="s">
        <v>23</v>
      </c>
      <c r="K6854" s="2">
        <v>10.0</v>
      </c>
      <c r="N6854" s="6">
        <v>44628.0</v>
      </c>
      <c r="Q6854" s="2" t="s">
        <v>9702</v>
      </c>
    </row>
    <row r="6855">
      <c r="A6855" s="2">
        <v>6854.0</v>
      </c>
      <c r="B6855" s="2" t="s">
        <v>11092</v>
      </c>
      <c r="C6855" s="2" t="s">
        <v>23</v>
      </c>
      <c r="N6855" s="6">
        <v>43904.0</v>
      </c>
      <c r="Q6855" s="2" t="s">
        <v>11093</v>
      </c>
    </row>
    <row r="6856">
      <c r="A6856" s="2">
        <v>6855.0</v>
      </c>
      <c r="B6856" s="2" t="s">
        <v>11094</v>
      </c>
      <c r="C6856" s="2" t="s">
        <v>23</v>
      </c>
      <c r="K6856" s="2">
        <v>20.0</v>
      </c>
      <c r="N6856" s="6">
        <v>45785.0</v>
      </c>
      <c r="Q6856" s="2" t="s">
        <v>11095</v>
      </c>
    </row>
    <row r="6857">
      <c r="A6857" s="2">
        <v>6856.0</v>
      </c>
      <c r="B6857" s="2" t="s">
        <v>11096</v>
      </c>
      <c r="C6857" s="2" t="s">
        <v>23</v>
      </c>
      <c r="N6857" s="6">
        <v>44350.0</v>
      </c>
      <c r="Q6857" s="2" t="s">
        <v>3934</v>
      </c>
    </row>
    <row r="6858">
      <c r="A6858" s="2">
        <v>6857.0</v>
      </c>
      <c r="B6858" s="2" t="s">
        <v>11097</v>
      </c>
      <c r="C6858" s="2" t="s">
        <v>23</v>
      </c>
      <c r="N6858" s="6">
        <v>43009.0</v>
      </c>
      <c r="Q6858" s="2" t="s">
        <v>86</v>
      </c>
    </row>
    <row r="6859">
      <c r="A6859" s="2">
        <v>6858.0</v>
      </c>
      <c r="B6859" s="2" t="s">
        <v>11098</v>
      </c>
      <c r="C6859" s="2" t="s">
        <v>23</v>
      </c>
      <c r="K6859" s="2">
        <v>40.0</v>
      </c>
      <c r="N6859" s="6">
        <v>44571.0</v>
      </c>
      <c r="Q6859" s="2" t="s">
        <v>2049</v>
      </c>
    </row>
    <row r="6860">
      <c r="A6860" s="2">
        <v>6859.0</v>
      </c>
      <c r="B6860" s="2" t="s">
        <v>11099</v>
      </c>
      <c r="C6860" s="2" t="s">
        <v>23</v>
      </c>
      <c r="K6860" s="2">
        <v>30.0</v>
      </c>
      <c r="N6860" s="6">
        <v>43881.0</v>
      </c>
      <c r="Q6860" s="2" t="s">
        <v>9507</v>
      </c>
    </row>
    <row r="6861">
      <c r="A6861" s="2">
        <v>6860.0</v>
      </c>
      <c r="B6861" s="2" t="s">
        <v>11100</v>
      </c>
      <c r="C6861" s="2" t="s">
        <v>23</v>
      </c>
      <c r="N6861" s="6">
        <v>44783.0</v>
      </c>
      <c r="Q6861" s="2" t="s">
        <v>86</v>
      </c>
    </row>
    <row r="6862">
      <c r="A6862" s="2">
        <v>6861.0</v>
      </c>
      <c r="B6862" s="2" t="s">
        <v>11101</v>
      </c>
      <c r="C6862" s="2" t="s">
        <v>23</v>
      </c>
      <c r="N6862" s="6">
        <v>44127.0</v>
      </c>
      <c r="Q6862" s="2" t="s">
        <v>86</v>
      </c>
    </row>
    <row r="6863">
      <c r="A6863" s="2">
        <v>6862.0</v>
      </c>
      <c r="B6863" s="2" t="s">
        <v>11102</v>
      </c>
      <c r="C6863" s="2" t="s">
        <v>23</v>
      </c>
      <c r="N6863" s="6">
        <v>44203.0</v>
      </c>
      <c r="Q6863" s="2" t="s">
        <v>86</v>
      </c>
    </row>
    <row r="6864">
      <c r="A6864" s="2">
        <v>6863.0</v>
      </c>
      <c r="B6864" s="2" t="s">
        <v>11103</v>
      </c>
      <c r="C6864" s="2" t="s">
        <v>23</v>
      </c>
      <c r="K6864" s="2">
        <v>70.0</v>
      </c>
      <c r="N6864" s="6">
        <v>44086.0</v>
      </c>
      <c r="Q6864" s="2" t="s">
        <v>11104</v>
      </c>
    </row>
    <row r="6865">
      <c r="A6865" s="2">
        <v>6864.0</v>
      </c>
      <c r="B6865" s="2" t="s">
        <v>11105</v>
      </c>
      <c r="C6865" s="2" t="s">
        <v>23</v>
      </c>
      <c r="N6865" s="6">
        <v>45995.0</v>
      </c>
      <c r="Q6865" s="2" t="s">
        <v>5004</v>
      </c>
    </row>
    <row r="6866">
      <c r="A6866" s="2">
        <v>6865.0</v>
      </c>
      <c r="B6866" s="2" t="s">
        <v>11106</v>
      </c>
      <c r="C6866" s="2" t="s">
        <v>23</v>
      </c>
      <c r="K6866" s="2">
        <v>10.0</v>
      </c>
      <c r="N6866" s="6">
        <v>45083.0</v>
      </c>
      <c r="Q6866" s="2" t="s">
        <v>10180</v>
      </c>
    </row>
    <row r="6867">
      <c r="A6867" s="2">
        <v>6866.0</v>
      </c>
      <c r="B6867" s="2" t="s">
        <v>11107</v>
      </c>
      <c r="C6867" s="2" t="s">
        <v>23</v>
      </c>
      <c r="K6867" s="2">
        <v>20.0</v>
      </c>
      <c r="N6867" s="6">
        <v>43596.0</v>
      </c>
      <c r="Q6867" s="2" t="s">
        <v>11108</v>
      </c>
    </row>
    <row r="6868">
      <c r="A6868" s="2">
        <v>6867.0</v>
      </c>
      <c r="B6868" s="2" t="s">
        <v>441</v>
      </c>
      <c r="C6868" s="2" t="s">
        <v>23</v>
      </c>
      <c r="K6868" s="2">
        <v>40.0</v>
      </c>
      <c r="N6868" s="6">
        <v>42340.0</v>
      </c>
      <c r="Q6868" s="2" t="s">
        <v>443</v>
      </c>
    </row>
    <row r="6869">
      <c r="A6869" s="2">
        <v>6868.0</v>
      </c>
      <c r="B6869" s="2" t="s">
        <v>11109</v>
      </c>
      <c r="C6869" s="2" t="s">
        <v>23</v>
      </c>
      <c r="N6869" s="6">
        <v>44385.0</v>
      </c>
      <c r="Q6869" s="2" t="s">
        <v>86</v>
      </c>
    </row>
    <row r="6870">
      <c r="A6870" s="2">
        <v>6869.0</v>
      </c>
      <c r="B6870" s="2" t="s">
        <v>11110</v>
      </c>
      <c r="C6870" s="2" t="s">
        <v>23</v>
      </c>
      <c r="N6870" s="6">
        <v>44332.0</v>
      </c>
      <c r="Q6870" s="2" t="s">
        <v>86</v>
      </c>
    </row>
    <row r="6871">
      <c r="A6871" s="2">
        <v>6870.0</v>
      </c>
      <c r="B6871" s="2" t="s">
        <v>11111</v>
      </c>
      <c r="C6871" s="2" t="s">
        <v>23</v>
      </c>
      <c r="N6871" s="6">
        <v>45939.0</v>
      </c>
      <c r="Q6871" s="2" t="s">
        <v>11112</v>
      </c>
    </row>
    <row r="6872">
      <c r="A6872" s="2">
        <v>6871.0</v>
      </c>
      <c r="B6872" s="2" t="s">
        <v>11113</v>
      </c>
      <c r="C6872" s="2" t="s">
        <v>23</v>
      </c>
      <c r="N6872" s="6">
        <v>44196.0</v>
      </c>
      <c r="Q6872" s="2" t="s">
        <v>86</v>
      </c>
    </row>
    <row r="6873">
      <c r="A6873" s="2">
        <v>6872.0</v>
      </c>
      <c r="B6873" s="2" t="s">
        <v>11114</v>
      </c>
      <c r="C6873" s="2" t="s">
        <v>23</v>
      </c>
      <c r="K6873" s="2">
        <v>50.0</v>
      </c>
      <c r="N6873" s="6">
        <v>45250.0</v>
      </c>
      <c r="Q6873" s="2" t="s">
        <v>1249</v>
      </c>
    </row>
    <row r="6874">
      <c r="A6874" s="2">
        <v>6873.0</v>
      </c>
      <c r="B6874" s="2" t="s">
        <v>11115</v>
      </c>
      <c r="C6874" s="2" t="s">
        <v>23</v>
      </c>
      <c r="K6874" s="2">
        <v>30.0</v>
      </c>
      <c r="N6874" s="6">
        <v>45437.0</v>
      </c>
      <c r="Q6874" s="2" t="s">
        <v>11116</v>
      </c>
    </row>
    <row r="6875">
      <c r="A6875" s="2">
        <v>6874.0</v>
      </c>
      <c r="B6875" s="2" t="s">
        <v>11117</v>
      </c>
      <c r="C6875" s="2" t="s">
        <v>23</v>
      </c>
      <c r="K6875" s="2">
        <v>30.0</v>
      </c>
      <c r="N6875" s="6">
        <v>45307.0</v>
      </c>
      <c r="Q6875" s="2" t="s">
        <v>4731</v>
      </c>
    </row>
    <row r="6876">
      <c r="A6876" s="2">
        <v>6875.0</v>
      </c>
      <c r="B6876" s="2" t="s">
        <v>11118</v>
      </c>
      <c r="C6876" s="2" t="s">
        <v>23</v>
      </c>
      <c r="K6876" s="2">
        <v>90.0</v>
      </c>
      <c r="N6876" s="6">
        <v>44402.0</v>
      </c>
      <c r="Q6876" s="2" t="s">
        <v>86</v>
      </c>
    </row>
    <row r="6877">
      <c r="A6877" s="2">
        <v>6876.0</v>
      </c>
      <c r="B6877" s="2" t="s">
        <v>11119</v>
      </c>
      <c r="C6877" s="2" t="s">
        <v>23</v>
      </c>
      <c r="K6877" s="2">
        <v>40.0</v>
      </c>
      <c r="N6877" s="6">
        <v>45751.0</v>
      </c>
      <c r="Q6877" s="2" t="s">
        <v>11120</v>
      </c>
    </row>
    <row r="6878">
      <c r="A6878" s="2">
        <v>6877.0</v>
      </c>
      <c r="B6878" s="2" t="s">
        <v>11121</v>
      </c>
      <c r="C6878" s="2" t="s">
        <v>23</v>
      </c>
      <c r="N6878" s="6">
        <v>45578.0</v>
      </c>
      <c r="Q6878" s="2" t="s">
        <v>11122</v>
      </c>
    </row>
    <row r="6879">
      <c r="A6879" s="2">
        <v>6878.0</v>
      </c>
      <c r="B6879" s="2" t="s">
        <v>11123</v>
      </c>
      <c r="C6879" s="2" t="s">
        <v>23</v>
      </c>
      <c r="K6879" s="2">
        <v>50.0</v>
      </c>
      <c r="N6879" s="6">
        <v>45475.0</v>
      </c>
      <c r="Q6879" s="2" t="s">
        <v>11124</v>
      </c>
    </row>
    <row r="6880">
      <c r="A6880" s="2">
        <v>6879.0</v>
      </c>
      <c r="B6880" s="2" t="s">
        <v>11125</v>
      </c>
      <c r="C6880" s="2" t="s">
        <v>23</v>
      </c>
      <c r="K6880" s="2">
        <v>30.0</v>
      </c>
      <c r="N6880" s="6">
        <v>44828.0</v>
      </c>
      <c r="Q6880" s="2" t="s">
        <v>11126</v>
      </c>
    </row>
    <row r="6881">
      <c r="A6881" s="2">
        <v>6880.0</v>
      </c>
      <c r="B6881" s="2" t="s">
        <v>11127</v>
      </c>
      <c r="C6881" s="2" t="s">
        <v>23</v>
      </c>
      <c r="K6881" s="2">
        <v>200.0</v>
      </c>
      <c r="N6881" s="6">
        <v>44215.0</v>
      </c>
      <c r="Q6881" s="2" t="s">
        <v>11128</v>
      </c>
    </row>
    <row r="6882">
      <c r="A6882" s="2">
        <v>6881.0</v>
      </c>
      <c r="B6882" s="2" t="s">
        <v>11129</v>
      </c>
      <c r="C6882" s="2" t="s">
        <v>23</v>
      </c>
      <c r="N6882" s="6">
        <v>43879.0</v>
      </c>
      <c r="Q6882" s="2" t="s">
        <v>86</v>
      </c>
    </row>
    <row r="6883">
      <c r="A6883" s="2">
        <v>6882.0</v>
      </c>
      <c r="B6883" s="2" t="s">
        <v>11130</v>
      </c>
      <c r="C6883" s="2" t="s">
        <v>23</v>
      </c>
      <c r="K6883" s="2">
        <v>30.0</v>
      </c>
      <c r="N6883" s="6">
        <v>44130.0</v>
      </c>
      <c r="Q6883" s="2" t="s">
        <v>86</v>
      </c>
    </row>
    <row r="6884">
      <c r="A6884" s="2">
        <v>6883.0</v>
      </c>
      <c r="B6884" s="2" t="s">
        <v>11131</v>
      </c>
      <c r="C6884" s="2" t="s">
        <v>23</v>
      </c>
      <c r="K6884" s="2">
        <v>20.0</v>
      </c>
      <c r="N6884" s="6">
        <v>44246.0</v>
      </c>
      <c r="Q6884" s="2" t="s">
        <v>175</v>
      </c>
    </row>
    <row r="6885">
      <c r="A6885" s="2">
        <v>6884.0</v>
      </c>
      <c r="B6885" s="2" t="s">
        <v>11132</v>
      </c>
      <c r="C6885" s="2" t="s">
        <v>23</v>
      </c>
      <c r="K6885" s="2">
        <v>10.0</v>
      </c>
      <c r="N6885" s="6">
        <v>44614.0</v>
      </c>
      <c r="Q6885" s="2" t="s">
        <v>1466</v>
      </c>
    </row>
    <row r="6886">
      <c r="A6886" s="2">
        <v>6885.0</v>
      </c>
      <c r="B6886" s="2" t="s">
        <v>11133</v>
      </c>
      <c r="C6886" s="2" t="s">
        <v>23</v>
      </c>
      <c r="K6886" s="2">
        <v>250.0</v>
      </c>
      <c r="N6886" s="6">
        <v>43855.0</v>
      </c>
      <c r="Q6886" s="2" t="s">
        <v>11134</v>
      </c>
    </row>
    <row r="6887">
      <c r="A6887" s="2">
        <v>6886.0</v>
      </c>
      <c r="B6887" s="2" t="s">
        <v>11135</v>
      </c>
      <c r="C6887" s="2" t="s">
        <v>23</v>
      </c>
      <c r="K6887" s="2">
        <v>30.0</v>
      </c>
      <c r="N6887" s="6">
        <v>44868.0</v>
      </c>
      <c r="Q6887" s="2" t="s">
        <v>86</v>
      </c>
    </row>
    <row r="6888">
      <c r="A6888" s="2">
        <v>6887.0</v>
      </c>
      <c r="B6888" s="2" t="s">
        <v>11136</v>
      </c>
      <c r="C6888" s="2" t="s">
        <v>23</v>
      </c>
      <c r="N6888" s="6">
        <v>44522.0</v>
      </c>
      <c r="Q6888" s="2" t="s">
        <v>86</v>
      </c>
    </row>
    <row r="6889">
      <c r="A6889" s="2">
        <v>6888.0</v>
      </c>
      <c r="B6889" s="2" t="s">
        <v>11137</v>
      </c>
      <c r="C6889" s="2" t="s">
        <v>23</v>
      </c>
      <c r="K6889" s="2">
        <v>100.0</v>
      </c>
      <c r="N6889" s="6">
        <v>44302.0</v>
      </c>
      <c r="Q6889" s="2" t="s">
        <v>11138</v>
      </c>
    </row>
    <row r="6890">
      <c r="A6890" s="2">
        <v>6889.0</v>
      </c>
      <c r="B6890" s="2" t="s">
        <v>11139</v>
      </c>
      <c r="C6890" s="2" t="s">
        <v>23</v>
      </c>
      <c r="K6890" s="2">
        <v>10.0</v>
      </c>
      <c r="N6890" s="6">
        <v>44118.0</v>
      </c>
      <c r="Q6890" s="2" t="s">
        <v>11140</v>
      </c>
    </row>
    <row r="6891">
      <c r="A6891" s="2">
        <v>6890.0</v>
      </c>
      <c r="B6891" s="2" t="s">
        <v>11141</v>
      </c>
      <c r="C6891" s="2" t="s">
        <v>23</v>
      </c>
      <c r="K6891" s="2">
        <v>150.0</v>
      </c>
      <c r="N6891" s="6">
        <v>43970.0</v>
      </c>
      <c r="Q6891" s="2" t="s">
        <v>2672</v>
      </c>
    </row>
    <row r="6892">
      <c r="A6892" s="2">
        <v>6891.0</v>
      </c>
      <c r="B6892" s="2" t="s">
        <v>11142</v>
      </c>
      <c r="C6892" s="2" t="s">
        <v>23</v>
      </c>
      <c r="K6892" s="2">
        <v>20.0</v>
      </c>
      <c r="N6892" s="6">
        <v>44586.0</v>
      </c>
      <c r="Q6892" s="2" t="s">
        <v>11143</v>
      </c>
    </row>
    <row r="6893">
      <c r="A6893" s="2">
        <v>6892.0</v>
      </c>
      <c r="B6893" s="2" t="s">
        <v>11144</v>
      </c>
      <c r="C6893" s="2" t="s">
        <v>23</v>
      </c>
      <c r="N6893" s="6">
        <v>45030.0</v>
      </c>
      <c r="Q6893" s="2" t="s">
        <v>86</v>
      </c>
    </row>
    <row r="6894">
      <c r="A6894" s="2">
        <v>6893.0</v>
      </c>
      <c r="B6894" s="2" t="s">
        <v>11145</v>
      </c>
      <c r="C6894" s="2" t="s">
        <v>23</v>
      </c>
      <c r="K6894" s="2">
        <v>100.0</v>
      </c>
      <c r="N6894" s="6">
        <v>45353.0</v>
      </c>
      <c r="Q6894" s="2" t="s">
        <v>11146</v>
      </c>
    </row>
    <row r="6895">
      <c r="A6895" s="2">
        <v>6894.0</v>
      </c>
      <c r="B6895" s="2" t="s">
        <v>11147</v>
      </c>
      <c r="C6895" s="2" t="s">
        <v>23</v>
      </c>
      <c r="K6895" s="2">
        <v>30.0</v>
      </c>
      <c r="N6895" s="6">
        <v>45195.0</v>
      </c>
      <c r="Q6895" s="2" t="s">
        <v>11148</v>
      </c>
    </row>
    <row r="6896">
      <c r="A6896" s="2">
        <v>6895.0</v>
      </c>
      <c r="B6896" s="2" t="s">
        <v>11149</v>
      </c>
      <c r="C6896" s="2" t="s">
        <v>23</v>
      </c>
      <c r="K6896" s="2">
        <v>60.0</v>
      </c>
      <c r="N6896" s="6">
        <v>42873.0</v>
      </c>
      <c r="Q6896" s="2" t="s">
        <v>11150</v>
      </c>
    </row>
    <row r="6897">
      <c r="A6897" s="2">
        <v>6896.0</v>
      </c>
      <c r="B6897" s="2" t="s">
        <v>11151</v>
      </c>
      <c r="C6897" s="2" t="s">
        <v>23</v>
      </c>
      <c r="K6897" s="2">
        <v>10.0</v>
      </c>
      <c r="N6897" s="6">
        <v>44863.0</v>
      </c>
      <c r="Q6897" s="2" t="s">
        <v>86</v>
      </c>
    </row>
    <row r="6898">
      <c r="A6898" s="2">
        <v>6897.0</v>
      </c>
      <c r="B6898" s="2" t="s">
        <v>11152</v>
      </c>
      <c r="C6898" s="2" t="s">
        <v>23</v>
      </c>
      <c r="K6898" s="2">
        <v>10.0</v>
      </c>
      <c r="N6898" s="6">
        <v>44084.0</v>
      </c>
      <c r="Q6898" s="2" t="s">
        <v>11153</v>
      </c>
    </row>
    <row r="6899">
      <c r="A6899" s="2">
        <v>6898.0</v>
      </c>
      <c r="B6899" s="2" t="s">
        <v>11154</v>
      </c>
      <c r="C6899" s="2" t="s">
        <v>23</v>
      </c>
      <c r="N6899" s="6">
        <v>44829.0</v>
      </c>
      <c r="Q6899" s="2" t="s">
        <v>86</v>
      </c>
    </row>
    <row r="6900">
      <c r="A6900" s="2">
        <v>6899.0</v>
      </c>
      <c r="B6900" s="2" t="s">
        <v>11155</v>
      </c>
      <c r="C6900" s="2" t="s">
        <v>23</v>
      </c>
      <c r="K6900" s="2">
        <v>60.0</v>
      </c>
      <c r="N6900" s="6">
        <v>44685.0</v>
      </c>
      <c r="Q6900" s="2" t="s">
        <v>86</v>
      </c>
    </row>
    <row r="6901">
      <c r="A6901" s="2">
        <v>6900.0</v>
      </c>
      <c r="B6901" s="2" t="s">
        <v>11156</v>
      </c>
      <c r="C6901" s="2" t="s">
        <v>23</v>
      </c>
      <c r="K6901" s="2">
        <v>60.0</v>
      </c>
      <c r="N6901" s="6">
        <v>44154.0</v>
      </c>
      <c r="Q6901" s="2" t="s">
        <v>11157</v>
      </c>
    </row>
    <row r="6902">
      <c r="A6902" s="2">
        <v>6901.0</v>
      </c>
      <c r="B6902" s="2" t="s">
        <v>11158</v>
      </c>
      <c r="C6902" s="2" t="s">
        <v>23</v>
      </c>
      <c r="K6902" s="2">
        <v>20.0</v>
      </c>
      <c r="N6902" s="6">
        <v>45282.0</v>
      </c>
      <c r="Q6902" s="2" t="s">
        <v>11159</v>
      </c>
    </row>
    <row r="6903">
      <c r="A6903" s="2">
        <v>6902.0</v>
      </c>
      <c r="B6903" s="2" t="s">
        <v>11160</v>
      </c>
      <c r="C6903" s="2" t="s">
        <v>23</v>
      </c>
      <c r="K6903" s="2">
        <v>200.0</v>
      </c>
      <c r="N6903" s="6">
        <v>43840.0</v>
      </c>
      <c r="Q6903" s="2" t="s">
        <v>11161</v>
      </c>
    </row>
    <row r="6904">
      <c r="A6904" s="2">
        <v>6903.0</v>
      </c>
      <c r="B6904" s="2" t="s">
        <v>11162</v>
      </c>
      <c r="C6904" s="2" t="s">
        <v>23</v>
      </c>
      <c r="K6904" s="2">
        <v>90.0</v>
      </c>
      <c r="N6904" s="6">
        <v>45735.0</v>
      </c>
      <c r="Q6904" s="2" t="s">
        <v>11163</v>
      </c>
    </row>
    <row r="6905">
      <c r="A6905" s="2">
        <v>6904.0</v>
      </c>
      <c r="B6905" s="2" t="s">
        <v>11164</v>
      </c>
      <c r="C6905" s="2" t="s">
        <v>23</v>
      </c>
      <c r="K6905" s="2">
        <v>150.0</v>
      </c>
      <c r="N6905" s="6">
        <v>45612.0</v>
      </c>
      <c r="Q6905" s="2" t="s">
        <v>11165</v>
      </c>
    </row>
    <row r="6906">
      <c r="A6906" s="2">
        <v>6905.0</v>
      </c>
      <c r="B6906" s="2" t="s">
        <v>11166</v>
      </c>
      <c r="C6906" s="2" t="s">
        <v>23</v>
      </c>
      <c r="K6906" s="2">
        <v>20.0</v>
      </c>
      <c r="N6906" s="6">
        <v>43924.0</v>
      </c>
      <c r="Q6906" s="2" t="s">
        <v>86</v>
      </c>
    </row>
    <row r="6907">
      <c r="A6907" s="2">
        <v>6906.0</v>
      </c>
      <c r="B6907" s="2" t="s">
        <v>11167</v>
      </c>
      <c r="C6907" s="2" t="s">
        <v>23</v>
      </c>
      <c r="N6907" s="6">
        <v>44606.0</v>
      </c>
      <c r="Q6907" s="2" t="s">
        <v>86</v>
      </c>
    </row>
    <row r="6908">
      <c r="A6908" s="2">
        <v>6907.0</v>
      </c>
      <c r="B6908" s="2" t="s">
        <v>11168</v>
      </c>
      <c r="C6908" s="2" t="s">
        <v>23</v>
      </c>
      <c r="N6908" s="6">
        <v>44430.0</v>
      </c>
      <c r="Q6908" s="2" t="s">
        <v>86</v>
      </c>
    </row>
    <row r="6909">
      <c r="A6909" s="2">
        <v>6908.0</v>
      </c>
      <c r="B6909" s="2" t="s">
        <v>11169</v>
      </c>
      <c r="C6909" s="2" t="s">
        <v>23</v>
      </c>
      <c r="K6909" s="2">
        <v>10.0</v>
      </c>
      <c r="N6909" s="6">
        <v>44490.0</v>
      </c>
      <c r="Q6909" s="2" t="s">
        <v>60</v>
      </c>
    </row>
    <row r="6910">
      <c r="A6910" s="2">
        <v>6909.0</v>
      </c>
      <c r="B6910" s="2" t="s">
        <v>11170</v>
      </c>
      <c r="C6910" s="2" t="s">
        <v>23</v>
      </c>
      <c r="N6910" s="6">
        <v>44115.0</v>
      </c>
      <c r="Q6910" s="2" t="s">
        <v>295</v>
      </c>
    </row>
    <row r="6911">
      <c r="A6911" s="2">
        <v>6910.0</v>
      </c>
      <c r="B6911" s="2" t="s">
        <v>11171</v>
      </c>
      <c r="C6911" s="2" t="s">
        <v>23</v>
      </c>
      <c r="K6911" s="2">
        <v>10.0</v>
      </c>
      <c r="N6911" s="6">
        <v>44112.0</v>
      </c>
      <c r="Q6911" s="2" t="s">
        <v>11172</v>
      </c>
    </row>
    <row r="6912">
      <c r="A6912" s="2">
        <v>6911.0</v>
      </c>
      <c r="B6912" s="2" t="s">
        <v>11173</v>
      </c>
      <c r="C6912" s="2" t="s">
        <v>23</v>
      </c>
      <c r="K6912" s="2">
        <v>20.0</v>
      </c>
      <c r="N6912" s="6">
        <v>44848.0</v>
      </c>
      <c r="Q6912" s="2" t="s">
        <v>10605</v>
      </c>
    </row>
    <row r="6913">
      <c r="A6913" s="2">
        <v>6912.0</v>
      </c>
      <c r="B6913" s="2" t="s">
        <v>11174</v>
      </c>
      <c r="C6913" s="2" t="s">
        <v>23</v>
      </c>
      <c r="N6913" s="6">
        <v>44721.0</v>
      </c>
      <c r="Q6913" s="2" t="s">
        <v>86</v>
      </c>
    </row>
    <row r="6914">
      <c r="A6914" s="2">
        <v>6913.0</v>
      </c>
      <c r="B6914" s="2" t="s">
        <v>11175</v>
      </c>
      <c r="C6914" s="2" t="s">
        <v>23</v>
      </c>
      <c r="N6914" s="6">
        <v>44019.0</v>
      </c>
      <c r="Q6914" s="2" t="s">
        <v>118</v>
      </c>
    </row>
    <row r="6915">
      <c r="A6915" s="2">
        <v>6914.0</v>
      </c>
      <c r="B6915" s="2" t="s">
        <v>11176</v>
      </c>
      <c r="C6915" s="2" t="s">
        <v>23</v>
      </c>
      <c r="K6915" s="2">
        <v>30.0</v>
      </c>
      <c r="N6915" s="6">
        <v>44532.0</v>
      </c>
      <c r="Q6915" s="2" t="s">
        <v>86</v>
      </c>
    </row>
    <row r="6916">
      <c r="A6916" s="2">
        <v>6915.0</v>
      </c>
      <c r="B6916" s="2" t="s">
        <v>11177</v>
      </c>
      <c r="C6916" s="2" t="s">
        <v>23</v>
      </c>
      <c r="K6916" s="2">
        <v>50.0</v>
      </c>
      <c r="N6916" s="6">
        <v>44105.0</v>
      </c>
      <c r="Q6916" s="2" t="s">
        <v>11178</v>
      </c>
    </row>
    <row r="6917">
      <c r="A6917" s="2">
        <v>6916.0</v>
      </c>
      <c r="B6917" s="2" t="s">
        <v>11179</v>
      </c>
      <c r="C6917" s="2" t="s">
        <v>23</v>
      </c>
      <c r="N6917" s="6">
        <v>44329.0</v>
      </c>
      <c r="Q6917" s="2" t="s">
        <v>86</v>
      </c>
    </row>
    <row r="6918">
      <c r="A6918" s="2">
        <v>6917.0</v>
      </c>
      <c r="B6918" s="2" t="s">
        <v>11180</v>
      </c>
      <c r="C6918" s="2" t="s">
        <v>23</v>
      </c>
      <c r="K6918" s="2">
        <v>40.0</v>
      </c>
      <c r="N6918" s="6">
        <v>44079.0</v>
      </c>
      <c r="Q6918" s="2" t="s">
        <v>11181</v>
      </c>
    </row>
    <row r="6919">
      <c r="A6919" s="2">
        <v>6918.0</v>
      </c>
      <c r="B6919" s="2" t="s">
        <v>11182</v>
      </c>
      <c r="C6919" s="2" t="s">
        <v>23</v>
      </c>
      <c r="K6919" s="2">
        <v>50.0</v>
      </c>
      <c r="N6919" s="6">
        <v>45324.0</v>
      </c>
      <c r="Q6919" s="2" t="s">
        <v>4456</v>
      </c>
    </row>
    <row r="6920">
      <c r="A6920" s="2">
        <v>6919.0</v>
      </c>
      <c r="B6920" s="2" t="s">
        <v>11183</v>
      </c>
      <c r="C6920" s="2" t="s">
        <v>23</v>
      </c>
      <c r="N6920" s="6">
        <v>43904.0</v>
      </c>
      <c r="Q6920" s="2" t="s">
        <v>86</v>
      </c>
    </row>
    <row r="6921">
      <c r="A6921" s="2">
        <v>6920.0</v>
      </c>
      <c r="B6921" s="2" t="s">
        <v>11184</v>
      </c>
      <c r="C6921" s="2" t="s">
        <v>23</v>
      </c>
      <c r="K6921" s="2">
        <v>80.0</v>
      </c>
      <c r="N6921" s="6">
        <v>44456.0</v>
      </c>
      <c r="Q6921" s="2" t="s">
        <v>60</v>
      </c>
    </row>
    <row r="6922">
      <c r="A6922" s="2">
        <v>6921.0</v>
      </c>
      <c r="B6922" s="2" t="s">
        <v>11185</v>
      </c>
      <c r="C6922" s="2" t="s">
        <v>23</v>
      </c>
      <c r="N6922" s="6">
        <v>44078.0</v>
      </c>
      <c r="Q6922" s="2" t="s">
        <v>86</v>
      </c>
    </row>
    <row r="6923">
      <c r="A6923" s="2">
        <v>6922.0</v>
      </c>
      <c r="B6923" s="2" t="s">
        <v>11186</v>
      </c>
      <c r="C6923" s="2" t="s">
        <v>23</v>
      </c>
      <c r="N6923" s="6">
        <v>43986.0</v>
      </c>
      <c r="Q6923" s="2" t="s">
        <v>86</v>
      </c>
    </row>
    <row r="6924">
      <c r="A6924" s="2">
        <v>6923.0</v>
      </c>
      <c r="B6924" s="2" t="s">
        <v>11187</v>
      </c>
      <c r="C6924" s="2" t="s">
        <v>23</v>
      </c>
      <c r="K6924" s="2">
        <v>100.0</v>
      </c>
      <c r="N6924" s="6">
        <v>44039.0</v>
      </c>
      <c r="Q6924" s="2" t="s">
        <v>11188</v>
      </c>
    </row>
    <row r="6925">
      <c r="A6925" s="2">
        <v>6924.0</v>
      </c>
      <c r="B6925" s="2" t="s">
        <v>11189</v>
      </c>
      <c r="C6925" s="2" t="s">
        <v>23</v>
      </c>
      <c r="K6925" s="2">
        <v>20.0</v>
      </c>
      <c r="N6925" s="6">
        <v>44019.0</v>
      </c>
      <c r="Q6925" s="2" t="s">
        <v>11190</v>
      </c>
    </row>
    <row r="6926">
      <c r="A6926" s="2">
        <v>6925.0</v>
      </c>
      <c r="B6926" s="2" t="s">
        <v>11191</v>
      </c>
      <c r="C6926" s="2" t="s">
        <v>23</v>
      </c>
      <c r="N6926" s="6">
        <v>44809.0</v>
      </c>
      <c r="Q6926" s="2" t="s">
        <v>86</v>
      </c>
    </row>
    <row r="6927">
      <c r="A6927" s="2">
        <v>6926.0</v>
      </c>
      <c r="B6927" s="2" t="s">
        <v>11192</v>
      </c>
      <c r="C6927" s="2" t="s">
        <v>23</v>
      </c>
      <c r="N6927" s="6">
        <v>44110.0</v>
      </c>
      <c r="Q6927" s="2" t="s">
        <v>11193</v>
      </c>
    </row>
    <row r="6928">
      <c r="A6928" s="2">
        <v>6927.0</v>
      </c>
      <c r="B6928" s="2" t="s">
        <v>11194</v>
      </c>
      <c r="C6928" s="2" t="s">
        <v>23</v>
      </c>
      <c r="K6928" s="2">
        <v>30.0</v>
      </c>
      <c r="N6928" s="6">
        <v>44243.0</v>
      </c>
      <c r="Q6928" s="2" t="s">
        <v>2731</v>
      </c>
    </row>
    <row r="6929">
      <c r="A6929" s="2">
        <v>6928.0</v>
      </c>
      <c r="B6929" s="2" t="s">
        <v>11195</v>
      </c>
      <c r="C6929" s="2" t="s">
        <v>23</v>
      </c>
      <c r="K6929" s="2">
        <v>30.0</v>
      </c>
      <c r="N6929" s="6">
        <v>44144.0</v>
      </c>
      <c r="Q6929" s="2" t="s">
        <v>11196</v>
      </c>
    </row>
    <row r="6930">
      <c r="A6930" s="2">
        <v>6929.0</v>
      </c>
      <c r="B6930" s="2" t="s">
        <v>11197</v>
      </c>
      <c r="C6930" s="2" t="s">
        <v>23</v>
      </c>
      <c r="K6930" s="2">
        <v>100.0</v>
      </c>
      <c r="N6930" s="6">
        <v>44309.0</v>
      </c>
      <c r="Q6930" s="2" t="s">
        <v>86</v>
      </c>
    </row>
    <row r="6931">
      <c r="A6931" s="2">
        <v>6930.0</v>
      </c>
      <c r="B6931" s="2" t="s">
        <v>11198</v>
      </c>
      <c r="C6931" s="2" t="s">
        <v>23</v>
      </c>
      <c r="K6931" s="2">
        <v>20.0</v>
      </c>
      <c r="N6931" s="6">
        <v>44544.0</v>
      </c>
      <c r="Q6931" s="2" t="s">
        <v>86</v>
      </c>
    </row>
    <row r="6932">
      <c r="A6932" s="2">
        <v>6931.0</v>
      </c>
      <c r="B6932" s="2" t="s">
        <v>11199</v>
      </c>
      <c r="C6932" s="2" t="s">
        <v>23</v>
      </c>
      <c r="K6932" s="2">
        <v>10.0</v>
      </c>
      <c r="N6932" s="6">
        <v>44929.0</v>
      </c>
      <c r="Q6932" s="2" t="s">
        <v>89</v>
      </c>
    </row>
    <row r="6933">
      <c r="A6933" s="2">
        <v>6932.0</v>
      </c>
      <c r="B6933" s="2" t="s">
        <v>11200</v>
      </c>
      <c r="C6933" s="2" t="s">
        <v>23</v>
      </c>
      <c r="K6933" s="2">
        <v>20.0</v>
      </c>
      <c r="N6933" s="6">
        <v>45609.0</v>
      </c>
      <c r="Q6933" s="2" t="s">
        <v>11201</v>
      </c>
    </row>
    <row r="6934">
      <c r="A6934" s="2">
        <v>6933.0</v>
      </c>
      <c r="B6934" s="2" t="s">
        <v>11202</v>
      </c>
      <c r="C6934" s="2" t="s">
        <v>23</v>
      </c>
      <c r="K6934" s="2">
        <v>90.0</v>
      </c>
      <c r="N6934" s="6">
        <v>45301.0</v>
      </c>
      <c r="Q6934" s="2" t="s">
        <v>11203</v>
      </c>
    </row>
    <row r="6935">
      <c r="A6935" s="2">
        <v>6934.0</v>
      </c>
      <c r="B6935" s="2" t="s">
        <v>11204</v>
      </c>
      <c r="C6935" s="2" t="s">
        <v>23</v>
      </c>
      <c r="N6935" s="6">
        <v>44000.0</v>
      </c>
      <c r="Q6935" s="2" t="s">
        <v>86</v>
      </c>
    </row>
    <row r="6936">
      <c r="A6936" s="2">
        <v>6935.0</v>
      </c>
      <c r="B6936" s="2" t="s">
        <v>11205</v>
      </c>
      <c r="C6936" s="2" t="s">
        <v>23</v>
      </c>
      <c r="N6936" s="6">
        <v>42440.0</v>
      </c>
      <c r="Q6936" s="2" t="s">
        <v>86</v>
      </c>
    </row>
    <row r="6937">
      <c r="A6937" s="2">
        <v>6936.0</v>
      </c>
      <c r="B6937" s="2" t="s">
        <v>11206</v>
      </c>
      <c r="C6937" s="2" t="s">
        <v>23</v>
      </c>
      <c r="K6937" s="2">
        <v>20.0</v>
      </c>
      <c r="N6937" s="6">
        <v>44411.0</v>
      </c>
      <c r="Q6937" s="2" t="s">
        <v>2876</v>
      </c>
    </row>
    <row r="6938">
      <c r="A6938" s="2">
        <v>6937.0</v>
      </c>
      <c r="B6938" s="2" t="s">
        <v>11207</v>
      </c>
      <c r="C6938" s="2" t="s">
        <v>23</v>
      </c>
      <c r="K6938" s="2">
        <v>20.0</v>
      </c>
      <c r="N6938" s="6">
        <v>44129.0</v>
      </c>
      <c r="Q6938" s="2" t="s">
        <v>1070</v>
      </c>
    </row>
    <row r="6939">
      <c r="A6939" s="2">
        <v>6938.0</v>
      </c>
      <c r="B6939" s="2" t="s">
        <v>11208</v>
      </c>
      <c r="C6939" s="2" t="s">
        <v>23</v>
      </c>
      <c r="N6939" s="6">
        <v>45453.0</v>
      </c>
      <c r="Q6939" s="2" t="s">
        <v>4039</v>
      </c>
    </row>
    <row r="6940">
      <c r="A6940" s="2">
        <v>6939.0</v>
      </c>
      <c r="B6940" s="2" t="s">
        <v>11209</v>
      </c>
      <c r="C6940" s="2" t="s">
        <v>23</v>
      </c>
      <c r="K6940" s="2">
        <v>10.0</v>
      </c>
      <c r="N6940" s="6">
        <v>43896.0</v>
      </c>
      <c r="Q6940" s="2" t="s">
        <v>11210</v>
      </c>
    </row>
    <row r="6941">
      <c r="A6941" s="2">
        <v>6940.0</v>
      </c>
      <c r="B6941" s="2" t="s">
        <v>11211</v>
      </c>
      <c r="C6941" s="2" t="s">
        <v>23</v>
      </c>
      <c r="N6941" s="6">
        <v>44996.0</v>
      </c>
      <c r="Q6941" s="2" t="s">
        <v>86</v>
      </c>
    </row>
    <row r="6942">
      <c r="A6942" s="2">
        <v>6941.0</v>
      </c>
      <c r="B6942" s="2" t="s">
        <v>11212</v>
      </c>
      <c r="C6942" s="2" t="s">
        <v>23</v>
      </c>
      <c r="K6942" s="2">
        <v>20.0</v>
      </c>
      <c r="N6942" s="6">
        <v>42558.0</v>
      </c>
      <c r="Q6942" s="2" t="s">
        <v>11213</v>
      </c>
    </row>
    <row r="6943">
      <c r="A6943" s="2">
        <v>6942.0</v>
      </c>
      <c r="B6943" s="2" t="s">
        <v>11214</v>
      </c>
      <c r="C6943" s="2" t="s">
        <v>23</v>
      </c>
      <c r="K6943" s="2">
        <v>30.0</v>
      </c>
      <c r="N6943" s="6">
        <v>44089.0</v>
      </c>
      <c r="Q6943" s="2" t="s">
        <v>86</v>
      </c>
    </row>
    <row r="6944">
      <c r="A6944" s="2">
        <v>6943.0</v>
      </c>
      <c r="B6944" s="2" t="s">
        <v>11215</v>
      </c>
      <c r="C6944" s="2" t="s">
        <v>23</v>
      </c>
      <c r="K6944" s="2">
        <v>150.0</v>
      </c>
      <c r="N6944" s="6">
        <v>44071.0</v>
      </c>
      <c r="Q6944" s="2" t="s">
        <v>11216</v>
      </c>
    </row>
    <row r="6945">
      <c r="A6945" s="2">
        <v>6944.0</v>
      </c>
      <c r="B6945" s="2" t="s">
        <v>11217</v>
      </c>
      <c r="C6945" s="2" t="s">
        <v>23</v>
      </c>
      <c r="K6945" s="2">
        <v>20.0</v>
      </c>
      <c r="N6945" s="6">
        <v>45613.0</v>
      </c>
      <c r="Q6945" s="2" t="s">
        <v>1711</v>
      </c>
    </row>
    <row r="6946">
      <c r="A6946" s="2">
        <v>6945.0</v>
      </c>
      <c r="B6946" s="2" t="s">
        <v>11218</v>
      </c>
      <c r="C6946" s="2" t="s">
        <v>23</v>
      </c>
      <c r="K6946" s="2">
        <v>10.0</v>
      </c>
      <c r="N6946" s="6">
        <v>44743.0</v>
      </c>
      <c r="Q6946" s="2" t="s">
        <v>86</v>
      </c>
    </row>
    <row r="6947">
      <c r="A6947" s="2">
        <v>6946.0</v>
      </c>
      <c r="B6947" s="2" t="s">
        <v>11219</v>
      </c>
      <c r="C6947" s="2" t="s">
        <v>23</v>
      </c>
      <c r="K6947" s="2">
        <v>20.0</v>
      </c>
      <c r="N6947" s="6">
        <v>44074.0</v>
      </c>
      <c r="Q6947" s="2" t="s">
        <v>86</v>
      </c>
    </row>
    <row r="6948">
      <c r="A6948" s="2">
        <v>6947.0</v>
      </c>
      <c r="B6948" s="2" t="s">
        <v>11220</v>
      </c>
      <c r="C6948" s="2" t="s">
        <v>23</v>
      </c>
      <c r="K6948" s="2">
        <v>60.0</v>
      </c>
      <c r="N6948" s="6">
        <v>45203.0</v>
      </c>
      <c r="Q6948" s="2" t="s">
        <v>5358</v>
      </c>
    </row>
    <row r="6949">
      <c r="A6949" s="2">
        <v>6948.0</v>
      </c>
      <c r="B6949" s="2" t="s">
        <v>11221</v>
      </c>
      <c r="C6949" s="2" t="s">
        <v>23</v>
      </c>
      <c r="N6949" s="6">
        <v>45961.0</v>
      </c>
      <c r="Q6949" s="2" t="s">
        <v>11222</v>
      </c>
    </row>
    <row r="6950">
      <c r="A6950" s="2">
        <v>6949.0</v>
      </c>
      <c r="B6950" s="2" t="s">
        <v>11223</v>
      </c>
      <c r="C6950" s="2" t="s">
        <v>23</v>
      </c>
      <c r="N6950" s="6">
        <v>44287.0</v>
      </c>
      <c r="Q6950" s="2" t="s">
        <v>86</v>
      </c>
    </row>
    <row r="6951">
      <c r="A6951" s="2">
        <v>6950.0</v>
      </c>
      <c r="B6951" s="2" t="s">
        <v>11224</v>
      </c>
      <c r="C6951" s="2" t="s">
        <v>23</v>
      </c>
      <c r="N6951" s="6">
        <v>43847.0</v>
      </c>
      <c r="Q6951" s="2" t="s">
        <v>86</v>
      </c>
    </row>
    <row r="6952">
      <c r="A6952" s="2">
        <v>6951.0</v>
      </c>
      <c r="B6952" s="2" t="s">
        <v>11225</v>
      </c>
      <c r="C6952" s="2" t="s">
        <v>23</v>
      </c>
      <c r="N6952" s="6">
        <v>44508.0</v>
      </c>
      <c r="Q6952" s="2" t="s">
        <v>86</v>
      </c>
    </row>
    <row r="6953">
      <c r="A6953" s="2">
        <v>6952.0</v>
      </c>
      <c r="B6953" s="2" t="s">
        <v>11226</v>
      </c>
      <c r="C6953" s="2" t="s">
        <v>23</v>
      </c>
      <c r="K6953" s="2">
        <v>40.0</v>
      </c>
      <c r="N6953" s="6">
        <v>44837.0</v>
      </c>
      <c r="Q6953" s="2" t="s">
        <v>86</v>
      </c>
    </row>
    <row r="6954">
      <c r="A6954" s="2">
        <v>6953.0</v>
      </c>
      <c r="B6954" s="2" t="s">
        <v>11227</v>
      </c>
      <c r="C6954" s="2" t="s">
        <v>23</v>
      </c>
      <c r="K6954" s="2">
        <v>60.0</v>
      </c>
      <c r="N6954" s="6">
        <v>44180.0</v>
      </c>
      <c r="Q6954" s="2" t="s">
        <v>11228</v>
      </c>
    </row>
    <row r="6955">
      <c r="A6955" s="2">
        <v>6954.0</v>
      </c>
      <c r="B6955" s="2" t="s">
        <v>11229</v>
      </c>
      <c r="C6955" s="2" t="s">
        <v>23</v>
      </c>
      <c r="N6955" s="6">
        <v>43970.0</v>
      </c>
      <c r="Q6955" s="2" t="s">
        <v>86</v>
      </c>
    </row>
    <row r="6956">
      <c r="A6956" s="2">
        <v>6955.0</v>
      </c>
      <c r="B6956" s="2" t="s">
        <v>11230</v>
      </c>
      <c r="C6956" s="2" t="s">
        <v>23</v>
      </c>
      <c r="K6956" s="2">
        <v>60.0</v>
      </c>
      <c r="N6956" s="6">
        <v>43861.0</v>
      </c>
      <c r="Q6956" s="2" t="s">
        <v>11231</v>
      </c>
    </row>
    <row r="6957">
      <c r="A6957" s="2">
        <v>6956.0</v>
      </c>
      <c r="B6957" s="2" t="s">
        <v>11232</v>
      </c>
      <c r="C6957" s="2" t="s">
        <v>23</v>
      </c>
      <c r="N6957" s="6">
        <v>44072.0</v>
      </c>
      <c r="Q6957" s="2" t="s">
        <v>86</v>
      </c>
    </row>
    <row r="6958">
      <c r="A6958" s="2">
        <v>6957.0</v>
      </c>
      <c r="B6958" s="2" t="s">
        <v>11233</v>
      </c>
      <c r="C6958" s="2" t="s">
        <v>23</v>
      </c>
      <c r="K6958" s="2">
        <v>30.0</v>
      </c>
      <c r="N6958" s="6">
        <v>44309.0</v>
      </c>
      <c r="Q6958" s="2" t="s">
        <v>11234</v>
      </c>
    </row>
    <row r="6959">
      <c r="A6959" s="2">
        <v>6958.0</v>
      </c>
      <c r="B6959" s="2" t="s">
        <v>11235</v>
      </c>
      <c r="C6959" s="2" t="s">
        <v>23</v>
      </c>
      <c r="K6959" s="2">
        <v>40.0</v>
      </c>
      <c r="N6959" s="6">
        <v>45647.0</v>
      </c>
      <c r="Q6959" s="2" t="s">
        <v>11236</v>
      </c>
    </row>
    <row r="6960">
      <c r="A6960" s="2">
        <v>6959.0</v>
      </c>
      <c r="B6960" s="2" t="s">
        <v>11237</v>
      </c>
      <c r="C6960" s="2" t="s">
        <v>23</v>
      </c>
      <c r="N6960" s="6">
        <v>45057.0</v>
      </c>
      <c r="Q6960" s="2" t="s">
        <v>86</v>
      </c>
    </row>
    <row r="6961">
      <c r="A6961" s="2">
        <v>6960.0</v>
      </c>
      <c r="B6961" s="2" t="s">
        <v>11238</v>
      </c>
      <c r="C6961" s="2" t="s">
        <v>23</v>
      </c>
      <c r="N6961" s="6">
        <v>45705.0</v>
      </c>
      <c r="Q6961" s="2" t="s">
        <v>5415</v>
      </c>
    </row>
    <row r="6962">
      <c r="A6962" s="2">
        <v>6961.0</v>
      </c>
      <c r="B6962" s="2" t="s">
        <v>11239</v>
      </c>
      <c r="C6962" s="2" t="s">
        <v>23</v>
      </c>
      <c r="N6962" s="6">
        <v>45582.0</v>
      </c>
      <c r="Q6962" s="2" t="s">
        <v>11240</v>
      </c>
    </row>
    <row r="6963">
      <c r="A6963" s="2">
        <v>6962.0</v>
      </c>
      <c r="B6963" s="2" t="s">
        <v>11241</v>
      </c>
      <c r="C6963" s="2" t="s">
        <v>23</v>
      </c>
      <c r="K6963" s="2">
        <v>60.0</v>
      </c>
      <c r="N6963" s="6">
        <v>45418.0</v>
      </c>
      <c r="Q6963" s="2" t="s">
        <v>2285</v>
      </c>
    </row>
    <row r="6964">
      <c r="A6964" s="2">
        <v>6963.0</v>
      </c>
      <c r="B6964" s="2" t="s">
        <v>11242</v>
      </c>
      <c r="C6964" s="2" t="s">
        <v>23</v>
      </c>
      <c r="K6964" s="2">
        <v>10.0</v>
      </c>
      <c r="N6964" s="6">
        <v>43851.0</v>
      </c>
      <c r="Q6964" s="2" t="s">
        <v>86</v>
      </c>
    </row>
    <row r="6965">
      <c r="A6965" s="2">
        <v>6964.0</v>
      </c>
      <c r="B6965" s="2" t="s">
        <v>11243</v>
      </c>
      <c r="C6965" s="2" t="s">
        <v>23</v>
      </c>
      <c r="K6965" s="2">
        <v>10.0</v>
      </c>
      <c r="N6965" s="6">
        <v>44147.0</v>
      </c>
      <c r="Q6965" s="2" t="s">
        <v>86</v>
      </c>
    </row>
    <row r="6966">
      <c r="A6966" s="2">
        <v>6965.0</v>
      </c>
      <c r="B6966" s="2" t="s">
        <v>11244</v>
      </c>
      <c r="C6966" s="2" t="s">
        <v>23</v>
      </c>
      <c r="N6966" s="6">
        <v>45047.0</v>
      </c>
      <c r="Q6966" s="2" t="s">
        <v>86</v>
      </c>
    </row>
    <row r="6967">
      <c r="A6967" s="2">
        <v>6966.0</v>
      </c>
      <c r="B6967" s="2" t="s">
        <v>11245</v>
      </c>
      <c r="C6967" s="2" t="s">
        <v>23</v>
      </c>
      <c r="K6967" s="2">
        <v>20.0</v>
      </c>
      <c r="N6967" s="6">
        <v>43879.0</v>
      </c>
      <c r="Q6967" s="2" t="s">
        <v>11246</v>
      </c>
    </row>
    <row r="6968">
      <c r="A6968" s="2">
        <v>6967.0</v>
      </c>
      <c r="B6968" s="2" t="s">
        <v>11247</v>
      </c>
      <c r="C6968" s="2" t="s">
        <v>23</v>
      </c>
      <c r="N6968" s="6">
        <v>44295.0</v>
      </c>
      <c r="Q6968" s="2" t="s">
        <v>86</v>
      </c>
    </row>
    <row r="6969">
      <c r="A6969" s="2">
        <v>6968.0</v>
      </c>
      <c r="B6969" s="2" t="s">
        <v>11248</v>
      </c>
      <c r="C6969" s="2" t="s">
        <v>23</v>
      </c>
      <c r="N6969" s="6">
        <v>44365.0</v>
      </c>
      <c r="Q6969" s="2" t="s">
        <v>86</v>
      </c>
    </row>
    <row r="6970">
      <c r="A6970" s="2">
        <v>6969.0</v>
      </c>
      <c r="B6970" s="2" t="s">
        <v>11249</v>
      </c>
      <c r="C6970" s="2" t="s">
        <v>23</v>
      </c>
      <c r="N6970" s="6">
        <v>44345.0</v>
      </c>
      <c r="Q6970" s="2" t="s">
        <v>86</v>
      </c>
    </row>
    <row r="6971">
      <c r="A6971" s="2">
        <v>6970.0</v>
      </c>
      <c r="B6971" s="2" t="s">
        <v>11250</v>
      </c>
      <c r="C6971" s="2" t="s">
        <v>23</v>
      </c>
      <c r="N6971" s="6">
        <v>44640.0</v>
      </c>
      <c r="Q6971" s="2" t="s">
        <v>86</v>
      </c>
    </row>
    <row r="6972">
      <c r="A6972" s="2">
        <v>6971.0</v>
      </c>
      <c r="B6972" s="2" t="s">
        <v>11251</v>
      </c>
      <c r="C6972" s="2" t="s">
        <v>23</v>
      </c>
      <c r="K6972" s="2">
        <v>10.0</v>
      </c>
      <c r="N6972" s="6">
        <v>45045.0</v>
      </c>
      <c r="Q6972" s="2" t="s">
        <v>86</v>
      </c>
    </row>
    <row r="6973">
      <c r="A6973" s="2">
        <v>6972.0</v>
      </c>
      <c r="B6973" s="2" t="s">
        <v>11252</v>
      </c>
      <c r="C6973" s="2" t="s">
        <v>23</v>
      </c>
      <c r="N6973" s="6">
        <v>44399.0</v>
      </c>
      <c r="Q6973" s="2" t="s">
        <v>86</v>
      </c>
    </row>
    <row r="6974">
      <c r="A6974" s="2">
        <v>6973.0</v>
      </c>
      <c r="B6974" s="2" t="s">
        <v>11253</v>
      </c>
      <c r="C6974" s="2" t="s">
        <v>23</v>
      </c>
      <c r="K6974" s="2">
        <v>100.0</v>
      </c>
      <c r="N6974" s="6">
        <v>45242.0</v>
      </c>
      <c r="Q6974" s="2" t="s">
        <v>11254</v>
      </c>
    </row>
    <row r="6975">
      <c r="A6975" s="2">
        <v>6974.0</v>
      </c>
      <c r="B6975" s="2" t="s">
        <v>11255</v>
      </c>
      <c r="C6975" s="2" t="s">
        <v>23</v>
      </c>
      <c r="K6975" s="2">
        <v>90.0</v>
      </c>
      <c r="N6975" s="6">
        <v>44390.0</v>
      </c>
      <c r="Q6975" s="2" t="s">
        <v>11256</v>
      </c>
    </row>
    <row r="6976">
      <c r="A6976" s="2">
        <v>6975.0</v>
      </c>
      <c r="B6976" s="2" t="s">
        <v>11257</v>
      </c>
      <c r="C6976" s="2" t="s">
        <v>23</v>
      </c>
      <c r="N6976" s="6">
        <v>45635.0</v>
      </c>
      <c r="Q6976" s="2" t="s">
        <v>1935</v>
      </c>
    </row>
    <row r="6977">
      <c r="A6977" s="2">
        <v>6976.0</v>
      </c>
      <c r="B6977" s="2" t="s">
        <v>11258</v>
      </c>
      <c r="C6977" s="2" t="s">
        <v>23</v>
      </c>
      <c r="K6977" s="2">
        <v>20.0</v>
      </c>
      <c r="N6977" s="6">
        <v>44690.0</v>
      </c>
      <c r="Q6977" s="2" t="s">
        <v>11259</v>
      </c>
    </row>
    <row r="6978">
      <c r="A6978" s="2">
        <v>6977.0</v>
      </c>
      <c r="B6978" s="2" t="s">
        <v>11260</v>
      </c>
      <c r="C6978" s="2" t="s">
        <v>23</v>
      </c>
      <c r="K6978" s="2">
        <v>10.0</v>
      </c>
      <c r="N6978" s="6">
        <v>44768.0</v>
      </c>
      <c r="Q6978" s="2" t="s">
        <v>86</v>
      </c>
    </row>
    <row r="6979">
      <c r="A6979" s="2">
        <v>6978.0</v>
      </c>
      <c r="B6979" s="2" t="s">
        <v>11261</v>
      </c>
      <c r="C6979" s="2" t="s">
        <v>23</v>
      </c>
      <c r="N6979" s="6">
        <v>44683.0</v>
      </c>
      <c r="Q6979" s="2" t="s">
        <v>86</v>
      </c>
    </row>
    <row r="6980">
      <c r="A6980" s="2">
        <v>6979.0</v>
      </c>
      <c r="B6980" s="2" t="s">
        <v>11262</v>
      </c>
      <c r="C6980" s="2" t="s">
        <v>23</v>
      </c>
      <c r="K6980" s="2">
        <v>20.0</v>
      </c>
      <c r="N6980" s="6">
        <v>45622.0</v>
      </c>
      <c r="Q6980" s="2" t="s">
        <v>3664</v>
      </c>
    </row>
    <row r="6981">
      <c r="A6981" s="2">
        <v>6980.0</v>
      </c>
      <c r="B6981" s="2" t="s">
        <v>11263</v>
      </c>
      <c r="C6981" s="2" t="s">
        <v>23</v>
      </c>
      <c r="K6981" s="2">
        <v>10.0</v>
      </c>
      <c r="N6981" s="6">
        <v>44683.0</v>
      </c>
      <c r="Q6981" s="2" t="s">
        <v>86</v>
      </c>
    </row>
    <row r="6982">
      <c r="A6982" s="2">
        <v>6981.0</v>
      </c>
      <c r="B6982" s="2" t="s">
        <v>11264</v>
      </c>
      <c r="C6982" s="2" t="s">
        <v>23</v>
      </c>
      <c r="N6982" s="6">
        <v>44598.0</v>
      </c>
      <c r="Q6982" s="2" t="s">
        <v>86</v>
      </c>
    </row>
    <row r="6983">
      <c r="A6983" s="2">
        <v>6982.0</v>
      </c>
      <c r="B6983" s="2" t="s">
        <v>11265</v>
      </c>
      <c r="C6983" s="2" t="s">
        <v>23</v>
      </c>
      <c r="K6983" s="2">
        <v>30.0</v>
      </c>
      <c r="N6983" s="6">
        <v>44602.0</v>
      </c>
      <c r="Q6983" s="2" t="s">
        <v>86</v>
      </c>
    </row>
    <row r="6984">
      <c r="A6984" s="2">
        <v>6983.0</v>
      </c>
      <c r="B6984" s="2" t="s">
        <v>11266</v>
      </c>
      <c r="C6984" s="2" t="s">
        <v>23</v>
      </c>
      <c r="N6984" s="6">
        <v>44140.0</v>
      </c>
      <c r="Q6984" s="2" t="s">
        <v>86</v>
      </c>
    </row>
    <row r="6985">
      <c r="A6985" s="2">
        <v>6984.0</v>
      </c>
      <c r="B6985" s="2" t="s">
        <v>11267</v>
      </c>
      <c r="C6985" s="2" t="s">
        <v>23</v>
      </c>
      <c r="K6985" s="2">
        <v>60.0</v>
      </c>
      <c r="N6985" s="6">
        <v>43569.0</v>
      </c>
      <c r="Q6985" s="2" t="s">
        <v>11268</v>
      </c>
    </row>
    <row r="6986">
      <c r="A6986" s="2">
        <v>6985.0</v>
      </c>
      <c r="B6986" s="2" t="s">
        <v>11269</v>
      </c>
      <c r="C6986" s="2" t="s">
        <v>23</v>
      </c>
      <c r="N6986" s="6">
        <v>45324.0</v>
      </c>
      <c r="Q6986" s="2" t="s">
        <v>86</v>
      </c>
    </row>
    <row r="6987">
      <c r="A6987" s="2">
        <v>6986.0</v>
      </c>
      <c r="B6987" s="2" t="s">
        <v>11270</v>
      </c>
      <c r="C6987" s="2" t="s">
        <v>23</v>
      </c>
      <c r="N6987" s="6">
        <v>44792.0</v>
      </c>
      <c r="Q6987" s="2" t="s">
        <v>1437</v>
      </c>
    </row>
    <row r="6988">
      <c r="A6988" s="2">
        <v>6987.0</v>
      </c>
      <c r="B6988" s="2" t="s">
        <v>11271</v>
      </c>
      <c r="C6988" s="2" t="s">
        <v>23</v>
      </c>
      <c r="N6988" s="6">
        <v>44520.0</v>
      </c>
      <c r="Q6988" s="2" t="s">
        <v>86</v>
      </c>
    </row>
    <row r="6989">
      <c r="A6989" s="2">
        <v>6988.0</v>
      </c>
      <c r="B6989" s="2" t="s">
        <v>11272</v>
      </c>
      <c r="C6989" s="2" t="s">
        <v>23</v>
      </c>
      <c r="N6989" s="6">
        <v>43923.0</v>
      </c>
      <c r="Q6989" s="2" t="s">
        <v>1466</v>
      </c>
    </row>
    <row r="6990">
      <c r="A6990" s="2">
        <v>6989.0</v>
      </c>
      <c r="B6990" s="2" t="s">
        <v>11273</v>
      </c>
      <c r="C6990" s="2" t="s">
        <v>23</v>
      </c>
      <c r="K6990" s="2">
        <v>60.0</v>
      </c>
      <c r="N6990" s="6">
        <v>45393.0</v>
      </c>
      <c r="Q6990" s="2" t="s">
        <v>267</v>
      </c>
    </row>
    <row r="6991">
      <c r="A6991" s="2">
        <v>6990.0</v>
      </c>
      <c r="B6991" s="2" t="s">
        <v>11274</v>
      </c>
      <c r="C6991" s="2" t="s">
        <v>23</v>
      </c>
      <c r="K6991" s="2">
        <v>30.0</v>
      </c>
      <c r="N6991" s="6">
        <v>45353.0</v>
      </c>
      <c r="Q6991" s="2" t="s">
        <v>86</v>
      </c>
    </row>
    <row r="6992">
      <c r="A6992" s="2">
        <v>6991.0</v>
      </c>
      <c r="B6992" s="2" t="s">
        <v>11275</v>
      </c>
      <c r="C6992" s="2" t="s">
        <v>23</v>
      </c>
      <c r="K6992" s="2">
        <v>30.0</v>
      </c>
      <c r="N6992" s="6">
        <v>45722.0</v>
      </c>
      <c r="Q6992" s="2" t="s">
        <v>11276</v>
      </c>
    </row>
    <row r="6993">
      <c r="A6993" s="2">
        <v>6992.0</v>
      </c>
      <c r="B6993" s="2" t="s">
        <v>11277</v>
      </c>
      <c r="C6993" s="2" t="s">
        <v>23</v>
      </c>
      <c r="K6993" s="2">
        <v>20.0</v>
      </c>
      <c r="N6993" s="6">
        <v>44218.0</v>
      </c>
      <c r="Q6993" s="2" t="s">
        <v>86</v>
      </c>
    </row>
    <row r="6994">
      <c r="A6994" s="2">
        <v>6993.0</v>
      </c>
      <c r="B6994" s="2" t="s">
        <v>11278</v>
      </c>
      <c r="C6994" s="2" t="s">
        <v>23</v>
      </c>
      <c r="K6994" s="2">
        <v>70.0</v>
      </c>
      <c r="N6994" s="6">
        <v>44825.0</v>
      </c>
      <c r="Q6994" s="2" t="s">
        <v>11279</v>
      </c>
    </row>
    <row r="6995">
      <c r="A6995" s="2">
        <v>6994.0</v>
      </c>
      <c r="B6995" s="2" t="s">
        <v>11280</v>
      </c>
      <c r="C6995" s="2" t="s">
        <v>23</v>
      </c>
      <c r="K6995" s="2">
        <v>20.0</v>
      </c>
      <c r="N6995" s="6">
        <v>44990.0</v>
      </c>
      <c r="Q6995" s="2" t="s">
        <v>60</v>
      </c>
    </row>
    <row r="6996">
      <c r="A6996" s="2">
        <v>6995.0</v>
      </c>
      <c r="B6996" s="2" t="s">
        <v>11281</v>
      </c>
      <c r="C6996" s="2" t="s">
        <v>23</v>
      </c>
      <c r="K6996" s="2">
        <v>40.0</v>
      </c>
      <c r="N6996" s="6">
        <v>45630.0</v>
      </c>
      <c r="Q6996" s="2" t="s">
        <v>11282</v>
      </c>
    </row>
    <row r="6997">
      <c r="A6997" s="2">
        <v>6996.0</v>
      </c>
      <c r="B6997" s="2" t="s">
        <v>11283</v>
      </c>
      <c r="C6997" s="2" t="s">
        <v>23</v>
      </c>
      <c r="K6997" s="2">
        <v>10.0</v>
      </c>
      <c r="N6997" s="6">
        <v>44091.0</v>
      </c>
      <c r="Q6997" s="2" t="s">
        <v>60</v>
      </c>
    </row>
    <row r="6998">
      <c r="A6998" s="2">
        <v>6997.0</v>
      </c>
      <c r="B6998" s="2" t="s">
        <v>11284</v>
      </c>
      <c r="C6998" s="2" t="s">
        <v>23</v>
      </c>
      <c r="K6998" s="2">
        <v>150.0</v>
      </c>
      <c r="N6998" s="6">
        <v>43626.0</v>
      </c>
      <c r="Q6998" s="2" t="s">
        <v>11285</v>
      </c>
    </row>
    <row r="6999">
      <c r="A6999" s="2">
        <v>6998.0</v>
      </c>
      <c r="B6999" s="2" t="s">
        <v>11286</v>
      </c>
      <c r="C6999" s="2" t="s">
        <v>23</v>
      </c>
      <c r="N6999" s="6">
        <v>43702.0</v>
      </c>
      <c r="Q6999" s="2" t="s">
        <v>3254</v>
      </c>
    </row>
    <row r="7000">
      <c r="A7000" s="2">
        <v>6999.0</v>
      </c>
      <c r="B7000" s="2" t="s">
        <v>11287</v>
      </c>
      <c r="C7000" s="2" t="s">
        <v>23</v>
      </c>
      <c r="K7000" s="2">
        <v>10.0</v>
      </c>
      <c r="N7000" s="6">
        <v>42655.0</v>
      </c>
      <c r="Q7000" s="2" t="s">
        <v>11288</v>
      </c>
    </row>
    <row r="7001">
      <c r="A7001" s="2">
        <v>7000.0</v>
      </c>
      <c r="B7001" s="2" t="s">
        <v>11289</v>
      </c>
      <c r="C7001" s="2" t="s">
        <v>23</v>
      </c>
      <c r="K7001" s="2">
        <v>150.0</v>
      </c>
      <c r="N7001" s="6">
        <v>44026.0</v>
      </c>
      <c r="Q7001" s="2" t="s">
        <v>11290</v>
      </c>
    </row>
    <row r="7002">
      <c r="A7002" s="2">
        <v>7001.0</v>
      </c>
      <c r="B7002" s="2" t="s">
        <v>11291</v>
      </c>
      <c r="C7002" s="2" t="s">
        <v>23</v>
      </c>
      <c r="K7002" s="2">
        <v>10.0</v>
      </c>
      <c r="N7002" s="6">
        <v>45569.0</v>
      </c>
      <c r="Q7002" s="2" t="s">
        <v>11292</v>
      </c>
    </row>
    <row r="7003">
      <c r="A7003" s="2">
        <v>7002.0</v>
      </c>
      <c r="B7003" s="2" t="s">
        <v>446</v>
      </c>
      <c r="C7003" s="2" t="s">
        <v>23</v>
      </c>
      <c r="K7003" s="2">
        <v>70.0</v>
      </c>
      <c r="N7003" s="6">
        <v>44122.0</v>
      </c>
      <c r="Q7003" s="2" t="s">
        <v>448</v>
      </c>
    </row>
    <row r="7004">
      <c r="A7004" s="2">
        <v>7003.0</v>
      </c>
      <c r="B7004" s="2" t="s">
        <v>11293</v>
      </c>
      <c r="C7004" s="2" t="s">
        <v>23</v>
      </c>
      <c r="N7004" s="6">
        <v>44796.0</v>
      </c>
      <c r="Q7004" s="2" t="s">
        <v>86</v>
      </c>
    </row>
    <row r="7005">
      <c r="A7005" s="2">
        <v>7004.0</v>
      </c>
      <c r="B7005" s="2" t="s">
        <v>11294</v>
      </c>
      <c r="C7005" s="2" t="s">
        <v>23</v>
      </c>
      <c r="K7005" s="2">
        <v>40.0</v>
      </c>
      <c r="N7005" s="6">
        <v>44570.0</v>
      </c>
      <c r="Q7005" s="2" t="s">
        <v>1437</v>
      </c>
    </row>
    <row r="7006">
      <c r="A7006" s="2">
        <v>7005.0</v>
      </c>
      <c r="B7006" s="2" t="s">
        <v>11295</v>
      </c>
      <c r="C7006" s="2" t="s">
        <v>23</v>
      </c>
      <c r="K7006" s="2">
        <v>60.0</v>
      </c>
      <c r="N7006" s="6">
        <v>44698.0</v>
      </c>
      <c r="Q7006" s="2" t="s">
        <v>5556</v>
      </c>
    </row>
    <row r="7007">
      <c r="A7007" s="2">
        <v>7006.0</v>
      </c>
      <c r="B7007" s="2" t="s">
        <v>11296</v>
      </c>
      <c r="C7007" s="2" t="s">
        <v>23</v>
      </c>
      <c r="K7007" s="2">
        <v>60.0</v>
      </c>
      <c r="N7007" s="6">
        <v>44200.0</v>
      </c>
      <c r="Q7007" s="2" t="s">
        <v>86</v>
      </c>
    </row>
    <row r="7008">
      <c r="A7008" s="2">
        <v>7007.0</v>
      </c>
      <c r="B7008" s="2" t="s">
        <v>11297</v>
      </c>
      <c r="C7008" s="2" t="s">
        <v>23</v>
      </c>
      <c r="N7008" s="6">
        <v>44636.0</v>
      </c>
      <c r="Q7008" s="2" t="s">
        <v>86</v>
      </c>
    </row>
    <row r="7009">
      <c r="A7009" s="2">
        <v>7008.0</v>
      </c>
      <c r="B7009" s="2" t="s">
        <v>11298</v>
      </c>
      <c r="C7009" s="2" t="s">
        <v>23</v>
      </c>
      <c r="K7009" s="2">
        <v>50.0</v>
      </c>
      <c r="N7009" s="6">
        <v>44144.0</v>
      </c>
      <c r="Q7009" s="2" t="s">
        <v>86</v>
      </c>
    </row>
    <row r="7010">
      <c r="A7010" s="2">
        <v>7009.0</v>
      </c>
      <c r="B7010" s="2" t="s">
        <v>11299</v>
      </c>
      <c r="C7010" s="2" t="s">
        <v>23</v>
      </c>
      <c r="K7010" s="2">
        <v>10.0</v>
      </c>
      <c r="N7010" s="6">
        <v>42604.0</v>
      </c>
      <c r="Q7010" s="2" t="s">
        <v>86</v>
      </c>
    </row>
    <row r="7011">
      <c r="A7011" s="2">
        <v>7010.0</v>
      </c>
      <c r="B7011" s="2" t="s">
        <v>11300</v>
      </c>
      <c r="C7011" s="2" t="s">
        <v>23</v>
      </c>
      <c r="K7011" s="2">
        <v>100.0</v>
      </c>
      <c r="N7011" s="6">
        <v>44124.0</v>
      </c>
      <c r="Q7011" s="2" t="s">
        <v>6124</v>
      </c>
    </row>
    <row r="7012">
      <c r="A7012" s="2">
        <v>7011.0</v>
      </c>
      <c r="B7012" s="2" t="s">
        <v>11301</v>
      </c>
      <c r="C7012" s="2" t="s">
        <v>23</v>
      </c>
      <c r="N7012" s="6">
        <v>45346.0</v>
      </c>
      <c r="Q7012" s="2" t="s">
        <v>11302</v>
      </c>
    </row>
    <row r="7013">
      <c r="A7013" s="2">
        <v>7012.0</v>
      </c>
      <c r="B7013" s="2" t="s">
        <v>11303</v>
      </c>
      <c r="C7013" s="2" t="s">
        <v>23</v>
      </c>
      <c r="N7013" s="6">
        <v>43724.0</v>
      </c>
      <c r="Q7013" s="2" t="s">
        <v>86</v>
      </c>
    </row>
    <row r="7014">
      <c r="A7014" s="2">
        <v>7013.0</v>
      </c>
      <c r="B7014" s="2" t="s">
        <v>11304</v>
      </c>
      <c r="C7014" s="2" t="s">
        <v>23</v>
      </c>
      <c r="K7014" s="2">
        <v>10.0</v>
      </c>
      <c r="N7014" s="6">
        <v>44418.0</v>
      </c>
      <c r="Q7014" s="2" t="s">
        <v>86</v>
      </c>
    </row>
    <row r="7015">
      <c r="A7015" s="2">
        <v>7014.0</v>
      </c>
      <c r="B7015" s="2" t="s">
        <v>11305</v>
      </c>
      <c r="C7015" s="2" t="s">
        <v>23</v>
      </c>
      <c r="K7015" s="2">
        <v>80.0</v>
      </c>
      <c r="N7015" s="6">
        <v>44697.0</v>
      </c>
      <c r="Q7015" s="2" t="s">
        <v>3133</v>
      </c>
    </row>
    <row r="7016">
      <c r="A7016" s="2">
        <v>7015.0</v>
      </c>
      <c r="B7016" s="2" t="s">
        <v>11306</v>
      </c>
      <c r="C7016" s="2" t="s">
        <v>23</v>
      </c>
      <c r="K7016" s="2">
        <v>40.0</v>
      </c>
      <c r="N7016" s="6">
        <v>44873.0</v>
      </c>
      <c r="Q7016" s="2" t="s">
        <v>11307</v>
      </c>
    </row>
    <row r="7017">
      <c r="A7017" s="2">
        <v>7016.0</v>
      </c>
      <c r="B7017" s="2" t="s">
        <v>11308</v>
      </c>
      <c r="C7017" s="2" t="s">
        <v>23</v>
      </c>
      <c r="K7017" s="2">
        <v>30.0</v>
      </c>
      <c r="N7017" s="6">
        <v>43987.0</v>
      </c>
      <c r="Q7017" s="2" t="s">
        <v>401</v>
      </c>
    </row>
    <row r="7018">
      <c r="A7018" s="2">
        <v>7017.0</v>
      </c>
      <c r="B7018" s="2" t="s">
        <v>11309</v>
      </c>
      <c r="C7018" s="2" t="s">
        <v>23</v>
      </c>
      <c r="K7018" s="2">
        <v>70.0</v>
      </c>
      <c r="N7018" s="6">
        <v>43886.0</v>
      </c>
      <c r="Q7018" s="2" t="s">
        <v>6266</v>
      </c>
    </row>
    <row r="7019">
      <c r="A7019" s="2">
        <v>7018.0</v>
      </c>
      <c r="B7019" s="2" t="s">
        <v>11310</v>
      </c>
      <c r="C7019" s="2" t="s">
        <v>23</v>
      </c>
      <c r="K7019" s="2">
        <v>20.0</v>
      </c>
      <c r="N7019" s="6">
        <v>43984.0</v>
      </c>
      <c r="Q7019" s="2" t="s">
        <v>11311</v>
      </c>
    </row>
    <row r="7020">
      <c r="A7020" s="2">
        <v>7019.0</v>
      </c>
      <c r="B7020" s="2" t="s">
        <v>11312</v>
      </c>
      <c r="C7020" s="2" t="s">
        <v>23</v>
      </c>
      <c r="K7020" s="2">
        <v>10.0</v>
      </c>
      <c r="N7020" s="6">
        <v>43876.0</v>
      </c>
      <c r="Q7020" s="2" t="s">
        <v>11313</v>
      </c>
    </row>
    <row r="7021">
      <c r="A7021" s="2">
        <v>7020.0</v>
      </c>
      <c r="B7021" s="2" t="s">
        <v>11314</v>
      </c>
      <c r="C7021" s="2" t="s">
        <v>23</v>
      </c>
      <c r="N7021" s="6">
        <v>44602.0</v>
      </c>
      <c r="Q7021" s="2" t="s">
        <v>86</v>
      </c>
    </row>
    <row r="7022">
      <c r="A7022" s="2">
        <v>7021.0</v>
      </c>
      <c r="B7022" s="2" t="s">
        <v>11315</v>
      </c>
      <c r="C7022" s="2" t="s">
        <v>23</v>
      </c>
      <c r="N7022" s="6">
        <v>43982.0</v>
      </c>
      <c r="Q7022" s="2" t="s">
        <v>86</v>
      </c>
    </row>
    <row r="7023">
      <c r="A7023" s="2">
        <v>7022.0</v>
      </c>
      <c r="B7023" s="2" t="s">
        <v>11316</v>
      </c>
      <c r="C7023" s="2" t="s">
        <v>23</v>
      </c>
      <c r="N7023" s="6">
        <v>45130.0</v>
      </c>
      <c r="Q7023" s="2" t="s">
        <v>86</v>
      </c>
    </row>
    <row r="7024">
      <c r="A7024" s="2">
        <v>7023.0</v>
      </c>
      <c r="B7024" s="2" t="s">
        <v>11317</v>
      </c>
      <c r="C7024" s="2" t="s">
        <v>23</v>
      </c>
      <c r="K7024" s="2">
        <v>50.0</v>
      </c>
      <c r="N7024" s="6">
        <v>44423.0</v>
      </c>
      <c r="Q7024" s="2" t="s">
        <v>11318</v>
      </c>
    </row>
    <row r="7025">
      <c r="A7025" s="2">
        <v>7024.0</v>
      </c>
      <c r="B7025" s="2" t="s">
        <v>11319</v>
      </c>
      <c r="C7025" s="2" t="s">
        <v>23</v>
      </c>
      <c r="K7025" s="2">
        <v>30.0</v>
      </c>
      <c r="N7025" s="6">
        <v>43957.0</v>
      </c>
      <c r="Q7025" s="2" t="s">
        <v>11320</v>
      </c>
    </row>
    <row r="7026">
      <c r="A7026" s="2">
        <v>7025.0</v>
      </c>
      <c r="B7026" s="2" t="s">
        <v>11321</v>
      </c>
      <c r="C7026" s="2" t="s">
        <v>23</v>
      </c>
      <c r="K7026" s="2">
        <v>50.0</v>
      </c>
      <c r="N7026" s="6">
        <v>44878.0</v>
      </c>
      <c r="Q7026" s="2" t="s">
        <v>1116</v>
      </c>
    </row>
    <row r="7027">
      <c r="A7027" s="2">
        <v>7026.0</v>
      </c>
      <c r="B7027" s="2" t="s">
        <v>11322</v>
      </c>
      <c r="C7027" s="2" t="s">
        <v>23</v>
      </c>
      <c r="K7027" s="2">
        <v>10.0</v>
      </c>
      <c r="N7027" s="6">
        <v>44557.0</v>
      </c>
      <c r="Q7027" s="2" t="s">
        <v>86</v>
      </c>
    </row>
    <row r="7028">
      <c r="A7028" s="2">
        <v>7027.0</v>
      </c>
      <c r="B7028" s="2" t="s">
        <v>11323</v>
      </c>
      <c r="C7028" s="2" t="s">
        <v>23</v>
      </c>
      <c r="K7028" s="2">
        <v>10.0</v>
      </c>
      <c r="N7028" s="6">
        <v>44492.0</v>
      </c>
      <c r="Q7028" s="2" t="s">
        <v>86</v>
      </c>
    </row>
    <row r="7029">
      <c r="A7029" s="2">
        <v>7028.0</v>
      </c>
      <c r="B7029" s="2" t="s">
        <v>11324</v>
      </c>
      <c r="C7029" s="2" t="s">
        <v>23</v>
      </c>
      <c r="K7029" s="2">
        <v>50.0</v>
      </c>
      <c r="N7029" s="6">
        <v>43316.0</v>
      </c>
      <c r="Q7029" s="2" t="s">
        <v>11325</v>
      </c>
    </row>
    <row r="7030">
      <c r="A7030" s="2">
        <v>7029.0</v>
      </c>
      <c r="B7030" s="2" t="s">
        <v>11326</v>
      </c>
      <c r="C7030" s="2" t="s">
        <v>23</v>
      </c>
      <c r="K7030" s="2">
        <v>300.0</v>
      </c>
      <c r="N7030" s="6">
        <v>44558.0</v>
      </c>
      <c r="Q7030" s="2" t="s">
        <v>11327</v>
      </c>
    </row>
    <row r="7031">
      <c r="A7031" s="2">
        <v>7030.0</v>
      </c>
      <c r="B7031" s="2" t="s">
        <v>11328</v>
      </c>
      <c r="C7031" s="2" t="s">
        <v>23</v>
      </c>
      <c r="K7031" s="2">
        <v>30.0</v>
      </c>
      <c r="N7031" s="6">
        <v>44035.0</v>
      </c>
      <c r="Q7031" s="2" t="s">
        <v>1472</v>
      </c>
    </row>
    <row r="7032">
      <c r="A7032" s="2">
        <v>7031.0</v>
      </c>
      <c r="B7032" s="2" t="s">
        <v>11329</v>
      </c>
      <c r="C7032" s="2" t="s">
        <v>23</v>
      </c>
      <c r="N7032" s="6">
        <v>42621.0</v>
      </c>
      <c r="Q7032" s="2" t="s">
        <v>86</v>
      </c>
    </row>
    <row r="7033">
      <c r="A7033" s="2">
        <v>7032.0</v>
      </c>
      <c r="B7033" s="2" t="s">
        <v>11330</v>
      </c>
      <c r="C7033" s="2" t="s">
        <v>23</v>
      </c>
      <c r="K7033" s="2">
        <v>200.0</v>
      </c>
      <c r="N7033" s="6">
        <v>44250.0</v>
      </c>
      <c r="Q7033" s="2" t="s">
        <v>11331</v>
      </c>
    </row>
    <row r="7034">
      <c r="A7034" s="2">
        <v>7033.0</v>
      </c>
      <c r="B7034" s="2" t="s">
        <v>11332</v>
      </c>
      <c r="C7034" s="2" t="s">
        <v>23</v>
      </c>
      <c r="K7034" s="2">
        <v>10.0</v>
      </c>
      <c r="N7034" s="6">
        <v>43851.0</v>
      </c>
      <c r="Q7034" s="2" t="s">
        <v>11333</v>
      </c>
    </row>
    <row r="7035">
      <c r="A7035" s="2">
        <v>7034.0</v>
      </c>
      <c r="B7035" s="2" t="s">
        <v>11334</v>
      </c>
      <c r="C7035" s="2" t="s">
        <v>23</v>
      </c>
      <c r="K7035" s="2">
        <v>80.0</v>
      </c>
      <c r="N7035" s="6">
        <v>44415.0</v>
      </c>
      <c r="Q7035" s="2" t="s">
        <v>11335</v>
      </c>
    </row>
    <row r="7036">
      <c r="A7036" s="2">
        <v>7035.0</v>
      </c>
      <c r="B7036" s="2" t="s">
        <v>11336</v>
      </c>
      <c r="C7036" s="2" t="s">
        <v>23</v>
      </c>
      <c r="K7036" s="2">
        <v>70.0</v>
      </c>
      <c r="N7036" s="6">
        <v>44378.0</v>
      </c>
      <c r="Q7036" s="2" t="s">
        <v>2686</v>
      </c>
    </row>
    <row r="7037">
      <c r="A7037" s="2">
        <v>7036.0</v>
      </c>
      <c r="B7037" s="2" t="s">
        <v>11337</v>
      </c>
      <c r="C7037" s="2" t="s">
        <v>23</v>
      </c>
      <c r="N7037" s="6">
        <v>43972.0</v>
      </c>
      <c r="Q7037" s="2" t="s">
        <v>86</v>
      </c>
    </row>
    <row r="7038">
      <c r="A7038" s="2">
        <v>7037.0</v>
      </c>
      <c r="B7038" s="2" t="s">
        <v>11338</v>
      </c>
      <c r="C7038" s="2" t="s">
        <v>23</v>
      </c>
      <c r="N7038" s="6">
        <v>44299.0</v>
      </c>
      <c r="Q7038" s="2" t="s">
        <v>86</v>
      </c>
    </row>
    <row r="7039">
      <c r="A7039" s="2">
        <v>7038.0</v>
      </c>
      <c r="B7039" s="2" t="s">
        <v>11339</v>
      </c>
      <c r="C7039" s="2" t="s">
        <v>23</v>
      </c>
      <c r="K7039" s="2">
        <v>80.0</v>
      </c>
      <c r="N7039" s="6">
        <v>45626.0</v>
      </c>
      <c r="Q7039" s="2" t="s">
        <v>11340</v>
      </c>
    </row>
    <row r="7040">
      <c r="A7040" s="2">
        <v>7039.0</v>
      </c>
      <c r="B7040" s="2" t="s">
        <v>11341</v>
      </c>
      <c r="C7040" s="2" t="s">
        <v>23</v>
      </c>
      <c r="N7040" s="6">
        <v>44229.0</v>
      </c>
      <c r="Q7040" s="2" t="s">
        <v>1116</v>
      </c>
    </row>
    <row r="7041">
      <c r="A7041" s="2">
        <v>7040.0</v>
      </c>
      <c r="B7041" s="2" t="s">
        <v>11342</v>
      </c>
      <c r="C7041" s="2" t="s">
        <v>23</v>
      </c>
      <c r="K7041" s="2">
        <v>50.0</v>
      </c>
      <c r="N7041" s="6">
        <v>45760.0</v>
      </c>
      <c r="Q7041" s="2" t="s">
        <v>11343</v>
      </c>
    </row>
    <row r="7042">
      <c r="A7042" s="2">
        <v>7041.0</v>
      </c>
      <c r="B7042" s="2" t="s">
        <v>11344</v>
      </c>
      <c r="C7042" s="2" t="s">
        <v>23</v>
      </c>
      <c r="N7042" s="6">
        <v>44071.0</v>
      </c>
      <c r="Q7042" s="2" t="s">
        <v>86</v>
      </c>
    </row>
    <row r="7043">
      <c r="A7043" s="2">
        <v>7042.0</v>
      </c>
      <c r="B7043" s="2" t="s">
        <v>11345</v>
      </c>
      <c r="C7043" s="2" t="s">
        <v>23</v>
      </c>
      <c r="N7043" s="6">
        <v>42975.0</v>
      </c>
      <c r="Q7043" s="2" t="s">
        <v>86</v>
      </c>
    </row>
    <row r="7044">
      <c r="A7044" s="2">
        <v>7043.0</v>
      </c>
      <c r="B7044" s="2" t="s">
        <v>11346</v>
      </c>
      <c r="C7044" s="2" t="s">
        <v>23</v>
      </c>
      <c r="N7044" s="6">
        <v>44571.0</v>
      </c>
      <c r="Q7044" s="2" t="s">
        <v>86</v>
      </c>
    </row>
    <row r="7045">
      <c r="A7045" s="2">
        <v>7044.0</v>
      </c>
      <c r="B7045" s="2" t="s">
        <v>11347</v>
      </c>
      <c r="C7045" s="2" t="s">
        <v>23</v>
      </c>
      <c r="K7045" s="2">
        <v>80.0</v>
      </c>
      <c r="N7045" s="6">
        <v>43926.0</v>
      </c>
      <c r="Q7045" s="2" t="s">
        <v>2404</v>
      </c>
    </row>
    <row r="7046">
      <c r="A7046" s="2">
        <v>7045.0</v>
      </c>
      <c r="B7046" s="2" t="s">
        <v>11348</v>
      </c>
      <c r="C7046" s="2" t="s">
        <v>23</v>
      </c>
      <c r="N7046" s="6">
        <v>45070.0</v>
      </c>
      <c r="Q7046" s="2" t="s">
        <v>86</v>
      </c>
    </row>
    <row r="7047">
      <c r="A7047" s="2">
        <v>7046.0</v>
      </c>
      <c r="B7047" s="2" t="s">
        <v>11349</v>
      </c>
      <c r="C7047" s="2" t="s">
        <v>23</v>
      </c>
      <c r="K7047" s="2">
        <v>200.0</v>
      </c>
      <c r="N7047" s="6">
        <v>45768.0</v>
      </c>
      <c r="Q7047" s="2" t="s">
        <v>5948</v>
      </c>
    </row>
    <row r="7048">
      <c r="A7048" s="2">
        <v>7047.0</v>
      </c>
      <c r="B7048" s="2" t="s">
        <v>11350</v>
      </c>
      <c r="C7048" s="2" t="s">
        <v>23</v>
      </c>
      <c r="K7048" s="2">
        <v>10.0</v>
      </c>
      <c r="N7048" s="6">
        <v>44058.0</v>
      </c>
      <c r="Q7048" s="2" t="s">
        <v>2372</v>
      </c>
    </row>
    <row r="7049">
      <c r="A7049" s="2">
        <v>7048.0</v>
      </c>
      <c r="B7049" s="2" t="s">
        <v>11351</v>
      </c>
      <c r="C7049" s="2" t="s">
        <v>23</v>
      </c>
      <c r="K7049" s="2">
        <v>150.0</v>
      </c>
      <c r="N7049" s="6">
        <v>44039.0</v>
      </c>
      <c r="Q7049" s="2" t="s">
        <v>11352</v>
      </c>
    </row>
    <row r="7050">
      <c r="A7050" s="2">
        <v>7049.0</v>
      </c>
      <c r="B7050" s="2" t="s">
        <v>11353</v>
      </c>
      <c r="C7050" s="2" t="s">
        <v>23</v>
      </c>
      <c r="N7050" s="6">
        <v>44449.0</v>
      </c>
      <c r="Q7050" s="2" t="s">
        <v>86</v>
      </c>
    </row>
    <row r="7051">
      <c r="A7051" s="2">
        <v>7050.0</v>
      </c>
      <c r="B7051" s="2" t="s">
        <v>11354</v>
      </c>
      <c r="C7051" s="2" t="s">
        <v>23</v>
      </c>
      <c r="K7051" s="2">
        <v>30.0</v>
      </c>
      <c r="N7051" s="6">
        <v>44382.0</v>
      </c>
      <c r="Q7051" s="2" t="s">
        <v>2549</v>
      </c>
    </row>
    <row r="7052">
      <c r="A7052" s="2">
        <v>7051.0</v>
      </c>
      <c r="B7052" s="2" t="s">
        <v>11355</v>
      </c>
      <c r="C7052" s="2" t="s">
        <v>23</v>
      </c>
      <c r="K7052" s="2">
        <v>70.0</v>
      </c>
      <c r="N7052" s="6">
        <v>43882.0</v>
      </c>
      <c r="Q7052" s="2" t="s">
        <v>11356</v>
      </c>
    </row>
    <row r="7053">
      <c r="A7053" s="2">
        <v>7052.0</v>
      </c>
      <c r="B7053" s="2" t="s">
        <v>11357</v>
      </c>
      <c r="C7053" s="2" t="s">
        <v>23</v>
      </c>
      <c r="K7053" s="2">
        <v>400.0</v>
      </c>
      <c r="N7053" s="6">
        <v>43960.0</v>
      </c>
      <c r="Q7053" s="2" t="s">
        <v>11358</v>
      </c>
    </row>
    <row r="7054">
      <c r="A7054" s="2">
        <v>7053.0</v>
      </c>
      <c r="B7054" s="2" t="s">
        <v>11359</v>
      </c>
      <c r="C7054" s="2" t="s">
        <v>23</v>
      </c>
      <c r="K7054" s="2">
        <v>20.0</v>
      </c>
      <c r="N7054" s="6">
        <v>44587.0</v>
      </c>
      <c r="Q7054" s="2" t="s">
        <v>11360</v>
      </c>
    </row>
    <row r="7055">
      <c r="A7055" s="2">
        <v>7054.0</v>
      </c>
      <c r="B7055" s="2" t="s">
        <v>11361</v>
      </c>
      <c r="C7055" s="2" t="s">
        <v>23</v>
      </c>
      <c r="N7055" s="6">
        <v>44493.0</v>
      </c>
      <c r="Q7055" s="2" t="s">
        <v>86</v>
      </c>
    </row>
    <row r="7056">
      <c r="A7056" s="2">
        <v>7055.0</v>
      </c>
      <c r="B7056" s="2" t="s">
        <v>11362</v>
      </c>
      <c r="C7056" s="2" t="s">
        <v>23</v>
      </c>
      <c r="N7056" s="6">
        <v>42593.0</v>
      </c>
      <c r="Q7056" s="2" t="s">
        <v>86</v>
      </c>
    </row>
    <row r="7057">
      <c r="A7057" s="2">
        <v>7056.0</v>
      </c>
      <c r="B7057" s="2" t="s">
        <v>11363</v>
      </c>
      <c r="C7057" s="2" t="s">
        <v>23</v>
      </c>
      <c r="K7057" s="2">
        <v>30.0</v>
      </c>
      <c r="N7057" s="6">
        <v>44612.0</v>
      </c>
      <c r="Q7057" s="2" t="s">
        <v>3232</v>
      </c>
    </row>
    <row r="7058">
      <c r="A7058" s="2">
        <v>7057.0</v>
      </c>
      <c r="B7058" s="2" t="s">
        <v>11364</v>
      </c>
      <c r="C7058" s="2" t="s">
        <v>23</v>
      </c>
      <c r="K7058" s="2">
        <v>10.0</v>
      </c>
      <c r="N7058" s="6">
        <v>43926.0</v>
      </c>
      <c r="Q7058" s="2" t="s">
        <v>86</v>
      </c>
    </row>
    <row r="7059">
      <c r="A7059" s="2">
        <v>7058.0</v>
      </c>
      <c r="B7059" s="2" t="s">
        <v>450</v>
      </c>
      <c r="C7059" s="2" t="s">
        <v>23</v>
      </c>
      <c r="N7059" s="6">
        <v>44816.0</v>
      </c>
      <c r="Q7059" s="2" t="s">
        <v>86</v>
      </c>
    </row>
    <row r="7060">
      <c r="A7060" s="2">
        <v>7059.0</v>
      </c>
      <c r="B7060" s="2" t="s">
        <v>11365</v>
      </c>
      <c r="C7060" s="2" t="s">
        <v>23</v>
      </c>
      <c r="K7060" s="2">
        <v>250.0</v>
      </c>
      <c r="N7060" s="6">
        <v>44006.0</v>
      </c>
      <c r="Q7060" s="2" t="s">
        <v>11366</v>
      </c>
    </row>
    <row r="7061">
      <c r="A7061" s="2">
        <v>7060.0</v>
      </c>
      <c r="B7061" s="2" t="s">
        <v>11367</v>
      </c>
      <c r="C7061" s="2" t="s">
        <v>23</v>
      </c>
      <c r="K7061" s="2">
        <v>100.0</v>
      </c>
      <c r="N7061" s="6">
        <v>43952.0</v>
      </c>
      <c r="Q7061" s="2" t="s">
        <v>11368</v>
      </c>
    </row>
    <row r="7062">
      <c r="A7062" s="2">
        <v>7061.0</v>
      </c>
      <c r="B7062" s="2" t="s">
        <v>11369</v>
      </c>
      <c r="C7062" s="2" t="s">
        <v>23</v>
      </c>
      <c r="K7062" s="2">
        <v>60.0</v>
      </c>
      <c r="N7062" s="6">
        <v>44102.0</v>
      </c>
      <c r="Q7062" s="2" t="s">
        <v>11370</v>
      </c>
    </row>
    <row r="7063">
      <c r="A7063" s="2">
        <v>7062.0</v>
      </c>
      <c r="B7063" s="2" t="s">
        <v>11371</v>
      </c>
      <c r="C7063" s="2" t="s">
        <v>23</v>
      </c>
      <c r="N7063" s="6">
        <v>44564.0</v>
      </c>
      <c r="Q7063" s="2" t="s">
        <v>86</v>
      </c>
    </row>
    <row r="7064">
      <c r="A7064" s="2">
        <v>7063.0</v>
      </c>
      <c r="B7064" s="2" t="s">
        <v>11372</v>
      </c>
      <c r="C7064" s="2" t="s">
        <v>23</v>
      </c>
      <c r="K7064" s="2">
        <v>10.0</v>
      </c>
      <c r="N7064" s="6">
        <v>44322.0</v>
      </c>
      <c r="Q7064" s="2" t="s">
        <v>11373</v>
      </c>
    </row>
    <row r="7065">
      <c r="A7065" s="2">
        <v>7064.0</v>
      </c>
      <c r="B7065" s="2" t="s">
        <v>11374</v>
      </c>
      <c r="C7065" s="2" t="s">
        <v>23</v>
      </c>
      <c r="N7065" s="6">
        <v>44055.0</v>
      </c>
      <c r="Q7065" s="2" t="s">
        <v>86</v>
      </c>
    </row>
    <row r="7066">
      <c r="A7066" s="2">
        <v>7065.0</v>
      </c>
      <c r="B7066" s="2" t="s">
        <v>11375</v>
      </c>
      <c r="C7066" s="2" t="s">
        <v>23</v>
      </c>
      <c r="N7066" s="6">
        <v>44644.0</v>
      </c>
      <c r="Q7066" s="2" t="s">
        <v>86</v>
      </c>
    </row>
    <row r="7067">
      <c r="A7067" s="2">
        <v>7066.0</v>
      </c>
      <c r="B7067" s="2" t="s">
        <v>11376</v>
      </c>
      <c r="C7067" s="2" t="s">
        <v>23</v>
      </c>
      <c r="N7067" s="6">
        <v>44425.0</v>
      </c>
      <c r="Q7067" s="2" t="s">
        <v>86</v>
      </c>
    </row>
    <row r="7068">
      <c r="A7068" s="2">
        <v>7067.0</v>
      </c>
      <c r="B7068" s="2" t="s">
        <v>11377</v>
      </c>
      <c r="C7068" s="2" t="s">
        <v>23</v>
      </c>
      <c r="K7068" s="2">
        <v>60.0</v>
      </c>
      <c r="N7068" s="6">
        <v>44158.0</v>
      </c>
      <c r="Q7068" s="2" t="s">
        <v>86</v>
      </c>
    </row>
    <row r="7069">
      <c r="A7069" s="2">
        <v>7068.0</v>
      </c>
      <c r="B7069" s="2" t="s">
        <v>11378</v>
      </c>
      <c r="C7069" s="2" t="s">
        <v>23</v>
      </c>
      <c r="K7069" s="2">
        <v>60.0</v>
      </c>
      <c r="N7069" s="6">
        <v>43890.0</v>
      </c>
      <c r="Q7069" s="2" t="s">
        <v>11379</v>
      </c>
    </row>
    <row r="7070">
      <c r="A7070" s="2">
        <v>7069.0</v>
      </c>
      <c r="B7070" s="2" t="s">
        <v>11380</v>
      </c>
      <c r="C7070" s="2" t="s">
        <v>23</v>
      </c>
      <c r="K7070" s="2">
        <v>10.0</v>
      </c>
      <c r="N7070" s="6">
        <v>43939.0</v>
      </c>
      <c r="Q7070" s="2" t="s">
        <v>11381</v>
      </c>
    </row>
    <row r="7071">
      <c r="A7071" s="2">
        <v>7070.0</v>
      </c>
      <c r="B7071" s="2" t="s">
        <v>11382</v>
      </c>
      <c r="C7071" s="2" t="s">
        <v>23</v>
      </c>
      <c r="K7071" s="2">
        <v>200.0</v>
      </c>
      <c r="N7071" s="6">
        <v>44259.0</v>
      </c>
      <c r="Q7071" s="2" t="s">
        <v>11383</v>
      </c>
    </row>
    <row r="7072">
      <c r="A7072" s="2">
        <v>7071.0</v>
      </c>
      <c r="B7072" s="2" t="s">
        <v>11384</v>
      </c>
      <c r="C7072" s="2" t="s">
        <v>23</v>
      </c>
      <c r="K7072" s="2">
        <v>20.0</v>
      </c>
      <c r="N7072" s="6">
        <v>44005.0</v>
      </c>
      <c r="Q7072" s="2" t="s">
        <v>11385</v>
      </c>
    </row>
    <row r="7073">
      <c r="A7073" s="2">
        <v>7072.0</v>
      </c>
      <c r="B7073" s="2" t="s">
        <v>11386</v>
      </c>
      <c r="C7073" s="2" t="s">
        <v>23</v>
      </c>
      <c r="N7073" s="6">
        <v>44140.0</v>
      </c>
      <c r="Q7073" s="2" t="s">
        <v>86</v>
      </c>
    </row>
    <row r="7074">
      <c r="A7074" s="2">
        <v>7073.0</v>
      </c>
      <c r="B7074" s="2" t="s">
        <v>11387</v>
      </c>
      <c r="C7074" s="2" t="s">
        <v>23</v>
      </c>
      <c r="N7074" s="6">
        <v>46048.0</v>
      </c>
      <c r="Q7074" s="2" t="s">
        <v>11388</v>
      </c>
    </row>
    <row r="7075">
      <c r="A7075" s="2">
        <v>7074.0</v>
      </c>
      <c r="B7075" s="2" t="s">
        <v>11389</v>
      </c>
      <c r="C7075" s="2" t="s">
        <v>23</v>
      </c>
      <c r="K7075" s="2">
        <v>30.0</v>
      </c>
      <c r="N7075" s="6">
        <v>45400.0</v>
      </c>
      <c r="Q7075" s="2" t="s">
        <v>11390</v>
      </c>
    </row>
    <row r="7076">
      <c r="A7076" s="2">
        <v>7075.0</v>
      </c>
      <c r="B7076" s="2" t="s">
        <v>11391</v>
      </c>
      <c r="C7076" s="2" t="s">
        <v>23</v>
      </c>
      <c r="N7076" s="6">
        <v>44790.0</v>
      </c>
      <c r="Q7076" s="2" t="s">
        <v>86</v>
      </c>
    </row>
    <row r="7077">
      <c r="A7077" s="2">
        <v>7076.0</v>
      </c>
      <c r="B7077" s="2" t="s">
        <v>11392</v>
      </c>
      <c r="C7077" s="2" t="s">
        <v>23</v>
      </c>
      <c r="K7077" s="2">
        <v>60.0</v>
      </c>
      <c r="N7077" s="6">
        <v>45700.0</v>
      </c>
      <c r="Q7077" s="2" t="s">
        <v>11393</v>
      </c>
    </row>
    <row r="7078">
      <c r="A7078" s="2">
        <v>7077.0</v>
      </c>
      <c r="B7078" s="2" t="s">
        <v>11394</v>
      </c>
      <c r="C7078" s="2" t="s">
        <v>23</v>
      </c>
      <c r="K7078" s="2">
        <v>20.0</v>
      </c>
      <c r="N7078" s="6">
        <v>43866.0</v>
      </c>
      <c r="Q7078" s="2" t="s">
        <v>11395</v>
      </c>
    </row>
    <row r="7079">
      <c r="A7079" s="2">
        <v>7078.0</v>
      </c>
      <c r="B7079" s="2" t="s">
        <v>11396</v>
      </c>
      <c r="C7079" s="2" t="s">
        <v>23</v>
      </c>
      <c r="K7079" s="2">
        <v>200.0</v>
      </c>
      <c r="N7079" s="6">
        <v>44334.0</v>
      </c>
      <c r="Q7079" s="2" t="s">
        <v>11397</v>
      </c>
    </row>
    <row r="7080">
      <c r="A7080" s="2">
        <v>7079.0</v>
      </c>
      <c r="B7080" s="2" t="s">
        <v>11398</v>
      </c>
      <c r="C7080" s="2" t="s">
        <v>23</v>
      </c>
      <c r="K7080" s="2">
        <v>40.0</v>
      </c>
      <c r="N7080" s="6">
        <v>44249.0</v>
      </c>
      <c r="Q7080" s="2" t="s">
        <v>5929</v>
      </c>
    </row>
    <row r="7081">
      <c r="A7081" s="2">
        <v>7080.0</v>
      </c>
      <c r="B7081" s="2" t="s">
        <v>11399</v>
      </c>
      <c r="C7081" s="2" t="s">
        <v>23</v>
      </c>
      <c r="K7081" s="2">
        <v>50.0</v>
      </c>
      <c r="N7081" s="6">
        <v>44367.0</v>
      </c>
      <c r="Q7081" s="2" t="s">
        <v>4514</v>
      </c>
    </row>
    <row r="7082">
      <c r="A7082" s="2">
        <v>7081.0</v>
      </c>
      <c r="B7082" s="2" t="s">
        <v>11400</v>
      </c>
      <c r="C7082" s="2" t="s">
        <v>23</v>
      </c>
      <c r="K7082" s="2">
        <v>10.0</v>
      </c>
      <c r="N7082" s="6">
        <v>43031.0</v>
      </c>
      <c r="Q7082" s="2" t="s">
        <v>11401</v>
      </c>
    </row>
    <row r="7083">
      <c r="A7083" s="2">
        <v>7082.0</v>
      </c>
      <c r="B7083" s="2" t="s">
        <v>11402</v>
      </c>
      <c r="C7083" s="2" t="s">
        <v>23</v>
      </c>
      <c r="K7083" s="2">
        <v>20.0</v>
      </c>
      <c r="N7083" s="6">
        <v>45554.0</v>
      </c>
      <c r="Q7083" s="2" t="s">
        <v>11403</v>
      </c>
    </row>
    <row r="7084">
      <c r="A7084" s="2">
        <v>7083.0</v>
      </c>
      <c r="B7084" s="2" t="s">
        <v>11404</v>
      </c>
      <c r="C7084" s="2" t="s">
        <v>23</v>
      </c>
      <c r="N7084" s="6">
        <v>46182.0</v>
      </c>
      <c r="Q7084" s="2" t="s">
        <v>11405</v>
      </c>
    </row>
    <row r="7085">
      <c r="A7085" s="2">
        <v>7084.0</v>
      </c>
      <c r="B7085" s="2" t="s">
        <v>11406</v>
      </c>
      <c r="C7085" s="2" t="s">
        <v>23</v>
      </c>
      <c r="K7085" s="2">
        <v>10.0</v>
      </c>
      <c r="N7085" s="6">
        <v>44855.0</v>
      </c>
      <c r="Q7085" s="2" t="s">
        <v>86</v>
      </c>
    </row>
    <row r="7086">
      <c r="A7086" s="2">
        <v>7085.0</v>
      </c>
      <c r="B7086" s="2" t="s">
        <v>11407</v>
      </c>
      <c r="C7086" s="2" t="s">
        <v>23</v>
      </c>
      <c r="N7086" s="6">
        <v>44030.0</v>
      </c>
      <c r="Q7086" s="2" t="s">
        <v>86</v>
      </c>
    </row>
    <row r="7087">
      <c r="A7087" s="2">
        <v>7086.0</v>
      </c>
      <c r="B7087" s="2" t="s">
        <v>11408</v>
      </c>
      <c r="C7087" s="2" t="s">
        <v>23</v>
      </c>
      <c r="K7087" s="2">
        <v>250.0</v>
      </c>
      <c r="N7087" s="6">
        <v>43949.0</v>
      </c>
      <c r="Q7087" s="2" t="s">
        <v>11409</v>
      </c>
    </row>
    <row r="7088">
      <c r="A7088" s="2">
        <v>7087.0</v>
      </c>
      <c r="B7088" s="2" t="s">
        <v>11410</v>
      </c>
      <c r="C7088" s="2" t="s">
        <v>23</v>
      </c>
      <c r="N7088" s="6">
        <v>44700.0</v>
      </c>
      <c r="Q7088" s="2" t="s">
        <v>86</v>
      </c>
    </row>
    <row r="7089">
      <c r="A7089" s="2">
        <v>7088.0</v>
      </c>
      <c r="B7089" s="2" t="s">
        <v>11411</v>
      </c>
      <c r="C7089" s="2" t="s">
        <v>23</v>
      </c>
      <c r="N7089" s="6">
        <v>45425.0</v>
      </c>
      <c r="Q7089" s="2" t="s">
        <v>2731</v>
      </c>
    </row>
    <row r="7090">
      <c r="A7090" s="2">
        <v>7089.0</v>
      </c>
      <c r="B7090" s="2" t="s">
        <v>11412</v>
      </c>
      <c r="C7090" s="2" t="s">
        <v>23</v>
      </c>
      <c r="N7090" s="6">
        <v>44453.0</v>
      </c>
      <c r="Q7090" s="2" t="s">
        <v>86</v>
      </c>
    </row>
    <row r="7091">
      <c r="A7091" s="2">
        <v>7090.0</v>
      </c>
      <c r="B7091" s="2" t="s">
        <v>11413</v>
      </c>
      <c r="C7091" s="2" t="s">
        <v>23</v>
      </c>
      <c r="K7091" s="2">
        <v>80.0</v>
      </c>
      <c r="N7091" s="6">
        <v>45582.0</v>
      </c>
      <c r="Q7091" s="2" t="s">
        <v>11414</v>
      </c>
    </row>
    <row r="7092">
      <c r="A7092" s="2">
        <v>7091.0</v>
      </c>
      <c r="B7092" s="2" t="s">
        <v>11415</v>
      </c>
      <c r="C7092" s="2" t="s">
        <v>23</v>
      </c>
      <c r="K7092" s="2">
        <v>100.0</v>
      </c>
      <c r="N7092" s="6">
        <v>44886.0</v>
      </c>
      <c r="Q7092" s="2" t="s">
        <v>7252</v>
      </c>
    </row>
    <row r="7093">
      <c r="A7093" s="2">
        <v>7092.0</v>
      </c>
      <c r="B7093" s="2" t="s">
        <v>11416</v>
      </c>
      <c r="C7093" s="2" t="s">
        <v>23</v>
      </c>
      <c r="K7093" s="2">
        <v>10.0</v>
      </c>
      <c r="N7093" s="6">
        <v>45398.0</v>
      </c>
      <c r="Q7093" s="2" t="s">
        <v>491</v>
      </c>
    </row>
    <row r="7094">
      <c r="A7094" s="2">
        <v>7093.0</v>
      </c>
      <c r="B7094" s="2" t="s">
        <v>11417</v>
      </c>
      <c r="C7094" s="2" t="s">
        <v>23</v>
      </c>
      <c r="N7094" s="6">
        <v>44467.0</v>
      </c>
      <c r="Q7094" s="2" t="s">
        <v>86</v>
      </c>
    </row>
    <row r="7095">
      <c r="A7095" s="2">
        <v>7094.0</v>
      </c>
      <c r="B7095" s="2" t="s">
        <v>11418</v>
      </c>
      <c r="C7095" s="2" t="s">
        <v>23</v>
      </c>
      <c r="K7095" s="2">
        <v>20.0</v>
      </c>
      <c r="N7095" s="6">
        <v>44886.0</v>
      </c>
      <c r="Q7095" s="2" t="s">
        <v>401</v>
      </c>
    </row>
    <row r="7096">
      <c r="A7096" s="2">
        <v>7095.0</v>
      </c>
      <c r="B7096" s="2" t="s">
        <v>11419</v>
      </c>
      <c r="C7096" s="2" t="s">
        <v>23</v>
      </c>
      <c r="N7096" s="6">
        <v>42499.0</v>
      </c>
      <c r="Q7096" s="2" t="s">
        <v>86</v>
      </c>
    </row>
    <row r="7097">
      <c r="A7097" s="2">
        <v>7096.0</v>
      </c>
      <c r="B7097" s="2" t="s">
        <v>11420</v>
      </c>
      <c r="C7097" s="2" t="s">
        <v>23</v>
      </c>
      <c r="K7097" s="2">
        <v>20.0</v>
      </c>
      <c r="N7097" s="6">
        <v>45443.0</v>
      </c>
      <c r="Q7097" s="2" t="s">
        <v>11421</v>
      </c>
    </row>
    <row r="7098">
      <c r="A7098" s="2">
        <v>7097.0</v>
      </c>
      <c r="B7098" s="2" t="s">
        <v>11422</v>
      </c>
      <c r="C7098" s="2" t="s">
        <v>23</v>
      </c>
      <c r="K7098" s="2">
        <v>10.0</v>
      </c>
      <c r="N7098" s="6">
        <v>45181.0</v>
      </c>
      <c r="Q7098" s="2" t="s">
        <v>2738</v>
      </c>
    </row>
    <row r="7099">
      <c r="A7099" s="2">
        <v>7098.0</v>
      </c>
      <c r="B7099" s="2" t="s">
        <v>11423</v>
      </c>
      <c r="C7099" s="2" t="s">
        <v>23</v>
      </c>
      <c r="K7099" s="2">
        <v>50.0</v>
      </c>
      <c r="N7099" s="6">
        <v>44332.0</v>
      </c>
      <c r="Q7099" s="2" t="s">
        <v>11424</v>
      </c>
    </row>
    <row r="7100">
      <c r="A7100" s="2">
        <v>7099.0</v>
      </c>
      <c r="B7100" s="2" t="s">
        <v>11425</v>
      </c>
      <c r="C7100" s="2" t="s">
        <v>23</v>
      </c>
      <c r="K7100" s="2">
        <v>20.0</v>
      </c>
      <c r="N7100" s="6">
        <v>45387.0</v>
      </c>
      <c r="Q7100" s="2" t="s">
        <v>2583</v>
      </c>
    </row>
    <row r="7101">
      <c r="A7101" s="2">
        <v>7100.0</v>
      </c>
      <c r="B7101" s="2" t="s">
        <v>11426</v>
      </c>
      <c r="C7101" s="2" t="s">
        <v>23</v>
      </c>
      <c r="K7101" s="2">
        <v>10.0</v>
      </c>
      <c r="N7101" s="6">
        <v>45246.0</v>
      </c>
      <c r="Q7101" s="2" t="s">
        <v>86</v>
      </c>
    </row>
    <row r="7102">
      <c r="A7102" s="2">
        <v>7101.0</v>
      </c>
      <c r="B7102" s="2" t="s">
        <v>11427</v>
      </c>
      <c r="C7102" s="2" t="s">
        <v>23</v>
      </c>
      <c r="K7102" s="2">
        <v>20.0</v>
      </c>
      <c r="N7102" s="6">
        <v>43865.0</v>
      </c>
      <c r="Q7102" s="2" t="s">
        <v>11428</v>
      </c>
    </row>
    <row r="7103">
      <c r="A7103" s="2">
        <v>7102.0</v>
      </c>
      <c r="B7103" s="2" t="s">
        <v>11429</v>
      </c>
      <c r="C7103" s="2" t="s">
        <v>23</v>
      </c>
      <c r="K7103" s="2">
        <v>20.0</v>
      </c>
      <c r="N7103" s="6">
        <v>43893.0</v>
      </c>
      <c r="Q7103" s="2" t="s">
        <v>86</v>
      </c>
    </row>
    <row r="7104">
      <c r="A7104" s="2">
        <v>7103.0</v>
      </c>
      <c r="B7104" s="2" t="s">
        <v>11430</v>
      </c>
      <c r="C7104" s="2" t="s">
        <v>23</v>
      </c>
      <c r="N7104" s="6">
        <v>44648.0</v>
      </c>
      <c r="Q7104" s="2" t="s">
        <v>86</v>
      </c>
    </row>
    <row r="7105">
      <c r="A7105" s="2">
        <v>7104.0</v>
      </c>
      <c r="B7105" s="2" t="s">
        <v>294</v>
      </c>
      <c r="C7105" s="2" t="s">
        <v>23</v>
      </c>
      <c r="K7105" s="2">
        <v>10.0</v>
      </c>
      <c r="N7105" s="6">
        <v>44823.0</v>
      </c>
      <c r="Q7105" s="2" t="s">
        <v>295</v>
      </c>
    </row>
    <row r="7106">
      <c r="A7106" s="2">
        <v>7105.0</v>
      </c>
      <c r="B7106" s="2" t="s">
        <v>11431</v>
      </c>
      <c r="C7106" s="2" t="s">
        <v>23</v>
      </c>
      <c r="K7106" s="2">
        <v>150.0</v>
      </c>
      <c r="N7106" s="6">
        <v>44344.0</v>
      </c>
      <c r="Q7106" s="2" t="s">
        <v>11432</v>
      </c>
    </row>
    <row r="7107">
      <c r="A7107" s="2">
        <v>7106.0</v>
      </c>
      <c r="B7107" s="2" t="s">
        <v>11433</v>
      </c>
      <c r="C7107" s="2" t="s">
        <v>23</v>
      </c>
      <c r="K7107" s="2">
        <v>80.0</v>
      </c>
      <c r="N7107" s="6">
        <v>45483.0</v>
      </c>
      <c r="Q7107" s="2" t="s">
        <v>11434</v>
      </c>
    </row>
    <row r="7108">
      <c r="A7108" s="2">
        <v>7107.0</v>
      </c>
      <c r="B7108" s="2" t="s">
        <v>11435</v>
      </c>
      <c r="C7108" s="2" t="s">
        <v>23</v>
      </c>
      <c r="K7108" s="2">
        <v>20.0</v>
      </c>
      <c r="N7108" s="6">
        <v>44987.0</v>
      </c>
      <c r="Q7108" s="2" t="s">
        <v>86</v>
      </c>
    </row>
    <row r="7109">
      <c r="A7109" s="2">
        <v>7108.0</v>
      </c>
      <c r="B7109" s="2" t="s">
        <v>11436</v>
      </c>
      <c r="C7109" s="2" t="s">
        <v>23</v>
      </c>
      <c r="K7109" s="2">
        <v>10.0</v>
      </c>
      <c r="N7109" s="6">
        <v>45902.0</v>
      </c>
      <c r="Q7109" s="2" t="s">
        <v>11437</v>
      </c>
    </row>
    <row r="7110">
      <c r="A7110" s="2">
        <v>7109.0</v>
      </c>
      <c r="B7110" s="2" t="s">
        <v>11438</v>
      </c>
      <c r="C7110" s="2" t="s">
        <v>23</v>
      </c>
      <c r="K7110" s="2">
        <v>100.0</v>
      </c>
      <c r="N7110" s="6">
        <v>44117.0</v>
      </c>
      <c r="Q7110" s="2" t="s">
        <v>11439</v>
      </c>
    </row>
    <row r="7111">
      <c r="A7111" s="2">
        <v>7110.0</v>
      </c>
      <c r="B7111" s="2" t="s">
        <v>11440</v>
      </c>
      <c r="C7111" s="2" t="s">
        <v>23</v>
      </c>
      <c r="N7111" s="6">
        <v>43024.0</v>
      </c>
      <c r="Q7111" s="2" t="s">
        <v>86</v>
      </c>
    </row>
    <row r="7112">
      <c r="A7112" s="2">
        <v>7111.0</v>
      </c>
      <c r="B7112" s="2" t="s">
        <v>11441</v>
      </c>
      <c r="C7112" s="2" t="s">
        <v>23</v>
      </c>
      <c r="N7112" s="6">
        <v>44710.0</v>
      </c>
      <c r="Q7112" s="2" t="s">
        <v>86</v>
      </c>
    </row>
    <row r="7113">
      <c r="A7113" s="2">
        <v>7112.0</v>
      </c>
      <c r="B7113" s="2" t="s">
        <v>11442</v>
      </c>
      <c r="C7113" s="2" t="s">
        <v>23</v>
      </c>
      <c r="N7113" s="6">
        <v>45040.0</v>
      </c>
      <c r="Q7113" s="2" t="s">
        <v>401</v>
      </c>
    </row>
    <row r="7114">
      <c r="A7114" s="2">
        <v>7113.0</v>
      </c>
      <c r="B7114" s="2" t="s">
        <v>11443</v>
      </c>
      <c r="C7114" s="2" t="s">
        <v>23</v>
      </c>
      <c r="K7114" s="2">
        <v>100.0</v>
      </c>
      <c r="N7114" s="6">
        <v>44078.0</v>
      </c>
      <c r="Q7114" s="2" t="s">
        <v>89</v>
      </c>
    </row>
    <row r="7115">
      <c r="A7115" s="2">
        <v>7114.0</v>
      </c>
      <c r="B7115" s="2" t="s">
        <v>11444</v>
      </c>
      <c r="C7115" s="2" t="s">
        <v>23</v>
      </c>
      <c r="K7115" s="2">
        <v>30.0</v>
      </c>
      <c r="N7115" s="6">
        <v>44550.0</v>
      </c>
      <c r="Q7115" s="2" t="s">
        <v>1437</v>
      </c>
    </row>
    <row r="7116">
      <c r="A7116" s="2">
        <v>7115.0</v>
      </c>
      <c r="B7116" s="2" t="s">
        <v>11445</v>
      </c>
      <c r="C7116" s="2" t="s">
        <v>23</v>
      </c>
      <c r="K7116" s="2">
        <v>10.0</v>
      </c>
      <c r="N7116" s="6">
        <v>44646.0</v>
      </c>
      <c r="Q7116" s="2" t="s">
        <v>86</v>
      </c>
    </row>
    <row r="7117">
      <c r="A7117" s="2">
        <v>7116.0</v>
      </c>
      <c r="B7117" s="2" t="s">
        <v>11446</v>
      </c>
      <c r="C7117" s="2" t="s">
        <v>23</v>
      </c>
      <c r="K7117" s="2">
        <v>20.0</v>
      </c>
      <c r="N7117" s="6">
        <v>45171.0</v>
      </c>
      <c r="Q7117" s="2" t="s">
        <v>86</v>
      </c>
    </row>
    <row r="7118">
      <c r="A7118" s="2">
        <v>7117.0</v>
      </c>
      <c r="B7118" s="2" t="s">
        <v>11447</v>
      </c>
      <c r="C7118" s="2" t="s">
        <v>23</v>
      </c>
      <c r="K7118" s="2">
        <v>30.0</v>
      </c>
      <c r="N7118" s="6">
        <v>45540.0</v>
      </c>
      <c r="Q7118" s="2" t="s">
        <v>11448</v>
      </c>
    </row>
    <row r="7119">
      <c r="A7119" s="2">
        <v>7118.0</v>
      </c>
      <c r="B7119" s="2" t="s">
        <v>11449</v>
      </c>
      <c r="C7119" s="2" t="s">
        <v>23</v>
      </c>
      <c r="N7119" s="6">
        <v>42341.0</v>
      </c>
      <c r="Q7119" s="2" t="s">
        <v>86</v>
      </c>
    </row>
    <row r="7120">
      <c r="A7120" s="2">
        <v>7119.0</v>
      </c>
      <c r="B7120" s="2" t="s">
        <v>11450</v>
      </c>
      <c r="C7120" s="2" t="s">
        <v>23</v>
      </c>
      <c r="N7120" s="6">
        <v>44195.0</v>
      </c>
      <c r="Q7120" s="2" t="s">
        <v>86</v>
      </c>
    </row>
    <row r="7121">
      <c r="A7121" s="2">
        <v>7120.0</v>
      </c>
      <c r="B7121" s="2" t="s">
        <v>11451</v>
      </c>
      <c r="C7121" s="2" t="s">
        <v>23</v>
      </c>
      <c r="N7121" s="6">
        <v>45246.0</v>
      </c>
      <c r="Q7121" s="2" t="s">
        <v>11452</v>
      </c>
    </row>
    <row r="7122">
      <c r="A7122" s="2">
        <v>7121.0</v>
      </c>
      <c r="B7122" s="2" t="s">
        <v>11453</v>
      </c>
      <c r="C7122" s="2" t="s">
        <v>23</v>
      </c>
      <c r="K7122" s="2">
        <v>20.0</v>
      </c>
      <c r="N7122" s="6">
        <v>45367.0</v>
      </c>
      <c r="Q7122" s="2" t="s">
        <v>11454</v>
      </c>
    </row>
    <row r="7123">
      <c r="A7123" s="2">
        <v>7122.0</v>
      </c>
      <c r="B7123" s="2" t="s">
        <v>11455</v>
      </c>
      <c r="C7123" s="2" t="s">
        <v>23</v>
      </c>
      <c r="N7123" s="6">
        <v>43938.0</v>
      </c>
      <c r="Q7123" s="2" t="s">
        <v>86</v>
      </c>
    </row>
    <row r="7124">
      <c r="A7124" s="2">
        <v>7123.0</v>
      </c>
      <c r="B7124" s="2" t="s">
        <v>11456</v>
      </c>
      <c r="C7124" s="2" t="s">
        <v>23</v>
      </c>
      <c r="N7124" s="6">
        <v>45517.0</v>
      </c>
      <c r="Q7124" s="2" t="s">
        <v>11457</v>
      </c>
    </row>
    <row r="7125">
      <c r="A7125" s="2">
        <v>7124.0</v>
      </c>
      <c r="B7125" s="2" t="s">
        <v>11458</v>
      </c>
      <c r="C7125" s="2" t="s">
        <v>23</v>
      </c>
      <c r="K7125" s="2">
        <v>40.0</v>
      </c>
      <c r="N7125" s="6">
        <v>45784.0</v>
      </c>
      <c r="Q7125" s="2" t="s">
        <v>11459</v>
      </c>
    </row>
    <row r="7126">
      <c r="A7126" s="2">
        <v>7125.0</v>
      </c>
      <c r="B7126" s="2" t="s">
        <v>11460</v>
      </c>
      <c r="C7126" s="2" t="s">
        <v>23</v>
      </c>
      <c r="N7126" s="6">
        <v>43880.0</v>
      </c>
      <c r="Q7126" s="2" t="s">
        <v>11461</v>
      </c>
    </row>
    <row r="7127">
      <c r="A7127" s="2">
        <v>7126.0</v>
      </c>
      <c r="B7127" s="2" t="s">
        <v>11462</v>
      </c>
      <c r="C7127" s="2" t="s">
        <v>23</v>
      </c>
      <c r="N7127" s="6">
        <v>44593.0</v>
      </c>
      <c r="Q7127" s="2" t="s">
        <v>86</v>
      </c>
    </row>
    <row r="7128">
      <c r="A7128" s="2">
        <v>7127.0</v>
      </c>
      <c r="B7128" s="2" t="s">
        <v>11463</v>
      </c>
      <c r="C7128" s="2" t="s">
        <v>23</v>
      </c>
      <c r="N7128" s="6">
        <v>44029.0</v>
      </c>
      <c r="Q7128" s="2" t="s">
        <v>86</v>
      </c>
    </row>
    <row r="7129">
      <c r="A7129" s="2">
        <v>7128.0</v>
      </c>
      <c r="B7129" s="2" t="s">
        <v>11464</v>
      </c>
      <c r="C7129" s="2" t="s">
        <v>23</v>
      </c>
      <c r="K7129" s="2">
        <v>50.0</v>
      </c>
      <c r="N7129" s="6">
        <v>44065.0</v>
      </c>
      <c r="Q7129" s="2" t="s">
        <v>11465</v>
      </c>
    </row>
    <row r="7130">
      <c r="A7130" s="2">
        <v>7129.0</v>
      </c>
      <c r="B7130" s="2" t="s">
        <v>11466</v>
      </c>
      <c r="C7130" s="2" t="s">
        <v>23</v>
      </c>
      <c r="K7130" s="2">
        <v>30.0</v>
      </c>
      <c r="N7130" s="6">
        <v>45483.0</v>
      </c>
      <c r="Q7130" s="2" t="s">
        <v>2782</v>
      </c>
    </row>
    <row r="7131">
      <c r="A7131" s="2">
        <v>7130.0</v>
      </c>
      <c r="B7131" s="2" t="s">
        <v>11467</v>
      </c>
      <c r="C7131" s="2" t="s">
        <v>23</v>
      </c>
      <c r="K7131" s="2">
        <v>20.0</v>
      </c>
      <c r="N7131" s="6">
        <v>44707.0</v>
      </c>
      <c r="Q7131" s="2" t="s">
        <v>94</v>
      </c>
    </row>
    <row r="7132">
      <c r="A7132" s="2">
        <v>7131.0</v>
      </c>
      <c r="B7132" s="2" t="s">
        <v>11468</v>
      </c>
      <c r="C7132" s="2" t="s">
        <v>23</v>
      </c>
      <c r="N7132" s="6">
        <v>44290.0</v>
      </c>
      <c r="Q7132" s="2" t="s">
        <v>86</v>
      </c>
    </row>
    <row r="7133">
      <c r="A7133" s="2">
        <v>7132.0</v>
      </c>
      <c r="B7133" s="2" t="s">
        <v>11469</v>
      </c>
      <c r="C7133" s="2" t="s">
        <v>23</v>
      </c>
      <c r="K7133" s="2">
        <v>250.0</v>
      </c>
      <c r="N7133" s="6">
        <v>44002.0</v>
      </c>
      <c r="Q7133" s="2" t="s">
        <v>2318</v>
      </c>
    </row>
    <row r="7134">
      <c r="A7134" s="2">
        <v>7133.0</v>
      </c>
      <c r="B7134" s="2" t="s">
        <v>11470</v>
      </c>
      <c r="C7134" s="2" t="s">
        <v>23</v>
      </c>
      <c r="K7134" s="2">
        <v>20.0</v>
      </c>
      <c r="N7134" s="6">
        <v>44257.0</v>
      </c>
      <c r="Q7134" s="2" t="s">
        <v>2869</v>
      </c>
    </row>
    <row r="7135">
      <c r="A7135" s="2">
        <v>7134.0</v>
      </c>
      <c r="B7135" s="2" t="s">
        <v>11471</v>
      </c>
      <c r="C7135" s="2" t="s">
        <v>23</v>
      </c>
      <c r="K7135" s="2">
        <v>20.0</v>
      </c>
      <c r="N7135" s="6">
        <v>44406.0</v>
      </c>
      <c r="Q7135" s="2" t="s">
        <v>11472</v>
      </c>
    </row>
    <row r="7136">
      <c r="A7136" s="2">
        <v>7135.0</v>
      </c>
      <c r="B7136" s="2" t="s">
        <v>11473</v>
      </c>
      <c r="C7136" s="2" t="s">
        <v>23</v>
      </c>
      <c r="K7136" s="2">
        <v>30.0</v>
      </c>
      <c r="N7136" s="6">
        <v>44264.0</v>
      </c>
      <c r="Q7136" s="2" t="s">
        <v>295</v>
      </c>
    </row>
    <row r="7137">
      <c r="A7137" s="2">
        <v>7136.0</v>
      </c>
      <c r="B7137" s="2" t="s">
        <v>11474</v>
      </c>
      <c r="C7137" s="2" t="s">
        <v>23</v>
      </c>
      <c r="K7137" s="2">
        <v>10.0</v>
      </c>
      <c r="N7137" s="6">
        <v>44308.0</v>
      </c>
      <c r="Q7137" s="2" t="s">
        <v>11475</v>
      </c>
    </row>
    <row r="7138">
      <c r="A7138" s="2">
        <v>7137.0</v>
      </c>
      <c r="B7138" s="2" t="s">
        <v>11476</v>
      </c>
      <c r="C7138" s="2" t="s">
        <v>23</v>
      </c>
      <c r="K7138" s="2">
        <v>20.0</v>
      </c>
      <c r="N7138" s="6">
        <v>45678.0</v>
      </c>
      <c r="Q7138" s="2" t="s">
        <v>11477</v>
      </c>
    </row>
    <row r="7139">
      <c r="A7139" s="2">
        <v>7138.0</v>
      </c>
      <c r="B7139" s="2" t="s">
        <v>11478</v>
      </c>
      <c r="C7139" s="2" t="s">
        <v>23</v>
      </c>
      <c r="N7139" s="6">
        <v>44094.0</v>
      </c>
      <c r="Q7139" s="2" t="s">
        <v>86</v>
      </c>
    </row>
    <row r="7140">
      <c r="A7140" s="2">
        <v>7139.0</v>
      </c>
      <c r="B7140" s="2" t="s">
        <v>11479</v>
      </c>
      <c r="C7140" s="2" t="s">
        <v>23</v>
      </c>
      <c r="N7140" s="6">
        <v>43400.0</v>
      </c>
      <c r="Q7140" s="2" t="s">
        <v>86</v>
      </c>
    </row>
    <row r="7141">
      <c r="A7141" s="2">
        <v>7140.0</v>
      </c>
      <c r="B7141" s="2" t="s">
        <v>11480</v>
      </c>
      <c r="C7141" s="2" t="s">
        <v>23</v>
      </c>
      <c r="K7141" s="2">
        <v>90.0</v>
      </c>
      <c r="N7141" s="6">
        <v>44327.0</v>
      </c>
      <c r="Q7141" s="2" t="s">
        <v>11481</v>
      </c>
    </row>
    <row r="7142">
      <c r="A7142" s="2">
        <v>7141.0</v>
      </c>
      <c r="B7142" s="2" t="s">
        <v>11482</v>
      </c>
      <c r="C7142" s="2" t="s">
        <v>23</v>
      </c>
      <c r="N7142" s="6">
        <v>42438.0</v>
      </c>
      <c r="Q7142" s="2" t="s">
        <v>86</v>
      </c>
    </row>
    <row r="7143">
      <c r="A7143" s="2">
        <v>7142.0</v>
      </c>
      <c r="B7143" s="2" t="s">
        <v>11483</v>
      </c>
      <c r="C7143" s="2" t="s">
        <v>23</v>
      </c>
      <c r="N7143" s="6">
        <v>44166.0</v>
      </c>
      <c r="Q7143" s="2" t="s">
        <v>86</v>
      </c>
    </row>
    <row r="7144">
      <c r="A7144" s="2">
        <v>7143.0</v>
      </c>
      <c r="B7144" s="2" t="s">
        <v>11484</v>
      </c>
      <c r="C7144" s="2" t="s">
        <v>23</v>
      </c>
      <c r="K7144" s="2">
        <v>100.0</v>
      </c>
      <c r="N7144" s="6">
        <v>45791.0</v>
      </c>
      <c r="Q7144" s="2" t="s">
        <v>11485</v>
      </c>
    </row>
    <row r="7145">
      <c r="A7145" s="2">
        <v>7144.0</v>
      </c>
      <c r="B7145" s="2" t="s">
        <v>11486</v>
      </c>
      <c r="C7145" s="2" t="s">
        <v>23</v>
      </c>
      <c r="N7145" s="6">
        <v>44598.0</v>
      </c>
      <c r="Q7145" s="2" t="s">
        <v>86</v>
      </c>
    </row>
    <row r="7146">
      <c r="A7146" s="2">
        <v>7145.0</v>
      </c>
      <c r="B7146" s="2" t="s">
        <v>11487</v>
      </c>
      <c r="C7146" s="2" t="s">
        <v>23</v>
      </c>
      <c r="K7146" s="2">
        <v>20.0</v>
      </c>
      <c r="N7146" s="6">
        <v>44814.0</v>
      </c>
      <c r="Q7146" s="2" t="s">
        <v>1850</v>
      </c>
    </row>
    <row r="7147">
      <c r="A7147" s="2">
        <v>7146.0</v>
      </c>
      <c r="B7147" s="2" t="s">
        <v>11488</v>
      </c>
      <c r="C7147" s="2" t="s">
        <v>23</v>
      </c>
      <c r="N7147" s="6">
        <v>44691.0</v>
      </c>
      <c r="Q7147" s="2" t="s">
        <v>86</v>
      </c>
    </row>
    <row r="7148">
      <c r="A7148" s="2">
        <v>7147.0</v>
      </c>
      <c r="B7148" s="2" t="s">
        <v>11489</v>
      </c>
      <c r="C7148" s="2" t="s">
        <v>23</v>
      </c>
      <c r="K7148" s="2">
        <v>10.0</v>
      </c>
      <c r="N7148" s="6">
        <v>44213.0</v>
      </c>
      <c r="Q7148" s="2" t="s">
        <v>1790</v>
      </c>
    </row>
    <row r="7149">
      <c r="A7149" s="2">
        <v>7148.0</v>
      </c>
      <c r="B7149" s="2" t="s">
        <v>11490</v>
      </c>
      <c r="C7149" s="2" t="s">
        <v>23</v>
      </c>
      <c r="K7149" s="2">
        <v>10.0</v>
      </c>
      <c r="N7149" s="6">
        <v>45321.0</v>
      </c>
      <c r="Q7149" s="2" t="s">
        <v>11491</v>
      </c>
    </row>
    <row r="7150">
      <c r="A7150" s="2">
        <v>7149.0</v>
      </c>
      <c r="B7150" s="2" t="s">
        <v>454</v>
      </c>
      <c r="C7150" s="2" t="s">
        <v>23</v>
      </c>
      <c r="K7150" s="2">
        <v>30.0</v>
      </c>
      <c r="N7150" s="6">
        <v>44579.0</v>
      </c>
      <c r="Q7150" s="2" t="s">
        <v>86</v>
      </c>
    </row>
    <row r="7151">
      <c r="A7151" s="2">
        <v>7150.0</v>
      </c>
      <c r="B7151" s="2" t="s">
        <v>11492</v>
      </c>
      <c r="C7151" s="2" t="s">
        <v>23</v>
      </c>
      <c r="K7151" s="2">
        <v>10.0</v>
      </c>
      <c r="N7151" s="6">
        <v>44467.0</v>
      </c>
      <c r="Q7151" s="2" t="s">
        <v>86</v>
      </c>
    </row>
    <row r="7152">
      <c r="A7152" s="2">
        <v>7151.0</v>
      </c>
      <c r="B7152" s="2" t="s">
        <v>11493</v>
      </c>
      <c r="C7152" s="2" t="s">
        <v>23</v>
      </c>
      <c r="N7152" s="6">
        <v>44754.0</v>
      </c>
      <c r="Q7152" s="2" t="s">
        <v>86</v>
      </c>
    </row>
    <row r="7153">
      <c r="A7153" s="2">
        <v>7152.0</v>
      </c>
      <c r="B7153" s="2" t="s">
        <v>11494</v>
      </c>
      <c r="C7153" s="2" t="s">
        <v>23</v>
      </c>
      <c r="N7153" s="6">
        <v>44306.0</v>
      </c>
      <c r="Q7153" s="2" t="s">
        <v>86</v>
      </c>
    </row>
    <row r="7154">
      <c r="A7154" s="2">
        <v>7153.0</v>
      </c>
      <c r="B7154" s="2" t="s">
        <v>11495</v>
      </c>
      <c r="C7154" s="2" t="s">
        <v>23</v>
      </c>
      <c r="N7154" s="6">
        <v>42614.0</v>
      </c>
      <c r="Q7154" s="2" t="s">
        <v>86</v>
      </c>
    </row>
    <row r="7155">
      <c r="A7155" s="2">
        <v>7154.0</v>
      </c>
      <c r="B7155" s="2" t="s">
        <v>11496</v>
      </c>
      <c r="C7155" s="2" t="s">
        <v>23</v>
      </c>
      <c r="K7155" s="2">
        <v>60.0</v>
      </c>
      <c r="N7155" s="6">
        <v>44033.0</v>
      </c>
      <c r="Q7155" s="2" t="s">
        <v>11497</v>
      </c>
    </row>
    <row r="7156">
      <c r="A7156" s="2">
        <v>7155.0</v>
      </c>
      <c r="B7156" s="2" t="s">
        <v>11498</v>
      </c>
      <c r="C7156" s="2" t="s">
        <v>23</v>
      </c>
      <c r="K7156" s="2">
        <v>40.0</v>
      </c>
      <c r="N7156" s="6">
        <v>44117.0</v>
      </c>
      <c r="Q7156" s="2" t="s">
        <v>11499</v>
      </c>
    </row>
    <row r="7157">
      <c r="A7157" s="2">
        <v>7156.0</v>
      </c>
      <c r="B7157" s="2" t="s">
        <v>11500</v>
      </c>
      <c r="C7157" s="2" t="s">
        <v>23</v>
      </c>
      <c r="K7157" s="2">
        <v>30.0</v>
      </c>
      <c r="N7157" s="6">
        <v>45422.0</v>
      </c>
      <c r="Q7157" s="2" t="s">
        <v>11501</v>
      </c>
    </row>
    <row r="7158">
      <c r="A7158" s="2">
        <v>7157.0</v>
      </c>
      <c r="B7158" s="2" t="s">
        <v>11502</v>
      </c>
      <c r="C7158" s="2" t="s">
        <v>23</v>
      </c>
      <c r="N7158" s="6">
        <v>45632.0</v>
      </c>
      <c r="Q7158" s="2" t="s">
        <v>11503</v>
      </c>
    </row>
    <row r="7159">
      <c r="A7159" s="2">
        <v>7158.0</v>
      </c>
      <c r="B7159" s="2" t="s">
        <v>11504</v>
      </c>
      <c r="C7159" s="2" t="s">
        <v>23</v>
      </c>
      <c r="N7159" s="6">
        <v>44482.0</v>
      </c>
      <c r="Q7159" s="2" t="s">
        <v>86</v>
      </c>
    </row>
    <row r="7160">
      <c r="A7160" s="2">
        <v>7159.0</v>
      </c>
      <c r="B7160" s="2" t="s">
        <v>11505</v>
      </c>
      <c r="C7160" s="2" t="s">
        <v>23</v>
      </c>
      <c r="K7160" s="2">
        <v>150.0</v>
      </c>
      <c r="N7160" s="6">
        <v>44812.0</v>
      </c>
      <c r="Q7160" s="2" t="s">
        <v>11506</v>
      </c>
    </row>
    <row r="7161">
      <c r="A7161" s="2">
        <v>7160.0</v>
      </c>
      <c r="B7161" s="2" t="s">
        <v>11507</v>
      </c>
      <c r="C7161" s="2" t="s">
        <v>23</v>
      </c>
      <c r="K7161" s="2">
        <v>20.0</v>
      </c>
      <c r="N7161" s="6">
        <v>44402.0</v>
      </c>
      <c r="Q7161" s="2" t="s">
        <v>200</v>
      </c>
    </row>
    <row r="7162">
      <c r="A7162" s="2">
        <v>7161.0</v>
      </c>
      <c r="B7162" s="2" t="s">
        <v>11508</v>
      </c>
      <c r="C7162" s="2" t="s">
        <v>23</v>
      </c>
      <c r="K7162" s="2">
        <v>90.0</v>
      </c>
      <c r="N7162" s="6">
        <v>44400.0</v>
      </c>
      <c r="Q7162" s="2" t="s">
        <v>2777</v>
      </c>
    </row>
    <row r="7163">
      <c r="A7163" s="2">
        <v>7162.0</v>
      </c>
      <c r="B7163" s="2" t="s">
        <v>11509</v>
      </c>
      <c r="C7163" s="2" t="s">
        <v>23</v>
      </c>
      <c r="K7163" s="2">
        <v>80.0</v>
      </c>
      <c r="N7163" s="6">
        <v>44535.0</v>
      </c>
      <c r="Q7163" s="2" t="s">
        <v>11510</v>
      </c>
    </row>
    <row r="7164">
      <c r="A7164" s="2">
        <v>7163.0</v>
      </c>
      <c r="B7164" s="2" t="s">
        <v>11511</v>
      </c>
      <c r="C7164" s="2" t="s">
        <v>23</v>
      </c>
      <c r="K7164" s="2">
        <v>100.0</v>
      </c>
      <c r="N7164" s="6">
        <v>44298.0</v>
      </c>
      <c r="Q7164" s="2" t="s">
        <v>11512</v>
      </c>
    </row>
    <row r="7165">
      <c r="A7165" s="2">
        <v>7164.0</v>
      </c>
      <c r="B7165" s="2" t="s">
        <v>11513</v>
      </c>
      <c r="C7165" s="2" t="s">
        <v>23</v>
      </c>
      <c r="N7165" s="6">
        <v>44121.0</v>
      </c>
      <c r="Q7165" s="2" t="s">
        <v>86</v>
      </c>
    </row>
    <row r="7166">
      <c r="A7166" s="2">
        <v>7165.0</v>
      </c>
      <c r="B7166" s="2" t="s">
        <v>11514</v>
      </c>
      <c r="C7166" s="2" t="s">
        <v>23</v>
      </c>
      <c r="K7166" s="2">
        <v>20.0</v>
      </c>
      <c r="N7166" s="6">
        <v>44020.0</v>
      </c>
      <c r="Q7166" s="2" t="s">
        <v>1249</v>
      </c>
    </row>
    <row r="7167">
      <c r="A7167" s="2">
        <v>7166.0</v>
      </c>
      <c r="B7167" s="2" t="s">
        <v>11515</v>
      </c>
      <c r="C7167" s="2" t="s">
        <v>23</v>
      </c>
      <c r="K7167" s="2">
        <v>500.0</v>
      </c>
      <c r="N7167" s="6">
        <v>42443.0</v>
      </c>
      <c r="Q7167" s="2" t="s">
        <v>11516</v>
      </c>
    </row>
    <row r="7168">
      <c r="A7168" s="2">
        <v>7167.0</v>
      </c>
      <c r="B7168" s="2" t="s">
        <v>11517</v>
      </c>
      <c r="C7168" s="2" t="s">
        <v>23</v>
      </c>
      <c r="K7168" s="2">
        <v>450.0</v>
      </c>
      <c r="N7168" s="6">
        <v>43904.0</v>
      </c>
      <c r="Q7168" s="2" t="s">
        <v>11518</v>
      </c>
    </row>
    <row r="7169">
      <c r="A7169" s="2">
        <v>7168.0</v>
      </c>
      <c r="B7169" s="2" t="s">
        <v>11519</v>
      </c>
      <c r="C7169" s="2" t="s">
        <v>23</v>
      </c>
      <c r="K7169" s="2">
        <v>10.0</v>
      </c>
      <c r="N7169" s="6">
        <v>44099.0</v>
      </c>
      <c r="Q7169" s="2" t="s">
        <v>11520</v>
      </c>
    </row>
    <row r="7170">
      <c r="A7170" s="2">
        <v>7169.0</v>
      </c>
      <c r="B7170" s="2" t="s">
        <v>11521</v>
      </c>
      <c r="C7170" s="2" t="s">
        <v>23</v>
      </c>
      <c r="K7170" s="2">
        <v>10.0</v>
      </c>
      <c r="N7170" s="6">
        <v>44998.0</v>
      </c>
      <c r="Q7170" s="2" t="s">
        <v>426</v>
      </c>
    </row>
    <row r="7171">
      <c r="A7171" s="2">
        <v>7170.0</v>
      </c>
      <c r="B7171" s="2" t="s">
        <v>11522</v>
      </c>
      <c r="C7171" s="2" t="s">
        <v>23</v>
      </c>
      <c r="N7171" s="6">
        <v>43880.0</v>
      </c>
      <c r="Q7171" s="2" t="s">
        <v>86</v>
      </c>
    </row>
    <row r="7172">
      <c r="A7172" s="2">
        <v>7171.0</v>
      </c>
      <c r="B7172" s="2" t="s">
        <v>11523</v>
      </c>
      <c r="C7172" s="2" t="s">
        <v>23</v>
      </c>
      <c r="N7172" s="6">
        <v>44963.0</v>
      </c>
      <c r="Q7172" s="2" t="s">
        <v>86</v>
      </c>
    </row>
    <row r="7173">
      <c r="A7173" s="2">
        <v>7172.0</v>
      </c>
      <c r="B7173" s="2" t="s">
        <v>11524</v>
      </c>
      <c r="C7173" s="2" t="s">
        <v>23</v>
      </c>
      <c r="K7173" s="2">
        <v>30.0</v>
      </c>
      <c r="N7173" s="6">
        <v>44129.0</v>
      </c>
      <c r="Q7173" s="2" t="s">
        <v>3941</v>
      </c>
    </row>
    <row r="7174">
      <c r="A7174" s="2">
        <v>7173.0</v>
      </c>
      <c r="B7174" s="2" t="s">
        <v>11525</v>
      </c>
      <c r="C7174" s="2" t="s">
        <v>23</v>
      </c>
      <c r="K7174" s="2">
        <v>60.0</v>
      </c>
      <c r="N7174" s="6">
        <v>43945.0</v>
      </c>
      <c r="Q7174" s="2" t="s">
        <v>86</v>
      </c>
    </row>
    <row r="7175">
      <c r="A7175" s="2">
        <v>7174.0</v>
      </c>
      <c r="B7175" s="2" t="s">
        <v>11526</v>
      </c>
      <c r="C7175" s="2" t="s">
        <v>23</v>
      </c>
      <c r="K7175" s="2">
        <v>70.0</v>
      </c>
      <c r="N7175" s="6">
        <v>44629.0</v>
      </c>
      <c r="Q7175" s="2" t="s">
        <v>86</v>
      </c>
    </row>
    <row r="7176">
      <c r="A7176" s="2">
        <v>7175.0</v>
      </c>
      <c r="B7176" s="2" t="s">
        <v>11527</v>
      </c>
      <c r="C7176" s="2" t="s">
        <v>23</v>
      </c>
      <c r="N7176" s="6">
        <v>45955.0</v>
      </c>
      <c r="Q7176" s="2" t="s">
        <v>11528</v>
      </c>
    </row>
    <row r="7177">
      <c r="A7177" s="2">
        <v>7176.0</v>
      </c>
      <c r="B7177" s="2" t="s">
        <v>11529</v>
      </c>
      <c r="C7177" s="2" t="s">
        <v>23</v>
      </c>
      <c r="K7177" s="2">
        <v>150.0</v>
      </c>
      <c r="N7177" s="6">
        <v>43941.0</v>
      </c>
      <c r="Q7177" s="2" t="s">
        <v>11530</v>
      </c>
    </row>
    <row r="7178">
      <c r="A7178" s="2">
        <v>7177.0</v>
      </c>
      <c r="B7178" s="2" t="s">
        <v>11531</v>
      </c>
      <c r="C7178" s="2" t="s">
        <v>23</v>
      </c>
      <c r="K7178" s="2">
        <v>250.0</v>
      </c>
      <c r="N7178" s="6">
        <v>45797.0</v>
      </c>
      <c r="Q7178" s="2" t="s">
        <v>6368</v>
      </c>
    </row>
    <row r="7179">
      <c r="A7179" s="2">
        <v>7178.0</v>
      </c>
      <c r="B7179" s="2" t="s">
        <v>11532</v>
      </c>
      <c r="C7179" s="2" t="s">
        <v>23</v>
      </c>
      <c r="K7179" s="2">
        <v>10.0</v>
      </c>
      <c r="N7179" s="6">
        <v>44222.0</v>
      </c>
      <c r="Q7179" s="2" t="s">
        <v>86</v>
      </c>
    </row>
    <row r="7180">
      <c r="A7180" s="2">
        <v>7179.0</v>
      </c>
      <c r="B7180" s="2" t="s">
        <v>11533</v>
      </c>
      <c r="C7180" s="2" t="s">
        <v>23</v>
      </c>
      <c r="K7180" s="2">
        <v>10.0</v>
      </c>
      <c r="N7180" s="6">
        <v>44220.0</v>
      </c>
      <c r="Q7180" s="2" t="s">
        <v>235</v>
      </c>
    </row>
    <row r="7181">
      <c r="A7181" s="2">
        <v>7180.0</v>
      </c>
      <c r="B7181" s="2" t="s">
        <v>11534</v>
      </c>
      <c r="C7181" s="2" t="s">
        <v>23</v>
      </c>
      <c r="K7181" s="2">
        <v>200.0</v>
      </c>
      <c r="N7181" s="6">
        <v>44012.0</v>
      </c>
      <c r="Q7181" s="2" t="s">
        <v>1605</v>
      </c>
    </row>
    <row r="7182">
      <c r="A7182" s="2">
        <v>7181.0</v>
      </c>
      <c r="B7182" s="2" t="s">
        <v>11535</v>
      </c>
      <c r="C7182" s="2" t="s">
        <v>23</v>
      </c>
      <c r="K7182" s="2">
        <v>40.0</v>
      </c>
      <c r="N7182" s="6">
        <v>45716.0</v>
      </c>
      <c r="Q7182" s="2" t="s">
        <v>11536</v>
      </c>
    </row>
    <row r="7183">
      <c r="A7183" s="2">
        <v>7182.0</v>
      </c>
      <c r="B7183" s="2" t="s">
        <v>11537</v>
      </c>
      <c r="C7183" s="2" t="s">
        <v>23</v>
      </c>
      <c r="K7183" s="2">
        <v>20.0</v>
      </c>
      <c r="N7183" s="6">
        <v>44505.0</v>
      </c>
      <c r="Q7183" s="2" t="s">
        <v>2701</v>
      </c>
    </row>
    <row r="7184">
      <c r="A7184" s="2">
        <v>7183.0</v>
      </c>
      <c r="B7184" s="2" t="s">
        <v>11538</v>
      </c>
      <c r="C7184" s="2" t="s">
        <v>23</v>
      </c>
      <c r="K7184" s="2">
        <v>20.0</v>
      </c>
      <c r="N7184" s="6">
        <v>44066.0</v>
      </c>
      <c r="Q7184" s="2" t="s">
        <v>1605</v>
      </c>
    </row>
    <row r="7185">
      <c r="A7185" s="2">
        <v>7184.0</v>
      </c>
      <c r="B7185" s="2" t="s">
        <v>11539</v>
      </c>
      <c r="C7185" s="2" t="s">
        <v>23</v>
      </c>
      <c r="K7185" s="2">
        <v>40.0</v>
      </c>
      <c r="N7185" s="6">
        <v>44100.0</v>
      </c>
      <c r="Q7185" s="2" t="s">
        <v>11540</v>
      </c>
    </row>
    <row r="7186">
      <c r="A7186" s="2">
        <v>7185.0</v>
      </c>
      <c r="B7186" s="2" t="s">
        <v>11541</v>
      </c>
      <c r="C7186" s="2" t="s">
        <v>23</v>
      </c>
      <c r="K7186" s="2">
        <v>50.0</v>
      </c>
      <c r="N7186" s="6">
        <v>44525.0</v>
      </c>
      <c r="Q7186" s="2" t="s">
        <v>11542</v>
      </c>
    </row>
    <row r="7187">
      <c r="A7187" s="2">
        <v>7186.0</v>
      </c>
      <c r="B7187" s="2" t="s">
        <v>11543</v>
      </c>
      <c r="C7187" s="2" t="s">
        <v>23</v>
      </c>
      <c r="N7187" s="6">
        <v>44887.0</v>
      </c>
      <c r="Q7187" s="2" t="s">
        <v>1249</v>
      </c>
    </row>
    <row r="7188">
      <c r="A7188" s="2">
        <v>7187.0</v>
      </c>
      <c r="B7188" s="2" t="s">
        <v>11544</v>
      </c>
      <c r="C7188" s="2" t="s">
        <v>23</v>
      </c>
      <c r="K7188" s="2">
        <v>10.0</v>
      </c>
      <c r="N7188" s="6">
        <v>45496.0</v>
      </c>
      <c r="Q7188" s="2" t="s">
        <v>11545</v>
      </c>
    </row>
    <row r="7189">
      <c r="A7189" s="2">
        <v>7188.0</v>
      </c>
      <c r="B7189" s="2" t="s">
        <v>11546</v>
      </c>
      <c r="C7189" s="2" t="s">
        <v>23</v>
      </c>
      <c r="N7189" s="6">
        <v>43914.0</v>
      </c>
      <c r="Q7189" s="2" t="s">
        <v>11547</v>
      </c>
    </row>
    <row r="7190">
      <c r="A7190" s="2">
        <v>7189.0</v>
      </c>
      <c r="B7190" s="2" t="s">
        <v>11548</v>
      </c>
      <c r="C7190" s="2" t="s">
        <v>23</v>
      </c>
      <c r="K7190" s="2">
        <v>40.0</v>
      </c>
      <c r="N7190" s="6">
        <v>45358.0</v>
      </c>
      <c r="Q7190" s="2" t="s">
        <v>2001</v>
      </c>
    </row>
    <row r="7191">
      <c r="A7191" s="2">
        <v>7190.0</v>
      </c>
      <c r="B7191" s="2" t="s">
        <v>458</v>
      </c>
      <c r="C7191" s="2" t="s">
        <v>23</v>
      </c>
      <c r="K7191" s="2">
        <v>20.0</v>
      </c>
      <c r="N7191" s="6">
        <v>44369.0</v>
      </c>
      <c r="Q7191" s="2" t="s">
        <v>460</v>
      </c>
    </row>
    <row r="7192">
      <c r="A7192" s="2">
        <v>7191.0</v>
      </c>
      <c r="B7192" s="2" t="s">
        <v>11549</v>
      </c>
      <c r="C7192" s="2" t="s">
        <v>23</v>
      </c>
      <c r="N7192" s="6">
        <v>44299.0</v>
      </c>
      <c r="Q7192" s="2" t="s">
        <v>86</v>
      </c>
    </row>
    <row r="7193">
      <c r="A7193" s="2">
        <v>7192.0</v>
      </c>
      <c r="B7193" s="2" t="s">
        <v>11550</v>
      </c>
      <c r="C7193" s="2" t="s">
        <v>23</v>
      </c>
      <c r="K7193" s="2">
        <v>20.0</v>
      </c>
      <c r="N7193" s="6">
        <v>44307.0</v>
      </c>
      <c r="Q7193" s="2" t="s">
        <v>86</v>
      </c>
    </row>
    <row r="7194">
      <c r="A7194" s="2">
        <v>7193.0</v>
      </c>
      <c r="B7194" s="2" t="s">
        <v>11551</v>
      </c>
      <c r="C7194" s="2" t="s">
        <v>23</v>
      </c>
      <c r="K7194" s="2">
        <v>200.0</v>
      </c>
      <c r="N7194" s="6">
        <v>42625.0</v>
      </c>
      <c r="Q7194" s="2" t="s">
        <v>11552</v>
      </c>
    </row>
    <row r="7195">
      <c r="A7195" s="2">
        <v>7194.0</v>
      </c>
      <c r="B7195" s="2" t="s">
        <v>11553</v>
      </c>
      <c r="C7195" s="2" t="s">
        <v>23</v>
      </c>
      <c r="K7195" s="2">
        <v>20.0</v>
      </c>
      <c r="N7195" s="6">
        <v>45364.0</v>
      </c>
      <c r="Q7195" s="2" t="s">
        <v>11554</v>
      </c>
    </row>
    <row r="7196">
      <c r="A7196" s="2">
        <v>7195.0</v>
      </c>
      <c r="B7196" s="2" t="s">
        <v>11555</v>
      </c>
      <c r="C7196" s="2" t="s">
        <v>23</v>
      </c>
      <c r="K7196" s="2">
        <v>50.0</v>
      </c>
      <c r="N7196" s="6">
        <v>45455.0</v>
      </c>
      <c r="Q7196" s="2" t="s">
        <v>3082</v>
      </c>
    </row>
    <row r="7197">
      <c r="A7197" s="2">
        <v>7196.0</v>
      </c>
      <c r="B7197" s="2" t="s">
        <v>11556</v>
      </c>
      <c r="C7197" s="2" t="s">
        <v>23</v>
      </c>
      <c r="K7197" s="2">
        <v>100.0</v>
      </c>
      <c r="N7197" s="6">
        <v>44007.0</v>
      </c>
      <c r="Q7197" s="2" t="s">
        <v>11557</v>
      </c>
    </row>
    <row r="7198">
      <c r="A7198" s="2">
        <v>7197.0</v>
      </c>
      <c r="B7198" s="2" t="s">
        <v>11558</v>
      </c>
      <c r="C7198" s="2" t="s">
        <v>23</v>
      </c>
      <c r="K7198" s="2">
        <v>70.0</v>
      </c>
      <c r="N7198" s="6">
        <v>43891.0</v>
      </c>
      <c r="Q7198" s="2" t="s">
        <v>546</v>
      </c>
    </row>
    <row r="7199">
      <c r="A7199" s="2">
        <v>7198.0</v>
      </c>
      <c r="B7199" s="2" t="s">
        <v>11559</v>
      </c>
      <c r="C7199" s="2" t="s">
        <v>23</v>
      </c>
      <c r="N7199" s="6">
        <v>44459.0</v>
      </c>
      <c r="Q7199" s="2" t="s">
        <v>86</v>
      </c>
    </row>
    <row r="7200">
      <c r="A7200" s="2">
        <v>7199.0</v>
      </c>
      <c r="B7200" s="2" t="s">
        <v>11560</v>
      </c>
      <c r="C7200" s="2" t="s">
        <v>23</v>
      </c>
      <c r="K7200" s="2">
        <v>20.0</v>
      </c>
      <c r="N7200" s="6">
        <v>44893.0</v>
      </c>
      <c r="Q7200" s="2" t="s">
        <v>9935</v>
      </c>
    </row>
    <row r="7201">
      <c r="A7201" s="2">
        <v>7200.0</v>
      </c>
      <c r="B7201" s="2" t="s">
        <v>11561</v>
      </c>
      <c r="C7201" s="2" t="s">
        <v>23</v>
      </c>
      <c r="K7201" s="2">
        <v>30.0</v>
      </c>
      <c r="N7201" s="6">
        <v>43594.0</v>
      </c>
      <c r="Q7201" s="2" t="s">
        <v>11562</v>
      </c>
    </row>
    <row r="7202">
      <c r="A7202" s="2">
        <v>7201.0</v>
      </c>
      <c r="B7202" s="2" t="s">
        <v>11563</v>
      </c>
      <c r="C7202" s="2" t="s">
        <v>23</v>
      </c>
      <c r="K7202" s="2">
        <v>10.0</v>
      </c>
      <c r="N7202" s="6">
        <v>44539.0</v>
      </c>
      <c r="Q7202" s="2" t="s">
        <v>86</v>
      </c>
    </row>
    <row r="7203">
      <c r="A7203" s="2">
        <v>7202.0</v>
      </c>
      <c r="B7203" s="2" t="s">
        <v>11564</v>
      </c>
      <c r="C7203" s="2" t="s">
        <v>23</v>
      </c>
      <c r="K7203" s="2">
        <v>40.0</v>
      </c>
      <c r="N7203" s="6">
        <v>43145.0</v>
      </c>
      <c r="Q7203" s="2" t="s">
        <v>11565</v>
      </c>
    </row>
    <row r="7204">
      <c r="A7204" s="2">
        <v>7203.0</v>
      </c>
      <c r="B7204" s="2" t="s">
        <v>11566</v>
      </c>
      <c r="C7204" s="2" t="s">
        <v>23</v>
      </c>
      <c r="K7204" s="2">
        <v>20.0</v>
      </c>
      <c r="N7204" s="6">
        <v>44456.0</v>
      </c>
      <c r="Q7204" s="2" t="s">
        <v>60</v>
      </c>
    </row>
    <row r="7205">
      <c r="A7205" s="2">
        <v>7204.0</v>
      </c>
      <c r="B7205" s="2" t="s">
        <v>11567</v>
      </c>
      <c r="C7205" s="2" t="s">
        <v>23</v>
      </c>
      <c r="K7205" s="2">
        <v>10.0</v>
      </c>
      <c r="N7205" s="6">
        <v>43943.0</v>
      </c>
      <c r="Q7205" s="2" t="s">
        <v>86</v>
      </c>
    </row>
    <row r="7206">
      <c r="A7206" s="2">
        <v>7205.0</v>
      </c>
      <c r="B7206" s="2" t="s">
        <v>11568</v>
      </c>
      <c r="C7206" s="2" t="s">
        <v>23</v>
      </c>
      <c r="K7206" s="2">
        <v>20.0</v>
      </c>
      <c r="N7206" s="6">
        <v>45611.0</v>
      </c>
      <c r="Q7206" s="2" t="s">
        <v>7681</v>
      </c>
    </row>
    <row r="7207">
      <c r="A7207" s="2">
        <v>7206.0</v>
      </c>
      <c r="B7207" s="2" t="s">
        <v>11569</v>
      </c>
      <c r="C7207" s="2" t="s">
        <v>23</v>
      </c>
      <c r="K7207" s="2">
        <v>40.0</v>
      </c>
      <c r="N7207" s="6">
        <v>45662.0</v>
      </c>
      <c r="Q7207" s="2" t="s">
        <v>11570</v>
      </c>
    </row>
    <row r="7208">
      <c r="A7208" s="2">
        <v>7207.0</v>
      </c>
      <c r="B7208" s="2" t="s">
        <v>11571</v>
      </c>
      <c r="C7208" s="2" t="s">
        <v>23</v>
      </c>
      <c r="N7208" s="6">
        <v>44250.0</v>
      </c>
      <c r="Q7208" s="2" t="s">
        <v>86</v>
      </c>
    </row>
    <row r="7209">
      <c r="A7209" s="2">
        <v>7208.0</v>
      </c>
      <c r="B7209" s="2" t="s">
        <v>11572</v>
      </c>
      <c r="C7209" s="2" t="s">
        <v>23</v>
      </c>
      <c r="K7209" s="2">
        <v>70.0</v>
      </c>
      <c r="N7209" s="6">
        <v>44091.0</v>
      </c>
      <c r="Q7209" s="2" t="s">
        <v>11573</v>
      </c>
    </row>
    <row r="7210">
      <c r="A7210" s="2">
        <v>7209.0</v>
      </c>
      <c r="B7210" s="2" t="s">
        <v>11574</v>
      </c>
      <c r="C7210" s="2" t="s">
        <v>23</v>
      </c>
      <c r="K7210" s="2">
        <v>50.0</v>
      </c>
      <c r="N7210" s="6">
        <v>45337.0</v>
      </c>
      <c r="Q7210" s="2" t="s">
        <v>11575</v>
      </c>
    </row>
    <row r="7211">
      <c r="A7211" s="2">
        <v>7210.0</v>
      </c>
      <c r="B7211" s="2" t="s">
        <v>11576</v>
      </c>
      <c r="C7211" s="2" t="s">
        <v>23</v>
      </c>
      <c r="N7211" s="6">
        <v>42411.0</v>
      </c>
      <c r="Q7211" s="2" t="s">
        <v>175</v>
      </c>
    </row>
    <row r="7212">
      <c r="A7212" s="2">
        <v>7211.0</v>
      </c>
      <c r="B7212" s="2" t="s">
        <v>11577</v>
      </c>
      <c r="C7212" s="2" t="s">
        <v>23</v>
      </c>
      <c r="N7212" s="6">
        <v>44920.0</v>
      </c>
      <c r="Q7212" s="2" t="s">
        <v>86</v>
      </c>
    </row>
    <row r="7213">
      <c r="A7213" s="2">
        <v>7212.0</v>
      </c>
      <c r="B7213" s="2" t="s">
        <v>11578</v>
      </c>
      <c r="C7213" s="2" t="s">
        <v>23</v>
      </c>
      <c r="K7213" s="2">
        <v>10.0</v>
      </c>
      <c r="N7213" s="6">
        <v>44405.0</v>
      </c>
      <c r="Q7213" s="2" t="s">
        <v>86</v>
      </c>
    </row>
    <row r="7214">
      <c r="A7214" s="2">
        <v>7213.0</v>
      </c>
      <c r="B7214" s="2" t="s">
        <v>11579</v>
      </c>
      <c r="C7214" s="2" t="s">
        <v>23</v>
      </c>
      <c r="N7214" s="6">
        <v>44711.0</v>
      </c>
      <c r="Q7214" s="2" t="s">
        <v>86</v>
      </c>
    </row>
    <row r="7215">
      <c r="A7215" s="2">
        <v>7214.0</v>
      </c>
      <c r="B7215" s="2" t="s">
        <v>11580</v>
      </c>
      <c r="C7215" s="2" t="s">
        <v>23</v>
      </c>
      <c r="N7215" s="6">
        <v>44892.0</v>
      </c>
      <c r="Q7215" s="2" t="s">
        <v>86</v>
      </c>
    </row>
    <row r="7216">
      <c r="A7216" s="2">
        <v>7215.0</v>
      </c>
      <c r="B7216" s="2" t="s">
        <v>11581</v>
      </c>
      <c r="C7216" s="2" t="s">
        <v>23</v>
      </c>
      <c r="K7216" s="2">
        <v>100.0</v>
      </c>
      <c r="N7216" s="6">
        <v>45509.0</v>
      </c>
      <c r="Q7216" s="2" t="s">
        <v>11582</v>
      </c>
    </row>
    <row r="7217">
      <c r="A7217" s="2">
        <v>7216.0</v>
      </c>
      <c r="B7217" s="2" t="s">
        <v>11583</v>
      </c>
      <c r="C7217" s="2" t="s">
        <v>23</v>
      </c>
      <c r="K7217" s="2">
        <v>40.0</v>
      </c>
      <c r="N7217" s="6">
        <v>45632.0</v>
      </c>
      <c r="Q7217" s="2" t="s">
        <v>11584</v>
      </c>
    </row>
    <row r="7218">
      <c r="A7218" s="2">
        <v>7217.0</v>
      </c>
      <c r="B7218" s="2" t="s">
        <v>11585</v>
      </c>
      <c r="C7218" s="2" t="s">
        <v>23</v>
      </c>
      <c r="K7218" s="2">
        <v>20.0</v>
      </c>
      <c r="N7218" s="6">
        <v>45360.0</v>
      </c>
      <c r="Q7218" s="2" t="s">
        <v>11586</v>
      </c>
    </row>
    <row r="7219">
      <c r="A7219" s="2">
        <v>7218.0</v>
      </c>
      <c r="B7219" s="2" t="s">
        <v>11587</v>
      </c>
      <c r="C7219" s="2" t="s">
        <v>23</v>
      </c>
      <c r="K7219" s="2">
        <v>30.0</v>
      </c>
      <c r="N7219" s="6">
        <v>44400.0</v>
      </c>
      <c r="Q7219" s="2" t="s">
        <v>5663</v>
      </c>
    </row>
    <row r="7220">
      <c r="A7220" s="2">
        <v>7219.0</v>
      </c>
      <c r="B7220" s="2" t="s">
        <v>11588</v>
      </c>
      <c r="C7220" s="2" t="s">
        <v>23</v>
      </c>
      <c r="K7220" s="2">
        <v>80.0</v>
      </c>
      <c r="N7220" s="6">
        <v>45324.0</v>
      </c>
      <c r="Q7220" s="2" t="s">
        <v>3896</v>
      </c>
    </row>
    <row r="7221">
      <c r="A7221" s="2">
        <v>7220.0</v>
      </c>
      <c r="B7221" s="2" t="s">
        <v>11589</v>
      </c>
      <c r="C7221" s="2" t="s">
        <v>23</v>
      </c>
      <c r="N7221" s="6">
        <v>45095.0</v>
      </c>
      <c r="Q7221" s="2" t="s">
        <v>118</v>
      </c>
    </row>
    <row r="7222">
      <c r="A7222" s="2">
        <v>7221.0</v>
      </c>
      <c r="B7222" s="2" t="s">
        <v>11590</v>
      </c>
      <c r="C7222" s="2" t="s">
        <v>23</v>
      </c>
      <c r="K7222" s="2">
        <v>30.0</v>
      </c>
      <c r="N7222" s="6">
        <v>44695.0</v>
      </c>
      <c r="Q7222" s="2" t="s">
        <v>2424</v>
      </c>
    </row>
    <row r="7223">
      <c r="A7223" s="2">
        <v>7222.0</v>
      </c>
      <c r="B7223" s="2" t="s">
        <v>11591</v>
      </c>
      <c r="C7223" s="2" t="s">
        <v>23</v>
      </c>
      <c r="N7223" s="6">
        <v>44415.0</v>
      </c>
      <c r="Q7223" s="2" t="s">
        <v>86</v>
      </c>
    </row>
    <row r="7224">
      <c r="A7224" s="2">
        <v>7223.0</v>
      </c>
      <c r="B7224" s="2" t="s">
        <v>11592</v>
      </c>
      <c r="C7224" s="2" t="s">
        <v>23</v>
      </c>
      <c r="K7224" s="2">
        <v>10.0</v>
      </c>
      <c r="N7224" s="6">
        <v>42573.0</v>
      </c>
      <c r="Q7224" s="2" t="s">
        <v>11593</v>
      </c>
    </row>
    <row r="7225">
      <c r="A7225" s="2">
        <v>7224.0</v>
      </c>
      <c r="B7225" s="2" t="s">
        <v>11594</v>
      </c>
      <c r="C7225" s="2" t="s">
        <v>23</v>
      </c>
      <c r="N7225" s="6">
        <v>45636.0</v>
      </c>
      <c r="Q7225" s="2" t="s">
        <v>4514</v>
      </c>
    </row>
    <row r="7226">
      <c r="A7226" s="2">
        <v>7225.0</v>
      </c>
      <c r="B7226" s="2" t="s">
        <v>11595</v>
      </c>
      <c r="C7226" s="2" t="s">
        <v>23</v>
      </c>
      <c r="K7226" s="2">
        <v>20.0</v>
      </c>
      <c r="N7226" s="6">
        <v>45663.0</v>
      </c>
      <c r="Q7226" s="2" t="s">
        <v>11596</v>
      </c>
    </row>
    <row r="7227">
      <c r="A7227" s="2">
        <v>7226.0</v>
      </c>
      <c r="B7227" s="2" t="s">
        <v>11597</v>
      </c>
      <c r="C7227" s="2" t="s">
        <v>23</v>
      </c>
      <c r="K7227" s="2">
        <v>20.0</v>
      </c>
      <c r="N7227" s="6">
        <v>44815.0</v>
      </c>
      <c r="Q7227" s="2" t="s">
        <v>1466</v>
      </c>
    </row>
    <row r="7228">
      <c r="A7228" s="2">
        <v>7227.0</v>
      </c>
      <c r="B7228" s="2" t="s">
        <v>11598</v>
      </c>
      <c r="C7228" s="2" t="s">
        <v>23</v>
      </c>
      <c r="K7228" s="2">
        <v>20.0</v>
      </c>
      <c r="N7228" s="6">
        <v>44315.0</v>
      </c>
      <c r="Q7228" s="2" t="s">
        <v>3316</v>
      </c>
    </row>
    <row r="7229">
      <c r="A7229" s="2">
        <v>7228.0</v>
      </c>
      <c r="B7229" s="2" t="s">
        <v>11599</v>
      </c>
      <c r="C7229" s="2" t="s">
        <v>23</v>
      </c>
      <c r="K7229" s="2">
        <v>150.0</v>
      </c>
      <c r="N7229" s="6">
        <v>42825.0</v>
      </c>
      <c r="Q7229" s="2" t="s">
        <v>11600</v>
      </c>
    </row>
    <row r="7230">
      <c r="A7230" s="2">
        <v>7229.0</v>
      </c>
      <c r="B7230" s="2" t="s">
        <v>11601</v>
      </c>
      <c r="C7230" s="2" t="s">
        <v>23</v>
      </c>
      <c r="N7230" s="6">
        <v>43115.0</v>
      </c>
      <c r="Q7230" s="2" t="s">
        <v>235</v>
      </c>
    </row>
    <row r="7231">
      <c r="A7231" s="2">
        <v>7230.0</v>
      </c>
      <c r="B7231" s="2" t="s">
        <v>11602</v>
      </c>
      <c r="C7231" s="2" t="s">
        <v>23</v>
      </c>
      <c r="N7231" s="6">
        <v>44393.0</v>
      </c>
      <c r="Q7231" s="2" t="s">
        <v>86</v>
      </c>
    </row>
    <row r="7232">
      <c r="A7232" s="2">
        <v>7231.0</v>
      </c>
      <c r="B7232" s="2" t="s">
        <v>11603</v>
      </c>
      <c r="C7232" s="2" t="s">
        <v>23</v>
      </c>
      <c r="K7232" s="2">
        <v>80.0</v>
      </c>
      <c r="N7232" s="6">
        <v>44138.0</v>
      </c>
      <c r="Q7232" s="2" t="s">
        <v>11604</v>
      </c>
    </row>
    <row r="7233">
      <c r="A7233" s="2">
        <v>7232.0</v>
      </c>
      <c r="B7233" s="2" t="s">
        <v>11605</v>
      </c>
      <c r="C7233" s="2" t="s">
        <v>23</v>
      </c>
      <c r="K7233" s="2">
        <v>10.0</v>
      </c>
      <c r="N7233" s="6">
        <v>43531.0</v>
      </c>
      <c r="Q7233" s="2" t="s">
        <v>86</v>
      </c>
    </row>
    <row r="7234">
      <c r="A7234" s="2">
        <v>7233.0</v>
      </c>
      <c r="B7234" s="2" t="s">
        <v>11606</v>
      </c>
      <c r="C7234" s="2" t="s">
        <v>23</v>
      </c>
      <c r="K7234" s="2">
        <v>150.0</v>
      </c>
      <c r="N7234" s="6">
        <v>43902.0</v>
      </c>
      <c r="Q7234" s="2" t="s">
        <v>11607</v>
      </c>
    </row>
    <row r="7235">
      <c r="A7235" s="2">
        <v>7234.0</v>
      </c>
      <c r="B7235" s="2" t="s">
        <v>11608</v>
      </c>
      <c r="C7235" s="2" t="s">
        <v>23</v>
      </c>
      <c r="K7235" s="2">
        <v>20.0</v>
      </c>
      <c r="N7235" s="6">
        <v>44212.0</v>
      </c>
      <c r="Q7235" s="2" t="s">
        <v>1437</v>
      </c>
    </row>
    <row r="7236">
      <c r="A7236" s="2">
        <v>7235.0</v>
      </c>
      <c r="B7236" s="2" t="s">
        <v>11609</v>
      </c>
      <c r="C7236" s="2" t="s">
        <v>23</v>
      </c>
      <c r="K7236" s="2">
        <v>40.0</v>
      </c>
      <c r="N7236" s="6">
        <v>44025.0</v>
      </c>
      <c r="Q7236" s="2" t="s">
        <v>401</v>
      </c>
    </row>
    <row r="7237">
      <c r="A7237" s="2">
        <v>7236.0</v>
      </c>
      <c r="B7237" s="2" t="s">
        <v>11610</v>
      </c>
      <c r="C7237" s="2" t="s">
        <v>23</v>
      </c>
      <c r="K7237" s="2">
        <v>10.0</v>
      </c>
      <c r="N7237" s="6">
        <v>45064.0</v>
      </c>
      <c r="Q7237" s="2" t="s">
        <v>11611</v>
      </c>
    </row>
    <row r="7238">
      <c r="A7238" s="2">
        <v>7237.0</v>
      </c>
      <c r="B7238" s="2" t="s">
        <v>11612</v>
      </c>
      <c r="C7238" s="2" t="s">
        <v>23</v>
      </c>
      <c r="N7238" s="6">
        <v>44766.0</v>
      </c>
      <c r="Q7238" s="2" t="s">
        <v>86</v>
      </c>
    </row>
    <row r="7239">
      <c r="A7239" s="2">
        <v>7238.0</v>
      </c>
      <c r="B7239" s="2" t="s">
        <v>11613</v>
      </c>
      <c r="C7239" s="2" t="s">
        <v>23</v>
      </c>
      <c r="N7239" s="6">
        <v>42661.0</v>
      </c>
      <c r="Q7239" s="2" t="s">
        <v>6500</v>
      </c>
    </row>
    <row r="7240">
      <c r="A7240" s="2">
        <v>7239.0</v>
      </c>
      <c r="B7240" s="2" t="s">
        <v>11614</v>
      </c>
      <c r="C7240" s="2" t="s">
        <v>23</v>
      </c>
      <c r="K7240" s="2">
        <v>60.0</v>
      </c>
      <c r="N7240" s="6">
        <v>44337.0</v>
      </c>
      <c r="Q7240" s="2" t="s">
        <v>11615</v>
      </c>
    </row>
    <row r="7241">
      <c r="A7241" s="2">
        <v>7240.0</v>
      </c>
      <c r="B7241" s="2" t="s">
        <v>11616</v>
      </c>
      <c r="C7241" s="2" t="s">
        <v>23</v>
      </c>
      <c r="N7241" s="6">
        <v>45153.0</v>
      </c>
      <c r="Q7241" s="2" t="s">
        <v>86</v>
      </c>
    </row>
    <row r="7242">
      <c r="A7242" s="2">
        <v>7241.0</v>
      </c>
      <c r="B7242" s="2" t="s">
        <v>11617</v>
      </c>
      <c r="C7242" s="2" t="s">
        <v>23</v>
      </c>
      <c r="N7242" s="6">
        <v>44850.0</v>
      </c>
      <c r="Q7242" s="2" t="s">
        <v>86</v>
      </c>
    </row>
    <row r="7243">
      <c r="A7243" s="2">
        <v>7242.0</v>
      </c>
      <c r="B7243" s="2" t="s">
        <v>11618</v>
      </c>
      <c r="C7243" s="2" t="s">
        <v>23</v>
      </c>
      <c r="K7243" s="2">
        <v>150.0</v>
      </c>
      <c r="N7243" s="6">
        <v>43967.0</v>
      </c>
      <c r="Q7243" s="2" t="s">
        <v>11619</v>
      </c>
    </row>
    <row r="7244">
      <c r="A7244" s="2">
        <v>7243.0</v>
      </c>
      <c r="B7244" s="2" t="s">
        <v>11620</v>
      </c>
      <c r="C7244" s="2" t="s">
        <v>23</v>
      </c>
      <c r="K7244" s="2">
        <v>80.0</v>
      </c>
      <c r="N7244" s="6">
        <v>44249.0</v>
      </c>
      <c r="Q7244" s="2" t="s">
        <v>86</v>
      </c>
    </row>
    <row r="7245">
      <c r="A7245" s="2">
        <v>7244.0</v>
      </c>
      <c r="B7245" s="2" t="s">
        <v>11621</v>
      </c>
      <c r="C7245" s="2" t="s">
        <v>23</v>
      </c>
      <c r="K7245" s="2">
        <v>90.0</v>
      </c>
      <c r="N7245" s="6">
        <v>44984.0</v>
      </c>
      <c r="Q7245" s="2" t="s">
        <v>11622</v>
      </c>
    </row>
    <row r="7246">
      <c r="A7246" s="2">
        <v>7245.0</v>
      </c>
      <c r="B7246" s="2" t="s">
        <v>11623</v>
      </c>
      <c r="C7246" s="2" t="s">
        <v>23</v>
      </c>
      <c r="K7246" s="2">
        <v>40.0</v>
      </c>
      <c r="N7246" s="6">
        <v>44662.0</v>
      </c>
      <c r="Q7246" s="2" t="s">
        <v>86</v>
      </c>
    </row>
    <row r="7247">
      <c r="A7247" s="2">
        <v>7246.0</v>
      </c>
      <c r="B7247" s="2" t="s">
        <v>11624</v>
      </c>
      <c r="C7247" s="2" t="s">
        <v>23</v>
      </c>
      <c r="N7247" s="6">
        <v>44676.0</v>
      </c>
      <c r="Q7247" s="2" t="s">
        <v>86</v>
      </c>
    </row>
    <row r="7248">
      <c r="A7248" s="2">
        <v>7247.0</v>
      </c>
      <c r="B7248" s="2" t="s">
        <v>11625</v>
      </c>
      <c r="C7248" s="2" t="s">
        <v>23</v>
      </c>
      <c r="N7248" s="6">
        <v>42352.0</v>
      </c>
      <c r="Q7248" s="2" t="s">
        <v>86</v>
      </c>
    </row>
    <row r="7249">
      <c r="A7249" s="2">
        <v>7248.0</v>
      </c>
      <c r="B7249" s="2" t="s">
        <v>11626</v>
      </c>
      <c r="C7249" s="2" t="s">
        <v>23</v>
      </c>
      <c r="N7249" s="6">
        <v>42275.0</v>
      </c>
      <c r="Q7249" s="2" t="s">
        <v>11627</v>
      </c>
    </row>
    <row r="7250">
      <c r="A7250" s="2">
        <v>7249.0</v>
      </c>
      <c r="B7250" s="2" t="s">
        <v>11628</v>
      </c>
      <c r="C7250" s="2" t="s">
        <v>23</v>
      </c>
      <c r="N7250" s="6">
        <v>45006.0</v>
      </c>
      <c r="Q7250" s="2" t="s">
        <v>86</v>
      </c>
    </row>
    <row r="7251">
      <c r="A7251" s="2">
        <v>7250.0</v>
      </c>
      <c r="B7251" s="2" t="s">
        <v>11629</v>
      </c>
      <c r="C7251" s="2" t="s">
        <v>23</v>
      </c>
      <c r="K7251" s="2">
        <v>50.0</v>
      </c>
      <c r="N7251" s="6">
        <v>43898.0</v>
      </c>
      <c r="Q7251" s="2" t="s">
        <v>11630</v>
      </c>
    </row>
    <row r="7252">
      <c r="A7252" s="2">
        <v>7251.0</v>
      </c>
      <c r="B7252" s="2" t="s">
        <v>11631</v>
      </c>
      <c r="C7252" s="2" t="s">
        <v>23</v>
      </c>
      <c r="K7252" s="2">
        <v>60.0</v>
      </c>
      <c r="N7252" s="6">
        <v>44636.0</v>
      </c>
      <c r="Q7252" s="2" t="s">
        <v>86</v>
      </c>
    </row>
    <row r="7253">
      <c r="A7253" s="2">
        <v>7252.0</v>
      </c>
      <c r="B7253" s="2" t="s">
        <v>11632</v>
      </c>
      <c r="C7253" s="2" t="s">
        <v>23</v>
      </c>
      <c r="K7253" s="2">
        <v>10.0</v>
      </c>
      <c r="N7253" s="6">
        <v>44335.0</v>
      </c>
      <c r="Q7253" s="2" t="s">
        <v>11633</v>
      </c>
    </row>
    <row r="7254">
      <c r="A7254" s="2">
        <v>7253.0</v>
      </c>
      <c r="B7254" s="2" t="s">
        <v>11634</v>
      </c>
      <c r="C7254" s="2" t="s">
        <v>23</v>
      </c>
      <c r="N7254" s="6">
        <v>44577.0</v>
      </c>
      <c r="Q7254" s="2" t="s">
        <v>86</v>
      </c>
    </row>
    <row r="7255">
      <c r="A7255" s="2">
        <v>7254.0</v>
      </c>
      <c r="B7255" s="2" t="s">
        <v>11635</v>
      </c>
      <c r="C7255" s="2" t="s">
        <v>23</v>
      </c>
      <c r="N7255" s="6">
        <v>45219.0</v>
      </c>
      <c r="Q7255" s="2" t="s">
        <v>86</v>
      </c>
    </row>
    <row r="7256">
      <c r="A7256" s="2">
        <v>7255.0</v>
      </c>
      <c r="B7256" s="2" t="s">
        <v>11636</v>
      </c>
      <c r="C7256" s="2" t="s">
        <v>23</v>
      </c>
      <c r="K7256" s="2">
        <v>150.0</v>
      </c>
      <c r="N7256" s="6">
        <v>45332.0</v>
      </c>
      <c r="Q7256" s="2" t="s">
        <v>11637</v>
      </c>
    </row>
    <row r="7257">
      <c r="A7257" s="2">
        <v>7256.0</v>
      </c>
      <c r="B7257" s="2" t="s">
        <v>11638</v>
      </c>
      <c r="C7257" s="2" t="s">
        <v>23</v>
      </c>
      <c r="K7257" s="2">
        <v>50.0</v>
      </c>
      <c r="N7257" s="6">
        <v>43884.0</v>
      </c>
      <c r="Q7257" s="2" t="s">
        <v>11639</v>
      </c>
    </row>
    <row r="7258">
      <c r="A7258" s="2">
        <v>7257.0</v>
      </c>
      <c r="B7258" s="2" t="s">
        <v>11640</v>
      </c>
      <c r="C7258" s="2" t="s">
        <v>23</v>
      </c>
      <c r="K7258" s="2">
        <v>350.0</v>
      </c>
      <c r="N7258" s="6">
        <v>43922.0</v>
      </c>
      <c r="Q7258" s="2" t="s">
        <v>11641</v>
      </c>
    </row>
    <row r="7259">
      <c r="A7259" s="2">
        <v>7258.0</v>
      </c>
      <c r="B7259" s="2" t="s">
        <v>11642</v>
      </c>
      <c r="C7259" s="2" t="s">
        <v>23</v>
      </c>
      <c r="F7259" s="2">
        <v>0.25</v>
      </c>
      <c r="G7259" s="2">
        <v>0.57</v>
      </c>
      <c r="N7259" s="6">
        <v>42431.0</v>
      </c>
      <c r="O7259" s="2" t="s">
        <v>560</v>
      </c>
      <c r="P7259" s="2" t="s">
        <v>36</v>
      </c>
      <c r="Q7259" s="2" t="s">
        <v>11643</v>
      </c>
      <c r="R7259" s="2" t="s">
        <v>11644</v>
      </c>
      <c r="S7259" s="2" t="s">
        <v>11645</v>
      </c>
    </row>
    <row r="7260">
      <c r="A7260" s="2">
        <v>7259.0</v>
      </c>
      <c r="B7260" s="2" t="s">
        <v>11646</v>
      </c>
      <c r="C7260" s="2" t="s">
        <v>23</v>
      </c>
      <c r="N7260" s="6">
        <v>44219.0</v>
      </c>
      <c r="Q7260" s="2" t="s">
        <v>86</v>
      </c>
    </row>
    <row r="7261">
      <c r="A7261" s="2">
        <v>7260.0</v>
      </c>
      <c r="B7261" s="2" t="s">
        <v>11647</v>
      </c>
      <c r="C7261" s="2" t="s">
        <v>23</v>
      </c>
      <c r="K7261" s="2">
        <v>10.0</v>
      </c>
      <c r="N7261" s="6">
        <v>44393.0</v>
      </c>
      <c r="Q7261" s="2" t="s">
        <v>86</v>
      </c>
    </row>
    <row r="7262">
      <c r="A7262" s="2">
        <v>7261.0</v>
      </c>
      <c r="B7262" s="2" t="s">
        <v>11648</v>
      </c>
      <c r="C7262" s="2" t="s">
        <v>23</v>
      </c>
      <c r="K7262" s="2">
        <v>250.0</v>
      </c>
      <c r="N7262" s="6">
        <v>44048.0</v>
      </c>
      <c r="Q7262" s="2" t="s">
        <v>11649</v>
      </c>
    </row>
    <row r="7263">
      <c r="A7263" s="2">
        <v>7262.0</v>
      </c>
      <c r="B7263" s="2" t="s">
        <v>11650</v>
      </c>
      <c r="C7263" s="2" t="s">
        <v>23</v>
      </c>
      <c r="K7263" s="2">
        <v>10.0</v>
      </c>
      <c r="N7263" s="6">
        <v>45268.0</v>
      </c>
      <c r="Q7263" s="2" t="s">
        <v>3198</v>
      </c>
    </row>
    <row r="7264">
      <c r="A7264" s="2">
        <v>7263.0</v>
      </c>
      <c r="B7264" s="2" t="s">
        <v>11651</v>
      </c>
      <c r="C7264" s="2" t="s">
        <v>23</v>
      </c>
      <c r="K7264" s="2">
        <v>20.0</v>
      </c>
      <c r="N7264" s="6">
        <v>44521.0</v>
      </c>
      <c r="Q7264" s="2" t="s">
        <v>1437</v>
      </c>
    </row>
    <row r="7265">
      <c r="A7265" s="2">
        <v>7264.0</v>
      </c>
      <c r="B7265" s="2" t="s">
        <v>11652</v>
      </c>
      <c r="C7265" s="2" t="s">
        <v>23</v>
      </c>
      <c r="K7265" s="2">
        <v>20.0</v>
      </c>
      <c r="N7265" s="6">
        <v>46137.0</v>
      </c>
      <c r="Q7265" s="2" t="s">
        <v>11653</v>
      </c>
    </row>
    <row r="7266">
      <c r="A7266" s="2">
        <v>7265.0</v>
      </c>
      <c r="B7266" s="2" t="s">
        <v>11654</v>
      </c>
      <c r="C7266" s="2" t="s">
        <v>23</v>
      </c>
      <c r="K7266" s="2">
        <v>40.0</v>
      </c>
      <c r="N7266" s="6">
        <v>44052.0</v>
      </c>
      <c r="Q7266" s="2" t="s">
        <v>60</v>
      </c>
    </row>
    <row r="7267">
      <c r="A7267" s="2">
        <v>7266.0</v>
      </c>
      <c r="B7267" s="2" t="s">
        <v>11655</v>
      </c>
      <c r="C7267" s="2" t="s">
        <v>23</v>
      </c>
      <c r="K7267" s="2">
        <v>100.0</v>
      </c>
      <c r="N7267" s="6">
        <v>43967.0</v>
      </c>
      <c r="Q7267" s="2" t="s">
        <v>11656</v>
      </c>
    </row>
    <row r="7268">
      <c r="A7268" s="2">
        <v>7267.0</v>
      </c>
      <c r="B7268" s="2" t="s">
        <v>11657</v>
      </c>
      <c r="C7268" s="2" t="s">
        <v>23</v>
      </c>
      <c r="K7268" s="2">
        <v>100.0</v>
      </c>
      <c r="N7268" s="6">
        <v>44206.0</v>
      </c>
      <c r="Q7268" s="2" t="s">
        <v>11658</v>
      </c>
    </row>
    <row r="7269">
      <c r="A7269" s="2">
        <v>7268.0</v>
      </c>
      <c r="B7269" s="2" t="s">
        <v>11659</v>
      </c>
      <c r="C7269" s="2" t="s">
        <v>23</v>
      </c>
      <c r="K7269" s="2">
        <v>50.0</v>
      </c>
      <c r="N7269" s="6">
        <v>44523.0</v>
      </c>
      <c r="Q7269" s="2" t="s">
        <v>11660</v>
      </c>
    </row>
    <row r="7270">
      <c r="A7270" s="2">
        <v>7269.0</v>
      </c>
      <c r="B7270" s="2" t="s">
        <v>11661</v>
      </c>
      <c r="C7270" s="2" t="s">
        <v>23</v>
      </c>
      <c r="K7270" s="2">
        <v>100.0</v>
      </c>
      <c r="N7270" s="6">
        <v>44429.0</v>
      </c>
      <c r="Q7270" s="2" t="s">
        <v>1823</v>
      </c>
    </row>
    <row r="7271">
      <c r="A7271" s="2">
        <v>7270.0</v>
      </c>
      <c r="B7271" s="2" t="s">
        <v>11662</v>
      </c>
      <c r="C7271" s="2" t="s">
        <v>23</v>
      </c>
      <c r="N7271" s="6">
        <v>44374.0</v>
      </c>
      <c r="Q7271" s="2" t="s">
        <v>86</v>
      </c>
    </row>
    <row r="7272">
      <c r="A7272" s="2">
        <v>7271.0</v>
      </c>
      <c r="B7272" s="2" t="s">
        <v>11663</v>
      </c>
      <c r="C7272" s="2" t="s">
        <v>23</v>
      </c>
      <c r="K7272" s="2">
        <v>10.0</v>
      </c>
      <c r="N7272" s="6">
        <v>44049.0</v>
      </c>
      <c r="Q7272" s="2" t="s">
        <v>86</v>
      </c>
    </row>
    <row r="7273">
      <c r="A7273" s="2">
        <v>7272.0</v>
      </c>
      <c r="B7273" s="2" t="s">
        <v>11664</v>
      </c>
      <c r="C7273" s="2" t="s">
        <v>23</v>
      </c>
      <c r="K7273" s="2">
        <v>30.0</v>
      </c>
      <c r="N7273" s="6">
        <v>45382.0</v>
      </c>
      <c r="Q7273" s="2" t="s">
        <v>9146</v>
      </c>
    </row>
    <row r="7274">
      <c r="A7274" s="2">
        <v>7273.0</v>
      </c>
      <c r="B7274" s="2" t="s">
        <v>11665</v>
      </c>
      <c r="C7274" s="2" t="s">
        <v>23</v>
      </c>
      <c r="N7274" s="6">
        <v>45155.0</v>
      </c>
      <c r="Q7274" s="2" t="s">
        <v>11666</v>
      </c>
    </row>
    <row r="7275">
      <c r="A7275" s="2">
        <v>7274.0</v>
      </c>
      <c r="B7275" s="2" t="s">
        <v>11667</v>
      </c>
      <c r="C7275" s="2" t="s">
        <v>23</v>
      </c>
      <c r="K7275" s="2">
        <v>80.0</v>
      </c>
      <c r="N7275" s="6">
        <v>42699.0</v>
      </c>
      <c r="Q7275" s="2" t="s">
        <v>11668</v>
      </c>
    </row>
    <row r="7276">
      <c r="A7276" s="2">
        <v>7275.0</v>
      </c>
      <c r="B7276" s="2" t="s">
        <v>11669</v>
      </c>
      <c r="C7276" s="2" t="s">
        <v>23</v>
      </c>
      <c r="N7276" s="6">
        <v>43902.0</v>
      </c>
      <c r="Q7276" s="2" t="s">
        <v>86</v>
      </c>
    </row>
    <row r="7277">
      <c r="A7277" s="2">
        <v>7276.0</v>
      </c>
      <c r="B7277" s="2" t="s">
        <v>11670</v>
      </c>
      <c r="C7277" s="2" t="s">
        <v>23</v>
      </c>
      <c r="N7277" s="6">
        <v>44630.0</v>
      </c>
      <c r="Q7277" s="2" t="s">
        <v>86</v>
      </c>
    </row>
    <row r="7278">
      <c r="A7278" s="2">
        <v>7277.0</v>
      </c>
      <c r="B7278" s="2" t="s">
        <v>11671</v>
      </c>
      <c r="C7278" s="2" t="s">
        <v>23</v>
      </c>
      <c r="K7278" s="2">
        <v>20.0</v>
      </c>
      <c r="N7278" s="6">
        <v>44325.0</v>
      </c>
      <c r="Q7278" s="2" t="s">
        <v>60</v>
      </c>
    </row>
    <row r="7279">
      <c r="A7279" s="2">
        <v>7278.0</v>
      </c>
      <c r="B7279" s="2" t="s">
        <v>11672</v>
      </c>
      <c r="C7279" s="2" t="s">
        <v>23</v>
      </c>
      <c r="K7279" s="2">
        <v>80.0</v>
      </c>
      <c r="N7279" s="6">
        <v>43842.0</v>
      </c>
      <c r="Q7279" s="2" t="s">
        <v>60</v>
      </c>
    </row>
    <row r="7280">
      <c r="A7280" s="2">
        <v>7279.0</v>
      </c>
      <c r="B7280" s="2" t="s">
        <v>11673</v>
      </c>
      <c r="C7280" s="2" t="s">
        <v>23</v>
      </c>
      <c r="N7280" s="6">
        <v>43011.0</v>
      </c>
      <c r="Q7280" s="2" t="s">
        <v>86</v>
      </c>
    </row>
    <row r="7281">
      <c r="A7281" s="2">
        <v>7280.0</v>
      </c>
      <c r="B7281" s="2" t="s">
        <v>11674</v>
      </c>
      <c r="C7281" s="2" t="s">
        <v>23</v>
      </c>
      <c r="N7281" s="6">
        <v>43980.0</v>
      </c>
      <c r="Q7281" s="2" t="s">
        <v>86</v>
      </c>
    </row>
    <row r="7282">
      <c r="A7282" s="2">
        <v>7281.0</v>
      </c>
      <c r="B7282" s="2" t="s">
        <v>11675</v>
      </c>
      <c r="C7282" s="2" t="s">
        <v>23</v>
      </c>
      <c r="K7282" s="2">
        <v>50.0</v>
      </c>
      <c r="N7282" s="6">
        <v>44494.0</v>
      </c>
      <c r="Q7282" s="2" t="s">
        <v>11676</v>
      </c>
    </row>
    <row r="7283">
      <c r="A7283" s="2">
        <v>7282.0</v>
      </c>
      <c r="B7283" s="2" t="s">
        <v>11677</v>
      </c>
      <c r="C7283" s="2" t="s">
        <v>23</v>
      </c>
      <c r="N7283" s="6">
        <v>44128.0</v>
      </c>
      <c r="Q7283" s="2" t="s">
        <v>86</v>
      </c>
    </row>
    <row r="7284">
      <c r="A7284" s="2">
        <v>7283.0</v>
      </c>
      <c r="B7284" s="2" t="s">
        <v>11678</v>
      </c>
      <c r="C7284" s="2" t="s">
        <v>23</v>
      </c>
      <c r="K7284" s="2">
        <v>30.0</v>
      </c>
      <c r="N7284" s="6">
        <v>45235.0</v>
      </c>
      <c r="Q7284" s="2" t="s">
        <v>11679</v>
      </c>
    </row>
    <row r="7285">
      <c r="A7285" s="2">
        <v>7284.0</v>
      </c>
      <c r="B7285" s="2" t="s">
        <v>11680</v>
      </c>
      <c r="C7285" s="2" t="s">
        <v>23</v>
      </c>
      <c r="N7285" s="6">
        <v>44571.0</v>
      </c>
      <c r="Q7285" s="2" t="s">
        <v>86</v>
      </c>
    </row>
    <row r="7286">
      <c r="A7286" s="2">
        <v>7285.0</v>
      </c>
      <c r="B7286" s="2" t="s">
        <v>11681</v>
      </c>
      <c r="C7286" s="2" t="s">
        <v>23</v>
      </c>
      <c r="N7286" s="6">
        <v>42864.0</v>
      </c>
      <c r="Q7286" s="2" t="s">
        <v>11682</v>
      </c>
    </row>
    <row r="7287">
      <c r="A7287" s="2">
        <v>7286.0</v>
      </c>
      <c r="B7287" s="2" t="s">
        <v>11683</v>
      </c>
      <c r="C7287" s="2" t="s">
        <v>23</v>
      </c>
      <c r="K7287" s="2">
        <v>20.0</v>
      </c>
      <c r="N7287" s="6">
        <v>45429.0</v>
      </c>
      <c r="Q7287" s="2" t="s">
        <v>1576</v>
      </c>
    </row>
    <row r="7288">
      <c r="A7288" s="2">
        <v>7287.0</v>
      </c>
      <c r="B7288" s="2" t="s">
        <v>11684</v>
      </c>
      <c r="C7288" s="2" t="s">
        <v>23</v>
      </c>
      <c r="N7288" s="6">
        <v>45985.0</v>
      </c>
      <c r="Q7288" s="2" t="s">
        <v>11685</v>
      </c>
    </row>
    <row r="7289">
      <c r="A7289" s="2">
        <v>7288.0</v>
      </c>
      <c r="B7289" s="2" t="s">
        <v>11686</v>
      </c>
      <c r="C7289" s="2" t="s">
        <v>23</v>
      </c>
      <c r="K7289" s="2">
        <v>150.0</v>
      </c>
      <c r="N7289" s="6">
        <v>45612.0</v>
      </c>
      <c r="Q7289" s="2" t="s">
        <v>11687</v>
      </c>
    </row>
    <row r="7290">
      <c r="A7290" s="2">
        <v>7289.0</v>
      </c>
      <c r="B7290" s="2" t="s">
        <v>11688</v>
      </c>
      <c r="C7290" s="2" t="s">
        <v>23</v>
      </c>
      <c r="N7290" s="6">
        <v>44540.0</v>
      </c>
      <c r="Q7290" s="2" t="s">
        <v>86</v>
      </c>
    </row>
    <row r="7291">
      <c r="A7291" s="2">
        <v>7290.0</v>
      </c>
      <c r="B7291" s="2" t="s">
        <v>463</v>
      </c>
      <c r="C7291" s="2" t="s">
        <v>23</v>
      </c>
      <c r="N7291" s="6">
        <v>42622.0</v>
      </c>
      <c r="Q7291" s="2" t="s">
        <v>86</v>
      </c>
    </row>
    <row r="7292">
      <c r="A7292" s="2">
        <v>7291.0</v>
      </c>
      <c r="B7292" s="2" t="s">
        <v>11689</v>
      </c>
      <c r="C7292" s="2" t="s">
        <v>23</v>
      </c>
      <c r="F7292" s="2">
        <v>0.25</v>
      </c>
      <c r="K7292" s="2">
        <v>2000.0</v>
      </c>
      <c r="N7292" s="6">
        <v>43852.0</v>
      </c>
      <c r="Q7292" s="2" t="s">
        <v>11690</v>
      </c>
    </row>
    <row r="7293">
      <c r="A7293" s="2">
        <v>7292.0</v>
      </c>
      <c r="B7293" s="2" t="s">
        <v>11691</v>
      </c>
      <c r="C7293" s="2" t="s">
        <v>23</v>
      </c>
      <c r="K7293" s="2">
        <v>30.0</v>
      </c>
      <c r="N7293" s="6">
        <v>44448.0</v>
      </c>
      <c r="Q7293" s="2" t="s">
        <v>2731</v>
      </c>
    </row>
    <row r="7294">
      <c r="A7294" s="2">
        <v>7293.0</v>
      </c>
      <c r="B7294" s="2" t="s">
        <v>11692</v>
      </c>
      <c r="C7294" s="2" t="s">
        <v>23</v>
      </c>
      <c r="K7294" s="2">
        <v>80.0</v>
      </c>
      <c r="N7294" s="6">
        <v>44001.0</v>
      </c>
      <c r="Q7294" s="2" t="s">
        <v>86</v>
      </c>
    </row>
    <row r="7295">
      <c r="A7295" s="2">
        <v>7294.0</v>
      </c>
      <c r="B7295" s="2" t="s">
        <v>11693</v>
      </c>
      <c r="C7295" s="2" t="s">
        <v>23</v>
      </c>
      <c r="K7295" s="2">
        <v>10.0</v>
      </c>
      <c r="N7295" s="6">
        <v>42688.0</v>
      </c>
      <c r="Q7295" s="2" t="s">
        <v>1790</v>
      </c>
    </row>
    <row r="7296">
      <c r="A7296" s="2">
        <v>7295.0</v>
      </c>
      <c r="B7296" s="2" t="s">
        <v>11694</v>
      </c>
      <c r="C7296" s="2" t="s">
        <v>23</v>
      </c>
      <c r="K7296" s="2">
        <v>90.0</v>
      </c>
      <c r="N7296" s="6">
        <v>42990.0</v>
      </c>
      <c r="Q7296" s="2" t="s">
        <v>11695</v>
      </c>
    </row>
    <row r="7297">
      <c r="A7297" s="2">
        <v>7296.0</v>
      </c>
      <c r="B7297" s="2" t="s">
        <v>11696</v>
      </c>
      <c r="C7297" s="2" t="s">
        <v>23</v>
      </c>
      <c r="K7297" s="2">
        <v>10.0</v>
      </c>
      <c r="N7297" s="6">
        <v>44222.0</v>
      </c>
      <c r="Q7297" s="2" t="s">
        <v>86</v>
      </c>
    </row>
    <row r="7298">
      <c r="A7298" s="2">
        <v>7297.0</v>
      </c>
      <c r="B7298" s="2" t="s">
        <v>11697</v>
      </c>
      <c r="C7298" s="2" t="s">
        <v>23</v>
      </c>
      <c r="K7298" s="2">
        <v>80.0</v>
      </c>
      <c r="N7298" s="6">
        <v>45619.0</v>
      </c>
      <c r="Q7298" s="2" t="s">
        <v>11698</v>
      </c>
    </row>
    <row r="7299">
      <c r="A7299" s="2">
        <v>7298.0</v>
      </c>
      <c r="B7299" s="2" t="s">
        <v>11699</v>
      </c>
      <c r="C7299" s="2" t="s">
        <v>23</v>
      </c>
      <c r="K7299" s="2">
        <v>10.0</v>
      </c>
      <c r="N7299" s="6">
        <v>46008.0</v>
      </c>
      <c r="Q7299" s="2" t="s">
        <v>11700</v>
      </c>
    </row>
    <row r="7300">
      <c r="A7300" s="2">
        <v>7299.0</v>
      </c>
      <c r="B7300" s="2" t="s">
        <v>11701</v>
      </c>
      <c r="C7300" s="2" t="s">
        <v>23</v>
      </c>
      <c r="N7300" s="6">
        <v>44463.0</v>
      </c>
      <c r="Q7300" s="2" t="s">
        <v>86</v>
      </c>
    </row>
    <row r="7301">
      <c r="A7301" s="2">
        <v>7300.0</v>
      </c>
      <c r="B7301" s="2" t="s">
        <v>11702</v>
      </c>
      <c r="C7301" s="2" t="s">
        <v>23</v>
      </c>
      <c r="N7301" s="6">
        <v>44479.0</v>
      </c>
      <c r="Q7301" s="2" t="s">
        <v>86</v>
      </c>
    </row>
    <row r="7302">
      <c r="A7302" s="2">
        <v>7301.0</v>
      </c>
      <c r="B7302" s="2" t="s">
        <v>11703</v>
      </c>
      <c r="C7302" s="2" t="s">
        <v>23</v>
      </c>
      <c r="K7302" s="2">
        <v>20.0</v>
      </c>
      <c r="N7302" s="6">
        <v>44038.0</v>
      </c>
      <c r="Q7302" s="2" t="s">
        <v>11704</v>
      </c>
    </row>
    <row r="7303">
      <c r="A7303" s="2">
        <v>7302.0</v>
      </c>
      <c r="B7303" s="2" t="s">
        <v>11705</v>
      </c>
      <c r="C7303" s="2" t="s">
        <v>23</v>
      </c>
      <c r="K7303" s="2">
        <v>700.0</v>
      </c>
      <c r="N7303" s="6">
        <v>43933.0</v>
      </c>
      <c r="Q7303" s="2" t="s">
        <v>11706</v>
      </c>
    </row>
    <row r="7304">
      <c r="A7304" s="2">
        <v>7303.0</v>
      </c>
      <c r="B7304" s="2" t="s">
        <v>11707</v>
      </c>
      <c r="C7304" s="2" t="s">
        <v>23</v>
      </c>
      <c r="N7304" s="6">
        <v>44505.0</v>
      </c>
      <c r="Q7304" s="2" t="s">
        <v>86</v>
      </c>
    </row>
    <row r="7305">
      <c r="A7305" s="2">
        <v>7304.0</v>
      </c>
      <c r="B7305" s="2" t="s">
        <v>11708</v>
      </c>
      <c r="C7305" s="2" t="s">
        <v>23</v>
      </c>
      <c r="K7305" s="2">
        <v>10.0</v>
      </c>
      <c r="N7305" s="6">
        <v>44147.0</v>
      </c>
      <c r="Q7305" s="2" t="s">
        <v>86</v>
      </c>
    </row>
    <row r="7306">
      <c r="A7306" s="2">
        <v>7305.0</v>
      </c>
      <c r="B7306" s="2" t="s">
        <v>11709</v>
      </c>
      <c r="C7306" s="2" t="s">
        <v>23</v>
      </c>
      <c r="K7306" s="2">
        <v>30.0</v>
      </c>
      <c r="N7306" s="6">
        <v>43928.0</v>
      </c>
      <c r="Q7306" s="2" t="s">
        <v>86</v>
      </c>
    </row>
    <row r="7307">
      <c r="A7307" s="2">
        <v>7306.0</v>
      </c>
      <c r="B7307" s="2" t="s">
        <v>11710</v>
      </c>
      <c r="C7307" s="2" t="s">
        <v>23</v>
      </c>
      <c r="K7307" s="2">
        <v>100.0</v>
      </c>
      <c r="N7307" s="6">
        <v>44470.0</v>
      </c>
      <c r="Q7307" s="2" t="s">
        <v>1472</v>
      </c>
    </row>
    <row r="7308">
      <c r="A7308" s="2">
        <v>7307.0</v>
      </c>
      <c r="B7308" s="2" t="s">
        <v>11711</v>
      </c>
      <c r="C7308" s="2" t="s">
        <v>23</v>
      </c>
      <c r="N7308" s="6">
        <v>43939.0</v>
      </c>
      <c r="Q7308" s="2" t="s">
        <v>86</v>
      </c>
    </row>
    <row r="7309">
      <c r="A7309" s="2">
        <v>7308.0</v>
      </c>
      <c r="B7309" s="2" t="s">
        <v>11712</v>
      </c>
      <c r="C7309" s="2" t="s">
        <v>23</v>
      </c>
      <c r="N7309" s="6">
        <v>44585.0</v>
      </c>
      <c r="Q7309" s="2" t="s">
        <v>86</v>
      </c>
    </row>
    <row r="7310">
      <c r="A7310" s="2">
        <v>7309.0</v>
      </c>
      <c r="B7310" s="2" t="s">
        <v>11713</v>
      </c>
      <c r="C7310" s="2" t="s">
        <v>23</v>
      </c>
      <c r="K7310" s="2">
        <v>70.0</v>
      </c>
      <c r="N7310" s="6">
        <v>44401.0</v>
      </c>
      <c r="Q7310" s="2" t="s">
        <v>11714</v>
      </c>
    </row>
    <row r="7311">
      <c r="A7311" s="2">
        <v>7310.0</v>
      </c>
      <c r="B7311" s="2" t="s">
        <v>11715</v>
      </c>
      <c r="C7311" s="2" t="s">
        <v>23</v>
      </c>
      <c r="N7311" s="6">
        <v>44654.0</v>
      </c>
      <c r="Q7311" s="2" t="s">
        <v>1279</v>
      </c>
    </row>
    <row r="7312">
      <c r="A7312" s="2">
        <v>7311.0</v>
      </c>
      <c r="B7312" s="2" t="s">
        <v>11716</v>
      </c>
      <c r="C7312" s="2" t="s">
        <v>23</v>
      </c>
      <c r="K7312" s="2">
        <v>100.0</v>
      </c>
      <c r="N7312" s="6">
        <v>43939.0</v>
      </c>
      <c r="Q7312" s="2" t="s">
        <v>11717</v>
      </c>
    </row>
    <row r="7313">
      <c r="A7313" s="2">
        <v>7312.0</v>
      </c>
      <c r="B7313" s="2" t="s">
        <v>11718</v>
      </c>
      <c r="C7313" s="2" t="s">
        <v>23</v>
      </c>
      <c r="N7313" s="6">
        <v>44548.0</v>
      </c>
      <c r="Q7313" s="2" t="s">
        <v>86</v>
      </c>
    </row>
    <row r="7314">
      <c r="A7314" s="2">
        <v>7313.0</v>
      </c>
      <c r="B7314" s="2" t="s">
        <v>11719</v>
      </c>
      <c r="C7314" s="2" t="s">
        <v>23</v>
      </c>
      <c r="N7314" s="6">
        <v>44381.0</v>
      </c>
      <c r="Q7314" s="2" t="s">
        <v>86</v>
      </c>
    </row>
    <row r="7315">
      <c r="A7315" s="2">
        <v>7314.0</v>
      </c>
      <c r="B7315" s="2" t="s">
        <v>11720</v>
      </c>
      <c r="C7315" s="2" t="s">
        <v>23</v>
      </c>
      <c r="N7315" s="6">
        <v>44147.0</v>
      </c>
      <c r="Q7315" s="2" t="s">
        <v>86</v>
      </c>
    </row>
    <row r="7316">
      <c r="A7316" s="2">
        <v>7315.0</v>
      </c>
      <c r="B7316" s="2" t="s">
        <v>11721</v>
      </c>
      <c r="C7316" s="2" t="s">
        <v>23</v>
      </c>
      <c r="K7316" s="2">
        <v>150.0</v>
      </c>
      <c r="N7316" s="6">
        <v>44655.0</v>
      </c>
      <c r="Q7316" s="2" t="s">
        <v>1727</v>
      </c>
    </row>
    <row r="7317">
      <c r="A7317" s="2">
        <v>7316.0</v>
      </c>
      <c r="B7317" s="2" t="s">
        <v>11722</v>
      </c>
      <c r="C7317" s="2" t="s">
        <v>23</v>
      </c>
      <c r="N7317" s="6">
        <v>42758.0</v>
      </c>
      <c r="Q7317" s="2" t="s">
        <v>5358</v>
      </c>
    </row>
    <row r="7318">
      <c r="A7318" s="2">
        <v>7317.0</v>
      </c>
      <c r="B7318" s="2" t="s">
        <v>11723</v>
      </c>
      <c r="C7318" s="2" t="s">
        <v>23</v>
      </c>
      <c r="K7318" s="2">
        <v>150.0</v>
      </c>
      <c r="N7318" s="6">
        <v>43897.0</v>
      </c>
      <c r="Q7318" s="2" t="s">
        <v>11724</v>
      </c>
    </row>
    <row r="7319">
      <c r="A7319" s="2">
        <v>7318.0</v>
      </c>
      <c r="B7319" s="2" t="s">
        <v>11725</v>
      </c>
      <c r="C7319" s="2" t="s">
        <v>23</v>
      </c>
      <c r="N7319" s="6">
        <v>43904.0</v>
      </c>
      <c r="Q7319" s="2" t="s">
        <v>86</v>
      </c>
    </row>
    <row r="7320">
      <c r="A7320" s="2">
        <v>7319.0</v>
      </c>
      <c r="B7320" s="2" t="s">
        <v>11726</v>
      </c>
      <c r="C7320" s="2" t="s">
        <v>23</v>
      </c>
      <c r="N7320" s="6">
        <v>42499.0</v>
      </c>
      <c r="O7320" s="2" t="s">
        <v>91</v>
      </c>
      <c r="P7320" s="2" t="s">
        <v>36</v>
      </c>
      <c r="Q7320" s="2" t="s">
        <v>86</v>
      </c>
      <c r="S7320" s="2" t="s">
        <v>59</v>
      </c>
    </row>
    <row r="7321">
      <c r="A7321" s="2">
        <v>7320.0</v>
      </c>
      <c r="B7321" s="2" t="s">
        <v>11727</v>
      </c>
      <c r="C7321" s="2" t="s">
        <v>23</v>
      </c>
      <c r="N7321" s="6">
        <v>44339.0</v>
      </c>
      <c r="Q7321" s="2" t="s">
        <v>86</v>
      </c>
    </row>
    <row r="7322">
      <c r="A7322" s="2">
        <v>7321.0</v>
      </c>
      <c r="B7322" s="2" t="s">
        <v>11728</v>
      </c>
      <c r="C7322" s="2" t="s">
        <v>23</v>
      </c>
      <c r="K7322" s="2">
        <v>600.0</v>
      </c>
      <c r="N7322" s="6">
        <v>45666.0</v>
      </c>
      <c r="Q7322" s="2" t="s">
        <v>11729</v>
      </c>
    </row>
    <row r="7323">
      <c r="A7323" s="2">
        <v>7322.0</v>
      </c>
      <c r="B7323" s="2" t="s">
        <v>11730</v>
      </c>
      <c r="C7323" s="2" t="s">
        <v>23</v>
      </c>
      <c r="K7323" s="2">
        <v>150.0</v>
      </c>
      <c r="N7323" s="6">
        <v>45555.0</v>
      </c>
      <c r="Q7323" s="2" t="s">
        <v>11731</v>
      </c>
    </row>
    <row r="7324">
      <c r="A7324" s="2">
        <v>7323.0</v>
      </c>
      <c r="B7324" s="2" t="s">
        <v>11732</v>
      </c>
      <c r="C7324" s="2" t="s">
        <v>23</v>
      </c>
      <c r="N7324" s="6">
        <v>44422.0</v>
      </c>
      <c r="Q7324" s="2" t="s">
        <v>86</v>
      </c>
    </row>
    <row r="7325">
      <c r="A7325" s="2">
        <v>7324.0</v>
      </c>
      <c r="B7325" s="2" t="s">
        <v>11733</v>
      </c>
      <c r="C7325" s="2" t="s">
        <v>23</v>
      </c>
      <c r="K7325" s="2">
        <v>10.0</v>
      </c>
      <c r="N7325" s="6">
        <v>44297.0</v>
      </c>
      <c r="Q7325" s="2" t="s">
        <v>86</v>
      </c>
    </row>
    <row r="7326">
      <c r="A7326" s="2">
        <v>7325.0</v>
      </c>
      <c r="B7326" s="2" t="s">
        <v>11734</v>
      </c>
      <c r="C7326" s="2" t="s">
        <v>23</v>
      </c>
      <c r="K7326" s="2">
        <v>10.0</v>
      </c>
      <c r="N7326" s="6">
        <v>44283.0</v>
      </c>
      <c r="Q7326" s="2" t="s">
        <v>9507</v>
      </c>
    </row>
    <row r="7327">
      <c r="A7327" s="2">
        <v>7326.0</v>
      </c>
      <c r="B7327" s="2" t="s">
        <v>11735</v>
      </c>
      <c r="C7327" s="2" t="s">
        <v>23</v>
      </c>
      <c r="N7327" s="6">
        <v>44234.0</v>
      </c>
      <c r="Q7327" s="2" t="s">
        <v>86</v>
      </c>
    </row>
    <row r="7328">
      <c r="A7328" s="2">
        <v>7327.0</v>
      </c>
      <c r="B7328" s="2" t="s">
        <v>11736</v>
      </c>
      <c r="C7328" s="2" t="s">
        <v>23</v>
      </c>
      <c r="K7328" s="2">
        <v>40.0</v>
      </c>
      <c r="N7328" s="6">
        <v>44245.0</v>
      </c>
      <c r="Q7328" s="2" t="s">
        <v>200</v>
      </c>
    </row>
    <row r="7329">
      <c r="A7329" s="2">
        <v>7328.0</v>
      </c>
      <c r="B7329" s="2" t="s">
        <v>11737</v>
      </c>
      <c r="C7329" s="2" t="s">
        <v>23</v>
      </c>
      <c r="K7329" s="2">
        <v>60.0</v>
      </c>
      <c r="N7329" s="6">
        <v>44026.0</v>
      </c>
      <c r="Q7329" s="2" t="s">
        <v>11738</v>
      </c>
    </row>
    <row r="7330">
      <c r="A7330" s="2">
        <v>7329.0</v>
      </c>
      <c r="B7330" s="2" t="s">
        <v>11739</v>
      </c>
      <c r="C7330" s="2" t="s">
        <v>23</v>
      </c>
      <c r="N7330" s="6">
        <v>44840.0</v>
      </c>
      <c r="Q7330" s="2" t="s">
        <v>86</v>
      </c>
    </row>
    <row r="7331">
      <c r="A7331" s="2">
        <v>7330.0</v>
      </c>
      <c r="B7331" s="2" t="s">
        <v>11740</v>
      </c>
      <c r="C7331" s="2" t="s">
        <v>23</v>
      </c>
      <c r="N7331" s="6">
        <v>45576.0</v>
      </c>
      <c r="Q7331" s="2" t="s">
        <v>2437</v>
      </c>
    </row>
    <row r="7332">
      <c r="A7332" s="2">
        <v>7331.0</v>
      </c>
      <c r="B7332" s="2" t="s">
        <v>467</v>
      </c>
      <c r="C7332" s="2" t="s">
        <v>23</v>
      </c>
      <c r="N7332" s="6">
        <v>44005.0</v>
      </c>
      <c r="Q7332" s="2" t="s">
        <v>86</v>
      </c>
    </row>
    <row r="7333">
      <c r="A7333" s="2">
        <v>7332.0</v>
      </c>
      <c r="B7333" s="2" t="s">
        <v>11741</v>
      </c>
      <c r="C7333" s="2" t="s">
        <v>23</v>
      </c>
      <c r="K7333" s="2">
        <v>20.0</v>
      </c>
      <c r="N7333" s="6">
        <v>45671.0</v>
      </c>
      <c r="Q7333" s="2" t="s">
        <v>1521</v>
      </c>
    </row>
    <row r="7334">
      <c r="A7334" s="2">
        <v>7333.0</v>
      </c>
      <c r="B7334" s="2" t="s">
        <v>11742</v>
      </c>
      <c r="C7334" s="2" t="s">
        <v>23</v>
      </c>
      <c r="K7334" s="2">
        <v>350.0</v>
      </c>
      <c r="N7334" s="6">
        <v>44913.0</v>
      </c>
      <c r="Q7334" s="2" t="s">
        <v>11743</v>
      </c>
    </row>
    <row r="7335">
      <c r="A7335" s="2">
        <v>7334.0</v>
      </c>
      <c r="B7335" s="2" t="s">
        <v>11744</v>
      </c>
      <c r="C7335" s="2" t="s">
        <v>23</v>
      </c>
      <c r="N7335" s="6">
        <v>44503.0</v>
      </c>
      <c r="Q7335" s="2" t="s">
        <v>2508</v>
      </c>
    </row>
    <row r="7336">
      <c r="A7336" s="2">
        <v>7335.0</v>
      </c>
      <c r="B7336" s="2" t="s">
        <v>11745</v>
      </c>
      <c r="C7336" s="2" t="s">
        <v>23</v>
      </c>
      <c r="K7336" s="2">
        <v>10.0</v>
      </c>
      <c r="N7336" s="6">
        <v>44213.0</v>
      </c>
      <c r="Q7336" s="2" t="s">
        <v>4672</v>
      </c>
    </row>
    <row r="7337">
      <c r="A7337" s="2">
        <v>7336.0</v>
      </c>
      <c r="B7337" s="2" t="s">
        <v>11746</v>
      </c>
      <c r="C7337" s="2" t="s">
        <v>23</v>
      </c>
      <c r="K7337" s="2">
        <v>20.0</v>
      </c>
      <c r="N7337" s="6">
        <v>45259.0</v>
      </c>
      <c r="Q7337" s="2" t="s">
        <v>1094</v>
      </c>
    </row>
    <row r="7338">
      <c r="A7338" s="2">
        <v>7337.0</v>
      </c>
      <c r="B7338" s="2" t="s">
        <v>11747</v>
      </c>
      <c r="C7338" s="2" t="s">
        <v>23</v>
      </c>
      <c r="N7338" s="6">
        <v>44061.0</v>
      </c>
      <c r="Q7338" s="2" t="s">
        <v>426</v>
      </c>
    </row>
    <row r="7339">
      <c r="A7339" s="2">
        <v>7338.0</v>
      </c>
      <c r="B7339" s="2" t="s">
        <v>11748</v>
      </c>
      <c r="C7339" s="2" t="s">
        <v>23</v>
      </c>
      <c r="K7339" s="2">
        <v>90.0</v>
      </c>
      <c r="N7339" s="6">
        <v>43692.0</v>
      </c>
      <c r="Q7339" s="2" t="s">
        <v>11749</v>
      </c>
    </row>
    <row r="7340">
      <c r="A7340" s="2">
        <v>7339.0</v>
      </c>
      <c r="B7340" s="2" t="s">
        <v>11750</v>
      </c>
      <c r="C7340" s="2" t="s">
        <v>23</v>
      </c>
      <c r="K7340" s="2">
        <v>30.0</v>
      </c>
      <c r="N7340" s="6">
        <v>43913.0</v>
      </c>
      <c r="Q7340" s="2" t="s">
        <v>11751</v>
      </c>
    </row>
    <row r="7341">
      <c r="A7341" s="2">
        <v>7340.0</v>
      </c>
      <c r="B7341" s="2" t="s">
        <v>471</v>
      </c>
      <c r="C7341" s="2" t="s">
        <v>23</v>
      </c>
      <c r="N7341" s="6">
        <v>44336.0</v>
      </c>
      <c r="Q7341" s="2" t="s">
        <v>86</v>
      </c>
    </row>
    <row r="7342">
      <c r="A7342" s="2">
        <v>7341.0</v>
      </c>
      <c r="B7342" s="2" t="s">
        <v>11752</v>
      </c>
      <c r="C7342" s="2" t="s">
        <v>23</v>
      </c>
      <c r="K7342" s="2">
        <v>10.0</v>
      </c>
      <c r="N7342" s="6">
        <v>44334.0</v>
      </c>
      <c r="Q7342" s="2" t="s">
        <v>86</v>
      </c>
    </row>
    <row r="7343">
      <c r="A7343" s="2">
        <v>7342.0</v>
      </c>
      <c r="B7343" s="2" t="s">
        <v>11753</v>
      </c>
      <c r="C7343" s="2" t="s">
        <v>23</v>
      </c>
      <c r="N7343" s="6">
        <v>45313.0</v>
      </c>
      <c r="Q7343" s="2" t="s">
        <v>86</v>
      </c>
    </row>
    <row r="7344">
      <c r="A7344" s="2">
        <v>7343.0</v>
      </c>
      <c r="B7344" s="2" t="s">
        <v>11754</v>
      </c>
      <c r="C7344" s="2" t="s">
        <v>23</v>
      </c>
      <c r="K7344" s="2">
        <v>20.0</v>
      </c>
      <c r="N7344" s="6">
        <v>45504.0</v>
      </c>
      <c r="Q7344" s="2" t="s">
        <v>11755</v>
      </c>
    </row>
    <row r="7345">
      <c r="A7345" s="2">
        <v>7344.0</v>
      </c>
      <c r="B7345" s="2" t="s">
        <v>11756</v>
      </c>
      <c r="C7345" s="2" t="s">
        <v>23</v>
      </c>
      <c r="N7345" s="6">
        <v>44534.0</v>
      </c>
      <c r="Q7345" s="2" t="s">
        <v>86</v>
      </c>
    </row>
    <row r="7346">
      <c r="A7346" s="2">
        <v>7345.0</v>
      </c>
      <c r="B7346" s="2" t="s">
        <v>11757</v>
      </c>
      <c r="C7346" s="2" t="s">
        <v>23</v>
      </c>
      <c r="K7346" s="2">
        <v>20.0</v>
      </c>
      <c r="N7346" s="6">
        <v>43915.0</v>
      </c>
      <c r="Q7346" s="2" t="s">
        <v>295</v>
      </c>
    </row>
    <row r="7347">
      <c r="A7347" s="2">
        <v>7346.0</v>
      </c>
      <c r="B7347" s="2" t="s">
        <v>11758</v>
      </c>
      <c r="C7347" s="2" t="s">
        <v>23</v>
      </c>
      <c r="K7347" s="2">
        <v>300.0</v>
      </c>
      <c r="N7347" s="6">
        <v>44632.0</v>
      </c>
      <c r="Q7347" s="2" t="s">
        <v>11759</v>
      </c>
    </row>
    <row r="7348">
      <c r="A7348" s="2">
        <v>7347.0</v>
      </c>
      <c r="B7348" s="2" t="s">
        <v>11760</v>
      </c>
      <c r="C7348" s="2" t="s">
        <v>23</v>
      </c>
      <c r="N7348" s="6">
        <v>45235.0</v>
      </c>
      <c r="Q7348" s="2" t="s">
        <v>11761</v>
      </c>
    </row>
    <row r="7349">
      <c r="A7349" s="2">
        <v>7348.0</v>
      </c>
      <c r="B7349" s="2" t="s">
        <v>11762</v>
      </c>
      <c r="C7349" s="2" t="s">
        <v>23</v>
      </c>
      <c r="N7349" s="6">
        <v>45158.0</v>
      </c>
      <c r="Q7349" s="2" t="s">
        <v>86</v>
      </c>
    </row>
    <row r="7350">
      <c r="A7350" s="2">
        <v>7349.0</v>
      </c>
      <c r="B7350" s="2" t="s">
        <v>11763</v>
      </c>
      <c r="C7350" s="2" t="s">
        <v>23</v>
      </c>
      <c r="N7350" s="6">
        <v>44483.0</v>
      </c>
      <c r="Q7350" s="2" t="s">
        <v>86</v>
      </c>
    </row>
    <row r="7351">
      <c r="A7351" s="2">
        <v>7350.0</v>
      </c>
      <c r="B7351" s="2" t="s">
        <v>11764</v>
      </c>
      <c r="C7351" s="2" t="s">
        <v>23</v>
      </c>
      <c r="N7351" s="6">
        <v>45481.0</v>
      </c>
      <c r="Q7351" s="2" t="s">
        <v>1116</v>
      </c>
    </row>
    <row r="7352">
      <c r="A7352" s="2">
        <v>7351.0</v>
      </c>
      <c r="B7352" s="2" t="s">
        <v>11765</v>
      </c>
      <c r="C7352" s="2" t="s">
        <v>23</v>
      </c>
      <c r="K7352" s="2">
        <v>40.0</v>
      </c>
      <c r="N7352" s="6">
        <v>43902.0</v>
      </c>
      <c r="Q7352" s="2" t="s">
        <v>60</v>
      </c>
    </row>
    <row r="7353">
      <c r="A7353" s="2">
        <v>7352.0</v>
      </c>
      <c r="B7353" s="2" t="s">
        <v>11766</v>
      </c>
      <c r="C7353" s="2" t="s">
        <v>23</v>
      </c>
      <c r="K7353" s="2">
        <v>30.0</v>
      </c>
      <c r="N7353" s="6">
        <v>45152.0</v>
      </c>
      <c r="Q7353" s="2" t="s">
        <v>9832</v>
      </c>
    </row>
    <row r="7354">
      <c r="A7354" s="2">
        <v>7353.0</v>
      </c>
      <c r="B7354" s="2" t="s">
        <v>11767</v>
      </c>
      <c r="C7354" s="2" t="s">
        <v>23</v>
      </c>
      <c r="K7354" s="2">
        <v>10.0</v>
      </c>
      <c r="N7354" s="6">
        <v>45491.0</v>
      </c>
      <c r="Q7354" s="2" t="s">
        <v>11768</v>
      </c>
    </row>
    <row r="7355">
      <c r="A7355" s="2">
        <v>7354.0</v>
      </c>
      <c r="B7355" s="2" t="s">
        <v>11769</v>
      </c>
      <c r="C7355" s="2" t="s">
        <v>23</v>
      </c>
      <c r="N7355" s="6">
        <v>44442.0</v>
      </c>
      <c r="Q7355" s="2" t="s">
        <v>86</v>
      </c>
    </row>
    <row r="7356">
      <c r="A7356" s="2">
        <v>7355.0</v>
      </c>
      <c r="B7356" s="2" t="s">
        <v>11770</v>
      </c>
      <c r="C7356" s="2" t="s">
        <v>23</v>
      </c>
      <c r="K7356" s="2">
        <v>40.0</v>
      </c>
      <c r="N7356" s="6">
        <v>45411.0</v>
      </c>
      <c r="Q7356" s="2" t="s">
        <v>5591</v>
      </c>
    </row>
    <row r="7357">
      <c r="A7357" s="2">
        <v>7356.0</v>
      </c>
      <c r="B7357" s="2" t="s">
        <v>11771</v>
      </c>
      <c r="C7357" s="2" t="s">
        <v>23</v>
      </c>
      <c r="N7357" s="6">
        <v>44545.0</v>
      </c>
      <c r="Q7357" s="2" t="s">
        <v>86</v>
      </c>
    </row>
    <row r="7358">
      <c r="A7358" s="2">
        <v>7357.0</v>
      </c>
      <c r="B7358" s="2" t="s">
        <v>11772</v>
      </c>
      <c r="C7358" s="2" t="s">
        <v>23</v>
      </c>
      <c r="K7358" s="2">
        <v>150.0</v>
      </c>
      <c r="N7358" s="6">
        <v>44404.0</v>
      </c>
      <c r="Q7358" s="2" t="s">
        <v>86</v>
      </c>
    </row>
    <row r="7359">
      <c r="A7359" s="2">
        <v>7358.0</v>
      </c>
      <c r="B7359" s="2" t="s">
        <v>11773</v>
      </c>
      <c r="C7359" s="2" t="s">
        <v>23</v>
      </c>
      <c r="N7359" s="6">
        <v>44260.0</v>
      </c>
      <c r="Q7359" s="2" t="s">
        <v>86</v>
      </c>
    </row>
    <row r="7360">
      <c r="A7360" s="2">
        <v>7359.0</v>
      </c>
      <c r="B7360" s="2" t="s">
        <v>11774</v>
      </c>
      <c r="C7360" s="2" t="s">
        <v>23</v>
      </c>
      <c r="N7360" s="6">
        <v>43856.0</v>
      </c>
      <c r="Q7360" s="2" t="s">
        <v>86</v>
      </c>
    </row>
    <row r="7361">
      <c r="A7361" s="2">
        <v>7360.0</v>
      </c>
      <c r="B7361" s="2" t="s">
        <v>11775</v>
      </c>
      <c r="C7361" s="2" t="s">
        <v>23</v>
      </c>
      <c r="K7361" s="2">
        <v>100.0</v>
      </c>
      <c r="N7361" s="6">
        <v>43884.0</v>
      </c>
      <c r="Q7361" s="2" t="s">
        <v>11776</v>
      </c>
    </row>
    <row r="7362">
      <c r="A7362" s="2">
        <v>7361.0</v>
      </c>
      <c r="B7362" s="2" t="s">
        <v>11777</v>
      </c>
      <c r="C7362" s="2" t="s">
        <v>23</v>
      </c>
      <c r="N7362" s="6">
        <v>44238.0</v>
      </c>
      <c r="Q7362" s="2" t="s">
        <v>86</v>
      </c>
    </row>
    <row r="7363">
      <c r="A7363" s="2">
        <v>7362.0</v>
      </c>
      <c r="B7363" s="2" t="s">
        <v>11778</v>
      </c>
      <c r="C7363" s="2" t="s">
        <v>23</v>
      </c>
      <c r="N7363" s="6">
        <v>45627.0</v>
      </c>
      <c r="Q7363" s="2" t="s">
        <v>11779</v>
      </c>
    </row>
    <row r="7364">
      <c r="A7364" s="2">
        <v>7363.0</v>
      </c>
      <c r="B7364" s="2" t="s">
        <v>11780</v>
      </c>
      <c r="C7364" s="2" t="s">
        <v>23</v>
      </c>
      <c r="K7364" s="2">
        <v>10.0</v>
      </c>
      <c r="N7364" s="6">
        <v>43981.0</v>
      </c>
      <c r="Q7364" s="2" t="s">
        <v>11781</v>
      </c>
    </row>
    <row r="7365">
      <c r="A7365" s="2">
        <v>7364.0</v>
      </c>
      <c r="B7365" s="2" t="s">
        <v>11782</v>
      </c>
      <c r="C7365" s="2" t="s">
        <v>23</v>
      </c>
      <c r="N7365" s="6">
        <v>43910.0</v>
      </c>
      <c r="Q7365" s="2" t="s">
        <v>546</v>
      </c>
    </row>
    <row r="7366">
      <c r="A7366" s="2">
        <v>7365.0</v>
      </c>
      <c r="B7366" s="2" t="s">
        <v>11783</v>
      </c>
      <c r="C7366" s="2" t="s">
        <v>23</v>
      </c>
      <c r="N7366" s="6">
        <v>43521.0</v>
      </c>
      <c r="Q7366" s="2" t="s">
        <v>86</v>
      </c>
    </row>
    <row r="7367">
      <c r="A7367" s="2">
        <v>7366.0</v>
      </c>
      <c r="B7367" s="2" t="s">
        <v>11784</v>
      </c>
      <c r="C7367" s="2" t="s">
        <v>23</v>
      </c>
      <c r="K7367" s="2">
        <v>300.0</v>
      </c>
      <c r="N7367" s="6">
        <v>44265.0</v>
      </c>
      <c r="Q7367" s="2" t="s">
        <v>11785</v>
      </c>
    </row>
    <row r="7368">
      <c r="A7368" s="2">
        <v>7367.0</v>
      </c>
      <c r="B7368" s="2" t="s">
        <v>11786</v>
      </c>
      <c r="C7368" s="2" t="s">
        <v>23</v>
      </c>
      <c r="N7368" s="6">
        <v>44082.0</v>
      </c>
      <c r="Q7368" s="2" t="s">
        <v>86</v>
      </c>
    </row>
    <row r="7369">
      <c r="A7369" s="2">
        <v>7368.0</v>
      </c>
      <c r="B7369" s="2" t="s">
        <v>11787</v>
      </c>
      <c r="C7369" s="2" t="s">
        <v>23</v>
      </c>
      <c r="K7369" s="2">
        <v>20.0</v>
      </c>
      <c r="N7369" s="6">
        <v>44067.0</v>
      </c>
      <c r="Q7369" s="2" t="s">
        <v>86</v>
      </c>
    </row>
    <row r="7370">
      <c r="A7370" s="2">
        <v>7369.0</v>
      </c>
      <c r="B7370" s="2" t="s">
        <v>11788</v>
      </c>
      <c r="C7370" s="2" t="s">
        <v>23</v>
      </c>
      <c r="K7370" s="2">
        <v>40.0</v>
      </c>
      <c r="N7370" s="6">
        <v>45020.0</v>
      </c>
      <c r="Q7370" s="2" t="s">
        <v>11789</v>
      </c>
    </row>
    <row r="7371">
      <c r="A7371" s="2">
        <v>7370.0</v>
      </c>
      <c r="B7371" s="2" t="s">
        <v>11790</v>
      </c>
      <c r="C7371" s="2" t="s">
        <v>23</v>
      </c>
      <c r="K7371" s="2">
        <v>10.0</v>
      </c>
      <c r="N7371" s="6">
        <v>44483.0</v>
      </c>
      <c r="Q7371" s="2" t="s">
        <v>5845</v>
      </c>
    </row>
    <row r="7372">
      <c r="A7372" s="2">
        <v>7371.0</v>
      </c>
      <c r="B7372" s="2" t="s">
        <v>11791</v>
      </c>
      <c r="C7372" s="2" t="s">
        <v>23</v>
      </c>
      <c r="N7372" s="6">
        <v>44295.0</v>
      </c>
      <c r="Q7372" s="2" t="s">
        <v>11792</v>
      </c>
    </row>
    <row r="7373">
      <c r="A7373" s="2">
        <v>7372.0</v>
      </c>
      <c r="B7373" s="2" t="s">
        <v>11793</v>
      </c>
      <c r="C7373" s="2" t="s">
        <v>23</v>
      </c>
      <c r="N7373" s="6">
        <v>45460.0</v>
      </c>
      <c r="Q7373" s="2" t="s">
        <v>491</v>
      </c>
    </row>
    <row r="7374">
      <c r="A7374" s="2">
        <v>7373.0</v>
      </c>
      <c r="B7374" s="2" t="s">
        <v>11794</v>
      </c>
      <c r="C7374" s="2" t="s">
        <v>23</v>
      </c>
      <c r="K7374" s="2">
        <v>100.0</v>
      </c>
      <c r="N7374" s="6">
        <v>45426.0</v>
      </c>
      <c r="Q7374" s="2" t="s">
        <v>6335</v>
      </c>
    </row>
    <row r="7375">
      <c r="A7375" s="2">
        <v>7374.0</v>
      </c>
      <c r="B7375" s="2" t="s">
        <v>11795</v>
      </c>
      <c r="C7375" s="2" t="s">
        <v>23</v>
      </c>
      <c r="K7375" s="2">
        <v>70.0</v>
      </c>
      <c r="N7375" s="6">
        <v>43946.0</v>
      </c>
      <c r="Q7375" s="2" t="s">
        <v>5509</v>
      </c>
    </row>
    <row r="7376">
      <c r="A7376" s="2">
        <v>7375.0</v>
      </c>
      <c r="B7376" s="2" t="s">
        <v>11796</v>
      </c>
      <c r="C7376" s="2" t="s">
        <v>23</v>
      </c>
      <c r="K7376" s="2">
        <v>70.0</v>
      </c>
      <c r="N7376" s="6">
        <v>43917.0</v>
      </c>
      <c r="Q7376" s="2" t="s">
        <v>11797</v>
      </c>
    </row>
    <row r="7377">
      <c r="A7377" s="2">
        <v>7376.0</v>
      </c>
      <c r="B7377" s="2" t="s">
        <v>11798</v>
      </c>
      <c r="C7377" s="2" t="s">
        <v>23</v>
      </c>
      <c r="N7377" s="6">
        <v>44508.0</v>
      </c>
      <c r="Q7377" s="2" t="s">
        <v>86</v>
      </c>
    </row>
    <row r="7378">
      <c r="A7378" s="2">
        <v>7377.0</v>
      </c>
      <c r="B7378" s="2" t="s">
        <v>11799</v>
      </c>
      <c r="C7378" s="2" t="s">
        <v>23</v>
      </c>
      <c r="K7378" s="2">
        <v>10.0</v>
      </c>
      <c r="N7378" s="6">
        <v>43913.0</v>
      </c>
      <c r="Q7378" s="2" t="s">
        <v>11800</v>
      </c>
    </row>
    <row r="7379">
      <c r="A7379" s="2">
        <v>7378.0</v>
      </c>
      <c r="B7379" s="2" t="s">
        <v>11801</v>
      </c>
      <c r="C7379" s="2" t="s">
        <v>23</v>
      </c>
      <c r="K7379" s="2">
        <v>20.0</v>
      </c>
      <c r="N7379" s="6">
        <v>45547.0</v>
      </c>
      <c r="Q7379" s="2" t="s">
        <v>11802</v>
      </c>
    </row>
    <row r="7380">
      <c r="A7380" s="2">
        <v>7379.0</v>
      </c>
      <c r="B7380" s="2" t="s">
        <v>11803</v>
      </c>
      <c r="C7380" s="2" t="s">
        <v>23</v>
      </c>
      <c r="K7380" s="2">
        <v>100.0</v>
      </c>
      <c r="N7380" s="6">
        <v>42780.0</v>
      </c>
      <c r="Q7380" s="2" t="s">
        <v>11804</v>
      </c>
    </row>
    <row r="7381">
      <c r="A7381" s="2">
        <v>7380.0</v>
      </c>
      <c r="B7381" s="2" t="s">
        <v>11805</v>
      </c>
      <c r="C7381" s="2" t="s">
        <v>23</v>
      </c>
      <c r="N7381" s="6">
        <v>43390.0</v>
      </c>
      <c r="Q7381" s="2" t="s">
        <v>546</v>
      </c>
    </row>
    <row r="7382">
      <c r="A7382" s="2">
        <v>7381.0</v>
      </c>
      <c r="B7382" s="2" t="s">
        <v>11806</v>
      </c>
      <c r="C7382" s="2" t="s">
        <v>23</v>
      </c>
      <c r="K7382" s="2">
        <v>10.0</v>
      </c>
      <c r="N7382" s="6">
        <v>45469.0</v>
      </c>
      <c r="Q7382" s="2" t="s">
        <v>491</v>
      </c>
    </row>
    <row r="7383">
      <c r="A7383" s="2">
        <v>7382.0</v>
      </c>
      <c r="B7383" s="2" t="s">
        <v>11807</v>
      </c>
      <c r="C7383" s="2" t="s">
        <v>23</v>
      </c>
      <c r="K7383" s="2">
        <v>10.0</v>
      </c>
      <c r="N7383" s="6">
        <v>44099.0</v>
      </c>
      <c r="Q7383" s="2" t="s">
        <v>86</v>
      </c>
    </row>
    <row r="7384">
      <c r="A7384" s="2">
        <v>7383.0</v>
      </c>
      <c r="B7384" s="2" t="s">
        <v>11808</v>
      </c>
      <c r="C7384" s="2" t="s">
        <v>23</v>
      </c>
      <c r="K7384" s="2">
        <v>40.0</v>
      </c>
      <c r="N7384" s="6">
        <v>45744.0</v>
      </c>
      <c r="Q7384" s="2" t="s">
        <v>11809</v>
      </c>
    </row>
    <row r="7385">
      <c r="A7385" s="2">
        <v>7384.0</v>
      </c>
      <c r="B7385" s="2" t="s">
        <v>11810</v>
      </c>
      <c r="C7385" s="2" t="s">
        <v>23</v>
      </c>
      <c r="K7385" s="2">
        <v>40.0</v>
      </c>
      <c r="N7385" s="6">
        <v>44467.0</v>
      </c>
      <c r="Q7385" s="2" t="s">
        <v>2448</v>
      </c>
    </row>
    <row r="7386">
      <c r="A7386" s="2">
        <v>7385.0</v>
      </c>
      <c r="B7386" s="2" t="s">
        <v>11811</v>
      </c>
      <c r="C7386" s="2" t="s">
        <v>23</v>
      </c>
      <c r="N7386" s="6">
        <v>44480.0</v>
      </c>
      <c r="Q7386" s="2" t="s">
        <v>86</v>
      </c>
    </row>
    <row r="7387">
      <c r="A7387" s="2">
        <v>7386.0</v>
      </c>
      <c r="B7387" s="2" t="s">
        <v>11812</v>
      </c>
      <c r="C7387" s="2" t="s">
        <v>23</v>
      </c>
      <c r="K7387" s="2">
        <v>300.0</v>
      </c>
      <c r="N7387" s="6">
        <v>42459.0</v>
      </c>
      <c r="Q7387" s="2" t="s">
        <v>11813</v>
      </c>
    </row>
    <row r="7388">
      <c r="A7388" s="2">
        <v>7387.0</v>
      </c>
      <c r="B7388" s="2" t="s">
        <v>11814</v>
      </c>
      <c r="C7388" s="2" t="s">
        <v>23</v>
      </c>
      <c r="N7388" s="6">
        <v>43177.0</v>
      </c>
      <c r="Q7388" s="2" t="s">
        <v>86</v>
      </c>
    </row>
    <row r="7389">
      <c r="A7389" s="2">
        <v>7388.0</v>
      </c>
      <c r="B7389" s="2" t="s">
        <v>11815</v>
      </c>
      <c r="C7389" s="2" t="s">
        <v>23</v>
      </c>
      <c r="K7389" s="2">
        <v>60.0</v>
      </c>
      <c r="N7389" s="6">
        <v>44574.0</v>
      </c>
      <c r="Q7389" s="2" t="s">
        <v>89</v>
      </c>
    </row>
    <row r="7390">
      <c r="A7390" s="2">
        <v>7389.0</v>
      </c>
      <c r="B7390" s="2" t="s">
        <v>11816</v>
      </c>
      <c r="C7390" s="2" t="s">
        <v>23</v>
      </c>
      <c r="N7390" s="6">
        <v>44648.0</v>
      </c>
      <c r="Q7390" s="2" t="s">
        <v>86</v>
      </c>
    </row>
    <row r="7391">
      <c r="A7391" s="2">
        <v>7390.0</v>
      </c>
      <c r="B7391" s="2" t="s">
        <v>11817</v>
      </c>
      <c r="C7391" s="2" t="s">
        <v>23</v>
      </c>
      <c r="N7391" s="6">
        <v>44701.0</v>
      </c>
      <c r="Q7391" s="2" t="s">
        <v>86</v>
      </c>
    </row>
    <row r="7392">
      <c r="A7392" s="2">
        <v>7391.0</v>
      </c>
      <c r="B7392" s="2" t="s">
        <v>11818</v>
      </c>
      <c r="C7392" s="2" t="s">
        <v>23</v>
      </c>
      <c r="K7392" s="2">
        <v>200.0</v>
      </c>
      <c r="N7392" s="6">
        <v>44074.0</v>
      </c>
      <c r="Q7392" s="2" t="s">
        <v>11819</v>
      </c>
    </row>
    <row r="7393">
      <c r="A7393" s="2">
        <v>7392.0</v>
      </c>
      <c r="B7393" s="2" t="s">
        <v>11820</v>
      </c>
      <c r="C7393" s="2" t="s">
        <v>23</v>
      </c>
      <c r="N7393" s="6">
        <v>44519.0</v>
      </c>
      <c r="Q7393" s="2" t="s">
        <v>86</v>
      </c>
    </row>
    <row r="7394">
      <c r="A7394" s="2">
        <v>7393.0</v>
      </c>
      <c r="B7394" s="2" t="s">
        <v>11821</v>
      </c>
      <c r="C7394" s="2" t="s">
        <v>23</v>
      </c>
      <c r="K7394" s="2">
        <v>80.0</v>
      </c>
      <c r="N7394" s="6">
        <v>44988.0</v>
      </c>
      <c r="Q7394" s="2" t="s">
        <v>4434</v>
      </c>
    </row>
    <row r="7395">
      <c r="A7395" s="2">
        <v>7394.0</v>
      </c>
      <c r="B7395" s="2" t="s">
        <v>11822</v>
      </c>
      <c r="C7395" s="2" t="s">
        <v>23</v>
      </c>
      <c r="K7395" s="2">
        <v>20.0</v>
      </c>
      <c r="N7395" s="6">
        <v>44879.0</v>
      </c>
      <c r="Q7395" s="2" t="s">
        <v>1437</v>
      </c>
    </row>
    <row r="7396">
      <c r="A7396" s="2">
        <v>7395.0</v>
      </c>
      <c r="B7396" s="2" t="s">
        <v>11823</v>
      </c>
      <c r="C7396" s="2" t="s">
        <v>23</v>
      </c>
      <c r="N7396" s="6">
        <v>44005.0</v>
      </c>
      <c r="Q7396" s="2" t="s">
        <v>86</v>
      </c>
    </row>
    <row r="7397">
      <c r="A7397" s="2">
        <v>7396.0</v>
      </c>
      <c r="B7397" s="2" t="s">
        <v>11824</v>
      </c>
      <c r="C7397" s="2" t="s">
        <v>23</v>
      </c>
      <c r="K7397" s="2">
        <v>10.0</v>
      </c>
      <c r="N7397" s="6">
        <v>44076.0</v>
      </c>
      <c r="Q7397" s="2" t="s">
        <v>86</v>
      </c>
    </row>
    <row r="7398">
      <c r="A7398" s="2">
        <v>7397.0</v>
      </c>
      <c r="B7398" s="2" t="s">
        <v>11825</v>
      </c>
      <c r="C7398" s="2" t="s">
        <v>23</v>
      </c>
      <c r="K7398" s="2">
        <v>100.0</v>
      </c>
      <c r="N7398" s="6">
        <v>44170.0</v>
      </c>
      <c r="Q7398" s="2" t="s">
        <v>3075</v>
      </c>
    </row>
    <row r="7399">
      <c r="A7399" s="2">
        <v>7398.0</v>
      </c>
      <c r="B7399" s="2" t="s">
        <v>11826</v>
      </c>
      <c r="C7399" s="2" t="s">
        <v>23</v>
      </c>
      <c r="N7399" s="6">
        <v>44039.0</v>
      </c>
      <c r="Q7399" s="2" t="s">
        <v>86</v>
      </c>
    </row>
    <row r="7400">
      <c r="A7400" s="2">
        <v>7399.0</v>
      </c>
      <c r="B7400" s="2" t="s">
        <v>11827</v>
      </c>
      <c r="C7400" s="2" t="s">
        <v>23</v>
      </c>
      <c r="K7400" s="2">
        <v>250.0</v>
      </c>
      <c r="N7400" s="6">
        <v>43982.0</v>
      </c>
      <c r="Q7400" s="2" t="s">
        <v>1466</v>
      </c>
    </row>
    <row r="7401">
      <c r="A7401" s="2">
        <v>7400.0</v>
      </c>
      <c r="B7401" s="2" t="s">
        <v>11828</v>
      </c>
      <c r="C7401" s="2" t="s">
        <v>23</v>
      </c>
      <c r="N7401" s="6">
        <v>44628.0</v>
      </c>
      <c r="Q7401" s="2" t="s">
        <v>86</v>
      </c>
    </row>
    <row r="7402">
      <c r="A7402" s="2">
        <v>7401.0</v>
      </c>
      <c r="B7402" s="2" t="s">
        <v>11829</v>
      </c>
      <c r="C7402" s="2" t="s">
        <v>23</v>
      </c>
      <c r="K7402" s="2">
        <v>20.0</v>
      </c>
      <c r="N7402" s="6">
        <v>44806.0</v>
      </c>
      <c r="Q7402" s="2" t="s">
        <v>11830</v>
      </c>
    </row>
    <row r="7403">
      <c r="A7403" s="2">
        <v>7402.0</v>
      </c>
      <c r="B7403" s="2" t="s">
        <v>11831</v>
      </c>
      <c r="C7403" s="2" t="s">
        <v>23</v>
      </c>
      <c r="N7403" s="6">
        <v>45520.0</v>
      </c>
      <c r="Q7403" s="2" t="s">
        <v>3514</v>
      </c>
    </row>
    <row r="7404">
      <c r="A7404" s="2">
        <v>7403.0</v>
      </c>
      <c r="B7404" s="2" t="s">
        <v>11832</v>
      </c>
      <c r="C7404" s="2" t="s">
        <v>23</v>
      </c>
      <c r="K7404" s="2">
        <v>150.0</v>
      </c>
      <c r="N7404" s="6">
        <v>44214.0</v>
      </c>
      <c r="Q7404" s="2" t="s">
        <v>3987</v>
      </c>
    </row>
    <row r="7405">
      <c r="A7405" s="2">
        <v>7404.0</v>
      </c>
      <c r="B7405" s="2" t="s">
        <v>11833</v>
      </c>
      <c r="C7405" s="2" t="s">
        <v>23</v>
      </c>
      <c r="K7405" s="2">
        <v>60.0</v>
      </c>
      <c r="N7405" s="6">
        <v>45052.0</v>
      </c>
      <c r="Q7405" s="2" t="s">
        <v>11834</v>
      </c>
    </row>
    <row r="7406">
      <c r="A7406" s="2">
        <v>7405.0</v>
      </c>
      <c r="B7406" s="2" t="s">
        <v>11835</v>
      </c>
      <c r="C7406" s="2" t="s">
        <v>23</v>
      </c>
      <c r="K7406" s="2">
        <v>20.0</v>
      </c>
      <c r="N7406" s="6">
        <v>44350.0</v>
      </c>
      <c r="Q7406" s="2" t="s">
        <v>11836</v>
      </c>
    </row>
    <row r="7407">
      <c r="A7407" s="2">
        <v>7406.0</v>
      </c>
      <c r="B7407" s="2" t="s">
        <v>11837</v>
      </c>
      <c r="C7407" s="2" t="s">
        <v>23</v>
      </c>
      <c r="K7407" s="2">
        <v>100.0</v>
      </c>
      <c r="N7407" s="6">
        <v>44061.0</v>
      </c>
      <c r="Q7407" s="2" t="s">
        <v>1116</v>
      </c>
    </row>
    <row r="7408">
      <c r="A7408" s="2">
        <v>7407.0</v>
      </c>
      <c r="B7408" s="2" t="s">
        <v>11838</v>
      </c>
      <c r="C7408" s="2" t="s">
        <v>23</v>
      </c>
      <c r="K7408" s="2">
        <v>10.0</v>
      </c>
      <c r="N7408" s="6">
        <v>45402.0</v>
      </c>
      <c r="Q7408" s="2" t="s">
        <v>1521</v>
      </c>
    </row>
    <row r="7409">
      <c r="A7409" s="2">
        <v>7408.0</v>
      </c>
      <c r="B7409" s="2" t="s">
        <v>11839</v>
      </c>
      <c r="C7409" s="2" t="s">
        <v>23</v>
      </c>
      <c r="K7409" s="2">
        <v>10.0</v>
      </c>
      <c r="N7409" s="6">
        <v>45440.0</v>
      </c>
      <c r="Q7409" s="2" t="s">
        <v>11542</v>
      </c>
    </row>
    <row r="7410">
      <c r="A7410" s="2">
        <v>7409.0</v>
      </c>
      <c r="B7410" s="2" t="s">
        <v>11840</v>
      </c>
      <c r="C7410" s="2" t="s">
        <v>23</v>
      </c>
      <c r="N7410" s="6">
        <v>43921.0</v>
      </c>
      <c r="Q7410" s="2" t="s">
        <v>86</v>
      </c>
    </row>
    <row r="7411">
      <c r="A7411" s="2">
        <v>7410.0</v>
      </c>
      <c r="B7411" s="2" t="s">
        <v>11841</v>
      </c>
      <c r="C7411" s="2" t="s">
        <v>23</v>
      </c>
      <c r="K7411" s="2">
        <v>30.0</v>
      </c>
      <c r="N7411" s="6">
        <v>45671.0</v>
      </c>
      <c r="Q7411" s="2" t="s">
        <v>11424</v>
      </c>
    </row>
    <row r="7412">
      <c r="A7412" s="2">
        <v>7411.0</v>
      </c>
      <c r="B7412" s="2" t="s">
        <v>11842</v>
      </c>
      <c r="C7412" s="2" t="s">
        <v>23</v>
      </c>
      <c r="N7412" s="6">
        <v>45992.0</v>
      </c>
      <c r="Q7412" s="2" t="s">
        <v>1109</v>
      </c>
    </row>
    <row r="7413">
      <c r="A7413" s="2">
        <v>7412.0</v>
      </c>
      <c r="B7413" s="2" t="s">
        <v>11843</v>
      </c>
      <c r="C7413" s="2" t="s">
        <v>23</v>
      </c>
      <c r="N7413" s="6">
        <v>45642.0</v>
      </c>
      <c r="Q7413" s="2" t="s">
        <v>4320</v>
      </c>
    </row>
    <row r="7414">
      <c r="A7414" s="2">
        <v>7413.0</v>
      </c>
      <c r="B7414" s="2" t="s">
        <v>11844</v>
      </c>
      <c r="C7414" s="2" t="s">
        <v>23</v>
      </c>
      <c r="K7414" s="2">
        <v>40.0</v>
      </c>
      <c r="N7414" s="6">
        <v>45868.0</v>
      </c>
      <c r="Q7414" s="2" t="s">
        <v>11845</v>
      </c>
    </row>
    <row r="7415">
      <c r="A7415" s="2">
        <v>7414.0</v>
      </c>
      <c r="B7415" s="2" t="s">
        <v>11846</v>
      </c>
      <c r="C7415" s="2" t="s">
        <v>23</v>
      </c>
      <c r="K7415" s="2">
        <v>20.0</v>
      </c>
      <c r="N7415" s="6">
        <v>45037.0</v>
      </c>
      <c r="Q7415" s="2" t="s">
        <v>1895</v>
      </c>
    </row>
    <row r="7416">
      <c r="A7416" s="2">
        <v>7415.0</v>
      </c>
      <c r="B7416" s="2" t="s">
        <v>11847</v>
      </c>
      <c r="C7416" s="2" t="s">
        <v>23</v>
      </c>
      <c r="K7416" s="2">
        <v>20.0</v>
      </c>
      <c r="N7416" s="6">
        <v>44663.0</v>
      </c>
      <c r="Q7416" s="2" t="s">
        <v>86</v>
      </c>
    </row>
    <row r="7417">
      <c r="A7417" s="2">
        <v>7416.0</v>
      </c>
      <c r="B7417" s="2" t="s">
        <v>11848</v>
      </c>
      <c r="C7417" s="2" t="s">
        <v>23</v>
      </c>
      <c r="K7417" s="2">
        <v>70.0</v>
      </c>
      <c r="N7417" s="6">
        <v>44258.0</v>
      </c>
      <c r="Q7417" s="2" t="s">
        <v>175</v>
      </c>
    </row>
    <row r="7418">
      <c r="A7418" s="2">
        <v>7417.0</v>
      </c>
      <c r="B7418" s="2" t="s">
        <v>11849</v>
      </c>
      <c r="C7418" s="2" t="s">
        <v>23</v>
      </c>
      <c r="K7418" s="2">
        <v>40.0</v>
      </c>
      <c r="N7418" s="6">
        <v>44180.0</v>
      </c>
      <c r="Q7418" s="2" t="s">
        <v>86</v>
      </c>
    </row>
    <row r="7419">
      <c r="A7419" s="2">
        <v>7418.0</v>
      </c>
      <c r="B7419" s="2" t="s">
        <v>11850</v>
      </c>
      <c r="C7419" s="2" t="s">
        <v>23</v>
      </c>
      <c r="K7419" s="2">
        <v>100.0</v>
      </c>
      <c r="N7419" s="6">
        <v>43848.0</v>
      </c>
      <c r="Q7419" s="2" t="s">
        <v>11851</v>
      </c>
    </row>
    <row r="7420">
      <c r="A7420" s="2">
        <v>7419.0</v>
      </c>
      <c r="B7420" s="2" t="s">
        <v>11852</v>
      </c>
      <c r="C7420" s="2" t="s">
        <v>23</v>
      </c>
      <c r="K7420" s="2">
        <v>80.0</v>
      </c>
      <c r="N7420" s="6">
        <v>45333.0</v>
      </c>
      <c r="Q7420" s="2" t="s">
        <v>11853</v>
      </c>
    </row>
    <row r="7421">
      <c r="A7421" s="2">
        <v>7420.0</v>
      </c>
      <c r="B7421" s="2" t="s">
        <v>11854</v>
      </c>
      <c r="C7421" s="2" t="s">
        <v>23</v>
      </c>
      <c r="N7421" s="6">
        <v>44298.0</v>
      </c>
      <c r="Q7421" s="2" t="s">
        <v>86</v>
      </c>
    </row>
    <row r="7422">
      <c r="A7422" s="2">
        <v>7421.0</v>
      </c>
      <c r="B7422" s="2" t="s">
        <v>11855</v>
      </c>
      <c r="C7422" s="2" t="s">
        <v>23</v>
      </c>
      <c r="K7422" s="2">
        <v>20.0</v>
      </c>
      <c r="N7422" s="6">
        <v>45623.0</v>
      </c>
      <c r="Q7422" s="2" t="s">
        <v>11856</v>
      </c>
    </row>
    <row r="7423">
      <c r="A7423" s="2">
        <v>7422.0</v>
      </c>
      <c r="B7423" s="2" t="s">
        <v>11857</v>
      </c>
      <c r="C7423" s="2" t="s">
        <v>23</v>
      </c>
      <c r="K7423" s="2">
        <v>10.0</v>
      </c>
      <c r="N7423" s="6">
        <v>44154.0</v>
      </c>
      <c r="Q7423" s="2" t="s">
        <v>401</v>
      </c>
    </row>
    <row r="7424">
      <c r="A7424" s="2">
        <v>7423.0</v>
      </c>
      <c r="B7424" s="2" t="s">
        <v>11858</v>
      </c>
      <c r="C7424" s="2" t="s">
        <v>23</v>
      </c>
      <c r="K7424" s="2">
        <v>10.0</v>
      </c>
      <c r="N7424" s="6">
        <v>44441.0</v>
      </c>
      <c r="Q7424" s="2" t="s">
        <v>86</v>
      </c>
    </row>
    <row r="7425">
      <c r="A7425" s="2">
        <v>7424.0</v>
      </c>
      <c r="B7425" s="2" t="s">
        <v>11859</v>
      </c>
      <c r="C7425" s="2" t="s">
        <v>23</v>
      </c>
      <c r="K7425" s="2">
        <v>10.0</v>
      </c>
      <c r="N7425" s="6">
        <v>44854.0</v>
      </c>
      <c r="Q7425" s="2" t="s">
        <v>426</v>
      </c>
    </row>
    <row r="7426">
      <c r="A7426" s="2">
        <v>7425.0</v>
      </c>
      <c r="B7426" s="2" t="s">
        <v>11860</v>
      </c>
      <c r="C7426" s="2" t="s">
        <v>23</v>
      </c>
      <c r="K7426" s="2">
        <v>70.0</v>
      </c>
      <c r="N7426" s="6">
        <v>45261.0</v>
      </c>
      <c r="Q7426" s="2" t="s">
        <v>11861</v>
      </c>
    </row>
    <row r="7427">
      <c r="A7427" s="2">
        <v>7426.0</v>
      </c>
      <c r="B7427" s="2" t="s">
        <v>11862</v>
      </c>
      <c r="C7427" s="2" t="s">
        <v>23</v>
      </c>
      <c r="K7427" s="2">
        <v>30.0</v>
      </c>
      <c r="N7427" s="6">
        <v>43711.0</v>
      </c>
      <c r="Q7427" s="2" t="s">
        <v>9956</v>
      </c>
    </row>
    <row r="7428">
      <c r="A7428" s="2">
        <v>7427.0</v>
      </c>
      <c r="B7428" s="2" t="s">
        <v>11863</v>
      </c>
      <c r="C7428" s="2" t="s">
        <v>23</v>
      </c>
      <c r="K7428" s="2">
        <v>20.0</v>
      </c>
      <c r="N7428" s="6">
        <v>43498.0</v>
      </c>
      <c r="Q7428" s="2" t="s">
        <v>11864</v>
      </c>
    </row>
    <row r="7429">
      <c r="A7429" s="2">
        <v>7428.0</v>
      </c>
      <c r="B7429" s="2" t="s">
        <v>11865</v>
      </c>
      <c r="C7429" s="2" t="s">
        <v>23</v>
      </c>
      <c r="N7429" s="6">
        <v>44654.0</v>
      </c>
      <c r="Q7429" s="2" t="s">
        <v>11866</v>
      </c>
    </row>
    <row r="7430">
      <c r="A7430" s="2">
        <v>7429.0</v>
      </c>
      <c r="B7430" s="2" t="s">
        <v>11867</v>
      </c>
      <c r="C7430" s="2" t="s">
        <v>23</v>
      </c>
      <c r="N7430" s="6">
        <v>44765.0</v>
      </c>
      <c r="Q7430" s="2" t="s">
        <v>426</v>
      </c>
    </row>
    <row r="7431">
      <c r="A7431" s="2">
        <v>7430.0</v>
      </c>
      <c r="B7431" s="2" t="s">
        <v>11868</v>
      </c>
      <c r="C7431" s="2" t="s">
        <v>23</v>
      </c>
      <c r="K7431" s="2">
        <v>400.0</v>
      </c>
      <c r="N7431" s="6">
        <v>44322.0</v>
      </c>
      <c r="Q7431" s="2" t="s">
        <v>11869</v>
      </c>
    </row>
    <row r="7432">
      <c r="A7432" s="2">
        <v>7431.0</v>
      </c>
      <c r="B7432" s="2" t="s">
        <v>11870</v>
      </c>
      <c r="C7432" s="2" t="s">
        <v>23</v>
      </c>
      <c r="K7432" s="2">
        <v>40.0</v>
      </c>
      <c r="N7432" s="6">
        <v>45701.0</v>
      </c>
      <c r="Q7432" s="2" t="s">
        <v>11871</v>
      </c>
    </row>
    <row r="7433">
      <c r="A7433" s="2">
        <v>7432.0</v>
      </c>
      <c r="B7433" s="2" t="s">
        <v>11872</v>
      </c>
      <c r="C7433" s="2" t="s">
        <v>23</v>
      </c>
      <c r="N7433" s="6">
        <v>44613.0</v>
      </c>
      <c r="Q7433" s="2" t="s">
        <v>86</v>
      </c>
    </row>
    <row r="7434">
      <c r="A7434" s="2">
        <v>7433.0</v>
      </c>
      <c r="B7434" s="2" t="s">
        <v>11873</v>
      </c>
      <c r="C7434" s="2" t="s">
        <v>23</v>
      </c>
      <c r="K7434" s="2">
        <v>40.0</v>
      </c>
      <c r="N7434" s="6">
        <v>45224.0</v>
      </c>
      <c r="Q7434" s="2" t="s">
        <v>11874</v>
      </c>
    </row>
    <row r="7435">
      <c r="A7435" s="2">
        <v>7434.0</v>
      </c>
      <c r="B7435" s="2" t="s">
        <v>11875</v>
      </c>
      <c r="C7435" s="2" t="s">
        <v>23</v>
      </c>
      <c r="K7435" s="2">
        <v>30.0</v>
      </c>
      <c r="N7435" s="6">
        <v>43888.0</v>
      </c>
      <c r="Q7435" s="2" t="s">
        <v>6362</v>
      </c>
    </row>
    <row r="7436">
      <c r="A7436" s="2">
        <v>7435.0</v>
      </c>
      <c r="B7436" s="2" t="s">
        <v>11876</v>
      </c>
      <c r="C7436" s="2" t="s">
        <v>23</v>
      </c>
      <c r="K7436" s="2">
        <v>100.0</v>
      </c>
      <c r="N7436" s="6">
        <v>43861.0</v>
      </c>
      <c r="Q7436" s="2" t="s">
        <v>11877</v>
      </c>
    </row>
    <row r="7437">
      <c r="A7437" s="2">
        <v>7436.0</v>
      </c>
      <c r="B7437" s="2" t="s">
        <v>11878</v>
      </c>
      <c r="C7437" s="2" t="s">
        <v>23</v>
      </c>
      <c r="N7437" s="6">
        <v>44315.0</v>
      </c>
      <c r="Q7437" s="2" t="s">
        <v>86</v>
      </c>
    </row>
    <row r="7438">
      <c r="A7438" s="2">
        <v>7437.0</v>
      </c>
      <c r="B7438" s="2" t="s">
        <v>11879</v>
      </c>
      <c r="C7438" s="2" t="s">
        <v>23</v>
      </c>
      <c r="K7438" s="2">
        <v>20.0</v>
      </c>
      <c r="N7438" s="6">
        <v>44522.0</v>
      </c>
      <c r="Q7438" s="2" t="s">
        <v>1156</v>
      </c>
    </row>
    <row r="7439">
      <c r="A7439" s="2">
        <v>7438.0</v>
      </c>
      <c r="B7439" s="2" t="s">
        <v>11880</v>
      </c>
      <c r="C7439" s="2" t="s">
        <v>23</v>
      </c>
      <c r="N7439" s="6">
        <v>44237.0</v>
      </c>
      <c r="Q7439" s="2" t="s">
        <v>86</v>
      </c>
    </row>
    <row r="7440">
      <c r="A7440" s="2">
        <v>7439.0</v>
      </c>
      <c r="B7440" s="2" t="s">
        <v>11881</v>
      </c>
      <c r="C7440" s="2" t="s">
        <v>23</v>
      </c>
      <c r="K7440" s="2">
        <v>70.0</v>
      </c>
      <c r="N7440" s="6">
        <v>44092.0</v>
      </c>
      <c r="Q7440" s="2" t="s">
        <v>11882</v>
      </c>
    </row>
    <row r="7441">
      <c r="A7441" s="2">
        <v>7440.0</v>
      </c>
      <c r="B7441" s="2" t="s">
        <v>11883</v>
      </c>
      <c r="C7441" s="2" t="s">
        <v>23</v>
      </c>
      <c r="K7441" s="2">
        <v>200.0</v>
      </c>
      <c r="N7441" s="6">
        <v>44462.0</v>
      </c>
      <c r="Q7441" s="2" t="s">
        <v>11884</v>
      </c>
    </row>
    <row r="7442">
      <c r="A7442" s="2">
        <v>7441.0</v>
      </c>
      <c r="B7442" s="2" t="s">
        <v>11885</v>
      </c>
      <c r="C7442" s="2" t="s">
        <v>23</v>
      </c>
      <c r="N7442" s="6">
        <v>44396.0</v>
      </c>
      <c r="Q7442" s="2" t="s">
        <v>86</v>
      </c>
    </row>
    <row r="7443">
      <c r="A7443" s="2">
        <v>7442.0</v>
      </c>
      <c r="B7443" s="2" t="s">
        <v>11886</v>
      </c>
      <c r="C7443" s="2" t="s">
        <v>23</v>
      </c>
      <c r="K7443" s="2">
        <v>90.0</v>
      </c>
      <c r="N7443" s="6">
        <v>45755.0</v>
      </c>
      <c r="Q7443" s="2" t="s">
        <v>11887</v>
      </c>
    </row>
    <row r="7444">
      <c r="A7444" s="2">
        <v>7443.0</v>
      </c>
      <c r="B7444" s="2" t="s">
        <v>11888</v>
      </c>
      <c r="C7444" s="2" t="s">
        <v>23</v>
      </c>
      <c r="K7444" s="2">
        <v>70.0</v>
      </c>
      <c r="N7444" s="6">
        <v>44487.0</v>
      </c>
      <c r="Q7444" s="2" t="s">
        <v>11889</v>
      </c>
    </row>
    <row r="7445">
      <c r="A7445" s="2">
        <v>7444.0</v>
      </c>
      <c r="B7445" s="2" t="s">
        <v>11890</v>
      </c>
      <c r="C7445" s="2" t="s">
        <v>23</v>
      </c>
      <c r="N7445" s="6">
        <v>45011.0</v>
      </c>
      <c r="Q7445" s="2" t="s">
        <v>86</v>
      </c>
    </row>
    <row r="7446">
      <c r="A7446" s="2">
        <v>7445.0</v>
      </c>
      <c r="B7446" s="2" t="s">
        <v>11891</v>
      </c>
      <c r="C7446" s="2" t="s">
        <v>23</v>
      </c>
      <c r="N7446" s="6">
        <v>44174.0</v>
      </c>
      <c r="Q7446" s="2" t="s">
        <v>1131</v>
      </c>
    </row>
    <row r="7447">
      <c r="A7447" s="2">
        <v>7446.0</v>
      </c>
      <c r="B7447" s="2" t="s">
        <v>11892</v>
      </c>
      <c r="C7447" s="2" t="s">
        <v>23</v>
      </c>
      <c r="N7447" s="6">
        <v>44171.0</v>
      </c>
      <c r="Q7447" s="2" t="s">
        <v>86</v>
      </c>
    </row>
    <row r="7448">
      <c r="A7448" s="2">
        <v>7447.0</v>
      </c>
      <c r="B7448" s="2" t="s">
        <v>11893</v>
      </c>
      <c r="C7448" s="2" t="s">
        <v>23</v>
      </c>
      <c r="N7448" s="6">
        <v>43537.0</v>
      </c>
      <c r="Q7448" s="2" t="s">
        <v>86</v>
      </c>
    </row>
    <row r="7449">
      <c r="A7449" s="2">
        <v>7448.0</v>
      </c>
      <c r="B7449" s="2" t="s">
        <v>11894</v>
      </c>
      <c r="C7449" s="2" t="s">
        <v>23</v>
      </c>
      <c r="K7449" s="2">
        <v>30.0</v>
      </c>
      <c r="N7449" s="6">
        <v>45421.0</v>
      </c>
      <c r="Q7449" s="2" t="s">
        <v>11895</v>
      </c>
    </row>
    <row r="7450">
      <c r="A7450" s="2">
        <v>7449.0</v>
      </c>
      <c r="B7450" s="2" t="s">
        <v>11896</v>
      </c>
      <c r="C7450" s="2" t="s">
        <v>23</v>
      </c>
      <c r="K7450" s="2">
        <v>70.0</v>
      </c>
      <c r="N7450" s="6">
        <v>44819.0</v>
      </c>
      <c r="Q7450" s="2" t="s">
        <v>11897</v>
      </c>
    </row>
    <row r="7451">
      <c r="A7451" s="2">
        <v>7450.0</v>
      </c>
      <c r="B7451" s="2" t="s">
        <v>11898</v>
      </c>
      <c r="C7451" s="2" t="s">
        <v>23</v>
      </c>
      <c r="K7451" s="2">
        <v>100.0</v>
      </c>
      <c r="N7451" s="6">
        <v>43894.0</v>
      </c>
      <c r="Q7451" s="2" t="s">
        <v>11899</v>
      </c>
    </row>
    <row r="7452">
      <c r="A7452" s="2">
        <v>7451.0</v>
      </c>
      <c r="B7452" s="2" t="s">
        <v>11900</v>
      </c>
      <c r="C7452" s="2" t="s">
        <v>23</v>
      </c>
      <c r="K7452" s="2">
        <v>20.0</v>
      </c>
      <c r="N7452" s="6">
        <v>44535.0</v>
      </c>
      <c r="Q7452" s="2" t="s">
        <v>1466</v>
      </c>
    </row>
    <row r="7453">
      <c r="A7453" s="2">
        <v>7452.0</v>
      </c>
      <c r="B7453" s="2" t="s">
        <v>11901</v>
      </c>
      <c r="C7453" s="2" t="s">
        <v>23</v>
      </c>
      <c r="K7453" s="2">
        <v>40.0</v>
      </c>
      <c r="N7453" s="6">
        <v>43937.0</v>
      </c>
      <c r="Q7453" s="2" t="s">
        <v>295</v>
      </c>
    </row>
    <row r="7454">
      <c r="A7454" s="2">
        <v>7453.0</v>
      </c>
      <c r="B7454" s="2" t="s">
        <v>11902</v>
      </c>
      <c r="C7454" s="2" t="s">
        <v>23</v>
      </c>
      <c r="N7454" s="6">
        <v>44218.0</v>
      </c>
      <c r="Q7454" s="2" t="s">
        <v>86</v>
      </c>
    </row>
    <row r="7455">
      <c r="A7455" s="2">
        <v>7454.0</v>
      </c>
      <c r="B7455" s="2" t="s">
        <v>11903</v>
      </c>
      <c r="C7455" s="2" t="s">
        <v>23</v>
      </c>
      <c r="N7455" s="6">
        <v>43863.0</v>
      </c>
      <c r="Q7455" s="2" t="s">
        <v>86</v>
      </c>
    </row>
    <row r="7456">
      <c r="A7456" s="2">
        <v>7455.0</v>
      </c>
      <c r="B7456" s="2" t="s">
        <v>11904</v>
      </c>
      <c r="C7456" s="2" t="s">
        <v>23</v>
      </c>
      <c r="K7456" s="2">
        <v>100.0</v>
      </c>
      <c r="N7456" s="6">
        <v>45362.0</v>
      </c>
      <c r="Q7456" s="2" t="s">
        <v>1116</v>
      </c>
    </row>
    <row r="7457">
      <c r="A7457" s="2">
        <v>7456.0</v>
      </c>
      <c r="B7457" s="2" t="s">
        <v>11905</v>
      </c>
      <c r="C7457" s="2" t="s">
        <v>23</v>
      </c>
      <c r="N7457" s="6">
        <v>45522.0</v>
      </c>
      <c r="Q7457" s="2" t="s">
        <v>3711</v>
      </c>
    </row>
    <row r="7458">
      <c r="A7458" s="2">
        <v>7457.0</v>
      </c>
      <c r="B7458" s="2" t="s">
        <v>11906</v>
      </c>
      <c r="C7458" s="2" t="s">
        <v>23</v>
      </c>
      <c r="N7458" s="6">
        <v>44704.0</v>
      </c>
      <c r="Q7458" s="2" t="s">
        <v>86</v>
      </c>
    </row>
    <row r="7459">
      <c r="A7459" s="2">
        <v>7458.0</v>
      </c>
      <c r="B7459" s="2" t="s">
        <v>11907</v>
      </c>
      <c r="C7459" s="2" t="s">
        <v>23</v>
      </c>
      <c r="N7459" s="6">
        <v>43718.0</v>
      </c>
      <c r="Q7459" s="2" t="s">
        <v>11908</v>
      </c>
    </row>
    <row r="7460">
      <c r="A7460" s="2">
        <v>7459.0</v>
      </c>
      <c r="B7460" s="2" t="s">
        <v>11909</v>
      </c>
      <c r="C7460" s="2" t="s">
        <v>23</v>
      </c>
      <c r="K7460" s="2">
        <v>200.0</v>
      </c>
      <c r="N7460" s="6">
        <v>44357.0</v>
      </c>
      <c r="Q7460" s="2" t="s">
        <v>11910</v>
      </c>
    </row>
    <row r="7461">
      <c r="A7461" s="2">
        <v>7460.0</v>
      </c>
      <c r="B7461" s="2" t="s">
        <v>11911</v>
      </c>
      <c r="C7461" s="2" t="s">
        <v>23</v>
      </c>
      <c r="K7461" s="2">
        <v>80.0</v>
      </c>
      <c r="N7461" s="6">
        <v>42667.0</v>
      </c>
      <c r="Q7461" s="2" t="s">
        <v>7027</v>
      </c>
    </row>
    <row r="7462">
      <c r="A7462" s="2">
        <v>7461.0</v>
      </c>
      <c r="B7462" s="2" t="s">
        <v>11912</v>
      </c>
      <c r="C7462" s="2" t="s">
        <v>23</v>
      </c>
      <c r="K7462" s="2">
        <v>20.0</v>
      </c>
      <c r="N7462" s="6">
        <v>45101.0</v>
      </c>
      <c r="Q7462" s="2" t="s">
        <v>11913</v>
      </c>
    </row>
    <row r="7463">
      <c r="A7463" s="2">
        <v>7462.0</v>
      </c>
      <c r="B7463" s="2" t="s">
        <v>11914</v>
      </c>
      <c r="C7463" s="2" t="s">
        <v>23</v>
      </c>
      <c r="N7463" s="6">
        <v>44739.0</v>
      </c>
      <c r="Q7463" s="2" t="s">
        <v>86</v>
      </c>
    </row>
    <row r="7464">
      <c r="A7464" s="2">
        <v>7463.0</v>
      </c>
      <c r="B7464" s="2" t="s">
        <v>11915</v>
      </c>
      <c r="C7464" s="2" t="s">
        <v>23</v>
      </c>
      <c r="K7464" s="2">
        <v>90.0</v>
      </c>
      <c r="N7464" s="6">
        <v>45043.0</v>
      </c>
      <c r="Q7464" s="2" t="s">
        <v>11916</v>
      </c>
    </row>
    <row r="7465">
      <c r="A7465" s="2">
        <v>7464.0</v>
      </c>
      <c r="B7465" s="2" t="s">
        <v>11917</v>
      </c>
      <c r="C7465" s="2" t="s">
        <v>23</v>
      </c>
      <c r="N7465" s="6">
        <v>43964.0</v>
      </c>
      <c r="Q7465" s="2" t="s">
        <v>11918</v>
      </c>
    </row>
    <row r="7466">
      <c r="A7466" s="2">
        <v>7465.0</v>
      </c>
      <c r="B7466" s="2" t="s">
        <v>11919</v>
      </c>
      <c r="C7466" s="2" t="s">
        <v>23</v>
      </c>
      <c r="K7466" s="2">
        <v>10.0</v>
      </c>
      <c r="N7466" s="6">
        <v>45779.0</v>
      </c>
      <c r="Q7466" s="2" t="s">
        <v>11920</v>
      </c>
    </row>
    <row r="7467">
      <c r="A7467" s="2">
        <v>7466.0</v>
      </c>
      <c r="B7467" s="2" t="s">
        <v>11921</v>
      </c>
      <c r="C7467" s="2" t="s">
        <v>23</v>
      </c>
      <c r="K7467" s="2">
        <v>10.0</v>
      </c>
      <c r="N7467" s="6">
        <v>45272.0</v>
      </c>
      <c r="Q7467" s="2" t="s">
        <v>11922</v>
      </c>
    </row>
    <row r="7468">
      <c r="A7468" s="2">
        <v>7467.0</v>
      </c>
      <c r="B7468" s="2" t="s">
        <v>11923</v>
      </c>
      <c r="C7468" s="2" t="s">
        <v>23</v>
      </c>
      <c r="K7468" s="2">
        <v>30.0</v>
      </c>
      <c r="N7468" s="6">
        <v>44412.0</v>
      </c>
      <c r="Q7468" s="2" t="s">
        <v>86</v>
      </c>
    </row>
    <row r="7469">
      <c r="A7469" s="2">
        <v>7468.0</v>
      </c>
      <c r="B7469" s="2" t="s">
        <v>11924</v>
      </c>
      <c r="C7469" s="2" t="s">
        <v>23</v>
      </c>
      <c r="N7469" s="6">
        <v>42626.0</v>
      </c>
      <c r="Q7469" s="2" t="s">
        <v>86</v>
      </c>
    </row>
    <row r="7470">
      <c r="A7470" s="2">
        <v>7469.0</v>
      </c>
      <c r="B7470" s="2" t="s">
        <v>11925</v>
      </c>
      <c r="C7470" s="2" t="s">
        <v>23</v>
      </c>
      <c r="K7470" s="2">
        <v>20.0</v>
      </c>
      <c r="N7470" s="6">
        <v>45721.0</v>
      </c>
      <c r="Q7470" s="2" t="s">
        <v>11926</v>
      </c>
    </row>
    <row r="7471">
      <c r="A7471" s="2">
        <v>7470.0</v>
      </c>
      <c r="B7471" s="2" t="s">
        <v>11927</v>
      </c>
      <c r="C7471" s="2" t="s">
        <v>23</v>
      </c>
      <c r="N7471" s="6">
        <v>44376.0</v>
      </c>
      <c r="Q7471" s="2" t="s">
        <v>86</v>
      </c>
    </row>
    <row r="7472">
      <c r="A7472" s="2">
        <v>7471.0</v>
      </c>
      <c r="B7472" s="2" t="s">
        <v>11928</v>
      </c>
      <c r="C7472" s="2" t="s">
        <v>23</v>
      </c>
      <c r="N7472" s="6">
        <v>44508.0</v>
      </c>
      <c r="Q7472" s="2" t="s">
        <v>86</v>
      </c>
    </row>
    <row r="7473">
      <c r="A7473" s="2">
        <v>7472.0</v>
      </c>
      <c r="B7473" s="2" t="s">
        <v>11929</v>
      </c>
      <c r="C7473" s="2" t="s">
        <v>23</v>
      </c>
      <c r="K7473" s="2">
        <v>40.0</v>
      </c>
      <c r="N7473" s="6">
        <v>44081.0</v>
      </c>
      <c r="Q7473" s="2" t="s">
        <v>11930</v>
      </c>
    </row>
    <row r="7474">
      <c r="A7474" s="2">
        <v>7473.0</v>
      </c>
      <c r="B7474" s="2" t="s">
        <v>11931</v>
      </c>
      <c r="C7474" s="2" t="s">
        <v>23</v>
      </c>
      <c r="K7474" s="2">
        <v>50.0</v>
      </c>
      <c r="N7474" s="6">
        <v>44448.0</v>
      </c>
      <c r="Q7474" s="2" t="s">
        <v>11932</v>
      </c>
    </row>
    <row r="7475">
      <c r="A7475" s="2">
        <v>7474.0</v>
      </c>
      <c r="B7475" s="2" t="s">
        <v>11933</v>
      </c>
      <c r="C7475" s="2" t="s">
        <v>23</v>
      </c>
      <c r="K7475" s="2">
        <v>250.0</v>
      </c>
      <c r="N7475" s="6">
        <v>43903.0</v>
      </c>
      <c r="Q7475" s="2" t="s">
        <v>11934</v>
      </c>
    </row>
    <row r="7476">
      <c r="A7476" s="2">
        <v>7475.0</v>
      </c>
      <c r="B7476" s="2" t="s">
        <v>11935</v>
      </c>
      <c r="C7476" s="2" t="s">
        <v>23</v>
      </c>
      <c r="K7476" s="2">
        <v>500.0</v>
      </c>
      <c r="N7476" s="6">
        <v>44236.0</v>
      </c>
      <c r="Q7476" s="2" t="s">
        <v>11936</v>
      </c>
    </row>
    <row r="7477">
      <c r="A7477" s="2">
        <v>7476.0</v>
      </c>
      <c r="B7477" s="2" t="s">
        <v>11937</v>
      </c>
      <c r="C7477" s="2" t="s">
        <v>23</v>
      </c>
      <c r="K7477" s="2">
        <v>10.0</v>
      </c>
      <c r="N7477" s="6">
        <v>45445.0</v>
      </c>
      <c r="Q7477" s="2" t="s">
        <v>1279</v>
      </c>
    </row>
    <row r="7478">
      <c r="A7478" s="2">
        <v>7477.0</v>
      </c>
      <c r="B7478" s="2" t="s">
        <v>11938</v>
      </c>
      <c r="C7478" s="2" t="s">
        <v>23</v>
      </c>
      <c r="K7478" s="2">
        <v>20.0</v>
      </c>
      <c r="N7478" s="6">
        <v>43854.0</v>
      </c>
      <c r="Q7478" s="2" t="s">
        <v>11939</v>
      </c>
    </row>
    <row r="7479">
      <c r="A7479" s="2">
        <v>7478.0</v>
      </c>
      <c r="B7479" s="2" t="s">
        <v>11940</v>
      </c>
      <c r="C7479" s="2" t="s">
        <v>23</v>
      </c>
      <c r="K7479" s="2">
        <v>20.0</v>
      </c>
      <c r="N7479" s="6">
        <v>43941.0</v>
      </c>
      <c r="Q7479" s="2" t="s">
        <v>5165</v>
      </c>
    </row>
    <row r="7480">
      <c r="A7480" s="2">
        <v>7479.0</v>
      </c>
      <c r="B7480" s="2" t="s">
        <v>11941</v>
      </c>
      <c r="C7480" s="2" t="s">
        <v>23</v>
      </c>
      <c r="N7480" s="6">
        <v>44328.0</v>
      </c>
      <c r="Q7480" s="2" t="s">
        <v>86</v>
      </c>
    </row>
    <row r="7481">
      <c r="A7481" s="2">
        <v>7480.0</v>
      </c>
      <c r="B7481" s="2" t="s">
        <v>11942</v>
      </c>
      <c r="C7481" s="2" t="s">
        <v>23</v>
      </c>
      <c r="N7481" s="6">
        <v>43858.0</v>
      </c>
      <c r="Q7481" s="2" t="s">
        <v>86</v>
      </c>
    </row>
    <row r="7482">
      <c r="A7482" s="2">
        <v>7481.0</v>
      </c>
      <c r="B7482" s="2" t="s">
        <v>11943</v>
      </c>
      <c r="C7482" s="2" t="s">
        <v>23</v>
      </c>
      <c r="N7482" s="6">
        <v>44548.0</v>
      </c>
      <c r="Q7482" s="2" t="s">
        <v>1070</v>
      </c>
    </row>
    <row r="7483">
      <c r="A7483" s="2">
        <v>7482.0</v>
      </c>
      <c r="B7483" s="2" t="s">
        <v>11944</v>
      </c>
      <c r="C7483" s="2" t="s">
        <v>23</v>
      </c>
      <c r="K7483" s="2">
        <v>20.0</v>
      </c>
      <c r="N7483" s="6">
        <v>44903.0</v>
      </c>
      <c r="Q7483" s="2" t="s">
        <v>11945</v>
      </c>
    </row>
    <row r="7484">
      <c r="A7484" s="2">
        <v>7483.0</v>
      </c>
      <c r="B7484" s="2" t="s">
        <v>11946</v>
      </c>
      <c r="C7484" s="2" t="s">
        <v>23</v>
      </c>
      <c r="K7484" s="2">
        <v>80.0</v>
      </c>
      <c r="N7484" s="6">
        <v>44836.0</v>
      </c>
      <c r="Q7484" s="2" t="s">
        <v>60</v>
      </c>
    </row>
    <row r="7485">
      <c r="A7485" s="2">
        <v>7484.0</v>
      </c>
      <c r="B7485" s="2" t="s">
        <v>11947</v>
      </c>
      <c r="C7485" s="2" t="s">
        <v>23</v>
      </c>
      <c r="N7485" s="6">
        <v>42589.0</v>
      </c>
      <c r="Q7485" s="2" t="s">
        <v>86</v>
      </c>
    </row>
    <row r="7486">
      <c r="A7486" s="2">
        <v>7485.0</v>
      </c>
      <c r="B7486" s="2" t="s">
        <v>11948</v>
      </c>
      <c r="C7486" s="2" t="s">
        <v>23</v>
      </c>
      <c r="K7486" s="2">
        <v>200.0</v>
      </c>
      <c r="N7486" s="6">
        <v>44018.0</v>
      </c>
      <c r="Q7486" s="2" t="s">
        <v>11949</v>
      </c>
    </row>
    <row r="7487">
      <c r="A7487" s="2">
        <v>7486.0</v>
      </c>
      <c r="B7487" s="2" t="s">
        <v>11950</v>
      </c>
      <c r="C7487" s="2" t="s">
        <v>23</v>
      </c>
      <c r="N7487" s="6">
        <v>42892.0</v>
      </c>
      <c r="Q7487" s="2" t="s">
        <v>86</v>
      </c>
    </row>
    <row r="7488">
      <c r="A7488" s="2">
        <v>7487.0</v>
      </c>
      <c r="B7488" s="2" t="s">
        <v>11951</v>
      </c>
      <c r="C7488" s="2" t="s">
        <v>23</v>
      </c>
      <c r="K7488" s="2">
        <v>10.0</v>
      </c>
      <c r="N7488" s="6">
        <v>45604.0</v>
      </c>
      <c r="Q7488" s="2" t="s">
        <v>11952</v>
      </c>
    </row>
    <row r="7489">
      <c r="A7489" s="2">
        <v>7488.0</v>
      </c>
      <c r="B7489" s="2" t="s">
        <v>11953</v>
      </c>
      <c r="C7489" s="2" t="s">
        <v>23</v>
      </c>
      <c r="K7489" s="2">
        <v>100.0</v>
      </c>
      <c r="N7489" s="6">
        <v>44543.0</v>
      </c>
      <c r="Q7489" s="2" t="s">
        <v>11954</v>
      </c>
    </row>
    <row r="7490">
      <c r="A7490" s="2">
        <v>7489.0</v>
      </c>
      <c r="B7490" s="2" t="s">
        <v>11955</v>
      </c>
      <c r="C7490" s="2" t="s">
        <v>23</v>
      </c>
      <c r="N7490" s="6">
        <v>45992.0</v>
      </c>
      <c r="Q7490" s="2" t="s">
        <v>3117</v>
      </c>
    </row>
    <row r="7491">
      <c r="A7491" s="2">
        <v>7490.0</v>
      </c>
      <c r="B7491" s="2" t="s">
        <v>11956</v>
      </c>
      <c r="C7491" s="2" t="s">
        <v>23</v>
      </c>
      <c r="K7491" s="2">
        <v>10.0</v>
      </c>
      <c r="N7491" s="6">
        <v>44572.0</v>
      </c>
      <c r="Q7491" s="2" t="s">
        <v>86</v>
      </c>
    </row>
    <row r="7492">
      <c r="A7492" s="2">
        <v>7491.0</v>
      </c>
      <c r="B7492" s="2" t="s">
        <v>11957</v>
      </c>
      <c r="C7492" s="2" t="s">
        <v>23</v>
      </c>
      <c r="K7492" s="2">
        <v>20.0</v>
      </c>
      <c r="N7492" s="6">
        <v>45623.0</v>
      </c>
      <c r="Q7492" s="2" t="s">
        <v>11958</v>
      </c>
    </row>
    <row r="7493">
      <c r="A7493" s="2">
        <v>7492.0</v>
      </c>
      <c r="B7493" s="2" t="s">
        <v>11959</v>
      </c>
      <c r="C7493" s="2" t="s">
        <v>23</v>
      </c>
      <c r="N7493" s="6">
        <v>44318.0</v>
      </c>
      <c r="Q7493" s="2" t="s">
        <v>86</v>
      </c>
    </row>
    <row r="7494">
      <c r="A7494" s="2">
        <v>7493.0</v>
      </c>
      <c r="B7494" s="2" t="s">
        <v>11960</v>
      </c>
      <c r="C7494" s="2" t="s">
        <v>23</v>
      </c>
      <c r="N7494" s="6">
        <v>44227.0</v>
      </c>
      <c r="Q7494" s="2" t="s">
        <v>86</v>
      </c>
    </row>
    <row r="7495">
      <c r="A7495" s="2">
        <v>7494.0</v>
      </c>
      <c r="B7495" s="2" t="s">
        <v>11961</v>
      </c>
      <c r="C7495" s="2" t="s">
        <v>23</v>
      </c>
      <c r="K7495" s="2">
        <v>30.0</v>
      </c>
      <c r="N7495" s="6">
        <v>43925.0</v>
      </c>
      <c r="Q7495" s="2" t="s">
        <v>401</v>
      </c>
    </row>
    <row r="7496">
      <c r="A7496" s="2">
        <v>7495.0</v>
      </c>
      <c r="B7496" s="2" t="s">
        <v>11962</v>
      </c>
      <c r="C7496" s="2" t="s">
        <v>23</v>
      </c>
      <c r="K7496" s="2">
        <v>80.0</v>
      </c>
      <c r="N7496" s="6">
        <v>44933.0</v>
      </c>
      <c r="Q7496" s="2" t="s">
        <v>11963</v>
      </c>
    </row>
    <row r="7497">
      <c r="A7497" s="2">
        <v>7496.0</v>
      </c>
      <c r="B7497" s="2" t="s">
        <v>11964</v>
      </c>
      <c r="C7497" s="2" t="s">
        <v>23</v>
      </c>
      <c r="K7497" s="2">
        <v>50.0</v>
      </c>
      <c r="N7497" s="6">
        <v>45655.0</v>
      </c>
      <c r="Q7497" s="2" t="s">
        <v>11965</v>
      </c>
    </row>
    <row r="7498">
      <c r="A7498" s="2">
        <v>7497.0</v>
      </c>
      <c r="B7498" s="2" t="s">
        <v>11966</v>
      </c>
      <c r="C7498" s="2" t="s">
        <v>23</v>
      </c>
      <c r="K7498" s="2">
        <v>150.0</v>
      </c>
      <c r="N7498" s="6">
        <v>43889.0</v>
      </c>
      <c r="Q7498" s="2" t="s">
        <v>11967</v>
      </c>
    </row>
    <row r="7499">
      <c r="A7499" s="2">
        <v>7498.0</v>
      </c>
      <c r="B7499" s="2" t="s">
        <v>11968</v>
      </c>
      <c r="C7499" s="2" t="s">
        <v>23</v>
      </c>
      <c r="K7499" s="2">
        <v>20.0</v>
      </c>
      <c r="N7499" s="6">
        <v>44506.0</v>
      </c>
      <c r="Q7499" s="2" t="s">
        <v>11969</v>
      </c>
    </row>
    <row r="7500">
      <c r="A7500" s="2">
        <v>7499.0</v>
      </c>
      <c r="B7500" s="2" t="s">
        <v>11970</v>
      </c>
      <c r="C7500" s="2" t="s">
        <v>23</v>
      </c>
      <c r="K7500" s="2">
        <v>150.0</v>
      </c>
      <c r="N7500" s="6">
        <v>45384.0</v>
      </c>
      <c r="Q7500" s="2" t="s">
        <v>11971</v>
      </c>
    </row>
    <row r="7501">
      <c r="A7501" s="2">
        <v>7500.0</v>
      </c>
      <c r="B7501" s="2" t="s">
        <v>11972</v>
      </c>
      <c r="C7501" s="2" t="s">
        <v>23</v>
      </c>
      <c r="N7501" s="6">
        <v>44134.0</v>
      </c>
      <c r="Q7501" s="2" t="s">
        <v>513</v>
      </c>
    </row>
    <row r="7502">
      <c r="A7502" s="2">
        <v>7501.0</v>
      </c>
      <c r="B7502" s="2" t="s">
        <v>11973</v>
      </c>
      <c r="C7502" s="2" t="s">
        <v>23</v>
      </c>
      <c r="N7502" s="6">
        <v>44044.0</v>
      </c>
      <c r="Q7502" s="2" t="s">
        <v>86</v>
      </c>
    </row>
    <row r="7503">
      <c r="A7503" s="2">
        <v>7502.0</v>
      </c>
      <c r="B7503" s="2" t="s">
        <v>11974</v>
      </c>
      <c r="C7503" s="2" t="s">
        <v>23</v>
      </c>
      <c r="K7503" s="2">
        <v>200.0</v>
      </c>
      <c r="N7503" s="6">
        <v>43878.0</v>
      </c>
      <c r="Q7503" s="2" t="s">
        <v>11975</v>
      </c>
    </row>
    <row r="7504">
      <c r="A7504" s="2">
        <v>7503.0</v>
      </c>
      <c r="B7504" s="2" t="s">
        <v>11976</v>
      </c>
      <c r="C7504" s="2" t="s">
        <v>23</v>
      </c>
      <c r="K7504" s="2">
        <v>10.0</v>
      </c>
      <c r="N7504" s="6">
        <v>45565.0</v>
      </c>
      <c r="Q7504" s="2" t="s">
        <v>1727</v>
      </c>
    </row>
    <row r="7505">
      <c r="A7505" s="2">
        <v>7504.0</v>
      </c>
      <c r="B7505" s="2" t="s">
        <v>11977</v>
      </c>
      <c r="C7505" s="2" t="s">
        <v>23</v>
      </c>
      <c r="N7505" s="6">
        <v>45446.0</v>
      </c>
      <c r="Q7505" s="2" t="s">
        <v>2746</v>
      </c>
    </row>
    <row r="7506">
      <c r="A7506" s="2">
        <v>7505.0</v>
      </c>
      <c r="B7506" s="2" t="s">
        <v>11978</v>
      </c>
      <c r="C7506" s="2" t="s">
        <v>23</v>
      </c>
      <c r="N7506" s="6">
        <v>46006.0</v>
      </c>
      <c r="Q7506" s="2" t="s">
        <v>11979</v>
      </c>
    </row>
    <row r="7507">
      <c r="A7507" s="2">
        <v>7506.0</v>
      </c>
      <c r="B7507" s="2" t="s">
        <v>11980</v>
      </c>
      <c r="C7507" s="2" t="s">
        <v>23</v>
      </c>
      <c r="N7507" s="6">
        <v>42425.0</v>
      </c>
      <c r="Q7507" s="2" t="s">
        <v>86</v>
      </c>
    </row>
    <row r="7508">
      <c r="A7508" s="2">
        <v>7507.0</v>
      </c>
      <c r="B7508" s="2" t="s">
        <v>11981</v>
      </c>
      <c r="C7508" s="2" t="s">
        <v>23</v>
      </c>
      <c r="N7508" s="6">
        <v>44821.0</v>
      </c>
      <c r="Q7508" s="2" t="s">
        <v>86</v>
      </c>
    </row>
    <row r="7509">
      <c r="A7509" s="2">
        <v>7508.0</v>
      </c>
      <c r="B7509" s="2" t="s">
        <v>11982</v>
      </c>
      <c r="C7509" s="2" t="s">
        <v>23</v>
      </c>
      <c r="K7509" s="2">
        <v>20.0</v>
      </c>
      <c r="N7509" s="6">
        <v>45520.0</v>
      </c>
      <c r="Q7509" s="2" t="s">
        <v>11983</v>
      </c>
    </row>
    <row r="7510">
      <c r="A7510" s="2">
        <v>7509.0</v>
      </c>
      <c r="B7510" s="2" t="s">
        <v>11984</v>
      </c>
      <c r="C7510" s="2" t="s">
        <v>23</v>
      </c>
      <c r="K7510" s="2">
        <v>100.0</v>
      </c>
      <c r="N7510" s="6">
        <v>44240.0</v>
      </c>
      <c r="Q7510" s="2" t="s">
        <v>11985</v>
      </c>
    </row>
    <row r="7511">
      <c r="A7511" s="2">
        <v>7510.0</v>
      </c>
      <c r="B7511" s="2" t="s">
        <v>11986</v>
      </c>
      <c r="C7511" s="2" t="s">
        <v>23</v>
      </c>
      <c r="N7511" s="6">
        <v>42808.0</v>
      </c>
      <c r="Q7511" s="2" t="s">
        <v>86</v>
      </c>
    </row>
    <row r="7512">
      <c r="A7512" s="2">
        <v>7511.0</v>
      </c>
      <c r="B7512" s="2" t="s">
        <v>11987</v>
      </c>
      <c r="C7512" s="2" t="s">
        <v>23</v>
      </c>
      <c r="K7512" s="2">
        <v>20.0</v>
      </c>
      <c r="N7512" s="6">
        <v>45636.0</v>
      </c>
      <c r="Q7512" s="2" t="s">
        <v>11988</v>
      </c>
    </row>
    <row r="7513">
      <c r="A7513" s="2">
        <v>7512.0</v>
      </c>
      <c r="B7513" s="2" t="s">
        <v>11989</v>
      </c>
      <c r="C7513" s="2" t="s">
        <v>23</v>
      </c>
      <c r="K7513" s="2">
        <v>250.0</v>
      </c>
      <c r="N7513" s="6">
        <v>43375.0</v>
      </c>
      <c r="Q7513" s="2" t="s">
        <v>11990</v>
      </c>
    </row>
    <row r="7514">
      <c r="A7514" s="2">
        <v>7513.0</v>
      </c>
      <c r="B7514" s="2" t="s">
        <v>11991</v>
      </c>
      <c r="C7514" s="2" t="s">
        <v>23</v>
      </c>
      <c r="N7514" s="6">
        <v>44374.0</v>
      </c>
      <c r="Q7514" s="2" t="s">
        <v>86</v>
      </c>
    </row>
    <row r="7515">
      <c r="A7515" s="2">
        <v>7514.0</v>
      </c>
      <c r="B7515" s="2" t="s">
        <v>11992</v>
      </c>
      <c r="C7515" s="2" t="s">
        <v>23</v>
      </c>
      <c r="K7515" s="2">
        <v>50.0</v>
      </c>
      <c r="N7515" s="6">
        <v>45616.0</v>
      </c>
      <c r="Q7515" s="2" t="s">
        <v>5273</v>
      </c>
    </row>
    <row r="7516">
      <c r="A7516" s="2">
        <v>7515.0</v>
      </c>
      <c r="B7516" s="2" t="s">
        <v>11993</v>
      </c>
      <c r="C7516" s="2" t="s">
        <v>23</v>
      </c>
      <c r="K7516" s="2">
        <v>20.0</v>
      </c>
      <c r="N7516" s="6">
        <v>45034.0</v>
      </c>
      <c r="Q7516" s="2" t="s">
        <v>11994</v>
      </c>
    </row>
    <row r="7517">
      <c r="A7517" s="2">
        <v>7516.0</v>
      </c>
      <c r="B7517" s="2" t="s">
        <v>11995</v>
      </c>
      <c r="C7517" s="2" t="s">
        <v>23</v>
      </c>
      <c r="N7517" s="6">
        <v>44585.0</v>
      </c>
      <c r="Q7517" s="2" t="s">
        <v>86</v>
      </c>
    </row>
    <row r="7518">
      <c r="A7518" s="2">
        <v>7517.0</v>
      </c>
      <c r="B7518" s="2" t="s">
        <v>11996</v>
      </c>
      <c r="C7518" s="2" t="s">
        <v>23</v>
      </c>
      <c r="N7518" s="6">
        <v>43899.0</v>
      </c>
      <c r="Q7518" s="2" t="s">
        <v>86</v>
      </c>
    </row>
    <row r="7519">
      <c r="A7519" s="2">
        <v>7518.0</v>
      </c>
      <c r="B7519" s="2" t="s">
        <v>11997</v>
      </c>
      <c r="C7519" s="2" t="s">
        <v>23</v>
      </c>
      <c r="K7519" s="2">
        <v>10.0</v>
      </c>
      <c r="N7519" s="6">
        <v>45566.0</v>
      </c>
      <c r="Q7519" s="2" t="s">
        <v>11998</v>
      </c>
    </row>
    <row r="7520">
      <c r="A7520" s="2">
        <v>7519.0</v>
      </c>
      <c r="B7520" s="2" t="s">
        <v>11999</v>
      </c>
      <c r="C7520" s="2" t="s">
        <v>23</v>
      </c>
      <c r="K7520" s="2">
        <v>100.0</v>
      </c>
      <c r="N7520" s="6">
        <v>44053.0</v>
      </c>
      <c r="Q7520" s="2" t="s">
        <v>12000</v>
      </c>
    </row>
    <row r="7521">
      <c r="A7521" s="2">
        <v>7520.0</v>
      </c>
      <c r="B7521" s="2" t="s">
        <v>12001</v>
      </c>
      <c r="C7521" s="2" t="s">
        <v>23</v>
      </c>
      <c r="N7521" s="6">
        <v>45010.0</v>
      </c>
      <c r="Q7521" s="2" t="s">
        <v>12002</v>
      </c>
    </row>
    <row r="7522">
      <c r="A7522" s="2">
        <v>7521.0</v>
      </c>
      <c r="B7522" s="2" t="s">
        <v>12003</v>
      </c>
      <c r="C7522" s="2" t="s">
        <v>23</v>
      </c>
      <c r="N7522" s="6">
        <v>43742.0</v>
      </c>
      <c r="Q7522" s="2" t="s">
        <v>86</v>
      </c>
    </row>
    <row r="7523">
      <c r="A7523" s="2">
        <v>7522.0</v>
      </c>
      <c r="B7523" s="2" t="s">
        <v>12004</v>
      </c>
      <c r="C7523" s="2" t="s">
        <v>23</v>
      </c>
      <c r="N7523" s="6">
        <v>44123.0</v>
      </c>
      <c r="Q7523" s="2" t="s">
        <v>86</v>
      </c>
    </row>
    <row r="7524">
      <c r="A7524" s="2">
        <v>7523.0</v>
      </c>
      <c r="B7524" s="2" t="s">
        <v>12005</v>
      </c>
      <c r="C7524" s="2" t="s">
        <v>23</v>
      </c>
      <c r="K7524" s="2">
        <v>30.0</v>
      </c>
      <c r="N7524" s="6">
        <v>44095.0</v>
      </c>
      <c r="Q7524" s="2" t="s">
        <v>2483</v>
      </c>
    </row>
    <row r="7525">
      <c r="A7525" s="2">
        <v>7524.0</v>
      </c>
      <c r="B7525" s="2" t="s">
        <v>12006</v>
      </c>
      <c r="C7525" s="2" t="s">
        <v>23</v>
      </c>
      <c r="K7525" s="2">
        <v>10.0</v>
      </c>
      <c r="N7525" s="6">
        <v>44672.0</v>
      </c>
      <c r="Q7525" s="2" t="s">
        <v>12007</v>
      </c>
    </row>
    <row r="7526">
      <c r="A7526" s="2">
        <v>7525.0</v>
      </c>
      <c r="B7526" s="2" t="s">
        <v>12008</v>
      </c>
      <c r="C7526" s="2" t="s">
        <v>23</v>
      </c>
      <c r="K7526" s="2">
        <v>40.0</v>
      </c>
      <c r="N7526" s="6">
        <v>43266.0</v>
      </c>
      <c r="Q7526" s="2" t="s">
        <v>2738</v>
      </c>
    </row>
    <row r="7527">
      <c r="A7527" s="2">
        <v>7526.0</v>
      </c>
      <c r="B7527" s="2" t="s">
        <v>12009</v>
      </c>
      <c r="C7527" s="2" t="s">
        <v>23</v>
      </c>
      <c r="N7527" s="6">
        <v>44348.0</v>
      </c>
      <c r="Q7527" s="2" t="s">
        <v>86</v>
      </c>
    </row>
    <row r="7528">
      <c r="A7528" s="2">
        <v>7527.0</v>
      </c>
      <c r="B7528" s="2" t="s">
        <v>12010</v>
      </c>
      <c r="C7528" s="2" t="s">
        <v>23</v>
      </c>
      <c r="N7528" s="6">
        <v>44106.0</v>
      </c>
      <c r="Q7528" s="2" t="s">
        <v>86</v>
      </c>
    </row>
    <row r="7529">
      <c r="A7529" s="2">
        <v>7528.0</v>
      </c>
      <c r="B7529" s="2" t="s">
        <v>12011</v>
      </c>
      <c r="C7529" s="2" t="s">
        <v>23</v>
      </c>
      <c r="K7529" s="2">
        <v>50.0</v>
      </c>
      <c r="N7529" s="6">
        <v>44554.0</v>
      </c>
      <c r="Q7529" s="2" t="s">
        <v>3514</v>
      </c>
    </row>
    <row r="7530">
      <c r="A7530" s="2">
        <v>7529.0</v>
      </c>
      <c r="B7530" s="2" t="s">
        <v>12012</v>
      </c>
      <c r="C7530" s="2" t="s">
        <v>23</v>
      </c>
      <c r="K7530" s="2">
        <v>100.0</v>
      </c>
      <c r="N7530" s="6">
        <v>44432.0</v>
      </c>
      <c r="Q7530" s="2" t="s">
        <v>12013</v>
      </c>
    </row>
    <row r="7531">
      <c r="A7531" s="2">
        <v>7530.0</v>
      </c>
      <c r="B7531" s="2" t="s">
        <v>12014</v>
      </c>
      <c r="C7531" s="2" t="s">
        <v>23</v>
      </c>
      <c r="N7531" s="6">
        <v>45057.0</v>
      </c>
      <c r="Q7531" s="2" t="s">
        <v>2583</v>
      </c>
    </row>
    <row r="7532">
      <c r="A7532" s="2">
        <v>7531.0</v>
      </c>
      <c r="B7532" s="2" t="s">
        <v>12015</v>
      </c>
      <c r="C7532" s="2" t="s">
        <v>23</v>
      </c>
      <c r="N7532" s="6">
        <v>44199.0</v>
      </c>
      <c r="Q7532" s="2" t="s">
        <v>86</v>
      </c>
    </row>
    <row r="7533">
      <c r="A7533" s="2">
        <v>7532.0</v>
      </c>
      <c r="B7533" s="2" t="s">
        <v>12016</v>
      </c>
      <c r="C7533" s="2" t="s">
        <v>23</v>
      </c>
      <c r="K7533" s="2">
        <v>50.0</v>
      </c>
      <c r="N7533" s="6">
        <v>44832.0</v>
      </c>
      <c r="Q7533" s="2" t="s">
        <v>12017</v>
      </c>
    </row>
    <row r="7534">
      <c r="A7534" s="2">
        <v>7533.0</v>
      </c>
      <c r="B7534" s="2" t="s">
        <v>12018</v>
      </c>
      <c r="C7534" s="2" t="s">
        <v>23</v>
      </c>
      <c r="K7534" s="2">
        <v>30.0</v>
      </c>
      <c r="N7534" s="6">
        <v>43926.0</v>
      </c>
      <c r="Q7534" s="2" t="s">
        <v>12019</v>
      </c>
    </row>
    <row r="7535">
      <c r="A7535" s="2">
        <v>7534.0</v>
      </c>
      <c r="B7535" s="2" t="s">
        <v>12020</v>
      </c>
      <c r="C7535" s="2" t="s">
        <v>23</v>
      </c>
      <c r="K7535" s="2">
        <v>10.0</v>
      </c>
      <c r="N7535" s="6">
        <v>44623.0</v>
      </c>
      <c r="Q7535" s="2" t="s">
        <v>86</v>
      </c>
    </row>
    <row r="7536">
      <c r="A7536" s="2">
        <v>7535.0</v>
      </c>
      <c r="B7536" s="2" t="s">
        <v>12021</v>
      </c>
      <c r="C7536" s="2" t="s">
        <v>23</v>
      </c>
      <c r="K7536" s="2">
        <v>20.0</v>
      </c>
      <c r="N7536" s="6">
        <v>45558.0</v>
      </c>
      <c r="Q7536" s="2" t="s">
        <v>12022</v>
      </c>
    </row>
    <row r="7537">
      <c r="A7537" s="2">
        <v>7536.0</v>
      </c>
      <c r="B7537" s="2" t="s">
        <v>12023</v>
      </c>
      <c r="C7537" s="2" t="s">
        <v>23</v>
      </c>
      <c r="K7537" s="2">
        <v>30.0</v>
      </c>
      <c r="N7537" s="6">
        <v>43944.0</v>
      </c>
      <c r="Q7537" s="2" t="s">
        <v>12024</v>
      </c>
    </row>
    <row r="7538">
      <c r="A7538" s="2">
        <v>7537.0</v>
      </c>
      <c r="B7538" s="2" t="s">
        <v>12025</v>
      </c>
      <c r="C7538" s="2" t="s">
        <v>23</v>
      </c>
      <c r="K7538" s="2">
        <v>900.0</v>
      </c>
      <c r="N7538" s="6">
        <v>42723.0</v>
      </c>
      <c r="Q7538" s="2" t="s">
        <v>12026</v>
      </c>
    </row>
    <row r="7539">
      <c r="A7539" s="2">
        <v>7538.0</v>
      </c>
      <c r="B7539" s="2" t="s">
        <v>12027</v>
      </c>
      <c r="C7539" s="2" t="s">
        <v>23</v>
      </c>
      <c r="N7539" s="6">
        <v>44185.0</v>
      </c>
      <c r="Q7539" s="2" t="s">
        <v>369</v>
      </c>
    </row>
    <row r="7540">
      <c r="A7540" s="2">
        <v>7539.0</v>
      </c>
      <c r="B7540" s="2" t="s">
        <v>12028</v>
      </c>
      <c r="C7540" s="2" t="s">
        <v>23</v>
      </c>
      <c r="N7540" s="6">
        <v>44386.0</v>
      </c>
      <c r="Q7540" s="2" t="s">
        <v>86</v>
      </c>
    </row>
    <row r="7541">
      <c r="A7541" s="2">
        <v>7540.0</v>
      </c>
      <c r="B7541" s="2" t="s">
        <v>12029</v>
      </c>
      <c r="C7541" s="2" t="s">
        <v>23</v>
      </c>
      <c r="N7541" s="6">
        <v>44544.0</v>
      </c>
      <c r="Q7541" s="2" t="s">
        <v>86</v>
      </c>
    </row>
    <row r="7542">
      <c r="A7542" s="2">
        <v>7541.0</v>
      </c>
      <c r="B7542" s="2" t="s">
        <v>12030</v>
      </c>
      <c r="C7542" s="2" t="s">
        <v>23</v>
      </c>
      <c r="K7542" s="2">
        <v>40.0</v>
      </c>
      <c r="N7542" s="6">
        <v>44040.0</v>
      </c>
      <c r="Q7542" s="2" t="s">
        <v>12031</v>
      </c>
    </row>
    <row r="7543">
      <c r="A7543" s="2">
        <v>7542.0</v>
      </c>
      <c r="B7543" s="2" t="s">
        <v>12032</v>
      </c>
      <c r="C7543" s="2" t="s">
        <v>23</v>
      </c>
      <c r="K7543" s="2">
        <v>150.0</v>
      </c>
      <c r="N7543" s="6">
        <v>44032.0</v>
      </c>
      <c r="Q7543" s="2" t="s">
        <v>12033</v>
      </c>
    </row>
    <row r="7544">
      <c r="A7544" s="2">
        <v>7543.0</v>
      </c>
      <c r="B7544" s="2" t="s">
        <v>12034</v>
      </c>
      <c r="C7544" s="2" t="s">
        <v>23</v>
      </c>
      <c r="K7544" s="2">
        <v>150.0</v>
      </c>
      <c r="N7544" s="6">
        <v>44098.0</v>
      </c>
      <c r="Q7544" s="2" t="s">
        <v>12035</v>
      </c>
    </row>
    <row r="7545">
      <c r="A7545" s="2">
        <v>7544.0</v>
      </c>
      <c r="B7545" s="2" t="s">
        <v>12036</v>
      </c>
      <c r="C7545" s="2" t="s">
        <v>23</v>
      </c>
      <c r="N7545" s="6">
        <v>45329.0</v>
      </c>
      <c r="Q7545" s="2" t="s">
        <v>1070</v>
      </c>
    </row>
    <row r="7546">
      <c r="A7546" s="2">
        <v>7545.0</v>
      </c>
      <c r="B7546" s="2" t="s">
        <v>12037</v>
      </c>
      <c r="C7546" s="2" t="s">
        <v>23</v>
      </c>
      <c r="K7546" s="2">
        <v>40.0</v>
      </c>
      <c r="N7546" s="6">
        <v>44624.0</v>
      </c>
      <c r="Q7546" s="2" t="s">
        <v>12038</v>
      </c>
    </row>
    <row r="7547">
      <c r="A7547" s="2">
        <v>7546.0</v>
      </c>
      <c r="B7547" s="2" t="s">
        <v>12039</v>
      </c>
      <c r="C7547" s="2" t="s">
        <v>23</v>
      </c>
      <c r="K7547" s="2">
        <v>30.0</v>
      </c>
      <c r="N7547" s="6">
        <v>44272.0</v>
      </c>
      <c r="Q7547" s="2" t="s">
        <v>86</v>
      </c>
    </row>
    <row r="7548">
      <c r="A7548" s="2">
        <v>7547.0</v>
      </c>
      <c r="B7548" s="2" t="s">
        <v>12040</v>
      </c>
      <c r="C7548" s="2" t="s">
        <v>23</v>
      </c>
      <c r="K7548" s="2">
        <v>30.0</v>
      </c>
      <c r="N7548" s="6">
        <v>45597.0</v>
      </c>
      <c r="Q7548" s="2" t="s">
        <v>2662</v>
      </c>
    </row>
    <row r="7549">
      <c r="A7549" s="2">
        <v>7548.0</v>
      </c>
      <c r="B7549" s="2" t="s">
        <v>12041</v>
      </c>
      <c r="C7549" s="2" t="s">
        <v>23</v>
      </c>
      <c r="N7549" s="6">
        <v>42282.0</v>
      </c>
      <c r="O7549" s="2" t="s">
        <v>560</v>
      </c>
      <c r="P7549" s="2" t="s">
        <v>36</v>
      </c>
      <c r="Q7549" s="2" t="s">
        <v>86</v>
      </c>
      <c r="S7549" s="2" t="s">
        <v>1660</v>
      </c>
    </row>
    <row r="7550">
      <c r="A7550" s="2">
        <v>7549.0</v>
      </c>
      <c r="B7550" s="2" t="s">
        <v>12042</v>
      </c>
      <c r="C7550" s="2" t="s">
        <v>23</v>
      </c>
      <c r="K7550" s="2">
        <v>40.0</v>
      </c>
      <c r="N7550" s="6">
        <v>44417.0</v>
      </c>
      <c r="Q7550" s="2" t="s">
        <v>7502</v>
      </c>
    </row>
    <row r="7551">
      <c r="A7551" s="2">
        <v>7550.0</v>
      </c>
      <c r="B7551" s="2" t="s">
        <v>12043</v>
      </c>
      <c r="C7551" s="2" t="s">
        <v>23</v>
      </c>
      <c r="K7551" s="2">
        <v>20.0</v>
      </c>
      <c r="N7551" s="6">
        <v>44380.0</v>
      </c>
      <c r="Q7551" s="2" t="s">
        <v>2483</v>
      </c>
    </row>
    <row r="7552">
      <c r="A7552" s="2">
        <v>7551.0</v>
      </c>
      <c r="B7552" s="2" t="s">
        <v>12044</v>
      </c>
      <c r="C7552" s="2" t="s">
        <v>23</v>
      </c>
      <c r="K7552" s="2">
        <v>20.0</v>
      </c>
      <c r="N7552" s="6">
        <v>44896.0</v>
      </c>
      <c r="Q7552" s="2" t="s">
        <v>86</v>
      </c>
    </row>
    <row r="7553">
      <c r="A7553" s="2">
        <v>7552.0</v>
      </c>
      <c r="B7553" s="2" t="s">
        <v>12045</v>
      </c>
      <c r="C7553" s="2" t="s">
        <v>23</v>
      </c>
      <c r="K7553" s="2">
        <v>20.0</v>
      </c>
      <c r="N7553" s="6">
        <v>43710.0</v>
      </c>
      <c r="Q7553" s="2" t="s">
        <v>1123</v>
      </c>
    </row>
    <row r="7554">
      <c r="A7554" s="2">
        <v>7553.0</v>
      </c>
      <c r="B7554" s="2" t="s">
        <v>12046</v>
      </c>
      <c r="C7554" s="2" t="s">
        <v>23</v>
      </c>
      <c r="N7554" s="6">
        <v>44506.0</v>
      </c>
      <c r="Q7554" s="2" t="s">
        <v>369</v>
      </c>
    </row>
    <row r="7555">
      <c r="A7555" s="2">
        <v>7554.0</v>
      </c>
      <c r="B7555" s="2" t="s">
        <v>12047</v>
      </c>
      <c r="C7555" s="2" t="s">
        <v>23</v>
      </c>
      <c r="K7555" s="2">
        <v>10.0</v>
      </c>
      <c r="N7555" s="6">
        <v>44072.0</v>
      </c>
      <c r="Q7555" s="2" t="s">
        <v>86</v>
      </c>
    </row>
    <row r="7556">
      <c r="A7556" s="2">
        <v>7555.0</v>
      </c>
      <c r="B7556" s="2" t="s">
        <v>12048</v>
      </c>
      <c r="C7556" s="2" t="s">
        <v>23</v>
      </c>
      <c r="K7556" s="2">
        <v>150.0</v>
      </c>
      <c r="N7556" s="6">
        <v>45275.0</v>
      </c>
      <c r="Q7556" s="2" t="s">
        <v>12049</v>
      </c>
    </row>
    <row r="7557">
      <c r="A7557" s="2">
        <v>7556.0</v>
      </c>
      <c r="B7557" s="2" t="s">
        <v>12050</v>
      </c>
      <c r="C7557" s="2" t="s">
        <v>23</v>
      </c>
      <c r="N7557" s="6">
        <v>44989.0</v>
      </c>
      <c r="Q7557" s="2" t="s">
        <v>12051</v>
      </c>
    </row>
    <row r="7558">
      <c r="A7558" s="2">
        <v>7557.0</v>
      </c>
      <c r="B7558" s="2" t="s">
        <v>12052</v>
      </c>
      <c r="C7558" s="2" t="s">
        <v>23</v>
      </c>
      <c r="N7558" s="6">
        <v>42958.0</v>
      </c>
      <c r="Q7558" s="2" t="s">
        <v>86</v>
      </c>
    </row>
    <row r="7559">
      <c r="A7559" s="2">
        <v>7558.0</v>
      </c>
      <c r="B7559" s="2" t="s">
        <v>12053</v>
      </c>
      <c r="C7559" s="2" t="s">
        <v>23</v>
      </c>
      <c r="K7559" s="2">
        <v>40.0</v>
      </c>
      <c r="N7559" s="6">
        <v>44640.0</v>
      </c>
      <c r="Q7559" s="2" t="s">
        <v>86</v>
      </c>
    </row>
    <row r="7560">
      <c r="A7560" s="2">
        <v>7559.0</v>
      </c>
      <c r="B7560" s="2" t="s">
        <v>12054</v>
      </c>
      <c r="C7560" s="2" t="s">
        <v>23</v>
      </c>
      <c r="N7560" s="6">
        <v>44152.0</v>
      </c>
      <c r="Q7560" s="2" t="s">
        <v>86</v>
      </c>
    </row>
    <row r="7561">
      <c r="A7561" s="2">
        <v>7560.0</v>
      </c>
      <c r="B7561" s="2" t="s">
        <v>12055</v>
      </c>
      <c r="C7561" s="2" t="s">
        <v>23</v>
      </c>
      <c r="K7561" s="2">
        <v>50.0</v>
      </c>
      <c r="N7561" s="6">
        <v>43633.0</v>
      </c>
      <c r="Q7561" s="2" t="s">
        <v>12056</v>
      </c>
    </row>
    <row r="7562">
      <c r="A7562" s="2">
        <v>7561.0</v>
      </c>
      <c r="B7562" s="2" t="s">
        <v>12057</v>
      </c>
      <c r="C7562" s="2" t="s">
        <v>23</v>
      </c>
      <c r="N7562" s="6">
        <v>44435.0</v>
      </c>
      <c r="Q7562" s="2" t="s">
        <v>86</v>
      </c>
    </row>
    <row r="7563">
      <c r="A7563" s="2">
        <v>7562.0</v>
      </c>
      <c r="B7563" s="2" t="s">
        <v>12058</v>
      </c>
      <c r="C7563" s="2" t="s">
        <v>23</v>
      </c>
      <c r="N7563" s="6">
        <v>42595.0</v>
      </c>
      <c r="Q7563" s="2" t="s">
        <v>86</v>
      </c>
    </row>
    <row r="7564">
      <c r="A7564" s="2">
        <v>7563.0</v>
      </c>
      <c r="B7564" s="2" t="s">
        <v>12059</v>
      </c>
      <c r="C7564" s="2" t="s">
        <v>23</v>
      </c>
      <c r="K7564" s="2">
        <v>80.0</v>
      </c>
      <c r="N7564" s="6">
        <v>44834.0</v>
      </c>
      <c r="Q7564" s="2" t="s">
        <v>86</v>
      </c>
    </row>
    <row r="7565">
      <c r="A7565" s="2">
        <v>7564.0</v>
      </c>
      <c r="B7565" s="2" t="s">
        <v>12060</v>
      </c>
      <c r="C7565" s="2" t="s">
        <v>23</v>
      </c>
      <c r="K7565" s="2">
        <v>60.0</v>
      </c>
      <c r="N7565" s="6">
        <v>44053.0</v>
      </c>
      <c r="Q7565" s="2" t="s">
        <v>1466</v>
      </c>
    </row>
    <row r="7566">
      <c r="A7566" s="2">
        <v>7565.0</v>
      </c>
      <c r="B7566" s="2" t="s">
        <v>12061</v>
      </c>
      <c r="C7566" s="2" t="s">
        <v>23</v>
      </c>
      <c r="K7566" s="2">
        <v>60.0</v>
      </c>
      <c r="N7566" s="6">
        <v>45288.0</v>
      </c>
      <c r="Q7566" s="2" t="s">
        <v>12062</v>
      </c>
    </row>
    <row r="7567">
      <c r="A7567" s="2">
        <v>7566.0</v>
      </c>
      <c r="B7567" s="2" t="s">
        <v>12063</v>
      </c>
      <c r="C7567" s="2" t="s">
        <v>23</v>
      </c>
      <c r="K7567" s="2">
        <v>10.0</v>
      </c>
      <c r="N7567" s="6">
        <v>42574.0</v>
      </c>
      <c r="Q7567" s="2" t="s">
        <v>12064</v>
      </c>
    </row>
    <row r="7568">
      <c r="A7568" s="2">
        <v>7567.0</v>
      </c>
      <c r="B7568" s="2" t="s">
        <v>12065</v>
      </c>
      <c r="C7568" s="2" t="s">
        <v>23</v>
      </c>
      <c r="K7568" s="2">
        <v>10.0</v>
      </c>
      <c r="N7568" s="6">
        <v>45600.0</v>
      </c>
      <c r="Q7568" s="2" t="s">
        <v>12066</v>
      </c>
    </row>
    <row r="7569">
      <c r="A7569" s="2">
        <v>7568.0</v>
      </c>
      <c r="B7569" s="2" t="s">
        <v>12067</v>
      </c>
      <c r="C7569" s="2" t="s">
        <v>23</v>
      </c>
      <c r="K7569" s="2">
        <v>90.0</v>
      </c>
      <c r="N7569" s="6">
        <v>44680.0</v>
      </c>
      <c r="Q7569" s="2" t="s">
        <v>12068</v>
      </c>
    </row>
    <row r="7570">
      <c r="A7570" s="2">
        <v>7569.0</v>
      </c>
      <c r="B7570" s="2" t="s">
        <v>12069</v>
      </c>
      <c r="C7570" s="2" t="s">
        <v>23</v>
      </c>
      <c r="K7570" s="2">
        <v>10.0</v>
      </c>
      <c r="N7570" s="6">
        <v>42571.0</v>
      </c>
      <c r="Q7570" s="2" t="s">
        <v>12070</v>
      </c>
    </row>
    <row r="7571">
      <c r="A7571" s="2">
        <v>7570.0</v>
      </c>
      <c r="B7571" s="2" t="s">
        <v>12071</v>
      </c>
      <c r="C7571" s="2" t="s">
        <v>23</v>
      </c>
      <c r="N7571" s="6">
        <v>45531.0</v>
      </c>
      <c r="Q7571" s="2" t="s">
        <v>9323</v>
      </c>
    </row>
    <row r="7572">
      <c r="A7572" s="2">
        <v>7571.0</v>
      </c>
      <c r="B7572" s="2" t="s">
        <v>12072</v>
      </c>
      <c r="C7572" s="2" t="s">
        <v>23</v>
      </c>
      <c r="K7572" s="2">
        <v>20.0</v>
      </c>
      <c r="N7572" s="6">
        <v>44027.0</v>
      </c>
      <c r="Q7572" s="2" t="s">
        <v>12073</v>
      </c>
    </row>
    <row r="7573">
      <c r="A7573" s="2">
        <v>7572.0</v>
      </c>
      <c r="B7573" s="2" t="s">
        <v>12074</v>
      </c>
      <c r="C7573" s="2" t="s">
        <v>23</v>
      </c>
      <c r="K7573" s="2">
        <v>10.0</v>
      </c>
      <c r="N7573" s="6">
        <v>44038.0</v>
      </c>
      <c r="Q7573" s="2" t="s">
        <v>86</v>
      </c>
    </row>
    <row r="7574">
      <c r="A7574" s="2">
        <v>7573.0</v>
      </c>
      <c r="B7574" s="2" t="s">
        <v>12075</v>
      </c>
      <c r="C7574" s="2" t="s">
        <v>23</v>
      </c>
      <c r="K7574" s="2">
        <v>300.0</v>
      </c>
      <c r="N7574" s="6">
        <v>43936.0</v>
      </c>
      <c r="Q7574" s="2" t="s">
        <v>12076</v>
      </c>
    </row>
    <row r="7575">
      <c r="A7575" s="2">
        <v>7574.0</v>
      </c>
      <c r="B7575" s="2" t="s">
        <v>12077</v>
      </c>
      <c r="C7575" s="2" t="s">
        <v>23</v>
      </c>
      <c r="K7575" s="2">
        <v>150.0</v>
      </c>
      <c r="N7575" s="6">
        <v>45626.0</v>
      </c>
      <c r="Q7575" s="2" t="s">
        <v>12078</v>
      </c>
    </row>
    <row r="7576">
      <c r="A7576" s="2">
        <v>7575.0</v>
      </c>
      <c r="B7576" s="2" t="s">
        <v>12079</v>
      </c>
      <c r="C7576" s="2" t="s">
        <v>23</v>
      </c>
      <c r="N7576" s="6">
        <v>44732.0</v>
      </c>
      <c r="Q7576" s="2" t="s">
        <v>12080</v>
      </c>
    </row>
    <row r="7577">
      <c r="A7577" s="2">
        <v>7576.0</v>
      </c>
      <c r="B7577" s="2" t="s">
        <v>12081</v>
      </c>
      <c r="C7577" s="2" t="s">
        <v>23</v>
      </c>
      <c r="K7577" s="2">
        <v>20.0</v>
      </c>
      <c r="N7577" s="6">
        <v>44107.0</v>
      </c>
      <c r="Q7577" s="2" t="s">
        <v>86</v>
      </c>
    </row>
    <row r="7578">
      <c r="A7578" s="2">
        <v>7577.0</v>
      </c>
      <c r="B7578" s="2" t="s">
        <v>12082</v>
      </c>
      <c r="C7578" s="2" t="s">
        <v>23</v>
      </c>
      <c r="K7578" s="2">
        <v>30.0</v>
      </c>
      <c r="N7578" s="6">
        <v>44746.0</v>
      </c>
      <c r="Q7578" s="2" t="s">
        <v>3213</v>
      </c>
    </row>
    <row r="7579">
      <c r="A7579" s="2">
        <v>7578.0</v>
      </c>
      <c r="B7579" s="2" t="s">
        <v>12083</v>
      </c>
      <c r="C7579" s="2" t="s">
        <v>23</v>
      </c>
      <c r="K7579" s="2">
        <v>10.0</v>
      </c>
      <c r="N7579" s="6">
        <v>45033.0</v>
      </c>
      <c r="Q7579" s="2" t="s">
        <v>12084</v>
      </c>
    </row>
    <row r="7580">
      <c r="A7580" s="2">
        <v>7579.0</v>
      </c>
      <c r="B7580" s="2" t="s">
        <v>12085</v>
      </c>
      <c r="C7580" s="2" t="s">
        <v>23</v>
      </c>
      <c r="K7580" s="2">
        <v>250.0</v>
      </c>
      <c r="N7580" s="6">
        <v>43865.0</v>
      </c>
      <c r="Q7580" s="2" t="s">
        <v>12086</v>
      </c>
    </row>
    <row r="7581">
      <c r="A7581" s="2">
        <v>7580.0</v>
      </c>
      <c r="B7581" s="2" t="s">
        <v>12087</v>
      </c>
      <c r="C7581" s="2" t="s">
        <v>23</v>
      </c>
      <c r="K7581" s="2">
        <v>150.0</v>
      </c>
      <c r="N7581" s="6">
        <v>43927.0</v>
      </c>
      <c r="Q7581" s="2" t="s">
        <v>12088</v>
      </c>
    </row>
    <row r="7582">
      <c r="A7582" s="2">
        <v>7581.0</v>
      </c>
      <c r="B7582" s="2" t="s">
        <v>12089</v>
      </c>
      <c r="C7582" s="2" t="s">
        <v>23</v>
      </c>
      <c r="K7582" s="2">
        <v>40.0</v>
      </c>
      <c r="N7582" s="6">
        <v>44614.0</v>
      </c>
      <c r="Q7582" s="2" t="s">
        <v>3476</v>
      </c>
    </row>
    <row r="7583">
      <c r="A7583" s="2">
        <v>7582.0</v>
      </c>
      <c r="B7583" s="2" t="s">
        <v>12090</v>
      </c>
      <c r="C7583" s="2" t="s">
        <v>23</v>
      </c>
      <c r="K7583" s="2">
        <v>10.0</v>
      </c>
      <c r="N7583" s="6">
        <v>44018.0</v>
      </c>
      <c r="Q7583" s="2" t="s">
        <v>86</v>
      </c>
    </row>
    <row r="7584">
      <c r="A7584" s="2">
        <v>7583.0</v>
      </c>
      <c r="B7584" s="2" t="s">
        <v>12091</v>
      </c>
      <c r="C7584" s="2" t="s">
        <v>23</v>
      </c>
      <c r="K7584" s="2">
        <v>60.0</v>
      </c>
      <c r="N7584" s="6">
        <v>45252.0</v>
      </c>
      <c r="Q7584" s="2" t="s">
        <v>12092</v>
      </c>
    </row>
    <row r="7585">
      <c r="A7585" s="2">
        <v>7584.0</v>
      </c>
      <c r="B7585" s="2" t="s">
        <v>12093</v>
      </c>
      <c r="C7585" s="2" t="s">
        <v>23</v>
      </c>
      <c r="N7585" s="6">
        <v>44166.0</v>
      </c>
      <c r="Q7585" s="2" t="s">
        <v>1466</v>
      </c>
    </row>
    <row r="7586">
      <c r="A7586" s="2">
        <v>7585.0</v>
      </c>
      <c r="B7586" s="2" t="s">
        <v>12094</v>
      </c>
      <c r="C7586" s="2" t="s">
        <v>23</v>
      </c>
      <c r="K7586" s="2">
        <v>70.0</v>
      </c>
      <c r="N7586" s="6">
        <v>43973.0</v>
      </c>
      <c r="Q7586" s="2" t="s">
        <v>2549</v>
      </c>
    </row>
    <row r="7587">
      <c r="A7587" s="2">
        <v>7586.0</v>
      </c>
      <c r="B7587" s="2" t="s">
        <v>12095</v>
      </c>
      <c r="C7587" s="2" t="s">
        <v>23</v>
      </c>
      <c r="K7587" s="2">
        <v>200.0</v>
      </c>
      <c r="N7587" s="6">
        <v>44350.0</v>
      </c>
      <c r="Q7587" s="2" t="s">
        <v>12096</v>
      </c>
    </row>
    <row r="7588">
      <c r="A7588" s="2">
        <v>7587.0</v>
      </c>
      <c r="B7588" s="2" t="s">
        <v>12097</v>
      </c>
      <c r="C7588" s="2" t="s">
        <v>23</v>
      </c>
      <c r="N7588" s="6">
        <v>43933.0</v>
      </c>
      <c r="Q7588" s="2" t="s">
        <v>546</v>
      </c>
    </row>
    <row r="7589">
      <c r="A7589" s="2">
        <v>7588.0</v>
      </c>
      <c r="B7589" s="2" t="s">
        <v>12098</v>
      </c>
      <c r="C7589" s="2" t="s">
        <v>23</v>
      </c>
      <c r="K7589" s="2">
        <v>20.0</v>
      </c>
      <c r="N7589" s="6">
        <v>43916.0</v>
      </c>
      <c r="Q7589" s="2" t="s">
        <v>12099</v>
      </c>
    </row>
    <row r="7590">
      <c r="A7590" s="2">
        <v>7589.0</v>
      </c>
      <c r="B7590" s="2" t="s">
        <v>12100</v>
      </c>
      <c r="C7590" s="2" t="s">
        <v>23</v>
      </c>
      <c r="K7590" s="2">
        <v>30.0</v>
      </c>
      <c r="N7590" s="6">
        <v>45751.0</v>
      </c>
      <c r="Q7590" s="2" t="s">
        <v>2032</v>
      </c>
    </row>
    <row r="7591">
      <c r="A7591" s="2">
        <v>7590.0</v>
      </c>
      <c r="B7591" s="2" t="s">
        <v>12101</v>
      </c>
      <c r="C7591" s="2" t="s">
        <v>23</v>
      </c>
      <c r="K7591" s="2">
        <v>10.0</v>
      </c>
      <c r="N7591" s="6">
        <v>43874.0</v>
      </c>
      <c r="Q7591" s="2" t="s">
        <v>12102</v>
      </c>
    </row>
    <row r="7592">
      <c r="A7592" s="2">
        <v>7591.0</v>
      </c>
      <c r="B7592" s="2" t="s">
        <v>12103</v>
      </c>
      <c r="C7592" s="2" t="s">
        <v>23</v>
      </c>
      <c r="K7592" s="2">
        <v>30.0</v>
      </c>
      <c r="N7592" s="6">
        <v>45277.0</v>
      </c>
      <c r="Q7592" s="2" t="s">
        <v>3978</v>
      </c>
    </row>
    <row r="7593">
      <c r="A7593" s="2">
        <v>7592.0</v>
      </c>
      <c r="B7593" s="2" t="s">
        <v>12104</v>
      </c>
      <c r="C7593" s="2" t="s">
        <v>23</v>
      </c>
      <c r="K7593" s="2">
        <v>50.0</v>
      </c>
      <c r="N7593" s="6">
        <v>45111.0</v>
      </c>
      <c r="Q7593" s="2" t="s">
        <v>12105</v>
      </c>
    </row>
    <row r="7594">
      <c r="A7594" s="2">
        <v>7593.0</v>
      </c>
      <c r="B7594" s="2" t="s">
        <v>12106</v>
      </c>
      <c r="C7594" s="2" t="s">
        <v>23</v>
      </c>
      <c r="N7594" s="6">
        <v>42655.0</v>
      </c>
      <c r="Q7594" s="2" t="s">
        <v>86</v>
      </c>
    </row>
    <row r="7595">
      <c r="A7595" s="2">
        <v>7594.0</v>
      </c>
      <c r="B7595" s="2" t="s">
        <v>12107</v>
      </c>
      <c r="C7595" s="2" t="s">
        <v>23</v>
      </c>
      <c r="N7595" s="6">
        <v>45429.0</v>
      </c>
      <c r="Q7595" s="2" t="s">
        <v>86</v>
      </c>
    </row>
    <row r="7596">
      <c r="A7596" s="2">
        <v>7595.0</v>
      </c>
      <c r="B7596" s="2" t="s">
        <v>12108</v>
      </c>
      <c r="C7596" s="2" t="s">
        <v>23</v>
      </c>
      <c r="N7596" s="6">
        <v>43378.0</v>
      </c>
      <c r="Q7596" s="2" t="s">
        <v>86</v>
      </c>
    </row>
    <row r="7597">
      <c r="A7597" s="2">
        <v>7596.0</v>
      </c>
      <c r="B7597" s="2" t="s">
        <v>12109</v>
      </c>
      <c r="C7597" s="2" t="s">
        <v>23</v>
      </c>
      <c r="K7597" s="2">
        <v>100.0</v>
      </c>
      <c r="N7597" s="6">
        <v>45626.0</v>
      </c>
      <c r="Q7597" s="2" t="s">
        <v>5054</v>
      </c>
    </row>
    <row r="7598">
      <c r="A7598" s="2">
        <v>7597.0</v>
      </c>
      <c r="B7598" s="2" t="s">
        <v>12110</v>
      </c>
      <c r="C7598" s="2" t="s">
        <v>23</v>
      </c>
      <c r="K7598" s="2">
        <v>70.0</v>
      </c>
      <c r="N7598" s="6">
        <v>44566.0</v>
      </c>
      <c r="Q7598" s="2" t="s">
        <v>12111</v>
      </c>
    </row>
    <row r="7599">
      <c r="A7599" s="2">
        <v>7598.0</v>
      </c>
      <c r="B7599" s="2" t="s">
        <v>12112</v>
      </c>
      <c r="C7599" s="2" t="s">
        <v>23</v>
      </c>
      <c r="N7599" s="6">
        <v>44933.0</v>
      </c>
      <c r="Q7599" s="2" t="s">
        <v>86</v>
      </c>
    </row>
    <row r="7600">
      <c r="A7600" s="2">
        <v>7599.0</v>
      </c>
      <c r="B7600" s="2" t="s">
        <v>12113</v>
      </c>
      <c r="C7600" s="2" t="s">
        <v>23</v>
      </c>
      <c r="N7600" s="6">
        <v>44385.0</v>
      </c>
      <c r="Q7600" s="2" t="s">
        <v>86</v>
      </c>
    </row>
    <row r="7601">
      <c r="A7601" s="2">
        <v>7600.0</v>
      </c>
      <c r="B7601" s="2" t="s">
        <v>12114</v>
      </c>
      <c r="C7601" s="2" t="s">
        <v>23</v>
      </c>
      <c r="K7601" s="2">
        <v>250.0</v>
      </c>
      <c r="N7601" s="6">
        <v>43851.0</v>
      </c>
      <c r="Q7601" s="2" t="s">
        <v>12115</v>
      </c>
    </row>
    <row r="7602">
      <c r="A7602" s="2">
        <v>7601.0</v>
      </c>
      <c r="B7602" s="2" t="s">
        <v>12116</v>
      </c>
      <c r="C7602" s="2" t="s">
        <v>23</v>
      </c>
      <c r="K7602" s="2">
        <v>150.0</v>
      </c>
      <c r="N7602" s="6">
        <v>45564.0</v>
      </c>
      <c r="Q7602" s="2" t="s">
        <v>12117</v>
      </c>
    </row>
    <row r="7603">
      <c r="A7603" s="2">
        <v>7602.0</v>
      </c>
      <c r="B7603" s="2" t="s">
        <v>12118</v>
      </c>
      <c r="C7603" s="2" t="s">
        <v>23</v>
      </c>
      <c r="K7603" s="2">
        <v>50.0</v>
      </c>
      <c r="N7603" s="6">
        <v>46013.0</v>
      </c>
      <c r="Q7603" s="2" t="s">
        <v>12119</v>
      </c>
    </row>
    <row r="7604">
      <c r="A7604" s="2">
        <v>7603.0</v>
      </c>
      <c r="B7604" s="2" t="s">
        <v>12120</v>
      </c>
      <c r="C7604" s="2" t="s">
        <v>23</v>
      </c>
      <c r="K7604" s="2">
        <v>10.0</v>
      </c>
      <c r="N7604" s="6">
        <v>44115.0</v>
      </c>
      <c r="Q7604" s="2" t="s">
        <v>1249</v>
      </c>
    </row>
    <row r="7605">
      <c r="A7605" s="2">
        <v>7604.0</v>
      </c>
      <c r="B7605" s="2" t="s">
        <v>12121</v>
      </c>
      <c r="C7605" s="2" t="s">
        <v>23</v>
      </c>
      <c r="K7605" s="2">
        <v>50.0</v>
      </c>
      <c r="N7605" s="6">
        <v>45629.0</v>
      </c>
      <c r="Q7605" s="2" t="s">
        <v>2393</v>
      </c>
    </row>
    <row r="7606">
      <c r="A7606" s="2">
        <v>7605.0</v>
      </c>
      <c r="B7606" s="2" t="s">
        <v>12122</v>
      </c>
      <c r="C7606" s="2" t="s">
        <v>23</v>
      </c>
      <c r="K7606" s="2">
        <v>200.0</v>
      </c>
      <c r="N7606" s="6">
        <v>44198.0</v>
      </c>
      <c r="Q7606" s="2" t="s">
        <v>3495</v>
      </c>
    </row>
    <row r="7607">
      <c r="A7607" s="2">
        <v>7606.0</v>
      </c>
      <c r="B7607" s="2" t="s">
        <v>12123</v>
      </c>
      <c r="C7607" s="2" t="s">
        <v>23</v>
      </c>
      <c r="N7607" s="6">
        <v>44373.0</v>
      </c>
      <c r="Q7607" s="2" t="s">
        <v>86</v>
      </c>
    </row>
    <row r="7608">
      <c r="A7608" s="2">
        <v>7607.0</v>
      </c>
      <c r="B7608" s="2" t="s">
        <v>12124</v>
      </c>
      <c r="C7608" s="2" t="s">
        <v>23</v>
      </c>
      <c r="K7608" s="2">
        <v>30.0</v>
      </c>
      <c r="N7608" s="6">
        <v>45541.0</v>
      </c>
      <c r="Q7608" s="2" t="s">
        <v>12125</v>
      </c>
    </row>
    <row r="7609">
      <c r="A7609" s="2">
        <v>7608.0</v>
      </c>
      <c r="B7609" s="2" t="s">
        <v>12126</v>
      </c>
      <c r="C7609" s="2" t="s">
        <v>23</v>
      </c>
      <c r="K7609" s="2">
        <v>20.0</v>
      </c>
      <c r="N7609" s="6">
        <v>44194.0</v>
      </c>
      <c r="Q7609" s="2" t="s">
        <v>86</v>
      </c>
    </row>
    <row r="7610">
      <c r="A7610" s="2">
        <v>7609.0</v>
      </c>
      <c r="B7610" s="2" t="s">
        <v>12127</v>
      </c>
      <c r="C7610" s="2" t="s">
        <v>23</v>
      </c>
      <c r="N7610" s="6">
        <v>45092.0</v>
      </c>
      <c r="Q7610" s="2" t="s">
        <v>2672</v>
      </c>
    </row>
    <row r="7611">
      <c r="A7611" s="2">
        <v>7610.0</v>
      </c>
      <c r="B7611" s="2" t="s">
        <v>12128</v>
      </c>
      <c r="C7611" s="2" t="s">
        <v>23</v>
      </c>
      <c r="K7611" s="2">
        <v>200.0</v>
      </c>
      <c r="N7611" s="6">
        <v>43695.0</v>
      </c>
      <c r="Q7611" s="2" t="s">
        <v>12129</v>
      </c>
    </row>
    <row r="7612">
      <c r="A7612" s="2">
        <v>7611.0</v>
      </c>
      <c r="B7612" s="2" t="s">
        <v>12130</v>
      </c>
      <c r="C7612" s="2" t="s">
        <v>23</v>
      </c>
      <c r="N7612" s="6">
        <v>44664.0</v>
      </c>
      <c r="Q7612" s="2" t="s">
        <v>12131</v>
      </c>
    </row>
    <row r="7613">
      <c r="A7613" s="2">
        <v>7612.0</v>
      </c>
      <c r="B7613" s="2" t="s">
        <v>12132</v>
      </c>
      <c r="C7613" s="2" t="s">
        <v>23</v>
      </c>
      <c r="K7613" s="2">
        <v>20.0</v>
      </c>
      <c r="N7613" s="6">
        <v>44326.0</v>
      </c>
      <c r="Q7613" s="2" t="s">
        <v>2604</v>
      </c>
    </row>
    <row r="7614">
      <c r="A7614" s="2">
        <v>7613.0</v>
      </c>
      <c r="B7614" s="2" t="s">
        <v>12133</v>
      </c>
      <c r="C7614" s="2" t="s">
        <v>23</v>
      </c>
      <c r="K7614" s="2">
        <v>30.0</v>
      </c>
      <c r="N7614" s="6">
        <v>45307.0</v>
      </c>
      <c r="Q7614" s="2" t="s">
        <v>12134</v>
      </c>
    </row>
    <row r="7615">
      <c r="A7615" s="2">
        <v>7614.0</v>
      </c>
      <c r="B7615" s="2" t="s">
        <v>12135</v>
      </c>
      <c r="C7615" s="2" t="s">
        <v>23</v>
      </c>
      <c r="N7615" s="6">
        <v>44294.0</v>
      </c>
      <c r="Q7615" s="2" t="s">
        <v>86</v>
      </c>
    </row>
    <row r="7616">
      <c r="A7616" s="2">
        <v>7615.0</v>
      </c>
      <c r="B7616" s="2" t="s">
        <v>12136</v>
      </c>
      <c r="C7616" s="2" t="s">
        <v>23</v>
      </c>
      <c r="K7616" s="2">
        <v>150.0</v>
      </c>
      <c r="N7616" s="6">
        <v>43877.0</v>
      </c>
      <c r="Q7616" s="2" t="s">
        <v>12137</v>
      </c>
    </row>
    <row r="7617">
      <c r="A7617" s="2">
        <v>7616.0</v>
      </c>
      <c r="B7617" s="2" t="s">
        <v>12138</v>
      </c>
      <c r="C7617" s="2" t="s">
        <v>23</v>
      </c>
      <c r="N7617" s="6">
        <v>45534.0</v>
      </c>
      <c r="Q7617" s="2" t="s">
        <v>2604</v>
      </c>
    </row>
    <row r="7618">
      <c r="A7618" s="2">
        <v>7617.0</v>
      </c>
      <c r="B7618" s="2" t="s">
        <v>12139</v>
      </c>
      <c r="C7618" s="2" t="s">
        <v>23</v>
      </c>
      <c r="K7618" s="2">
        <v>10.0</v>
      </c>
      <c r="N7618" s="6">
        <v>45031.0</v>
      </c>
      <c r="Q7618" s="2" t="s">
        <v>86</v>
      </c>
    </row>
    <row r="7619">
      <c r="A7619" s="2">
        <v>7618.0</v>
      </c>
      <c r="B7619" s="2" t="s">
        <v>12140</v>
      </c>
      <c r="C7619" s="2" t="s">
        <v>23</v>
      </c>
      <c r="N7619" s="6">
        <v>42358.0</v>
      </c>
      <c r="Q7619" s="2" t="s">
        <v>86</v>
      </c>
    </row>
    <row r="7620">
      <c r="A7620" s="2">
        <v>7619.0</v>
      </c>
      <c r="B7620" s="2" t="s">
        <v>12141</v>
      </c>
      <c r="C7620" s="2" t="s">
        <v>23</v>
      </c>
      <c r="K7620" s="2">
        <v>10.0</v>
      </c>
      <c r="N7620" s="6">
        <v>42264.0</v>
      </c>
      <c r="Q7620" s="2" t="s">
        <v>12142</v>
      </c>
    </row>
    <row r="7621">
      <c r="A7621" s="2">
        <v>7620.0</v>
      </c>
      <c r="B7621" s="2" t="s">
        <v>12143</v>
      </c>
      <c r="C7621" s="2" t="s">
        <v>23</v>
      </c>
      <c r="N7621" s="6">
        <v>46002.0</v>
      </c>
      <c r="Q7621" s="2" t="s">
        <v>12144</v>
      </c>
    </row>
    <row r="7622">
      <c r="A7622" s="2">
        <v>7621.0</v>
      </c>
      <c r="B7622" s="2" t="s">
        <v>12145</v>
      </c>
      <c r="C7622" s="2" t="s">
        <v>23</v>
      </c>
      <c r="N7622" s="6">
        <v>42675.0</v>
      </c>
      <c r="Q7622" s="2" t="s">
        <v>12146</v>
      </c>
    </row>
    <row r="7623">
      <c r="A7623" s="2">
        <v>7622.0</v>
      </c>
      <c r="B7623" s="2" t="s">
        <v>12147</v>
      </c>
      <c r="C7623" s="2" t="s">
        <v>23</v>
      </c>
      <c r="N7623" s="6">
        <v>43612.0</v>
      </c>
      <c r="Q7623" s="2" t="s">
        <v>86</v>
      </c>
    </row>
    <row r="7624">
      <c r="A7624" s="2">
        <v>7623.0</v>
      </c>
      <c r="B7624" s="2" t="s">
        <v>12148</v>
      </c>
      <c r="C7624" s="2" t="s">
        <v>23</v>
      </c>
      <c r="K7624" s="2">
        <v>150.0</v>
      </c>
      <c r="N7624" s="6">
        <v>44565.0</v>
      </c>
      <c r="Q7624" s="2" t="s">
        <v>86</v>
      </c>
    </row>
    <row r="7625">
      <c r="A7625" s="2">
        <v>7624.0</v>
      </c>
      <c r="B7625" s="2" t="s">
        <v>12149</v>
      </c>
      <c r="C7625" s="2" t="s">
        <v>23</v>
      </c>
      <c r="K7625" s="2">
        <v>200.0</v>
      </c>
      <c r="N7625" s="6">
        <v>43952.0</v>
      </c>
      <c r="Q7625" s="2" t="s">
        <v>86</v>
      </c>
    </row>
    <row r="7626">
      <c r="A7626" s="2">
        <v>7625.0</v>
      </c>
      <c r="B7626" s="2" t="s">
        <v>12150</v>
      </c>
      <c r="C7626" s="2" t="s">
        <v>23</v>
      </c>
      <c r="K7626" s="2">
        <v>20.0</v>
      </c>
      <c r="N7626" s="6">
        <v>44465.0</v>
      </c>
      <c r="Q7626" s="2" t="s">
        <v>3232</v>
      </c>
    </row>
    <row r="7627">
      <c r="A7627" s="2">
        <v>7626.0</v>
      </c>
      <c r="B7627" s="2" t="s">
        <v>12151</v>
      </c>
      <c r="C7627" s="2" t="s">
        <v>23</v>
      </c>
      <c r="K7627" s="2">
        <v>10.0</v>
      </c>
      <c r="N7627" s="6">
        <v>45405.0</v>
      </c>
      <c r="Q7627" s="2" t="s">
        <v>1116</v>
      </c>
    </row>
    <row r="7628">
      <c r="A7628" s="2">
        <v>7627.0</v>
      </c>
      <c r="B7628" s="2" t="s">
        <v>12152</v>
      </c>
      <c r="C7628" s="2" t="s">
        <v>23</v>
      </c>
      <c r="K7628" s="2">
        <v>200.0</v>
      </c>
      <c r="N7628" s="6">
        <v>43925.0</v>
      </c>
      <c r="Q7628" s="2" t="s">
        <v>12153</v>
      </c>
    </row>
    <row r="7629">
      <c r="A7629" s="2">
        <v>7628.0</v>
      </c>
      <c r="B7629" s="2" t="s">
        <v>12154</v>
      </c>
      <c r="C7629" s="2" t="s">
        <v>23</v>
      </c>
      <c r="K7629" s="2">
        <v>30.0</v>
      </c>
      <c r="N7629" s="6">
        <v>43860.0</v>
      </c>
      <c r="Q7629" s="2" t="s">
        <v>12155</v>
      </c>
    </row>
    <row r="7630">
      <c r="A7630" s="2">
        <v>7629.0</v>
      </c>
      <c r="B7630" s="2" t="s">
        <v>12156</v>
      </c>
      <c r="C7630" s="2" t="s">
        <v>23</v>
      </c>
      <c r="N7630" s="6">
        <v>44329.0</v>
      </c>
      <c r="Q7630" s="2" t="s">
        <v>86</v>
      </c>
    </row>
    <row r="7631">
      <c r="A7631" s="2">
        <v>7630.0</v>
      </c>
      <c r="B7631" s="2" t="s">
        <v>12157</v>
      </c>
      <c r="C7631" s="2" t="s">
        <v>23</v>
      </c>
      <c r="K7631" s="2">
        <v>60.0</v>
      </c>
      <c r="N7631" s="6">
        <v>45772.0</v>
      </c>
      <c r="Q7631" s="2" t="s">
        <v>1580</v>
      </c>
    </row>
    <row r="7632">
      <c r="A7632" s="2">
        <v>7631.0</v>
      </c>
      <c r="B7632" s="2" t="s">
        <v>12158</v>
      </c>
      <c r="C7632" s="2" t="s">
        <v>23</v>
      </c>
      <c r="K7632" s="2">
        <v>10.0</v>
      </c>
      <c r="N7632" s="6">
        <v>43958.0</v>
      </c>
      <c r="Q7632" s="2" t="s">
        <v>12159</v>
      </c>
    </row>
    <row r="7633">
      <c r="A7633" s="2">
        <v>7632.0</v>
      </c>
      <c r="B7633" s="2" t="s">
        <v>12160</v>
      </c>
      <c r="C7633" s="2" t="s">
        <v>23</v>
      </c>
      <c r="K7633" s="2">
        <v>80.0</v>
      </c>
      <c r="N7633" s="6">
        <v>45745.0</v>
      </c>
      <c r="Q7633" s="2" t="s">
        <v>12161</v>
      </c>
    </row>
    <row r="7634">
      <c r="A7634" s="2">
        <v>7633.0</v>
      </c>
      <c r="B7634" s="2" t="s">
        <v>12162</v>
      </c>
      <c r="C7634" s="2" t="s">
        <v>23</v>
      </c>
      <c r="N7634" s="6">
        <v>44518.0</v>
      </c>
      <c r="Q7634" s="2" t="s">
        <v>426</v>
      </c>
    </row>
    <row r="7635">
      <c r="A7635" s="2">
        <v>7634.0</v>
      </c>
      <c r="B7635" s="2" t="s">
        <v>12163</v>
      </c>
      <c r="C7635" s="2" t="s">
        <v>23</v>
      </c>
      <c r="K7635" s="2">
        <v>250.0</v>
      </c>
      <c r="N7635" s="6">
        <v>44027.0</v>
      </c>
      <c r="Q7635" s="2" t="s">
        <v>12164</v>
      </c>
    </row>
    <row r="7636">
      <c r="A7636" s="2">
        <v>7635.0</v>
      </c>
      <c r="B7636" s="2" t="s">
        <v>12165</v>
      </c>
      <c r="C7636" s="2" t="s">
        <v>23</v>
      </c>
      <c r="N7636" s="6">
        <v>46070.0</v>
      </c>
      <c r="Q7636" s="2" t="s">
        <v>12166</v>
      </c>
    </row>
    <row r="7637">
      <c r="A7637" s="2">
        <v>7636.0</v>
      </c>
      <c r="B7637" s="2" t="s">
        <v>12167</v>
      </c>
      <c r="C7637" s="2" t="s">
        <v>23</v>
      </c>
      <c r="N7637" s="6">
        <v>43934.0</v>
      </c>
      <c r="Q7637" s="2" t="s">
        <v>3770</v>
      </c>
    </row>
    <row r="7638">
      <c r="A7638" s="2">
        <v>7637.0</v>
      </c>
      <c r="B7638" s="2" t="s">
        <v>12168</v>
      </c>
      <c r="C7638" s="2" t="s">
        <v>23</v>
      </c>
      <c r="K7638" s="2">
        <v>10.0</v>
      </c>
      <c r="N7638" s="6">
        <v>42452.0</v>
      </c>
      <c r="Q7638" s="2" t="s">
        <v>12169</v>
      </c>
    </row>
    <row r="7639">
      <c r="A7639" s="2">
        <v>7638.0</v>
      </c>
      <c r="B7639" s="2" t="s">
        <v>12170</v>
      </c>
      <c r="C7639" s="2" t="s">
        <v>23</v>
      </c>
      <c r="K7639" s="2">
        <v>40.0</v>
      </c>
      <c r="N7639" s="6">
        <v>44031.0</v>
      </c>
      <c r="Q7639" s="2" t="s">
        <v>12171</v>
      </c>
    </row>
    <row r="7640">
      <c r="A7640" s="2">
        <v>7639.0</v>
      </c>
      <c r="B7640" s="2" t="s">
        <v>12172</v>
      </c>
      <c r="C7640" s="2" t="s">
        <v>23</v>
      </c>
      <c r="K7640" s="2">
        <v>40.0</v>
      </c>
      <c r="N7640" s="6">
        <v>44004.0</v>
      </c>
      <c r="Q7640" s="2" t="s">
        <v>86</v>
      </c>
    </row>
    <row r="7641">
      <c r="A7641" s="2">
        <v>7640.0</v>
      </c>
      <c r="B7641" s="2" t="s">
        <v>12173</v>
      </c>
      <c r="C7641" s="2" t="s">
        <v>23</v>
      </c>
      <c r="N7641" s="6">
        <v>44042.0</v>
      </c>
      <c r="Q7641" s="2" t="s">
        <v>86</v>
      </c>
    </row>
    <row r="7642">
      <c r="A7642" s="2">
        <v>7641.0</v>
      </c>
      <c r="B7642" s="2" t="s">
        <v>12174</v>
      </c>
      <c r="C7642" s="2" t="s">
        <v>23</v>
      </c>
      <c r="K7642" s="2">
        <v>20.0</v>
      </c>
      <c r="N7642" s="6">
        <v>45589.0</v>
      </c>
      <c r="Q7642" s="2" t="s">
        <v>12175</v>
      </c>
    </row>
    <row r="7643">
      <c r="A7643" s="2">
        <v>7642.0</v>
      </c>
      <c r="B7643" s="2" t="s">
        <v>12176</v>
      </c>
      <c r="C7643" s="2" t="s">
        <v>23</v>
      </c>
      <c r="N7643" s="6">
        <v>44418.0</v>
      </c>
      <c r="Q7643" s="2" t="s">
        <v>86</v>
      </c>
    </row>
    <row r="7644">
      <c r="A7644" s="2">
        <v>7643.0</v>
      </c>
      <c r="B7644" s="2" t="s">
        <v>12177</v>
      </c>
      <c r="C7644" s="2" t="s">
        <v>23</v>
      </c>
      <c r="N7644" s="6">
        <v>44846.0</v>
      </c>
      <c r="Q7644" s="2" t="s">
        <v>86</v>
      </c>
    </row>
    <row r="7645">
      <c r="A7645" s="2">
        <v>7644.0</v>
      </c>
      <c r="B7645" s="2" t="s">
        <v>12178</v>
      </c>
      <c r="C7645" s="2" t="s">
        <v>23</v>
      </c>
      <c r="K7645" s="2">
        <v>10.0</v>
      </c>
      <c r="N7645" s="6">
        <v>44637.0</v>
      </c>
      <c r="Q7645" s="2" t="s">
        <v>1070</v>
      </c>
    </row>
    <row r="7646">
      <c r="A7646" s="2">
        <v>7645.0</v>
      </c>
      <c r="B7646" s="2" t="s">
        <v>12179</v>
      </c>
      <c r="C7646" s="2" t="s">
        <v>23</v>
      </c>
      <c r="K7646" s="2">
        <v>40.0</v>
      </c>
      <c r="N7646" s="6">
        <v>44514.0</v>
      </c>
      <c r="Q7646" s="2" t="s">
        <v>86</v>
      </c>
    </row>
    <row r="7647">
      <c r="A7647" s="2">
        <v>7646.0</v>
      </c>
      <c r="B7647" s="2" t="s">
        <v>12180</v>
      </c>
      <c r="C7647" s="2" t="s">
        <v>23</v>
      </c>
      <c r="N7647" s="6">
        <v>44038.0</v>
      </c>
      <c r="Q7647" s="2" t="s">
        <v>86</v>
      </c>
    </row>
    <row r="7648">
      <c r="A7648" s="2">
        <v>7647.0</v>
      </c>
      <c r="B7648" s="2" t="s">
        <v>12181</v>
      </c>
      <c r="C7648" s="2" t="s">
        <v>23</v>
      </c>
      <c r="N7648" s="6">
        <v>42657.0</v>
      </c>
      <c r="Q7648" s="2" t="s">
        <v>12182</v>
      </c>
    </row>
    <row r="7649">
      <c r="A7649" s="2">
        <v>7648.0</v>
      </c>
      <c r="B7649" s="2" t="s">
        <v>12183</v>
      </c>
      <c r="C7649" s="2" t="s">
        <v>23</v>
      </c>
      <c r="K7649" s="2">
        <v>10.0</v>
      </c>
      <c r="N7649" s="6">
        <v>45573.0</v>
      </c>
      <c r="Q7649" s="2" t="s">
        <v>12184</v>
      </c>
    </row>
    <row r="7650">
      <c r="A7650" s="2">
        <v>7649.0</v>
      </c>
      <c r="B7650" s="2" t="s">
        <v>12185</v>
      </c>
      <c r="C7650" s="2" t="s">
        <v>23</v>
      </c>
      <c r="K7650" s="2">
        <v>90.0</v>
      </c>
      <c r="N7650" s="6">
        <v>45141.0</v>
      </c>
      <c r="Q7650" s="2" t="s">
        <v>12186</v>
      </c>
    </row>
    <row r="7651">
      <c r="A7651" s="2">
        <v>7650.0</v>
      </c>
      <c r="B7651" s="2" t="s">
        <v>12187</v>
      </c>
      <c r="C7651" s="2" t="s">
        <v>23</v>
      </c>
      <c r="N7651" s="6">
        <v>44367.0</v>
      </c>
      <c r="Q7651" s="2" t="s">
        <v>86</v>
      </c>
    </row>
    <row r="7652">
      <c r="A7652" s="2">
        <v>7651.0</v>
      </c>
      <c r="B7652" s="2" t="s">
        <v>12188</v>
      </c>
      <c r="C7652" s="2" t="s">
        <v>23</v>
      </c>
      <c r="K7652" s="2">
        <v>600.0</v>
      </c>
      <c r="N7652" s="6">
        <v>44019.0</v>
      </c>
      <c r="Q7652" s="2" t="s">
        <v>12189</v>
      </c>
    </row>
    <row r="7653">
      <c r="A7653" s="2">
        <v>7652.0</v>
      </c>
      <c r="B7653" s="2" t="s">
        <v>12190</v>
      </c>
      <c r="C7653" s="2" t="s">
        <v>23</v>
      </c>
      <c r="K7653" s="2">
        <v>50.0</v>
      </c>
      <c r="N7653" s="6">
        <v>45747.0</v>
      </c>
      <c r="Q7653" s="2" t="s">
        <v>3563</v>
      </c>
    </row>
    <row r="7654">
      <c r="A7654" s="2">
        <v>7653.0</v>
      </c>
      <c r="B7654" s="2" t="s">
        <v>12191</v>
      </c>
      <c r="C7654" s="2" t="s">
        <v>23</v>
      </c>
      <c r="K7654" s="2">
        <v>30.0</v>
      </c>
      <c r="N7654" s="6">
        <v>44512.0</v>
      </c>
      <c r="Q7654" s="2" t="s">
        <v>9832</v>
      </c>
    </row>
    <row r="7655">
      <c r="A7655" s="2">
        <v>7654.0</v>
      </c>
      <c r="B7655" s="2" t="s">
        <v>12192</v>
      </c>
      <c r="C7655" s="2" t="s">
        <v>23</v>
      </c>
      <c r="K7655" s="2">
        <v>10.0</v>
      </c>
      <c r="N7655" s="6">
        <v>44334.0</v>
      </c>
      <c r="Q7655" s="2" t="s">
        <v>491</v>
      </c>
    </row>
    <row r="7656">
      <c r="A7656" s="2">
        <v>7655.0</v>
      </c>
      <c r="B7656" s="2" t="s">
        <v>12193</v>
      </c>
      <c r="C7656" s="2" t="s">
        <v>23</v>
      </c>
      <c r="N7656" s="6">
        <v>45257.0</v>
      </c>
      <c r="Q7656" s="2" t="s">
        <v>12194</v>
      </c>
    </row>
    <row r="7657">
      <c r="A7657" s="2">
        <v>7656.0</v>
      </c>
      <c r="B7657" s="2" t="s">
        <v>12195</v>
      </c>
      <c r="C7657" s="2" t="s">
        <v>23</v>
      </c>
      <c r="N7657" s="6">
        <v>44231.0</v>
      </c>
      <c r="Q7657" s="2" t="s">
        <v>86</v>
      </c>
    </row>
    <row r="7658">
      <c r="A7658" s="2">
        <v>7657.0</v>
      </c>
      <c r="B7658" s="2" t="s">
        <v>12196</v>
      </c>
      <c r="C7658" s="2" t="s">
        <v>23</v>
      </c>
      <c r="N7658" s="6">
        <v>44657.0</v>
      </c>
      <c r="Q7658" s="2" t="s">
        <v>491</v>
      </c>
    </row>
    <row r="7659">
      <c r="A7659" s="2">
        <v>7658.0</v>
      </c>
      <c r="B7659" s="2" t="s">
        <v>12197</v>
      </c>
      <c r="C7659" s="2" t="s">
        <v>23</v>
      </c>
      <c r="N7659" s="6">
        <v>43339.0</v>
      </c>
      <c r="Q7659" s="2" t="s">
        <v>86</v>
      </c>
    </row>
    <row r="7660">
      <c r="A7660" s="2">
        <v>7659.0</v>
      </c>
      <c r="B7660" s="2" t="s">
        <v>12198</v>
      </c>
      <c r="C7660" s="2" t="s">
        <v>23</v>
      </c>
      <c r="K7660" s="2">
        <v>70.0</v>
      </c>
      <c r="N7660" s="6">
        <v>44169.0</v>
      </c>
      <c r="Q7660" s="2" t="s">
        <v>12199</v>
      </c>
    </row>
    <row r="7661">
      <c r="A7661" s="2">
        <v>7660.0</v>
      </c>
      <c r="B7661" s="2" t="s">
        <v>12200</v>
      </c>
      <c r="C7661" s="2" t="s">
        <v>23</v>
      </c>
      <c r="K7661" s="2">
        <v>70.0</v>
      </c>
      <c r="N7661" s="6">
        <v>45910.0</v>
      </c>
      <c r="Q7661" s="2" t="s">
        <v>12201</v>
      </c>
    </row>
    <row r="7662">
      <c r="A7662" s="2">
        <v>7661.0</v>
      </c>
      <c r="B7662" s="2" t="s">
        <v>12202</v>
      </c>
      <c r="C7662" s="2" t="s">
        <v>23</v>
      </c>
      <c r="N7662" s="6">
        <v>45981.0</v>
      </c>
      <c r="Q7662" s="2" t="s">
        <v>12203</v>
      </c>
    </row>
    <row r="7663">
      <c r="A7663" s="2">
        <v>7662.0</v>
      </c>
      <c r="B7663" s="2" t="s">
        <v>12204</v>
      </c>
      <c r="C7663" s="2" t="s">
        <v>23</v>
      </c>
      <c r="N7663" s="6">
        <v>42248.0</v>
      </c>
      <c r="Q7663" s="2" t="s">
        <v>12205</v>
      </c>
    </row>
    <row r="7664">
      <c r="A7664" s="2">
        <v>7663.0</v>
      </c>
      <c r="B7664" s="2" t="s">
        <v>12206</v>
      </c>
      <c r="C7664" s="2" t="s">
        <v>23</v>
      </c>
      <c r="K7664" s="2">
        <v>20.0</v>
      </c>
      <c r="N7664" s="6">
        <v>45104.0</v>
      </c>
      <c r="Q7664" s="2" t="s">
        <v>12207</v>
      </c>
    </row>
    <row r="7665">
      <c r="A7665" s="2">
        <v>7664.0</v>
      </c>
      <c r="B7665" s="2" t="s">
        <v>12208</v>
      </c>
      <c r="C7665" s="2" t="s">
        <v>23</v>
      </c>
      <c r="K7665" s="2">
        <v>40.0</v>
      </c>
      <c r="N7665" s="6">
        <v>44527.0</v>
      </c>
      <c r="Q7665" s="2" t="s">
        <v>2248</v>
      </c>
    </row>
    <row r="7666">
      <c r="A7666" s="2">
        <v>7665.0</v>
      </c>
      <c r="B7666" s="2" t="s">
        <v>12209</v>
      </c>
      <c r="C7666" s="2" t="s">
        <v>23</v>
      </c>
      <c r="K7666" s="2">
        <v>20.0</v>
      </c>
      <c r="N7666" s="6">
        <v>44876.0</v>
      </c>
      <c r="Q7666" s="2" t="s">
        <v>12210</v>
      </c>
    </row>
    <row r="7667">
      <c r="A7667" s="2">
        <v>7666.0</v>
      </c>
      <c r="B7667" s="2" t="s">
        <v>12211</v>
      </c>
      <c r="C7667" s="2" t="s">
        <v>23</v>
      </c>
      <c r="K7667" s="2">
        <v>150.0</v>
      </c>
      <c r="N7667" s="6">
        <v>45549.0</v>
      </c>
      <c r="Q7667" s="2" t="s">
        <v>12212</v>
      </c>
    </row>
    <row r="7668">
      <c r="A7668" s="2">
        <v>7667.0</v>
      </c>
      <c r="B7668" s="2" t="s">
        <v>12213</v>
      </c>
      <c r="C7668" s="2" t="s">
        <v>23</v>
      </c>
      <c r="N7668" s="6">
        <v>44576.0</v>
      </c>
      <c r="Q7668" s="2" t="s">
        <v>86</v>
      </c>
    </row>
    <row r="7669">
      <c r="A7669" s="2">
        <v>7668.0</v>
      </c>
      <c r="B7669" s="2" t="s">
        <v>12214</v>
      </c>
      <c r="C7669" s="2" t="s">
        <v>23</v>
      </c>
      <c r="K7669" s="2">
        <v>10.0</v>
      </c>
      <c r="N7669" s="6">
        <v>44831.0</v>
      </c>
      <c r="Q7669" s="2" t="s">
        <v>12215</v>
      </c>
    </row>
    <row r="7670">
      <c r="A7670" s="2">
        <v>7669.0</v>
      </c>
      <c r="B7670" s="2" t="s">
        <v>12216</v>
      </c>
      <c r="C7670" s="2" t="s">
        <v>23</v>
      </c>
      <c r="K7670" s="2">
        <v>80.0</v>
      </c>
      <c r="N7670" s="6">
        <v>45683.0</v>
      </c>
      <c r="Q7670" s="2" t="s">
        <v>12217</v>
      </c>
    </row>
    <row r="7671">
      <c r="A7671" s="2">
        <v>7670.0</v>
      </c>
      <c r="B7671" s="2" t="s">
        <v>12218</v>
      </c>
      <c r="C7671" s="2" t="s">
        <v>23</v>
      </c>
      <c r="K7671" s="2">
        <v>20.0</v>
      </c>
      <c r="N7671" s="6">
        <v>46019.0</v>
      </c>
      <c r="Q7671" s="2" t="s">
        <v>12219</v>
      </c>
    </row>
    <row r="7672">
      <c r="A7672" s="2">
        <v>7671.0</v>
      </c>
      <c r="B7672" s="2" t="s">
        <v>12220</v>
      </c>
      <c r="C7672" s="2" t="s">
        <v>23</v>
      </c>
      <c r="K7672" s="2">
        <v>10.0</v>
      </c>
      <c r="N7672" s="6">
        <v>45147.0</v>
      </c>
      <c r="Q7672" s="2" t="s">
        <v>12221</v>
      </c>
    </row>
    <row r="7673">
      <c r="A7673" s="2">
        <v>7672.0</v>
      </c>
      <c r="B7673" s="2" t="s">
        <v>12222</v>
      </c>
      <c r="C7673" s="2" t="s">
        <v>23</v>
      </c>
      <c r="K7673" s="2">
        <v>200.0</v>
      </c>
      <c r="N7673" s="6">
        <v>43939.0</v>
      </c>
      <c r="Q7673" s="2" t="s">
        <v>12223</v>
      </c>
    </row>
    <row r="7674">
      <c r="A7674" s="2">
        <v>7673.0</v>
      </c>
      <c r="B7674" s="2" t="s">
        <v>12224</v>
      </c>
      <c r="C7674" s="2" t="s">
        <v>23</v>
      </c>
      <c r="K7674" s="2">
        <v>30.0</v>
      </c>
      <c r="N7674" s="6">
        <v>45262.0</v>
      </c>
      <c r="Q7674" s="2" t="s">
        <v>12225</v>
      </c>
    </row>
    <row r="7675">
      <c r="A7675" s="2">
        <v>7674.0</v>
      </c>
      <c r="B7675" s="2" t="s">
        <v>12226</v>
      </c>
      <c r="C7675" s="2" t="s">
        <v>23</v>
      </c>
      <c r="K7675" s="2">
        <v>50.0</v>
      </c>
      <c r="N7675" s="6">
        <v>43930.0</v>
      </c>
      <c r="Q7675" s="2" t="s">
        <v>86</v>
      </c>
    </row>
    <row r="7676">
      <c r="A7676" s="2">
        <v>7675.0</v>
      </c>
      <c r="B7676" s="2" t="s">
        <v>12227</v>
      </c>
      <c r="C7676" s="2" t="s">
        <v>23</v>
      </c>
      <c r="K7676" s="2">
        <v>70.0</v>
      </c>
      <c r="N7676" s="6">
        <v>44013.0</v>
      </c>
      <c r="Q7676" s="2" t="s">
        <v>12228</v>
      </c>
    </row>
    <row r="7677">
      <c r="A7677" s="2">
        <v>7676.0</v>
      </c>
      <c r="B7677" s="2" t="s">
        <v>12229</v>
      </c>
      <c r="C7677" s="2" t="s">
        <v>23</v>
      </c>
      <c r="N7677" s="6">
        <v>44399.0</v>
      </c>
      <c r="Q7677" s="2" t="s">
        <v>86</v>
      </c>
    </row>
    <row r="7678">
      <c r="A7678" s="2">
        <v>7677.0</v>
      </c>
      <c r="B7678" s="2" t="s">
        <v>12230</v>
      </c>
      <c r="C7678" s="2" t="s">
        <v>23</v>
      </c>
      <c r="K7678" s="2">
        <v>600.0</v>
      </c>
      <c r="N7678" s="6">
        <v>43857.0</v>
      </c>
      <c r="Q7678" s="2" t="s">
        <v>12231</v>
      </c>
    </row>
    <row r="7679">
      <c r="A7679" s="2">
        <v>7678.0</v>
      </c>
      <c r="B7679" s="2" t="s">
        <v>12232</v>
      </c>
      <c r="C7679" s="2" t="s">
        <v>23</v>
      </c>
      <c r="K7679" s="2">
        <v>40.0</v>
      </c>
      <c r="N7679" s="6">
        <v>44798.0</v>
      </c>
      <c r="Q7679" s="2" t="s">
        <v>86</v>
      </c>
    </row>
    <row r="7680">
      <c r="A7680" s="2">
        <v>7679.0</v>
      </c>
      <c r="B7680" s="2" t="s">
        <v>12233</v>
      </c>
      <c r="C7680" s="2" t="s">
        <v>23</v>
      </c>
      <c r="K7680" s="2">
        <v>30.0</v>
      </c>
      <c r="N7680" s="6">
        <v>45564.0</v>
      </c>
      <c r="Q7680" s="2" t="s">
        <v>12234</v>
      </c>
    </row>
    <row r="7681">
      <c r="A7681" s="2">
        <v>7680.0</v>
      </c>
      <c r="B7681" s="2" t="s">
        <v>12235</v>
      </c>
      <c r="C7681" s="2" t="s">
        <v>23</v>
      </c>
      <c r="K7681" s="2">
        <v>10.0</v>
      </c>
      <c r="N7681" s="6">
        <v>45078.0</v>
      </c>
      <c r="Q7681" s="2" t="s">
        <v>86</v>
      </c>
    </row>
    <row r="7682">
      <c r="A7682" s="2">
        <v>7681.0</v>
      </c>
      <c r="B7682" s="2" t="s">
        <v>12236</v>
      </c>
      <c r="C7682" s="2" t="s">
        <v>23</v>
      </c>
      <c r="N7682" s="6">
        <v>44046.0</v>
      </c>
      <c r="Q7682" s="2" t="s">
        <v>86</v>
      </c>
    </row>
    <row r="7683">
      <c r="A7683" s="2">
        <v>7682.0</v>
      </c>
      <c r="B7683" s="2" t="s">
        <v>12237</v>
      </c>
      <c r="C7683" s="2" t="s">
        <v>23</v>
      </c>
      <c r="K7683" s="2">
        <v>500.0</v>
      </c>
      <c r="N7683" s="6">
        <v>43867.0</v>
      </c>
      <c r="Q7683" s="2" t="s">
        <v>12238</v>
      </c>
    </row>
    <row r="7684">
      <c r="A7684" s="2">
        <v>7683.0</v>
      </c>
      <c r="B7684" s="2" t="s">
        <v>12239</v>
      </c>
      <c r="C7684" s="2" t="s">
        <v>23</v>
      </c>
      <c r="K7684" s="2">
        <v>10.0</v>
      </c>
      <c r="N7684" s="6">
        <v>43913.0</v>
      </c>
      <c r="Q7684" s="2" t="s">
        <v>2896</v>
      </c>
    </row>
    <row r="7685">
      <c r="A7685" s="2">
        <v>7684.0</v>
      </c>
      <c r="B7685" s="2" t="s">
        <v>12240</v>
      </c>
      <c r="C7685" s="2" t="s">
        <v>23</v>
      </c>
      <c r="K7685" s="2">
        <v>10.0</v>
      </c>
      <c r="N7685" s="6">
        <v>44692.0</v>
      </c>
      <c r="Q7685" s="2" t="s">
        <v>12241</v>
      </c>
    </row>
    <row r="7686">
      <c r="A7686" s="2">
        <v>7685.0</v>
      </c>
      <c r="B7686" s="2" t="s">
        <v>12242</v>
      </c>
      <c r="C7686" s="2" t="s">
        <v>23</v>
      </c>
      <c r="K7686" s="2">
        <v>30.0</v>
      </c>
      <c r="N7686" s="6">
        <v>43950.0</v>
      </c>
      <c r="Q7686" s="2" t="s">
        <v>1123</v>
      </c>
    </row>
    <row r="7687">
      <c r="A7687" s="2">
        <v>7686.0</v>
      </c>
      <c r="B7687" s="2" t="s">
        <v>12243</v>
      </c>
      <c r="C7687" s="2" t="s">
        <v>23</v>
      </c>
      <c r="K7687" s="2">
        <v>20.0</v>
      </c>
      <c r="N7687" s="6">
        <v>43707.0</v>
      </c>
      <c r="Q7687" s="2" t="s">
        <v>12244</v>
      </c>
    </row>
    <row r="7688">
      <c r="A7688" s="2">
        <v>7687.0</v>
      </c>
      <c r="B7688" s="2" t="s">
        <v>12245</v>
      </c>
      <c r="C7688" s="2" t="s">
        <v>23</v>
      </c>
      <c r="N7688" s="6">
        <v>45604.0</v>
      </c>
      <c r="Q7688" s="2" t="s">
        <v>2876</v>
      </c>
    </row>
    <row r="7689">
      <c r="A7689" s="2">
        <v>7688.0</v>
      </c>
      <c r="B7689" s="2" t="s">
        <v>12246</v>
      </c>
      <c r="C7689" s="2" t="s">
        <v>23</v>
      </c>
      <c r="K7689" s="2">
        <v>40.0</v>
      </c>
      <c r="N7689" s="6">
        <v>45229.0</v>
      </c>
      <c r="Q7689" s="2" t="s">
        <v>12247</v>
      </c>
    </row>
    <row r="7690">
      <c r="A7690" s="2">
        <v>7689.0</v>
      </c>
      <c r="B7690" s="2" t="s">
        <v>473</v>
      </c>
      <c r="C7690" s="2" t="s">
        <v>23</v>
      </c>
      <c r="K7690" s="2">
        <v>10.0</v>
      </c>
      <c r="N7690" s="6">
        <v>45360.0</v>
      </c>
      <c r="Q7690" s="2" t="s">
        <v>476</v>
      </c>
    </row>
    <row r="7691">
      <c r="A7691" s="2">
        <v>7690.0</v>
      </c>
      <c r="B7691" s="2" t="s">
        <v>12248</v>
      </c>
      <c r="C7691" s="2" t="s">
        <v>23</v>
      </c>
      <c r="K7691" s="2">
        <v>10.0</v>
      </c>
      <c r="N7691" s="6">
        <v>44869.0</v>
      </c>
      <c r="Q7691" s="2" t="s">
        <v>4326</v>
      </c>
    </row>
    <row r="7692">
      <c r="A7692" s="2">
        <v>7691.0</v>
      </c>
      <c r="B7692" s="2" t="s">
        <v>12249</v>
      </c>
      <c r="C7692" s="2" t="s">
        <v>23</v>
      </c>
      <c r="K7692" s="2">
        <v>250.0</v>
      </c>
      <c r="N7692" s="6">
        <v>44286.0</v>
      </c>
      <c r="Q7692" s="2" t="s">
        <v>12250</v>
      </c>
    </row>
    <row r="7693">
      <c r="A7693" s="2">
        <v>7692.0</v>
      </c>
      <c r="B7693" s="2" t="s">
        <v>12251</v>
      </c>
      <c r="C7693" s="2" t="s">
        <v>23</v>
      </c>
      <c r="K7693" s="2">
        <v>10.0</v>
      </c>
      <c r="N7693" s="6">
        <v>45272.0</v>
      </c>
      <c r="Q7693" s="2" t="s">
        <v>546</v>
      </c>
    </row>
    <row r="7694">
      <c r="A7694" s="2">
        <v>7693.0</v>
      </c>
      <c r="B7694" s="2" t="s">
        <v>12252</v>
      </c>
      <c r="C7694" s="2" t="s">
        <v>23</v>
      </c>
      <c r="K7694" s="2">
        <v>20.0</v>
      </c>
      <c r="N7694" s="6">
        <v>45809.0</v>
      </c>
      <c r="Q7694" s="2" t="s">
        <v>12253</v>
      </c>
    </row>
    <row r="7695">
      <c r="A7695" s="2">
        <v>7694.0</v>
      </c>
      <c r="B7695" s="2" t="s">
        <v>12254</v>
      </c>
      <c r="C7695" s="2" t="s">
        <v>23</v>
      </c>
      <c r="K7695" s="2">
        <v>30.0</v>
      </c>
      <c r="N7695" s="6">
        <v>45260.0</v>
      </c>
      <c r="Q7695" s="2" t="s">
        <v>9246</v>
      </c>
    </row>
    <row r="7696">
      <c r="A7696" s="2">
        <v>7695.0</v>
      </c>
      <c r="B7696" s="2" t="s">
        <v>12255</v>
      </c>
      <c r="C7696" s="2" t="s">
        <v>23</v>
      </c>
      <c r="K7696" s="2">
        <v>80.0</v>
      </c>
      <c r="N7696" s="6">
        <v>43965.0</v>
      </c>
      <c r="Q7696" s="2" t="s">
        <v>5663</v>
      </c>
    </row>
    <row r="7697">
      <c r="A7697" s="2">
        <v>7696.0</v>
      </c>
      <c r="B7697" s="2" t="s">
        <v>12256</v>
      </c>
      <c r="C7697" s="2" t="s">
        <v>23</v>
      </c>
      <c r="K7697" s="2">
        <v>40.0</v>
      </c>
      <c r="N7697" s="6">
        <v>44081.0</v>
      </c>
      <c r="Q7697" s="2" t="s">
        <v>12257</v>
      </c>
    </row>
    <row r="7698">
      <c r="A7698" s="2">
        <v>7697.0</v>
      </c>
      <c r="B7698" s="2" t="s">
        <v>12258</v>
      </c>
      <c r="C7698" s="2" t="s">
        <v>23</v>
      </c>
      <c r="K7698" s="2">
        <v>80.0</v>
      </c>
      <c r="N7698" s="6">
        <v>45424.0</v>
      </c>
      <c r="Q7698" s="2" t="s">
        <v>12259</v>
      </c>
    </row>
    <row r="7699">
      <c r="A7699" s="2">
        <v>7698.0</v>
      </c>
      <c r="B7699" s="2" t="s">
        <v>12260</v>
      </c>
      <c r="C7699" s="2" t="s">
        <v>23</v>
      </c>
      <c r="N7699" s="6">
        <v>44355.0</v>
      </c>
      <c r="Q7699" s="2" t="s">
        <v>86</v>
      </c>
    </row>
    <row r="7700">
      <c r="A7700" s="2">
        <v>7699.0</v>
      </c>
      <c r="B7700" s="2" t="s">
        <v>12261</v>
      </c>
      <c r="C7700" s="2" t="s">
        <v>23</v>
      </c>
      <c r="K7700" s="2">
        <v>150.0</v>
      </c>
      <c r="N7700" s="6">
        <v>44298.0</v>
      </c>
      <c r="Q7700" s="2" t="s">
        <v>12262</v>
      </c>
    </row>
    <row r="7701">
      <c r="A7701" s="2">
        <v>7700.0</v>
      </c>
      <c r="B7701" s="2" t="s">
        <v>12263</v>
      </c>
      <c r="C7701" s="2" t="s">
        <v>23</v>
      </c>
      <c r="K7701" s="2">
        <v>40.0</v>
      </c>
      <c r="N7701" s="6">
        <v>44415.0</v>
      </c>
      <c r="Q7701" s="2" t="s">
        <v>12264</v>
      </c>
    </row>
    <row r="7702">
      <c r="A7702" s="2">
        <v>7701.0</v>
      </c>
      <c r="B7702" s="2" t="s">
        <v>12265</v>
      </c>
      <c r="C7702" s="2" t="s">
        <v>23</v>
      </c>
      <c r="K7702" s="2">
        <v>20.0</v>
      </c>
      <c r="N7702" s="6">
        <v>45528.0</v>
      </c>
      <c r="Q7702" s="2" t="s">
        <v>12266</v>
      </c>
    </row>
    <row r="7703">
      <c r="A7703" s="2">
        <v>7702.0</v>
      </c>
      <c r="B7703" s="2" t="s">
        <v>12267</v>
      </c>
      <c r="C7703" s="2" t="s">
        <v>23</v>
      </c>
      <c r="N7703" s="6">
        <v>44937.0</v>
      </c>
      <c r="Q7703" s="2" t="s">
        <v>86</v>
      </c>
    </row>
    <row r="7704">
      <c r="A7704" s="2">
        <v>7703.0</v>
      </c>
      <c r="B7704" s="2" t="s">
        <v>12268</v>
      </c>
      <c r="C7704" s="2" t="s">
        <v>23</v>
      </c>
      <c r="N7704" s="6">
        <v>43906.0</v>
      </c>
      <c r="Q7704" s="2" t="s">
        <v>86</v>
      </c>
    </row>
    <row r="7705">
      <c r="A7705" s="2">
        <v>7704.0</v>
      </c>
      <c r="B7705" s="2" t="s">
        <v>12269</v>
      </c>
      <c r="C7705" s="2" t="s">
        <v>23</v>
      </c>
      <c r="K7705" s="2">
        <v>40.0</v>
      </c>
      <c r="N7705" s="6">
        <v>44420.0</v>
      </c>
      <c r="Q7705" s="2" t="s">
        <v>3232</v>
      </c>
    </row>
    <row r="7706">
      <c r="A7706" s="2">
        <v>7705.0</v>
      </c>
      <c r="B7706" s="2" t="s">
        <v>12270</v>
      </c>
      <c r="C7706" s="2" t="s">
        <v>23</v>
      </c>
      <c r="N7706" s="6">
        <v>44899.0</v>
      </c>
      <c r="Q7706" s="2" t="s">
        <v>1116</v>
      </c>
    </row>
    <row r="7707">
      <c r="A7707" s="2">
        <v>7706.0</v>
      </c>
      <c r="B7707" s="2" t="s">
        <v>12271</v>
      </c>
      <c r="C7707" s="2" t="s">
        <v>23</v>
      </c>
      <c r="K7707" s="2">
        <v>30.0</v>
      </c>
      <c r="N7707" s="6">
        <v>44513.0</v>
      </c>
      <c r="Q7707" s="2" t="s">
        <v>6154</v>
      </c>
    </row>
    <row r="7708">
      <c r="A7708" s="2">
        <v>7707.0</v>
      </c>
      <c r="B7708" s="2" t="s">
        <v>12272</v>
      </c>
      <c r="C7708" s="2" t="s">
        <v>23</v>
      </c>
      <c r="K7708" s="2">
        <v>400.0</v>
      </c>
      <c r="N7708" s="6">
        <v>44392.0</v>
      </c>
      <c r="Q7708" s="2" t="s">
        <v>12273</v>
      </c>
    </row>
    <row r="7709">
      <c r="A7709" s="2">
        <v>7708.0</v>
      </c>
      <c r="B7709" s="2" t="s">
        <v>12274</v>
      </c>
      <c r="C7709" s="2" t="s">
        <v>23</v>
      </c>
      <c r="K7709" s="2">
        <v>60.0</v>
      </c>
      <c r="N7709" s="6">
        <v>45358.0</v>
      </c>
      <c r="Q7709" s="2" t="s">
        <v>12275</v>
      </c>
    </row>
    <row r="7710">
      <c r="A7710" s="2">
        <v>7709.0</v>
      </c>
      <c r="B7710" s="2" t="s">
        <v>12276</v>
      </c>
      <c r="C7710" s="2" t="s">
        <v>23</v>
      </c>
      <c r="K7710" s="2">
        <v>20.0</v>
      </c>
      <c r="N7710" s="6">
        <v>44399.0</v>
      </c>
      <c r="Q7710" s="2" t="s">
        <v>60</v>
      </c>
    </row>
    <row r="7711">
      <c r="A7711" s="2">
        <v>7710.0</v>
      </c>
      <c r="B7711" s="2" t="s">
        <v>301</v>
      </c>
      <c r="C7711" s="2" t="s">
        <v>23</v>
      </c>
      <c r="K7711" s="2">
        <v>40.0</v>
      </c>
      <c r="N7711" s="6">
        <v>45060.0</v>
      </c>
      <c r="Q7711" s="2" t="s">
        <v>306</v>
      </c>
    </row>
    <row r="7712">
      <c r="A7712" s="2">
        <v>7711.0</v>
      </c>
      <c r="B7712" s="2" t="s">
        <v>12277</v>
      </c>
      <c r="C7712" s="2" t="s">
        <v>23</v>
      </c>
      <c r="K7712" s="2">
        <v>250.0</v>
      </c>
      <c r="N7712" s="6">
        <v>44729.0</v>
      </c>
      <c r="Q7712" s="2" t="s">
        <v>12278</v>
      </c>
    </row>
    <row r="7713">
      <c r="A7713" s="2">
        <v>7712.0</v>
      </c>
      <c r="B7713" s="2" t="s">
        <v>12279</v>
      </c>
      <c r="C7713" s="2" t="s">
        <v>23</v>
      </c>
      <c r="K7713" s="2">
        <v>30.0</v>
      </c>
      <c r="N7713" s="6">
        <v>44007.0</v>
      </c>
      <c r="Q7713" s="2" t="s">
        <v>12280</v>
      </c>
    </row>
    <row r="7714">
      <c r="A7714" s="2">
        <v>7713.0</v>
      </c>
      <c r="B7714" s="2" t="s">
        <v>12281</v>
      </c>
      <c r="C7714" s="2" t="s">
        <v>23</v>
      </c>
      <c r="N7714" s="6">
        <v>44711.0</v>
      </c>
      <c r="Q7714" s="2" t="s">
        <v>86</v>
      </c>
    </row>
    <row r="7715">
      <c r="A7715" s="2">
        <v>7714.0</v>
      </c>
      <c r="B7715" s="2" t="s">
        <v>12282</v>
      </c>
      <c r="C7715" s="2" t="s">
        <v>23</v>
      </c>
      <c r="K7715" s="2">
        <v>20.0</v>
      </c>
      <c r="N7715" s="6">
        <v>45347.0</v>
      </c>
      <c r="Q7715" s="2" t="s">
        <v>86</v>
      </c>
    </row>
    <row r="7716">
      <c r="A7716" s="2">
        <v>7715.0</v>
      </c>
      <c r="B7716" s="2" t="s">
        <v>12283</v>
      </c>
      <c r="C7716" s="2" t="s">
        <v>23</v>
      </c>
      <c r="K7716" s="2">
        <v>250.0</v>
      </c>
      <c r="N7716" s="6">
        <v>42551.0</v>
      </c>
      <c r="Q7716" s="2" t="s">
        <v>12284</v>
      </c>
    </row>
    <row r="7717">
      <c r="A7717" s="2">
        <v>7716.0</v>
      </c>
      <c r="B7717" s="2" t="s">
        <v>12285</v>
      </c>
      <c r="C7717" s="2" t="s">
        <v>23</v>
      </c>
      <c r="K7717" s="2">
        <v>20.0</v>
      </c>
      <c r="N7717" s="6">
        <v>44249.0</v>
      </c>
      <c r="Q7717" s="2" t="s">
        <v>60</v>
      </c>
    </row>
    <row r="7718">
      <c r="A7718" s="2">
        <v>7717.0</v>
      </c>
      <c r="B7718" s="2" t="s">
        <v>12286</v>
      </c>
      <c r="C7718" s="2" t="s">
        <v>23</v>
      </c>
      <c r="K7718" s="2">
        <v>10.0</v>
      </c>
      <c r="N7718" s="6">
        <v>44165.0</v>
      </c>
      <c r="Q7718" s="2" t="s">
        <v>12287</v>
      </c>
    </row>
    <row r="7719">
      <c r="A7719" s="2">
        <v>7718.0</v>
      </c>
      <c r="B7719" s="2" t="s">
        <v>12288</v>
      </c>
      <c r="C7719" s="2" t="s">
        <v>23</v>
      </c>
      <c r="N7719" s="6">
        <v>44071.0</v>
      </c>
      <c r="Q7719" s="2" t="s">
        <v>86</v>
      </c>
    </row>
    <row r="7720">
      <c r="A7720" s="2">
        <v>7719.0</v>
      </c>
      <c r="B7720" s="2" t="s">
        <v>12289</v>
      </c>
      <c r="C7720" s="2" t="s">
        <v>23</v>
      </c>
      <c r="N7720" s="6">
        <v>42285.0</v>
      </c>
      <c r="Q7720" s="2" t="s">
        <v>86</v>
      </c>
    </row>
    <row r="7721">
      <c r="A7721" s="2">
        <v>7720.0</v>
      </c>
      <c r="B7721" s="2" t="s">
        <v>12290</v>
      </c>
      <c r="C7721" s="2" t="s">
        <v>23</v>
      </c>
      <c r="K7721" s="2">
        <v>30.0</v>
      </c>
      <c r="N7721" s="6">
        <v>44305.0</v>
      </c>
      <c r="Q7721" s="2" t="s">
        <v>426</v>
      </c>
    </row>
    <row r="7722">
      <c r="A7722" s="2">
        <v>7721.0</v>
      </c>
      <c r="B7722" s="2" t="s">
        <v>12291</v>
      </c>
      <c r="C7722" s="2" t="s">
        <v>23</v>
      </c>
      <c r="N7722" s="6">
        <v>44062.0</v>
      </c>
      <c r="Q7722" s="2" t="s">
        <v>86</v>
      </c>
    </row>
    <row r="7723">
      <c r="A7723" s="2">
        <v>7722.0</v>
      </c>
      <c r="B7723" s="2" t="s">
        <v>12292</v>
      </c>
      <c r="C7723" s="2" t="s">
        <v>23</v>
      </c>
      <c r="K7723" s="2">
        <v>20.0</v>
      </c>
      <c r="N7723" s="6">
        <v>44824.0</v>
      </c>
      <c r="Q7723" s="2" t="s">
        <v>1048</v>
      </c>
    </row>
    <row r="7724">
      <c r="A7724" s="2">
        <v>7723.0</v>
      </c>
      <c r="B7724" s="2" t="s">
        <v>12293</v>
      </c>
      <c r="C7724" s="2" t="s">
        <v>23</v>
      </c>
      <c r="K7724" s="2">
        <v>70.0</v>
      </c>
      <c r="N7724" s="6">
        <v>44686.0</v>
      </c>
      <c r="Q7724" s="2" t="s">
        <v>86</v>
      </c>
    </row>
    <row r="7725">
      <c r="A7725" s="2">
        <v>7724.0</v>
      </c>
      <c r="B7725" s="2" t="s">
        <v>12294</v>
      </c>
      <c r="C7725" s="2" t="s">
        <v>23</v>
      </c>
      <c r="K7725" s="2">
        <v>50.0</v>
      </c>
      <c r="N7725" s="6">
        <v>45705.0</v>
      </c>
      <c r="Q7725" s="2" t="s">
        <v>12295</v>
      </c>
    </row>
    <row r="7726">
      <c r="A7726" s="2">
        <v>7725.0</v>
      </c>
      <c r="B7726" s="2" t="s">
        <v>12296</v>
      </c>
      <c r="C7726" s="2" t="s">
        <v>23</v>
      </c>
      <c r="K7726" s="2">
        <v>70.0</v>
      </c>
      <c r="N7726" s="6">
        <v>45750.0</v>
      </c>
      <c r="Q7726" s="2" t="s">
        <v>10249</v>
      </c>
    </row>
    <row r="7727">
      <c r="A7727" s="2">
        <v>7726.0</v>
      </c>
      <c r="B7727" s="2" t="s">
        <v>12297</v>
      </c>
      <c r="C7727" s="2" t="s">
        <v>23</v>
      </c>
      <c r="N7727" s="6">
        <v>44109.0</v>
      </c>
      <c r="Q7727" s="2" t="s">
        <v>86</v>
      </c>
    </row>
    <row r="7728">
      <c r="A7728" s="2">
        <v>7727.0</v>
      </c>
      <c r="B7728" s="2" t="s">
        <v>12298</v>
      </c>
      <c r="C7728" s="2" t="s">
        <v>23</v>
      </c>
      <c r="K7728" s="2">
        <v>30.0</v>
      </c>
      <c r="N7728" s="6">
        <v>45224.0</v>
      </c>
      <c r="Q7728" s="2" t="s">
        <v>426</v>
      </c>
    </row>
    <row r="7729">
      <c r="A7729" s="2">
        <v>7728.0</v>
      </c>
      <c r="B7729" s="2" t="s">
        <v>12299</v>
      </c>
      <c r="C7729" s="2" t="s">
        <v>23</v>
      </c>
      <c r="K7729" s="2">
        <v>300.0</v>
      </c>
      <c r="N7729" s="6">
        <v>43979.0</v>
      </c>
      <c r="Q7729" s="2" t="s">
        <v>12300</v>
      </c>
    </row>
    <row r="7730">
      <c r="A7730" s="2">
        <v>7729.0</v>
      </c>
      <c r="B7730" s="2" t="s">
        <v>12301</v>
      </c>
      <c r="C7730" s="2" t="s">
        <v>23</v>
      </c>
      <c r="N7730" s="6">
        <v>43949.0</v>
      </c>
      <c r="Q7730" s="2" t="s">
        <v>86</v>
      </c>
    </row>
    <row r="7731">
      <c r="A7731" s="2">
        <v>7730.0</v>
      </c>
      <c r="B7731" s="2" t="s">
        <v>12302</v>
      </c>
      <c r="C7731" s="2" t="s">
        <v>23</v>
      </c>
      <c r="K7731" s="2">
        <v>20.0</v>
      </c>
      <c r="N7731" s="6">
        <v>45645.0</v>
      </c>
      <c r="Q7731" s="2" t="s">
        <v>1711</v>
      </c>
    </row>
    <row r="7732">
      <c r="A7732" s="2">
        <v>7731.0</v>
      </c>
      <c r="B7732" s="2" t="s">
        <v>12303</v>
      </c>
      <c r="C7732" s="2" t="s">
        <v>23</v>
      </c>
      <c r="K7732" s="2">
        <v>60.0</v>
      </c>
      <c r="N7732" s="6">
        <v>43860.0</v>
      </c>
      <c r="Q7732" s="2" t="s">
        <v>5554</v>
      </c>
    </row>
    <row r="7733">
      <c r="A7733" s="2">
        <v>7732.0</v>
      </c>
      <c r="B7733" s="2" t="s">
        <v>12304</v>
      </c>
      <c r="C7733" s="2" t="s">
        <v>23</v>
      </c>
      <c r="K7733" s="2">
        <v>90.0</v>
      </c>
      <c r="N7733" s="6">
        <v>43844.0</v>
      </c>
      <c r="Q7733" s="2" t="s">
        <v>12305</v>
      </c>
    </row>
    <row r="7734">
      <c r="A7734" s="2">
        <v>7733.0</v>
      </c>
      <c r="B7734" s="2" t="s">
        <v>12306</v>
      </c>
      <c r="C7734" s="2" t="s">
        <v>23</v>
      </c>
      <c r="K7734" s="2">
        <v>800.0</v>
      </c>
      <c r="N7734" s="6">
        <v>43906.0</v>
      </c>
      <c r="Q7734" s="2" t="s">
        <v>12307</v>
      </c>
    </row>
    <row r="7735">
      <c r="A7735" s="2">
        <v>7734.0</v>
      </c>
      <c r="B7735" s="2" t="s">
        <v>12308</v>
      </c>
      <c r="C7735" s="2" t="s">
        <v>23</v>
      </c>
      <c r="N7735" s="6">
        <v>44720.0</v>
      </c>
      <c r="Q7735" s="2" t="s">
        <v>86</v>
      </c>
    </row>
    <row r="7736">
      <c r="A7736" s="2">
        <v>7735.0</v>
      </c>
      <c r="B7736" s="2" t="s">
        <v>12309</v>
      </c>
      <c r="C7736" s="2" t="s">
        <v>23</v>
      </c>
      <c r="N7736" s="6">
        <v>44633.0</v>
      </c>
      <c r="Q7736" s="2" t="s">
        <v>86</v>
      </c>
    </row>
    <row r="7737">
      <c r="A7737" s="2">
        <v>7736.0</v>
      </c>
      <c r="B7737" s="2" t="s">
        <v>12310</v>
      </c>
      <c r="C7737" s="2" t="s">
        <v>23</v>
      </c>
      <c r="K7737" s="2">
        <v>90.0</v>
      </c>
      <c r="N7737" s="6">
        <v>44457.0</v>
      </c>
      <c r="Q7737" s="2" t="s">
        <v>12311</v>
      </c>
    </row>
    <row r="7738">
      <c r="A7738" s="2">
        <v>7737.0</v>
      </c>
      <c r="B7738" s="2" t="s">
        <v>12312</v>
      </c>
      <c r="C7738" s="2" t="s">
        <v>23</v>
      </c>
      <c r="N7738" s="6">
        <v>44328.0</v>
      </c>
      <c r="Q7738" s="2" t="s">
        <v>3934</v>
      </c>
    </row>
    <row r="7739">
      <c r="A7739" s="2">
        <v>7738.0</v>
      </c>
      <c r="B7739" s="2" t="s">
        <v>12313</v>
      </c>
      <c r="C7739" s="2" t="s">
        <v>23</v>
      </c>
      <c r="K7739" s="2">
        <v>20.0</v>
      </c>
      <c r="N7739" s="6">
        <v>43856.0</v>
      </c>
      <c r="Q7739" s="2" t="s">
        <v>86</v>
      </c>
    </row>
    <row r="7740">
      <c r="A7740" s="2">
        <v>7739.0</v>
      </c>
      <c r="B7740" s="2" t="s">
        <v>12314</v>
      </c>
      <c r="C7740" s="2" t="s">
        <v>23</v>
      </c>
      <c r="N7740" s="6">
        <v>44383.0</v>
      </c>
      <c r="Q7740" s="2" t="s">
        <v>86</v>
      </c>
    </row>
    <row r="7741">
      <c r="A7741" s="2">
        <v>7740.0</v>
      </c>
      <c r="B7741" s="2" t="s">
        <v>12315</v>
      </c>
      <c r="C7741" s="2" t="s">
        <v>23</v>
      </c>
      <c r="N7741" s="6">
        <v>42609.0</v>
      </c>
      <c r="Q7741" s="2" t="s">
        <v>86</v>
      </c>
    </row>
    <row r="7742">
      <c r="A7742" s="2">
        <v>7741.0</v>
      </c>
      <c r="B7742" s="2" t="s">
        <v>12316</v>
      </c>
      <c r="C7742" s="2" t="s">
        <v>23</v>
      </c>
      <c r="K7742" s="2">
        <v>30.0</v>
      </c>
      <c r="N7742" s="6">
        <v>44492.0</v>
      </c>
      <c r="Q7742" s="2" t="s">
        <v>86</v>
      </c>
    </row>
    <row r="7743">
      <c r="A7743" s="2">
        <v>7742.0</v>
      </c>
      <c r="B7743" s="2" t="s">
        <v>12317</v>
      </c>
      <c r="C7743" s="2" t="s">
        <v>23</v>
      </c>
      <c r="K7743" s="2">
        <v>80.0</v>
      </c>
      <c r="N7743" s="6">
        <v>45608.0</v>
      </c>
      <c r="Q7743" s="2" t="s">
        <v>12318</v>
      </c>
    </row>
    <row r="7744">
      <c r="A7744" s="2">
        <v>7743.0</v>
      </c>
      <c r="B7744" s="2" t="s">
        <v>12319</v>
      </c>
      <c r="C7744" s="2" t="s">
        <v>23</v>
      </c>
      <c r="K7744" s="2">
        <v>200.0</v>
      </c>
      <c r="N7744" s="6">
        <v>43880.0</v>
      </c>
      <c r="Q7744" s="2" t="s">
        <v>12320</v>
      </c>
    </row>
    <row r="7745">
      <c r="A7745" s="2">
        <v>7744.0</v>
      </c>
      <c r="B7745" s="2" t="s">
        <v>12321</v>
      </c>
      <c r="C7745" s="2" t="s">
        <v>23</v>
      </c>
      <c r="N7745" s="6">
        <v>42388.0</v>
      </c>
      <c r="Q7745" s="2" t="s">
        <v>86</v>
      </c>
    </row>
    <row r="7746">
      <c r="A7746" s="2">
        <v>7745.0</v>
      </c>
      <c r="B7746" s="2" t="s">
        <v>12322</v>
      </c>
      <c r="C7746" s="2" t="s">
        <v>23</v>
      </c>
      <c r="K7746" s="2">
        <v>10.0</v>
      </c>
      <c r="N7746" s="6">
        <v>45214.0</v>
      </c>
      <c r="Q7746" s="2" t="s">
        <v>1249</v>
      </c>
    </row>
    <row r="7747">
      <c r="A7747" s="2">
        <v>7746.0</v>
      </c>
      <c r="B7747" s="2" t="s">
        <v>12323</v>
      </c>
      <c r="C7747" s="2" t="s">
        <v>23</v>
      </c>
      <c r="N7747" s="6">
        <v>44564.0</v>
      </c>
      <c r="Q7747" s="2" t="s">
        <v>86</v>
      </c>
    </row>
    <row r="7748">
      <c r="A7748" s="2">
        <v>7747.0</v>
      </c>
      <c r="B7748" s="2" t="s">
        <v>12324</v>
      </c>
      <c r="C7748" s="2" t="s">
        <v>23</v>
      </c>
      <c r="K7748" s="2">
        <v>150.0</v>
      </c>
      <c r="N7748" s="6">
        <v>44777.0</v>
      </c>
      <c r="Q7748" s="2" t="s">
        <v>9859</v>
      </c>
    </row>
    <row r="7749">
      <c r="A7749" s="2">
        <v>7748.0</v>
      </c>
      <c r="B7749" s="2" t="s">
        <v>12325</v>
      </c>
      <c r="C7749" s="2" t="s">
        <v>23</v>
      </c>
      <c r="K7749" s="2">
        <v>30.0</v>
      </c>
      <c r="N7749" s="6">
        <v>45374.0</v>
      </c>
      <c r="Q7749" s="2" t="s">
        <v>12326</v>
      </c>
    </row>
    <row r="7750">
      <c r="A7750" s="2">
        <v>7749.0</v>
      </c>
      <c r="B7750" s="2" t="s">
        <v>12327</v>
      </c>
      <c r="C7750" s="2" t="s">
        <v>23</v>
      </c>
      <c r="K7750" s="2">
        <v>10.0</v>
      </c>
      <c r="N7750" s="6">
        <v>44968.0</v>
      </c>
      <c r="Q7750" s="2" t="s">
        <v>2886</v>
      </c>
    </row>
    <row r="7751">
      <c r="A7751" s="2">
        <v>7750.0</v>
      </c>
      <c r="B7751" s="2" t="s">
        <v>12328</v>
      </c>
      <c r="C7751" s="2" t="s">
        <v>23</v>
      </c>
      <c r="K7751" s="2">
        <v>40.0</v>
      </c>
      <c r="N7751" s="6">
        <v>45661.0</v>
      </c>
      <c r="Q7751" s="2" t="s">
        <v>1521</v>
      </c>
    </row>
    <row r="7752">
      <c r="A7752" s="2">
        <v>7751.0</v>
      </c>
      <c r="B7752" s="2" t="s">
        <v>12329</v>
      </c>
      <c r="C7752" s="2" t="s">
        <v>23</v>
      </c>
      <c r="K7752" s="2">
        <v>10.0</v>
      </c>
      <c r="N7752" s="6">
        <v>44211.0</v>
      </c>
      <c r="Q7752" s="2" t="s">
        <v>1474</v>
      </c>
    </row>
    <row r="7753">
      <c r="A7753" s="2">
        <v>7752.0</v>
      </c>
      <c r="B7753" s="2" t="s">
        <v>12330</v>
      </c>
      <c r="C7753" s="2" t="s">
        <v>23</v>
      </c>
      <c r="K7753" s="2">
        <v>80.0</v>
      </c>
      <c r="N7753" s="6">
        <v>44236.0</v>
      </c>
      <c r="Q7753" s="2" t="s">
        <v>5097</v>
      </c>
    </row>
    <row r="7754">
      <c r="A7754" s="2">
        <v>7753.0</v>
      </c>
      <c r="B7754" s="2" t="s">
        <v>12331</v>
      </c>
      <c r="C7754" s="2" t="s">
        <v>23</v>
      </c>
      <c r="K7754" s="2">
        <v>30.0</v>
      </c>
      <c r="N7754" s="6">
        <v>44118.0</v>
      </c>
      <c r="Q7754" s="2" t="s">
        <v>12332</v>
      </c>
    </row>
    <row r="7755">
      <c r="A7755" s="2">
        <v>7754.0</v>
      </c>
      <c r="B7755" s="2" t="s">
        <v>12333</v>
      </c>
      <c r="C7755" s="2" t="s">
        <v>23</v>
      </c>
      <c r="K7755" s="2">
        <v>10.0</v>
      </c>
      <c r="N7755" s="6">
        <v>43945.0</v>
      </c>
      <c r="Q7755" s="2" t="s">
        <v>7141</v>
      </c>
    </row>
    <row r="7756">
      <c r="A7756" s="2">
        <v>7755.0</v>
      </c>
      <c r="B7756" s="2" t="s">
        <v>12334</v>
      </c>
      <c r="C7756" s="2" t="s">
        <v>23</v>
      </c>
      <c r="N7756" s="6">
        <v>44235.0</v>
      </c>
      <c r="Q7756" s="2" t="s">
        <v>86</v>
      </c>
    </row>
    <row r="7757">
      <c r="A7757" s="2">
        <v>7756.0</v>
      </c>
      <c r="B7757" s="2" t="s">
        <v>12335</v>
      </c>
      <c r="C7757" s="2" t="s">
        <v>23</v>
      </c>
      <c r="N7757" s="6">
        <v>44349.0</v>
      </c>
      <c r="Q7757" s="2" t="s">
        <v>86</v>
      </c>
    </row>
    <row r="7758">
      <c r="A7758" s="2">
        <v>7757.0</v>
      </c>
      <c r="B7758" s="2" t="s">
        <v>12336</v>
      </c>
      <c r="C7758" s="2" t="s">
        <v>23</v>
      </c>
      <c r="K7758" s="2">
        <v>20.0</v>
      </c>
      <c r="N7758" s="6">
        <v>44068.0</v>
      </c>
      <c r="Q7758" s="2" t="s">
        <v>86</v>
      </c>
    </row>
    <row r="7759">
      <c r="A7759" s="2">
        <v>7758.0</v>
      </c>
      <c r="B7759" s="2" t="s">
        <v>12337</v>
      </c>
      <c r="C7759" s="2" t="s">
        <v>23</v>
      </c>
      <c r="K7759" s="2">
        <v>400.0</v>
      </c>
      <c r="N7759" s="6">
        <v>45197.0</v>
      </c>
      <c r="Q7759" s="2" t="s">
        <v>12338</v>
      </c>
    </row>
    <row r="7760">
      <c r="A7760" s="2">
        <v>7759.0</v>
      </c>
      <c r="B7760" s="2" t="s">
        <v>12339</v>
      </c>
      <c r="C7760" s="2" t="s">
        <v>23</v>
      </c>
      <c r="K7760" s="2">
        <v>70.0</v>
      </c>
      <c r="N7760" s="6">
        <v>45672.0</v>
      </c>
      <c r="Q7760" s="2" t="s">
        <v>12340</v>
      </c>
    </row>
    <row r="7761">
      <c r="A7761" s="2">
        <v>7760.0</v>
      </c>
      <c r="B7761" s="2" t="s">
        <v>12341</v>
      </c>
      <c r="C7761" s="2" t="s">
        <v>23</v>
      </c>
      <c r="K7761" s="2">
        <v>30.0</v>
      </c>
      <c r="N7761" s="6">
        <v>44332.0</v>
      </c>
      <c r="Q7761" s="2" t="s">
        <v>12342</v>
      </c>
    </row>
    <row r="7762">
      <c r="A7762" s="2">
        <v>7761.0</v>
      </c>
      <c r="B7762" s="2" t="s">
        <v>12343</v>
      </c>
      <c r="C7762" s="2" t="s">
        <v>23</v>
      </c>
      <c r="K7762" s="2">
        <v>10.0</v>
      </c>
      <c r="N7762" s="6">
        <v>44874.0</v>
      </c>
      <c r="Q7762" s="2" t="s">
        <v>86</v>
      </c>
    </row>
    <row r="7763">
      <c r="A7763" s="2">
        <v>7762.0</v>
      </c>
      <c r="B7763" s="2" t="s">
        <v>12344</v>
      </c>
      <c r="C7763" s="2" t="s">
        <v>23</v>
      </c>
      <c r="N7763" s="6">
        <v>44739.0</v>
      </c>
      <c r="Q7763" s="2" t="s">
        <v>86</v>
      </c>
    </row>
    <row r="7764">
      <c r="A7764" s="2">
        <v>7763.0</v>
      </c>
      <c r="B7764" s="2" t="s">
        <v>12345</v>
      </c>
      <c r="C7764" s="2" t="s">
        <v>23</v>
      </c>
      <c r="K7764" s="2">
        <v>50.0</v>
      </c>
      <c r="N7764" s="6">
        <v>45729.0</v>
      </c>
      <c r="Q7764" s="2" t="s">
        <v>2992</v>
      </c>
    </row>
    <row r="7765">
      <c r="A7765" s="2">
        <v>7764.0</v>
      </c>
      <c r="B7765" s="2" t="s">
        <v>12346</v>
      </c>
      <c r="C7765" s="2" t="s">
        <v>23</v>
      </c>
      <c r="N7765" s="6">
        <v>44058.0</v>
      </c>
      <c r="Q7765" s="2" t="s">
        <v>86</v>
      </c>
    </row>
    <row r="7766">
      <c r="A7766" s="2">
        <v>7765.0</v>
      </c>
      <c r="B7766" s="2" t="s">
        <v>12347</v>
      </c>
      <c r="C7766" s="2" t="s">
        <v>23</v>
      </c>
      <c r="K7766" s="2">
        <v>200.0</v>
      </c>
      <c r="N7766" s="6">
        <v>44385.0</v>
      </c>
      <c r="Q7766" s="2" t="s">
        <v>1249</v>
      </c>
    </row>
    <row r="7767">
      <c r="A7767" s="2">
        <v>7766.0</v>
      </c>
      <c r="B7767" s="2" t="s">
        <v>12348</v>
      </c>
      <c r="C7767" s="2" t="s">
        <v>23</v>
      </c>
      <c r="K7767" s="2">
        <v>300.0</v>
      </c>
      <c r="N7767" s="6">
        <v>44302.0</v>
      </c>
      <c r="Q7767" s="2" t="s">
        <v>12349</v>
      </c>
    </row>
    <row r="7768">
      <c r="A7768" s="2">
        <v>7767.0</v>
      </c>
      <c r="B7768" s="2" t="s">
        <v>12350</v>
      </c>
      <c r="C7768" s="2" t="s">
        <v>23</v>
      </c>
      <c r="N7768" s="6">
        <v>45357.0</v>
      </c>
      <c r="Q7768" s="2" t="s">
        <v>86</v>
      </c>
    </row>
    <row r="7769">
      <c r="A7769" s="2">
        <v>7768.0</v>
      </c>
      <c r="B7769" s="2" t="s">
        <v>12351</v>
      </c>
      <c r="C7769" s="2" t="s">
        <v>23</v>
      </c>
      <c r="N7769" s="6">
        <v>44605.0</v>
      </c>
      <c r="Q7769" s="2" t="s">
        <v>86</v>
      </c>
    </row>
    <row r="7770">
      <c r="A7770" s="2">
        <v>7769.0</v>
      </c>
      <c r="B7770" s="2" t="s">
        <v>12352</v>
      </c>
      <c r="C7770" s="2" t="s">
        <v>23</v>
      </c>
      <c r="N7770" s="6">
        <v>44095.0</v>
      </c>
      <c r="Q7770" s="2" t="s">
        <v>86</v>
      </c>
    </row>
    <row r="7771">
      <c r="A7771" s="2">
        <v>7770.0</v>
      </c>
      <c r="B7771" s="2" t="s">
        <v>12353</v>
      </c>
      <c r="C7771" s="2" t="s">
        <v>23</v>
      </c>
      <c r="K7771" s="2">
        <v>50.0</v>
      </c>
      <c r="N7771" s="6">
        <v>45523.0</v>
      </c>
      <c r="Q7771" s="2" t="s">
        <v>12354</v>
      </c>
    </row>
    <row r="7772">
      <c r="A7772" s="2">
        <v>7771.0</v>
      </c>
      <c r="B7772" s="2" t="s">
        <v>12355</v>
      </c>
      <c r="C7772" s="2" t="s">
        <v>23</v>
      </c>
      <c r="N7772" s="6">
        <v>44399.0</v>
      </c>
      <c r="Q7772" s="2" t="s">
        <v>86</v>
      </c>
    </row>
    <row r="7773">
      <c r="A7773" s="2">
        <v>7772.0</v>
      </c>
      <c r="B7773" s="2" t="s">
        <v>477</v>
      </c>
      <c r="C7773" s="2" t="s">
        <v>23</v>
      </c>
      <c r="K7773" s="2">
        <v>20.0</v>
      </c>
      <c r="N7773" s="6">
        <v>45020.0</v>
      </c>
      <c r="Q7773" s="2" t="s">
        <v>480</v>
      </c>
    </row>
    <row r="7774">
      <c r="A7774" s="2">
        <v>7773.0</v>
      </c>
      <c r="B7774" s="2" t="s">
        <v>12356</v>
      </c>
      <c r="C7774" s="2" t="s">
        <v>23</v>
      </c>
      <c r="N7774" s="6">
        <v>44830.0</v>
      </c>
      <c r="Q7774" s="2" t="s">
        <v>86</v>
      </c>
    </row>
    <row r="7775">
      <c r="A7775" s="2">
        <v>7774.0</v>
      </c>
      <c r="B7775" s="2" t="s">
        <v>12357</v>
      </c>
      <c r="C7775" s="2" t="s">
        <v>23</v>
      </c>
      <c r="N7775" s="6">
        <v>42458.0</v>
      </c>
      <c r="Q7775" s="2" t="s">
        <v>86</v>
      </c>
    </row>
    <row r="7776">
      <c r="A7776" s="2">
        <v>7775.0</v>
      </c>
      <c r="B7776" s="2" t="s">
        <v>12358</v>
      </c>
      <c r="C7776" s="2" t="s">
        <v>23</v>
      </c>
      <c r="N7776" s="6">
        <v>43866.0</v>
      </c>
      <c r="Q7776" s="2" t="s">
        <v>86</v>
      </c>
    </row>
    <row r="7777">
      <c r="A7777" s="2">
        <v>7776.0</v>
      </c>
      <c r="B7777" s="2" t="s">
        <v>12359</v>
      </c>
      <c r="C7777" s="2" t="s">
        <v>23</v>
      </c>
      <c r="N7777" s="6">
        <v>44550.0</v>
      </c>
      <c r="Q7777" s="2" t="s">
        <v>86</v>
      </c>
    </row>
    <row r="7778">
      <c r="A7778" s="2">
        <v>7777.0</v>
      </c>
      <c r="B7778" s="2" t="s">
        <v>12360</v>
      </c>
      <c r="C7778" s="2" t="s">
        <v>23</v>
      </c>
      <c r="K7778" s="2">
        <v>200.0</v>
      </c>
      <c r="N7778" s="6">
        <v>43864.0</v>
      </c>
      <c r="Q7778" s="2" t="s">
        <v>12361</v>
      </c>
    </row>
    <row r="7779">
      <c r="A7779" s="2">
        <v>7778.0</v>
      </c>
      <c r="B7779" s="2" t="s">
        <v>12362</v>
      </c>
      <c r="C7779" s="2" t="s">
        <v>23</v>
      </c>
      <c r="N7779" s="6">
        <v>44644.0</v>
      </c>
      <c r="Q7779" s="2" t="s">
        <v>86</v>
      </c>
    </row>
    <row r="7780">
      <c r="A7780" s="2">
        <v>7779.0</v>
      </c>
      <c r="B7780" s="2" t="s">
        <v>12363</v>
      </c>
      <c r="C7780" s="2" t="s">
        <v>23</v>
      </c>
      <c r="N7780" s="6">
        <v>44746.0</v>
      </c>
      <c r="Q7780" s="2" t="s">
        <v>86</v>
      </c>
    </row>
    <row r="7781">
      <c r="A7781" s="2">
        <v>7780.0</v>
      </c>
      <c r="B7781" s="2" t="s">
        <v>12364</v>
      </c>
      <c r="C7781" s="2" t="s">
        <v>23</v>
      </c>
      <c r="K7781" s="2">
        <v>30.0</v>
      </c>
      <c r="N7781" s="6">
        <v>44983.0</v>
      </c>
      <c r="Q7781" s="2" t="s">
        <v>3122</v>
      </c>
    </row>
    <row r="7782">
      <c r="A7782" s="2">
        <v>7781.0</v>
      </c>
      <c r="B7782" s="2" t="s">
        <v>12365</v>
      </c>
      <c r="C7782" s="2" t="s">
        <v>23</v>
      </c>
      <c r="N7782" s="6">
        <v>43847.0</v>
      </c>
      <c r="Q7782" s="2" t="s">
        <v>369</v>
      </c>
    </row>
    <row r="7783">
      <c r="A7783" s="2">
        <v>7782.0</v>
      </c>
      <c r="B7783" s="2" t="s">
        <v>12366</v>
      </c>
      <c r="C7783" s="2" t="s">
        <v>23</v>
      </c>
      <c r="K7783" s="2">
        <v>40.0</v>
      </c>
      <c r="N7783" s="6">
        <v>45196.0</v>
      </c>
      <c r="Q7783" s="2" t="s">
        <v>12367</v>
      </c>
    </row>
    <row r="7784">
      <c r="A7784" s="2">
        <v>7783.0</v>
      </c>
      <c r="B7784" s="2" t="s">
        <v>12368</v>
      </c>
      <c r="C7784" s="2" t="s">
        <v>23</v>
      </c>
      <c r="N7784" s="6">
        <v>44312.0</v>
      </c>
      <c r="Q7784" s="2" t="s">
        <v>86</v>
      </c>
    </row>
    <row r="7785">
      <c r="A7785" s="2">
        <v>7784.0</v>
      </c>
      <c r="B7785" s="2" t="s">
        <v>12369</v>
      </c>
      <c r="C7785" s="2" t="s">
        <v>23</v>
      </c>
      <c r="K7785" s="2">
        <v>150.0</v>
      </c>
      <c r="N7785" s="6">
        <v>45781.0</v>
      </c>
      <c r="Q7785" s="2" t="s">
        <v>12370</v>
      </c>
    </row>
    <row r="7786">
      <c r="A7786" s="2">
        <v>7785.0</v>
      </c>
      <c r="B7786" s="2" t="s">
        <v>12371</v>
      </c>
      <c r="C7786" s="2" t="s">
        <v>23</v>
      </c>
      <c r="K7786" s="2">
        <v>40.0</v>
      </c>
      <c r="N7786" s="6">
        <v>44479.0</v>
      </c>
      <c r="Q7786" s="2" t="s">
        <v>2001</v>
      </c>
    </row>
    <row r="7787">
      <c r="A7787" s="2">
        <v>7786.0</v>
      </c>
      <c r="B7787" s="2" t="s">
        <v>12372</v>
      </c>
      <c r="C7787" s="2" t="s">
        <v>23</v>
      </c>
      <c r="K7787" s="2">
        <v>10.0</v>
      </c>
      <c r="N7787" s="6">
        <v>45568.0</v>
      </c>
      <c r="Q7787" s="2" t="s">
        <v>12373</v>
      </c>
    </row>
    <row r="7788">
      <c r="A7788" s="2">
        <v>7787.0</v>
      </c>
      <c r="B7788" s="2" t="s">
        <v>12374</v>
      </c>
      <c r="C7788" s="2" t="s">
        <v>23</v>
      </c>
      <c r="N7788" s="6">
        <v>43866.0</v>
      </c>
      <c r="Q7788" s="2" t="s">
        <v>86</v>
      </c>
    </row>
    <row r="7789">
      <c r="A7789" s="2">
        <v>7788.0</v>
      </c>
      <c r="B7789" s="2" t="s">
        <v>12375</v>
      </c>
      <c r="C7789" s="2" t="s">
        <v>23</v>
      </c>
      <c r="K7789" s="2">
        <v>200.0</v>
      </c>
      <c r="N7789" s="6">
        <v>44592.0</v>
      </c>
      <c r="Q7789" s="2" t="s">
        <v>12376</v>
      </c>
    </row>
    <row r="7790">
      <c r="A7790" s="2">
        <v>7789.0</v>
      </c>
      <c r="B7790" s="2" t="s">
        <v>12377</v>
      </c>
      <c r="C7790" s="2" t="s">
        <v>23</v>
      </c>
      <c r="N7790" s="6">
        <v>43996.0</v>
      </c>
      <c r="Q7790" s="2" t="s">
        <v>12378</v>
      </c>
    </row>
    <row r="7791">
      <c r="A7791" s="2">
        <v>7790.0</v>
      </c>
      <c r="B7791" s="2" t="s">
        <v>12379</v>
      </c>
      <c r="C7791" s="2" t="s">
        <v>23</v>
      </c>
      <c r="N7791" s="6">
        <v>44090.0</v>
      </c>
      <c r="Q7791" s="2" t="s">
        <v>86</v>
      </c>
    </row>
    <row r="7792">
      <c r="A7792" s="2">
        <v>7791.0</v>
      </c>
      <c r="B7792" s="2" t="s">
        <v>12380</v>
      </c>
      <c r="C7792" s="2" t="s">
        <v>23</v>
      </c>
      <c r="K7792" s="2">
        <v>90.0</v>
      </c>
      <c r="N7792" s="6">
        <v>44107.0</v>
      </c>
      <c r="Q7792" s="2" t="s">
        <v>12381</v>
      </c>
    </row>
    <row r="7793">
      <c r="A7793" s="2">
        <v>7792.0</v>
      </c>
      <c r="B7793" s="2" t="s">
        <v>12382</v>
      </c>
      <c r="C7793" s="2" t="s">
        <v>23</v>
      </c>
      <c r="N7793" s="6">
        <v>43913.0</v>
      </c>
      <c r="Q7793" s="2" t="s">
        <v>86</v>
      </c>
    </row>
    <row r="7794">
      <c r="A7794" s="2">
        <v>7793.0</v>
      </c>
      <c r="B7794" s="2" t="s">
        <v>12383</v>
      </c>
      <c r="C7794" s="2" t="s">
        <v>23</v>
      </c>
      <c r="K7794" s="2">
        <v>20.0</v>
      </c>
      <c r="N7794" s="6">
        <v>44673.0</v>
      </c>
      <c r="Q7794" s="2" t="s">
        <v>12384</v>
      </c>
    </row>
    <row r="7795">
      <c r="A7795" s="2">
        <v>7794.0</v>
      </c>
      <c r="B7795" s="2" t="s">
        <v>12385</v>
      </c>
      <c r="C7795" s="2" t="s">
        <v>23</v>
      </c>
      <c r="K7795" s="2">
        <v>40.0</v>
      </c>
      <c r="N7795" s="6">
        <v>45807.0</v>
      </c>
      <c r="Q7795" s="2" t="s">
        <v>1545</v>
      </c>
    </row>
    <row r="7796">
      <c r="A7796" s="2">
        <v>7795.0</v>
      </c>
      <c r="B7796" s="2" t="s">
        <v>12386</v>
      </c>
      <c r="C7796" s="2" t="s">
        <v>23</v>
      </c>
      <c r="K7796" s="2">
        <v>350.0</v>
      </c>
      <c r="N7796" s="6">
        <v>43242.0</v>
      </c>
      <c r="Q7796" s="2" t="s">
        <v>12387</v>
      </c>
    </row>
    <row r="7797">
      <c r="A7797" s="2">
        <v>7796.0</v>
      </c>
      <c r="B7797" s="2" t="s">
        <v>12388</v>
      </c>
      <c r="C7797" s="2" t="s">
        <v>23</v>
      </c>
      <c r="K7797" s="2">
        <v>10.0</v>
      </c>
      <c r="N7797" s="6">
        <v>44239.0</v>
      </c>
      <c r="Q7797" s="2" t="s">
        <v>1466</v>
      </c>
    </row>
    <row r="7798">
      <c r="A7798" s="2">
        <v>7797.0</v>
      </c>
      <c r="B7798" s="2" t="s">
        <v>12389</v>
      </c>
      <c r="C7798" s="2" t="s">
        <v>23</v>
      </c>
      <c r="K7798" s="2">
        <v>70.0</v>
      </c>
      <c r="N7798" s="6">
        <v>44574.0</v>
      </c>
      <c r="Q7798" s="2" t="s">
        <v>10849</v>
      </c>
    </row>
    <row r="7799">
      <c r="A7799" s="2">
        <v>7798.0</v>
      </c>
      <c r="B7799" s="2" t="s">
        <v>12390</v>
      </c>
      <c r="C7799" s="2" t="s">
        <v>23</v>
      </c>
      <c r="K7799" s="2">
        <v>20.0</v>
      </c>
      <c r="N7799" s="6">
        <v>44357.0</v>
      </c>
      <c r="Q7799" s="2" t="s">
        <v>401</v>
      </c>
    </row>
    <row r="7800">
      <c r="A7800" s="2">
        <v>7799.0</v>
      </c>
      <c r="B7800" s="2" t="s">
        <v>12391</v>
      </c>
      <c r="C7800" s="2" t="s">
        <v>23</v>
      </c>
      <c r="K7800" s="2">
        <v>10.0</v>
      </c>
      <c r="N7800" s="6">
        <v>44649.0</v>
      </c>
      <c r="Q7800" s="2" t="s">
        <v>12392</v>
      </c>
    </row>
    <row r="7801">
      <c r="A7801" s="2">
        <v>7800.0</v>
      </c>
      <c r="B7801" s="2" t="s">
        <v>12393</v>
      </c>
      <c r="C7801" s="2" t="s">
        <v>23</v>
      </c>
      <c r="N7801" s="6">
        <v>44928.0</v>
      </c>
      <c r="Q7801" s="2" t="s">
        <v>86</v>
      </c>
    </row>
    <row r="7802">
      <c r="A7802" s="2">
        <v>7801.0</v>
      </c>
      <c r="B7802" s="2" t="s">
        <v>12394</v>
      </c>
      <c r="C7802" s="2" t="s">
        <v>23</v>
      </c>
      <c r="N7802" s="6">
        <v>44490.0</v>
      </c>
      <c r="Q7802" s="2" t="s">
        <v>86</v>
      </c>
    </row>
    <row r="7803">
      <c r="A7803" s="2">
        <v>7802.0</v>
      </c>
      <c r="B7803" s="2" t="s">
        <v>482</v>
      </c>
      <c r="C7803" s="2" t="s">
        <v>23</v>
      </c>
      <c r="K7803" s="2">
        <v>300.0</v>
      </c>
      <c r="N7803" s="6">
        <v>44084.0</v>
      </c>
      <c r="Q7803" s="2" t="s">
        <v>486</v>
      </c>
    </row>
    <row r="7804">
      <c r="A7804" s="2">
        <v>7803.0</v>
      </c>
      <c r="B7804" s="2" t="s">
        <v>12395</v>
      </c>
      <c r="C7804" s="2" t="s">
        <v>23</v>
      </c>
      <c r="N7804" s="6">
        <v>43915.0</v>
      </c>
      <c r="Q7804" s="2" t="s">
        <v>86</v>
      </c>
    </row>
    <row r="7805">
      <c r="A7805" s="2">
        <v>7804.0</v>
      </c>
      <c r="B7805" s="2" t="s">
        <v>12396</v>
      </c>
      <c r="C7805" s="2" t="s">
        <v>23</v>
      </c>
      <c r="K7805" s="2">
        <v>400.0</v>
      </c>
      <c r="N7805" s="6">
        <v>44101.0</v>
      </c>
      <c r="Q7805" s="2" t="s">
        <v>12397</v>
      </c>
    </row>
    <row r="7806">
      <c r="A7806" s="2">
        <v>7805.0</v>
      </c>
      <c r="B7806" s="2" t="s">
        <v>12398</v>
      </c>
      <c r="C7806" s="2" t="s">
        <v>23</v>
      </c>
      <c r="K7806" s="2">
        <v>30.0</v>
      </c>
      <c r="N7806" s="6">
        <v>45712.0</v>
      </c>
      <c r="Q7806" s="2" t="s">
        <v>7434</v>
      </c>
    </row>
    <row r="7807">
      <c r="A7807" s="2">
        <v>7806.0</v>
      </c>
      <c r="B7807" s="2" t="s">
        <v>12399</v>
      </c>
      <c r="C7807" s="2" t="s">
        <v>23</v>
      </c>
      <c r="N7807" s="6">
        <v>42865.0</v>
      </c>
      <c r="Q7807" s="2" t="s">
        <v>1801</v>
      </c>
    </row>
    <row r="7808">
      <c r="A7808" s="2">
        <v>7807.0</v>
      </c>
      <c r="B7808" s="2" t="s">
        <v>12400</v>
      </c>
      <c r="C7808" s="2" t="s">
        <v>23</v>
      </c>
      <c r="K7808" s="2">
        <v>80.0</v>
      </c>
      <c r="N7808" s="6">
        <v>43915.0</v>
      </c>
      <c r="Q7808" s="2" t="s">
        <v>89</v>
      </c>
    </row>
    <row r="7809">
      <c r="A7809" s="2">
        <v>7808.0</v>
      </c>
      <c r="B7809" s="2" t="s">
        <v>12401</v>
      </c>
      <c r="C7809" s="2" t="s">
        <v>23</v>
      </c>
      <c r="N7809" s="6">
        <v>44368.0</v>
      </c>
      <c r="Q7809" s="2" t="s">
        <v>86</v>
      </c>
    </row>
    <row r="7810">
      <c r="A7810" s="2">
        <v>7809.0</v>
      </c>
      <c r="B7810" s="2" t="s">
        <v>12402</v>
      </c>
      <c r="C7810" s="2" t="s">
        <v>23</v>
      </c>
      <c r="K7810" s="2">
        <v>200.0</v>
      </c>
      <c r="N7810" s="6">
        <v>44044.0</v>
      </c>
      <c r="Q7810" s="2" t="s">
        <v>12403</v>
      </c>
    </row>
    <row r="7811">
      <c r="A7811" s="2">
        <v>7810.0</v>
      </c>
      <c r="B7811" s="2" t="s">
        <v>12404</v>
      </c>
      <c r="C7811" s="2" t="s">
        <v>23</v>
      </c>
      <c r="N7811" s="6">
        <v>44485.0</v>
      </c>
      <c r="Q7811" s="2" t="s">
        <v>86</v>
      </c>
    </row>
    <row r="7812">
      <c r="A7812" s="2">
        <v>7811.0</v>
      </c>
      <c r="B7812" s="2" t="s">
        <v>12405</v>
      </c>
      <c r="C7812" s="2" t="s">
        <v>23</v>
      </c>
      <c r="K7812" s="2">
        <v>50.0</v>
      </c>
      <c r="N7812" s="6">
        <v>42856.0</v>
      </c>
      <c r="Q7812" s="2" t="s">
        <v>12406</v>
      </c>
    </row>
    <row r="7813">
      <c r="A7813" s="2">
        <v>7812.0</v>
      </c>
      <c r="B7813" s="2" t="s">
        <v>12407</v>
      </c>
      <c r="C7813" s="2" t="s">
        <v>23</v>
      </c>
      <c r="N7813" s="6">
        <v>44677.0</v>
      </c>
      <c r="Q7813" s="2" t="s">
        <v>86</v>
      </c>
    </row>
    <row r="7814">
      <c r="A7814" s="2">
        <v>7813.0</v>
      </c>
      <c r="B7814" s="2" t="s">
        <v>12408</v>
      </c>
      <c r="C7814" s="2" t="s">
        <v>23</v>
      </c>
      <c r="K7814" s="2">
        <v>10.0</v>
      </c>
      <c r="N7814" s="6">
        <v>45118.0</v>
      </c>
      <c r="Q7814" s="2" t="s">
        <v>12409</v>
      </c>
    </row>
    <row r="7815">
      <c r="A7815" s="2">
        <v>7814.0</v>
      </c>
      <c r="B7815" s="2" t="s">
        <v>12410</v>
      </c>
      <c r="C7815" s="2" t="s">
        <v>23</v>
      </c>
      <c r="K7815" s="2">
        <v>70.0</v>
      </c>
      <c r="N7815" s="6">
        <v>44173.0</v>
      </c>
      <c r="Q7815" s="2" t="s">
        <v>86</v>
      </c>
    </row>
    <row r="7816">
      <c r="A7816" s="2">
        <v>7815.0</v>
      </c>
      <c r="B7816" s="2" t="s">
        <v>12411</v>
      </c>
      <c r="C7816" s="2" t="s">
        <v>23</v>
      </c>
      <c r="K7816" s="2">
        <v>20.0</v>
      </c>
      <c r="N7816" s="6">
        <v>43712.0</v>
      </c>
      <c r="Q7816" s="2" t="s">
        <v>12412</v>
      </c>
    </row>
    <row r="7817">
      <c r="A7817" s="2">
        <v>7816.0</v>
      </c>
      <c r="B7817" s="2" t="s">
        <v>12413</v>
      </c>
      <c r="C7817" s="2" t="s">
        <v>23</v>
      </c>
      <c r="F7817" s="2">
        <v>0.25</v>
      </c>
      <c r="K7817" s="2">
        <v>100.0</v>
      </c>
      <c r="N7817" s="6">
        <v>43942.0</v>
      </c>
      <c r="Q7817" s="2" t="s">
        <v>12414</v>
      </c>
    </row>
    <row r="7818">
      <c r="A7818" s="2">
        <v>7817.0</v>
      </c>
      <c r="B7818" s="2" t="s">
        <v>12415</v>
      </c>
      <c r="C7818" s="2" t="s">
        <v>23</v>
      </c>
      <c r="K7818" s="2">
        <v>50.0</v>
      </c>
      <c r="N7818" s="6">
        <v>45614.0</v>
      </c>
      <c r="Q7818" s="2" t="s">
        <v>12416</v>
      </c>
    </row>
    <row r="7819">
      <c r="A7819" s="2">
        <v>7818.0</v>
      </c>
      <c r="B7819" s="2" t="s">
        <v>12417</v>
      </c>
      <c r="C7819" s="2" t="s">
        <v>23</v>
      </c>
      <c r="K7819" s="2">
        <v>40.0</v>
      </c>
      <c r="N7819" s="6">
        <v>45052.0</v>
      </c>
      <c r="Q7819" s="2" t="s">
        <v>12418</v>
      </c>
    </row>
    <row r="7820">
      <c r="A7820" s="2">
        <v>7819.0</v>
      </c>
      <c r="B7820" s="2" t="s">
        <v>12419</v>
      </c>
      <c r="C7820" s="2" t="s">
        <v>23</v>
      </c>
      <c r="N7820" s="6">
        <v>44032.0</v>
      </c>
      <c r="Q7820" s="2" t="s">
        <v>86</v>
      </c>
    </row>
    <row r="7821">
      <c r="A7821" s="2">
        <v>7820.0</v>
      </c>
      <c r="B7821" s="2" t="s">
        <v>12420</v>
      </c>
      <c r="C7821" s="2" t="s">
        <v>23</v>
      </c>
      <c r="N7821" s="6">
        <v>42466.0</v>
      </c>
      <c r="Q7821" s="2" t="s">
        <v>86</v>
      </c>
    </row>
    <row r="7822">
      <c r="A7822" s="2">
        <v>7821.0</v>
      </c>
      <c r="B7822" s="2" t="s">
        <v>12421</v>
      </c>
      <c r="C7822" s="2" t="s">
        <v>23</v>
      </c>
      <c r="N7822" s="6">
        <v>44690.0</v>
      </c>
      <c r="Q7822" s="2" t="s">
        <v>86</v>
      </c>
    </row>
    <row r="7823">
      <c r="A7823" s="2">
        <v>7822.0</v>
      </c>
      <c r="B7823" s="2" t="s">
        <v>12422</v>
      </c>
      <c r="C7823" s="2" t="s">
        <v>23</v>
      </c>
      <c r="K7823" s="2">
        <v>30.0</v>
      </c>
      <c r="N7823" s="6">
        <v>44034.0</v>
      </c>
      <c r="Q7823" s="2" t="s">
        <v>12423</v>
      </c>
    </row>
    <row r="7824">
      <c r="A7824" s="2">
        <v>7823.0</v>
      </c>
      <c r="B7824" s="2" t="s">
        <v>12424</v>
      </c>
      <c r="C7824" s="2" t="s">
        <v>23</v>
      </c>
      <c r="K7824" s="2">
        <v>30.0</v>
      </c>
      <c r="N7824" s="6">
        <v>43946.0</v>
      </c>
      <c r="Q7824" s="2" t="s">
        <v>12425</v>
      </c>
    </row>
    <row r="7825">
      <c r="A7825" s="2">
        <v>7824.0</v>
      </c>
      <c r="B7825" s="2" t="s">
        <v>12426</v>
      </c>
      <c r="C7825" s="2" t="s">
        <v>23</v>
      </c>
      <c r="N7825" s="6">
        <v>44554.0</v>
      </c>
      <c r="Q7825" s="2" t="s">
        <v>86</v>
      </c>
    </row>
    <row r="7826">
      <c r="A7826" s="2">
        <v>7825.0</v>
      </c>
      <c r="B7826" s="2" t="s">
        <v>12427</v>
      </c>
      <c r="C7826" s="2" t="s">
        <v>23</v>
      </c>
      <c r="K7826" s="2">
        <v>100.0</v>
      </c>
      <c r="N7826" s="6">
        <v>43846.0</v>
      </c>
      <c r="Q7826" s="2" t="s">
        <v>12428</v>
      </c>
    </row>
    <row r="7827">
      <c r="A7827" s="2">
        <v>7826.0</v>
      </c>
      <c r="B7827" s="2" t="s">
        <v>12429</v>
      </c>
      <c r="C7827" s="2" t="s">
        <v>23</v>
      </c>
      <c r="N7827" s="6">
        <v>44602.0</v>
      </c>
      <c r="Q7827" s="2" t="s">
        <v>86</v>
      </c>
    </row>
    <row r="7828">
      <c r="A7828" s="2">
        <v>7827.0</v>
      </c>
      <c r="B7828" s="2" t="s">
        <v>12430</v>
      </c>
      <c r="C7828" s="2" t="s">
        <v>23</v>
      </c>
      <c r="K7828" s="2">
        <v>50.0</v>
      </c>
      <c r="N7828" s="6">
        <v>44026.0</v>
      </c>
      <c r="Q7828" s="2" t="s">
        <v>12431</v>
      </c>
    </row>
    <row r="7829">
      <c r="A7829" s="2">
        <v>7828.0</v>
      </c>
      <c r="B7829" s="2" t="s">
        <v>12432</v>
      </c>
      <c r="C7829" s="2" t="s">
        <v>23</v>
      </c>
      <c r="N7829" s="6">
        <v>42572.0</v>
      </c>
      <c r="Q7829" s="2" t="s">
        <v>235</v>
      </c>
    </row>
    <row r="7830">
      <c r="A7830" s="2">
        <v>7829.0</v>
      </c>
      <c r="B7830" s="2" t="s">
        <v>12433</v>
      </c>
      <c r="C7830" s="2" t="s">
        <v>23</v>
      </c>
      <c r="K7830" s="2">
        <v>50.0</v>
      </c>
      <c r="N7830" s="6">
        <v>44500.0</v>
      </c>
      <c r="Q7830" s="2" t="s">
        <v>5802</v>
      </c>
    </row>
    <row r="7831">
      <c r="A7831" s="2">
        <v>7830.0</v>
      </c>
      <c r="B7831" s="2" t="s">
        <v>12434</v>
      </c>
      <c r="C7831" s="2" t="s">
        <v>23</v>
      </c>
      <c r="N7831" s="6">
        <v>44938.0</v>
      </c>
      <c r="Q7831" s="2" t="s">
        <v>7039</v>
      </c>
    </row>
    <row r="7832">
      <c r="A7832" s="2">
        <v>7831.0</v>
      </c>
      <c r="B7832" s="2" t="s">
        <v>488</v>
      </c>
      <c r="C7832" s="2" t="s">
        <v>23</v>
      </c>
      <c r="N7832" s="6">
        <v>45134.0</v>
      </c>
      <c r="Q7832" s="2" t="s">
        <v>491</v>
      </c>
    </row>
    <row r="7833">
      <c r="A7833" s="2">
        <v>7832.0</v>
      </c>
      <c r="B7833" s="2" t="s">
        <v>12435</v>
      </c>
      <c r="C7833" s="2" t="s">
        <v>23</v>
      </c>
      <c r="N7833" s="6">
        <v>44406.0</v>
      </c>
      <c r="Q7833" s="2" t="s">
        <v>2362</v>
      </c>
    </row>
    <row r="7834">
      <c r="A7834" s="2">
        <v>7833.0</v>
      </c>
      <c r="B7834" s="2" t="s">
        <v>12436</v>
      </c>
      <c r="C7834" s="2" t="s">
        <v>23</v>
      </c>
      <c r="K7834" s="2">
        <v>90.0</v>
      </c>
      <c r="N7834" s="6">
        <v>44680.0</v>
      </c>
      <c r="Q7834" s="2" t="s">
        <v>12437</v>
      </c>
    </row>
    <row r="7835">
      <c r="A7835" s="2">
        <v>7834.0</v>
      </c>
      <c r="B7835" s="2" t="s">
        <v>12438</v>
      </c>
      <c r="C7835" s="2" t="s">
        <v>23</v>
      </c>
      <c r="N7835" s="6">
        <v>44636.0</v>
      </c>
      <c r="Q7835" s="2" t="s">
        <v>86</v>
      </c>
    </row>
    <row r="7836">
      <c r="A7836" s="2">
        <v>7835.0</v>
      </c>
      <c r="B7836" s="2" t="s">
        <v>12439</v>
      </c>
      <c r="C7836" s="2" t="s">
        <v>23</v>
      </c>
      <c r="K7836" s="2">
        <v>30.0</v>
      </c>
      <c r="N7836" s="6">
        <v>44329.0</v>
      </c>
      <c r="Q7836" s="2" t="s">
        <v>12440</v>
      </c>
    </row>
    <row r="7837">
      <c r="A7837" s="2">
        <v>7836.0</v>
      </c>
      <c r="B7837" s="2" t="s">
        <v>12441</v>
      </c>
      <c r="C7837" s="2" t="s">
        <v>23</v>
      </c>
      <c r="N7837" s="6">
        <v>44595.0</v>
      </c>
      <c r="Q7837" s="2" t="s">
        <v>86</v>
      </c>
    </row>
    <row r="7838">
      <c r="A7838" s="2">
        <v>7837.0</v>
      </c>
      <c r="B7838" s="2" t="s">
        <v>12442</v>
      </c>
      <c r="C7838" s="2" t="s">
        <v>23</v>
      </c>
      <c r="K7838" s="2">
        <v>10.0</v>
      </c>
      <c r="N7838" s="6">
        <v>44392.0</v>
      </c>
      <c r="Q7838" s="2" t="s">
        <v>546</v>
      </c>
    </row>
    <row r="7839">
      <c r="A7839" s="2">
        <v>7838.0</v>
      </c>
      <c r="B7839" s="2" t="s">
        <v>12443</v>
      </c>
      <c r="C7839" s="2" t="s">
        <v>23</v>
      </c>
      <c r="K7839" s="2">
        <v>20.0</v>
      </c>
      <c r="N7839" s="6">
        <v>44996.0</v>
      </c>
      <c r="Q7839" s="2" t="s">
        <v>86</v>
      </c>
    </row>
    <row r="7840">
      <c r="A7840" s="2">
        <v>7839.0</v>
      </c>
      <c r="B7840" s="2" t="s">
        <v>12444</v>
      </c>
      <c r="C7840" s="2" t="s">
        <v>23</v>
      </c>
      <c r="K7840" s="2">
        <v>150.0</v>
      </c>
      <c r="N7840" s="6">
        <v>45022.0</v>
      </c>
      <c r="Q7840" s="2" t="s">
        <v>12445</v>
      </c>
    </row>
    <row r="7841">
      <c r="A7841" s="2">
        <v>7840.0</v>
      </c>
      <c r="B7841" s="2" t="s">
        <v>12446</v>
      </c>
      <c r="C7841" s="2" t="s">
        <v>23</v>
      </c>
      <c r="K7841" s="2">
        <v>10.0</v>
      </c>
      <c r="N7841" s="6">
        <v>43885.0</v>
      </c>
      <c r="Q7841" s="2" t="s">
        <v>86</v>
      </c>
    </row>
    <row r="7842">
      <c r="A7842" s="2">
        <v>7841.0</v>
      </c>
      <c r="B7842" s="2" t="s">
        <v>12447</v>
      </c>
      <c r="C7842" s="2" t="s">
        <v>23</v>
      </c>
      <c r="K7842" s="2">
        <v>90.0</v>
      </c>
      <c r="N7842" s="6">
        <v>45265.0</v>
      </c>
      <c r="Q7842" s="2" t="s">
        <v>2642</v>
      </c>
    </row>
    <row r="7843">
      <c r="A7843" s="2">
        <v>7842.0</v>
      </c>
      <c r="B7843" s="2" t="s">
        <v>12448</v>
      </c>
      <c r="C7843" s="2" t="s">
        <v>23</v>
      </c>
      <c r="K7843" s="2">
        <v>40.0</v>
      </c>
      <c r="N7843" s="6">
        <v>45535.0</v>
      </c>
      <c r="Q7843" s="2" t="s">
        <v>12449</v>
      </c>
    </row>
    <row r="7844">
      <c r="A7844" s="2">
        <v>7843.0</v>
      </c>
      <c r="B7844" s="2" t="s">
        <v>12450</v>
      </c>
      <c r="C7844" s="2" t="s">
        <v>23</v>
      </c>
      <c r="K7844" s="2">
        <v>30.0</v>
      </c>
      <c r="N7844" s="6">
        <v>45680.0</v>
      </c>
      <c r="Q7844" s="2" t="s">
        <v>12451</v>
      </c>
    </row>
    <row r="7845">
      <c r="A7845" s="2">
        <v>7844.0</v>
      </c>
      <c r="B7845" s="2" t="s">
        <v>12452</v>
      </c>
      <c r="C7845" s="2" t="s">
        <v>23</v>
      </c>
      <c r="K7845" s="2">
        <v>20.0</v>
      </c>
      <c r="N7845" s="6">
        <v>43989.0</v>
      </c>
      <c r="Q7845" s="2" t="s">
        <v>12453</v>
      </c>
    </row>
    <row r="7846">
      <c r="A7846" s="2">
        <v>7845.0</v>
      </c>
      <c r="B7846" s="2" t="s">
        <v>12454</v>
      </c>
      <c r="C7846" s="2" t="s">
        <v>23</v>
      </c>
      <c r="K7846" s="2">
        <v>30.0</v>
      </c>
      <c r="N7846" s="6">
        <v>44642.0</v>
      </c>
      <c r="Q7846" s="2" t="s">
        <v>200</v>
      </c>
    </row>
    <row r="7847">
      <c r="A7847" s="2">
        <v>7846.0</v>
      </c>
      <c r="B7847" s="2" t="s">
        <v>12455</v>
      </c>
      <c r="C7847" s="2" t="s">
        <v>23</v>
      </c>
      <c r="K7847" s="2">
        <v>80.0</v>
      </c>
      <c r="N7847" s="6">
        <v>44335.0</v>
      </c>
      <c r="Q7847" s="2" t="s">
        <v>86</v>
      </c>
    </row>
    <row r="7848">
      <c r="A7848" s="2">
        <v>7847.0</v>
      </c>
      <c r="B7848" s="2" t="s">
        <v>12456</v>
      </c>
      <c r="C7848" s="2" t="s">
        <v>23</v>
      </c>
      <c r="K7848" s="2">
        <v>60.0</v>
      </c>
      <c r="N7848" s="6">
        <v>44271.0</v>
      </c>
      <c r="Q7848" s="2" t="s">
        <v>12457</v>
      </c>
    </row>
    <row r="7849">
      <c r="A7849" s="2">
        <v>7848.0</v>
      </c>
      <c r="B7849" s="2" t="s">
        <v>12458</v>
      </c>
      <c r="C7849" s="2" t="s">
        <v>23</v>
      </c>
      <c r="K7849" s="2">
        <v>100.0</v>
      </c>
      <c r="N7849" s="6">
        <v>45602.0</v>
      </c>
      <c r="Q7849" s="2" t="s">
        <v>12459</v>
      </c>
    </row>
    <row r="7850">
      <c r="A7850" s="2">
        <v>7849.0</v>
      </c>
      <c r="B7850" s="2" t="s">
        <v>12460</v>
      </c>
      <c r="C7850" s="2" t="s">
        <v>23</v>
      </c>
      <c r="N7850" s="6">
        <v>42765.0</v>
      </c>
      <c r="Q7850" s="2" t="s">
        <v>12461</v>
      </c>
    </row>
    <row r="7851">
      <c r="A7851" s="2">
        <v>7850.0</v>
      </c>
      <c r="B7851" s="2" t="s">
        <v>12462</v>
      </c>
      <c r="C7851" s="2" t="s">
        <v>23</v>
      </c>
      <c r="N7851" s="6">
        <v>45587.0</v>
      </c>
      <c r="Q7851" s="2" t="s">
        <v>4647</v>
      </c>
    </row>
    <row r="7852">
      <c r="A7852" s="2">
        <v>7851.0</v>
      </c>
      <c r="B7852" s="2" t="s">
        <v>492</v>
      </c>
      <c r="C7852" s="2" t="s">
        <v>23</v>
      </c>
      <c r="N7852" s="6">
        <v>43909.0</v>
      </c>
      <c r="Q7852" s="2" t="s">
        <v>86</v>
      </c>
    </row>
    <row r="7853">
      <c r="A7853" s="2">
        <v>7852.0</v>
      </c>
      <c r="B7853" s="2" t="s">
        <v>12463</v>
      </c>
      <c r="C7853" s="2" t="s">
        <v>23</v>
      </c>
      <c r="N7853" s="6">
        <v>42846.0</v>
      </c>
      <c r="Q7853" s="2" t="s">
        <v>86</v>
      </c>
    </row>
    <row r="7854">
      <c r="A7854" s="2">
        <v>7853.0</v>
      </c>
      <c r="B7854" s="2" t="s">
        <v>12464</v>
      </c>
      <c r="C7854" s="2" t="s">
        <v>23</v>
      </c>
      <c r="N7854" s="6">
        <v>44607.0</v>
      </c>
      <c r="Q7854" s="2" t="s">
        <v>86</v>
      </c>
    </row>
    <row r="7855">
      <c r="A7855" s="2">
        <v>7854.0</v>
      </c>
      <c r="B7855" s="2" t="s">
        <v>12465</v>
      </c>
      <c r="C7855" s="2" t="s">
        <v>23</v>
      </c>
      <c r="K7855" s="2">
        <v>150.0</v>
      </c>
      <c r="N7855" s="6">
        <v>44598.0</v>
      </c>
      <c r="Q7855" s="2" t="s">
        <v>12466</v>
      </c>
    </row>
    <row r="7856">
      <c r="A7856" s="2">
        <v>7855.0</v>
      </c>
      <c r="B7856" s="2" t="s">
        <v>12467</v>
      </c>
      <c r="C7856" s="2" t="s">
        <v>23</v>
      </c>
      <c r="K7856" s="2">
        <v>10.0</v>
      </c>
      <c r="N7856" s="6">
        <v>44023.0</v>
      </c>
      <c r="Q7856" s="2" t="s">
        <v>86</v>
      </c>
    </row>
    <row r="7857">
      <c r="A7857" s="2">
        <v>7856.0</v>
      </c>
      <c r="B7857" s="2" t="s">
        <v>12468</v>
      </c>
      <c r="C7857" s="2" t="s">
        <v>23</v>
      </c>
      <c r="N7857" s="6">
        <v>44119.0</v>
      </c>
      <c r="Q7857" s="2" t="s">
        <v>86</v>
      </c>
    </row>
    <row r="7858">
      <c r="A7858" s="2">
        <v>7857.0</v>
      </c>
      <c r="B7858" s="2" t="s">
        <v>12469</v>
      </c>
      <c r="C7858" s="2" t="s">
        <v>23</v>
      </c>
      <c r="K7858" s="2">
        <v>30.0</v>
      </c>
      <c r="N7858" s="6">
        <v>44117.0</v>
      </c>
      <c r="Q7858" s="2" t="s">
        <v>12470</v>
      </c>
    </row>
    <row r="7859">
      <c r="A7859" s="2">
        <v>7858.0</v>
      </c>
      <c r="B7859" s="2" t="s">
        <v>12471</v>
      </c>
      <c r="C7859" s="2" t="s">
        <v>23</v>
      </c>
      <c r="K7859" s="2">
        <v>10.0</v>
      </c>
      <c r="N7859" s="6">
        <v>44027.0</v>
      </c>
      <c r="Q7859" s="2" t="s">
        <v>12472</v>
      </c>
    </row>
    <row r="7860">
      <c r="A7860" s="2">
        <v>7859.0</v>
      </c>
      <c r="B7860" s="2" t="s">
        <v>12473</v>
      </c>
      <c r="C7860" s="2" t="s">
        <v>23</v>
      </c>
      <c r="K7860" s="2">
        <v>50.0</v>
      </c>
      <c r="N7860" s="6">
        <v>44140.0</v>
      </c>
      <c r="Q7860" s="2" t="s">
        <v>1915</v>
      </c>
    </row>
    <row r="7861">
      <c r="A7861" s="2">
        <v>7860.0</v>
      </c>
      <c r="B7861" s="2" t="s">
        <v>12474</v>
      </c>
      <c r="C7861" s="2" t="s">
        <v>23</v>
      </c>
      <c r="N7861" s="6">
        <v>45770.0</v>
      </c>
      <c r="Q7861" s="2" t="s">
        <v>5017</v>
      </c>
    </row>
    <row r="7862">
      <c r="A7862" s="2">
        <v>7861.0</v>
      </c>
      <c r="B7862" s="2" t="s">
        <v>12475</v>
      </c>
      <c r="C7862" s="2" t="s">
        <v>23</v>
      </c>
      <c r="K7862" s="2">
        <v>150.0</v>
      </c>
      <c r="N7862" s="6">
        <v>42418.0</v>
      </c>
      <c r="Q7862" s="2" t="s">
        <v>12476</v>
      </c>
    </row>
    <row r="7863">
      <c r="A7863" s="2">
        <v>7862.0</v>
      </c>
      <c r="B7863" s="2" t="s">
        <v>12477</v>
      </c>
      <c r="C7863" s="2" t="s">
        <v>23</v>
      </c>
      <c r="K7863" s="2">
        <v>40.0</v>
      </c>
      <c r="N7863" s="6">
        <v>45533.0</v>
      </c>
      <c r="Q7863" s="2" t="s">
        <v>12478</v>
      </c>
    </row>
    <row r="7864">
      <c r="A7864" s="2">
        <v>7863.0</v>
      </c>
      <c r="B7864" s="2" t="s">
        <v>12479</v>
      </c>
      <c r="C7864" s="2" t="s">
        <v>23</v>
      </c>
      <c r="K7864" s="2">
        <v>40.0</v>
      </c>
      <c r="N7864" s="6">
        <v>44461.0</v>
      </c>
      <c r="Q7864" s="2" t="s">
        <v>86</v>
      </c>
    </row>
    <row r="7865">
      <c r="A7865" s="2">
        <v>7864.0</v>
      </c>
      <c r="B7865" s="2" t="s">
        <v>12480</v>
      </c>
      <c r="C7865" s="2" t="s">
        <v>23</v>
      </c>
      <c r="K7865" s="2">
        <v>20.0</v>
      </c>
      <c r="N7865" s="6">
        <v>44706.0</v>
      </c>
      <c r="Q7865" s="2" t="s">
        <v>3512</v>
      </c>
    </row>
    <row r="7866">
      <c r="A7866" s="2">
        <v>7865.0</v>
      </c>
      <c r="B7866" s="2" t="s">
        <v>12481</v>
      </c>
      <c r="C7866" s="2" t="s">
        <v>23</v>
      </c>
      <c r="K7866" s="2">
        <v>800.0</v>
      </c>
      <c r="N7866" s="6">
        <v>44190.0</v>
      </c>
      <c r="Q7866" s="2" t="s">
        <v>12482</v>
      </c>
    </row>
    <row r="7867">
      <c r="A7867" s="2">
        <v>7866.0</v>
      </c>
      <c r="B7867" s="2" t="s">
        <v>12483</v>
      </c>
      <c r="C7867" s="2" t="s">
        <v>23</v>
      </c>
      <c r="K7867" s="2">
        <v>70.0</v>
      </c>
      <c r="N7867" s="6">
        <v>44046.0</v>
      </c>
      <c r="Q7867" s="2" t="s">
        <v>12484</v>
      </c>
    </row>
    <row r="7868">
      <c r="A7868" s="2">
        <v>7867.0</v>
      </c>
      <c r="B7868" s="2" t="s">
        <v>12485</v>
      </c>
      <c r="C7868" s="2" t="s">
        <v>23</v>
      </c>
      <c r="K7868" s="2">
        <v>40.0</v>
      </c>
      <c r="N7868" s="6">
        <v>43929.0</v>
      </c>
      <c r="Q7868" s="2" t="s">
        <v>12486</v>
      </c>
    </row>
    <row r="7869">
      <c r="A7869" s="2">
        <v>7868.0</v>
      </c>
      <c r="B7869" s="2" t="s">
        <v>12487</v>
      </c>
      <c r="C7869" s="2" t="s">
        <v>23</v>
      </c>
      <c r="K7869" s="2">
        <v>40.0</v>
      </c>
      <c r="N7869" s="6">
        <v>44325.0</v>
      </c>
      <c r="Q7869" s="2" t="s">
        <v>3724</v>
      </c>
    </row>
    <row r="7870">
      <c r="A7870" s="2">
        <v>7869.0</v>
      </c>
      <c r="B7870" s="2" t="s">
        <v>12488</v>
      </c>
      <c r="C7870" s="2" t="s">
        <v>23</v>
      </c>
      <c r="K7870" s="2">
        <v>70.0</v>
      </c>
      <c r="N7870" s="6">
        <v>45341.0</v>
      </c>
      <c r="Q7870" s="2" t="s">
        <v>12489</v>
      </c>
    </row>
    <row r="7871">
      <c r="A7871" s="2">
        <v>7870.0</v>
      </c>
      <c r="B7871" s="2" t="s">
        <v>12490</v>
      </c>
      <c r="C7871" s="2" t="s">
        <v>23</v>
      </c>
      <c r="N7871" s="6">
        <v>44144.0</v>
      </c>
      <c r="Q7871" s="2" t="s">
        <v>86</v>
      </c>
    </row>
    <row r="7872">
      <c r="A7872" s="2">
        <v>7871.0</v>
      </c>
      <c r="B7872" s="2" t="s">
        <v>12491</v>
      </c>
      <c r="C7872" s="2" t="s">
        <v>23</v>
      </c>
      <c r="K7872" s="2">
        <v>10.0</v>
      </c>
      <c r="N7872" s="6">
        <v>43973.0</v>
      </c>
      <c r="Q7872" s="2" t="s">
        <v>1070</v>
      </c>
    </row>
    <row r="7873">
      <c r="A7873" s="2">
        <v>7872.0</v>
      </c>
      <c r="B7873" s="2" t="s">
        <v>12492</v>
      </c>
      <c r="C7873" s="2" t="s">
        <v>23</v>
      </c>
      <c r="K7873" s="2">
        <v>70.0</v>
      </c>
      <c r="N7873" s="6">
        <v>43989.0</v>
      </c>
      <c r="Q7873" s="2" t="s">
        <v>12493</v>
      </c>
    </row>
    <row r="7874">
      <c r="A7874" s="2">
        <v>7873.0</v>
      </c>
      <c r="B7874" s="2" t="s">
        <v>12494</v>
      </c>
      <c r="C7874" s="2" t="s">
        <v>23</v>
      </c>
      <c r="K7874" s="2">
        <v>10.0</v>
      </c>
      <c r="N7874" s="6">
        <v>45207.0</v>
      </c>
      <c r="Q7874" s="2" t="s">
        <v>12495</v>
      </c>
    </row>
    <row r="7875">
      <c r="A7875" s="2">
        <v>7874.0</v>
      </c>
      <c r="B7875" s="2" t="s">
        <v>12496</v>
      </c>
      <c r="C7875" s="2" t="s">
        <v>23</v>
      </c>
      <c r="N7875" s="6">
        <v>45370.0</v>
      </c>
      <c r="Q7875" s="2" t="s">
        <v>12497</v>
      </c>
    </row>
    <row r="7876">
      <c r="A7876" s="2">
        <v>7875.0</v>
      </c>
      <c r="B7876" s="2" t="s">
        <v>12498</v>
      </c>
      <c r="C7876" s="2" t="s">
        <v>23</v>
      </c>
      <c r="K7876" s="2">
        <v>10.0</v>
      </c>
      <c r="N7876" s="6">
        <v>44613.0</v>
      </c>
      <c r="Q7876" s="2" t="s">
        <v>86</v>
      </c>
    </row>
    <row r="7877">
      <c r="A7877" s="2">
        <v>7876.0</v>
      </c>
      <c r="B7877" s="2" t="s">
        <v>12499</v>
      </c>
      <c r="C7877" s="2" t="s">
        <v>23</v>
      </c>
      <c r="K7877" s="2">
        <v>20.0</v>
      </c>
      <c r="N7877" s="6">
        <v>43133.0</v>
      </c>
      <c r="Q7877" s="2" t="s">
        <v>12500</v>
      </c>
    </row>
    <row r="7878">
      <c r="A7878" s="2">
        <v>7877.0</v>
      </c>
      <c r="B7878" s="2" t="s">
        <v>12501</v>
      </c>
      <c r="C7878" s="2" t="s">
        <v>23</v>
      </c>
      <c r="K7878" s="2">
        <v>20.0</v>
      </c>
      <c r="N7878" s="6">
        <v>44735.0</v>
      </c>
      <c r="Q7878" s="2" t="s">
        <v>86</v>
      </c>
    </row>
    <row r="7879">
      <c r="A7879" s="2">
        <v>7878.0</v>
      </c>
      <c r="B7879" s="2" t="s">
        <v>12502</v>
      </c>
      <c r="C7879" s="2" t="s">
        <v>23</v>
      </c>
      <c r="K7879" s="2">
        <v>90.0</v>
      </c>
      <c r="N7879" s="6">
        <v>44513.0</v>
      </c>
      <c r="Q7879" s="2" t="s">
        <v>86</v>
      </c>
    </row>
    <row r="7880">
      <c r="A7880" s="2">
        <v>7879.0</v>
      </c>
      <c r="B7880" s="2" t="s">
        <v>12503</v>
      </c>
      <c r="C7880" s="2" t="s">
        <v>23</v>
      </c>
      <c r="K7880" s="2">
        <v>30.0</v>
      </c>
      <c r="N7880" s="6">
        <v>44013.0</v>
      </c>
      <c r="Q7880" s="2" t="s">
        <v>12504</v>
      </c>
    </row>
    <row r="7881">
      <c r="A7881" s="2">
        <v>7880.0</v>
      </c>
      <c r="B7881" s="2" t="s">
        <v>307</v>
      </c>
      <c r="C7881" s="2" t="s">
        <v>23</v>
      </c>
      <c r="F7881" s="2">
        <v>0.5</v>
      </c>
      <c r="K7881" s="2">
        <v>350.0</v>
      </c>
      <c r="N7881" s="6">
        <v>43719.0</v>
      </c>
      <c r="Q7881" s="2" t="s">
        <v>310</v>
      </c>
    </row>
    <row r="7882">
      <c r="A7882" s="2">
        <v>7881.0</v>
      </c>
      <c r="B7882" s="2" t="s">
        <v>12505</v>
      </c>
      <c r="C7882" s="2" t="s">
        <v>23</v>
      </c>
      <c r="K7882" s="2">
        <v>10.0</v>
      </c>
      <c r="N7882" s="6">
        <v>44746.0</v>
      </c>
      <c r="Q7882" s="2" t="s">
        <v>86</v>
      </c>
    </row>
    <row r="7883">
      <c r="A7883" s="2">
        <v>7882.0</v>
      </c>
      <c r="B7883" s="2" t="s">
        <v>12506</v>
      </c>
      <c r="C7883" s="2" t="s">
        <v>23</v>
      </c>
      <c r="K7883" s="2">
        <v>40.0</v>
      </c>
      <c r="N7883" s="6">
        <v>44370.0</v>
      </c>
      <c r="Q7883" s="2" t="s">
        <v>12507</v>
      </c>
    </row>
    <row r="7884">
      <c r="A7884" s="2">
        <v>7883.0</v>
      </c>
      <c r="B7884" s="2" t="s">
        <v>12508</v>
      </c>
      <c r="C7884" s="2" t="s">
        <v>23</v>
      </c>
      <c r="N7884" s="6">
        <v>44322.0</v>
      </c>
      <c r="Q7884" s="2" t="s">
        <v>86</v>
      </c>
    </row>
    <row r="7885">
      <c r="A7885" s="2">
        <v>7884.0</v>
      </c>
      <c r="B7885" s="2" t="s">
        <v>12509</v>
      </c>
      <c r="C7885" s="2" t="s">
        <v>23</v>
      </c>
      <c r="N7885" s="6">
        <v>44113.0</v>
      </c>
      <c r="Q7885" s="2" t="s">
        <v>86</v>
      </c>
    </row>
    <row r="7886">
      <c r="A7886" s="2">
        <v>7885.0</v>
      </c>
      <c r="B7886" s="2" t="s">
        <v>12510</v>
      </c>
      <c r="C7886" s="2" t="s">
        <v>23</v>
      </c>
      <c r="K7886" s="2">
        <v>30.0</v>
      </c>
      <c r="N7886" s="6">
        <v>44736.0</v>
      </c>
      <c r="Q7886" s="2" t="s">
        <v>3484</v>
      </c>
    </row>
    <row r="7887">
      <c r="A7887" s="2">
        <v>7886.0</v>
      </c>
      <c r="B7887" s="2" t="s">
        <v>12511</v>
      </c>
      <c r="C7887" s="2" t="s">
        <v>23</v>
      </c>
      <c r="K7887" s="2">
        <v>20.0</v>
      </c>
      <c r="N7887" s="6">
        <v>44818.0</v>
      </c>
      <c r="Q7887" s="2" t="s">
        <v>86</v>
      </c>
    </row>
    <row r="7888">
      <c r="A7888" s="2">
        <v>7887.0</v>
      </c>
      <c r="B7888" s="2" t="s">
        <v>12512</v>
      </c>
      <c r="C7888" s="2" t="s">
        <v>23</v>
      </c>
      <c r="K7888" s="2">
        <v>20.0</v>
      </c>
      <c r="N7888" s="6">
        <v>44564.0</v>
      </c>
      <c r="Q7888" s="2" t="s">
        <v>12513</v>
      </c>
    </row>
    <row r="7889">
      <c r="A7889" s="2">
        <v>7888.0</v>
      </c>
      <c r="B7889" s="2" t="s">
        <v>12514</v>
      </c>
      <c r="C7889" s="2" t="s">
        <v>23</v>
      </c>
      <c r="K7889" s="2">
        <v>150.0</v>
      </c>
      <c r="N7889" s="6">
        <v>45271.0</v>
      </c>
      <c r="Q7889" s="2" t="s">
        <v>12515</v>
      </c>
    </row>
    <row r="7890">
      <c r="A7890" s="2">
        <v>7889.0</v>
      </c>
      <c r="B7890" s="2" t="s">
        <v>12516</v>
      </c>
      <c r="C7890" s="2" t="s">
        <v>23</v>
      </c>
      <c r="K7890" s="2">
        <v>70.0</v>
      </c>
      <c r="N7890" s="6">
        <v>44847.0</v>
      </c>
      <c r="Q7890" s="2" t="s">
        <v>12517</v>
      </c>
    </row>
    <row r="7891">
      <c r="A7891" s="2">
        <v>7890.0</v>
      </c>
      <c r="B7891" s="2" t="s">
        <v>12518</v>
      </c>
      <c r="C7891" s="2" t="s">
        <v>23</v>
      </c>
      <c r="N7891" s="6">
        <v>44436.0</v>
      </c>
      <c r="Q7891" s="2" t="s">
        <v>86</v>
      </c>
    </row>
    <row r="7892">
      <c r="A7892" s="2">
        <v>7891.0</v>
      </c>
      <c r="B7892" s="2" t="s">
        <v>12519</v>
      </c>
      <c r="C7892" s="2" t="s">
        <v>23</v>
      </c>
      <c r="N7892" s="6">
        <v>44268.0</v>
      </c>
      <c r="Q7892" s="2" t="s">
        <v>86</v>
      </c>
    </row>
    <row r="7893">
      <c r="A7893" s="2">
        <v>7892.0</v>
      </c>
      <c r="B7893" s="2" t="s">
        <v>12520</v>
      </c>
      <c r="C7893" s="2" t="s">
        <v>23</v>
      </c>
      <c r="K7893" s="2">
        <v>90.0</v>
      </c>
      <c r="N7893" s="6">
        <v>44284.0</v>
      </c>
      <c r="Q7893" s="2" t="s">
        <v>3075</v>
      </c>
    </row>
    <row r="7894">
      <c r="A7894" s="2">
        <v>7893.0</v>
      </c>
      <c r="B7894" s="2" t="s">
        <v>12521</v>
      </c>
      <c r="C7894" s="2" t="s">
        <v>23</v>
      </c>
      <c r="K7894" s="2">
        <v>20.0</v>
      </c>
      <c r="N7894" s="6">
        <v>42673.0</v>
      </c>
      <c r="Q7894" s="2" t="s">
        <v>12522</v>
      </c>
    </row>
    <row r="7895">
      <c r="A7895" s="2">
        <v>7894.0</v>
      </c>
      <c r="B7895" s="2" t="s">
        <v>12523</v>
      </c>
      <c r="C7895" s="2" t="s">
        <v>23</v>
      </c>
      <c r="K7895" s="2">
        <v>400.0</v>
      </c>
      <c r="N7895" s="6">
        <v>44074.0</v>
      </c>
      <c r="Q7895" s="2" t="s">
        <v>12524</v>
      </c>
    </row>
    <row r="7896">
      <c r="A7896" s="2">
        <v>7895.0</v>
      </c>
      <c r="B7896" s="2" t="s">
        <v>12525</v>
      </c>
      <c r="C7896" s="2" t="s">
        <v>23</v>
      </c>
      <c r="K7896" s="2">
        <v>40.0</v>
      </c>
      <c r="N7896" s="6">
        <v>45757.0</v>
      </c>
      <c r="Q7896" s="2" t="s">
        <v>11039</v>
      </c>
    </row>
    <row r="7897">
      <c r="A7897" s="2">
        <v>7896.0</v>
      </c>
      <c r="B7897" s="2" t="s">
        <v>12526</v>
      </c>
      <c r="C7897" s="2" t="s">
        <v>23</v>
      </c>
      <c r="N7897" s="6">
        <v>44006.0</v>
      </c>
      <c r="Q7897" s="2" t="s">
        <v>86</v>
      </c>
    </row>
    <row r="7898">
      <c r="A7898" s="2">
        <v>7897.0</v>
      </c>
      <c r="B7898" s="2" t="s">
        <v>12527</v>
      </c>
      <c r="C7898" s="2" t="s">
        <v>23</v>
      </c>
      <c r="N7898" s="6">
        <v>45635.0</v>
      </c>
      <c r="Q7898" s="2" t="s">
        <v>12528</v>
      </c>
    </row>
    <row r="7899">
      <c r="A7899" s="2">
        <v>7898.0</v>
      </c>
      <c r="B7899" s="2" t="s">
        <v>12529</v>
      </c>
      <c r="C7899" s="2" t="s">
        <v>23</v>
      </c>
      <c r="K7899" s="2">
        <v>30.0</v>
      </c>
      <c r="N7899" s="6">
        <v>42462.0</v>
      </c>
      <c r="Q7899" s="2" t="s">
        <v>12530</v>
      </c>
    </row>
    <row r="7900">
      <c r="A7900" s="2">
        <v>7899.0</v>
      </c>
      <c r="B7900" s="2" t="s">
        <v>12531</v>
      </c>
      <c r="C7900" s="2" t="s">
        <v>23</v>
      </c>
      <c r="N7900" s="6">
        <v>43873.0</v>
      </c>
      <c r="Q7900" s="2" t="s">
        <v>86</v>
      </c>
    </row>
    <row r="7901">
      <c r="A7901" s="2">
        <v>7900.0</v>
      </c>
      <c r="B7901" s="2" t="s">
        <v>12532</v>
      </c>
      <c r="C7901" s="2" t="s">
        <v>23</v>
      </c>
      <c r="K7901" s="2">
        <v>150.0</v>
      </c>
      <c r="N7901" s="6">
        <v>43919.0</v>
      </c>
      <c r="Q7901" s="2" t="s">
        <v>12533</v>
      </c>
    </row>
    <row r="7902">
      <c r="A7902" s="2">
        <v>7901.0</v>
      </c>
      <c r="B7902" s="2" t="s">
        <v>12534</v>
      </c>
      <c r="C7902" s="2" t="s">
        <v>23</v>
      </c>
      <c r="K7902" s="2">
        <v>40.0</v>
      </c>
      <c r="N7902" s="6">
        <v>45820.0</v>
      </c>
      <c r="Q7902" s="2" t="s">
        <v>12535</v>
      </c>
    </row>
    <row r="7903">
      <c r="A7903" s="2">
        <v>7902.0</v>
      </c>
      <c r="B7903" s="2" t="s">
        <v>12536</v>
      </c>
      <c r="C7903" s="2" t="s">
        <v>23</v>
      </c>
      <c r="K7903" s="2">
        <v>30.0</v>
      </c>
      <c r="N7903" s="6">
        <v>44575.0</v>
      </c>
      <c r="Q7903" s="2" t="s">
        <v>12537</v>
      </c>
    </row>
    <row r="7904">
      <c r="A7904" s="2">
        <v>7903.0</v>
      </c>
      <c r="B7904" s="2" t="s">
        <v>12538</v>
      </c>
      <c r="C7904" s="2" t="s">
        <v>23</v>
      </c>
      <c r="N7904" s="6">
        <v>42437.0</v>
      </c>
      <c r="Q7904" s="2" t="s">
        <v>12539</v>
      </c>
    </row>
    <row r="7905">
      <c r="A7905" s="2">
        <v>7904.0</v>
      </c>
      <c r="B7905" s="2" t="s">
        <v>12540</v>
      </c>
      <c r="C7905" s="2" t="s">
        <v>23</v>
      </c>
      <c r="K7905" s="2">
        <v>50.0</v>
      </c>
      <c r="N7905" s="6">
        <v>44551.0</v>
      </c>
      <c r="Q7905" s="2" t="s">
        <v>12541</v>
      </c>
    </row>
    <row r="7906">
      <c r="A7906" s="2">
        <v>7905.0</v>
      </c>
      <c r="B7906" s="2" t="s">
        <v>12542</v>
      </c>
      <c r="C7906" s="2" t="s">
        <v>23</v>
      </c>
      <c r="N7906" s="6">
        <v>44502.0</v>
      </c>
      <c r="Q7906" s="2" t="s">
        <v>86</v>
      </c>
    </row>
    <row r="7907">
      <c r="A7907" s="2">
        <v>7906.0</v>
      </c>
      <c r="B7907" s="2" t="s">
        <v>12543</v>
      </c>
      <c r="C7907" s="2" t="s">
        <v>23</v>
      </c>
      <c r="K7907" s="2">
        <v>60.0</v>
      </c>
      <c r="N7907" s="6">
        <v>43956.0</v>
      </c>
      <c r="Q7907" s="2" t="s">
        <v>5556</v>
      </c>
    </row>
    <row r="7908">
      <c r="A7908" s="2">
        <v>7907.0</v>
      </c>
      <c r="B7908" s="2" t="s">
        <v>12544</v>
      </c>
      <c r="C7908" s="2" t="s">
        <v>23</v>
      </c>
      <c r="K7908" s="2">
        <v>350.0</v>
      </c>
      <c r="N7908" s="6">
        <v>43869.0</v>
      </c>
      <c r="Q7908" s="2" t="s">
        <v>12545</v>
      </c>
    </row>
    <row r="7909">
      <c r="A7909" s="2">
        <v>7908.0</v>
      </c>
      <c r="B7909" s="2" t="s">
        <v>12546</v>
      </c>
      <c r="C7909" s="2" t="s">
        <v>23</v>
      </c>
      <c r="K7909" s="2">
        <v>50.0</v>
      </c>
      <c r="N7909" s="6">
        <v>44141.0</v>
      </c>
      <c r="Q7909" s="2" t="s">
        <v>12547</v>
      </c>
    </row>
    <row r="7910">
      <c r="A7910" s="2">
        <v>7909.0</v>
      </c>
      <c r="B7910" s="2" t="s">
        <v>12548</v>
      </c>
      <c r="C7910" s="2" t="s">
        <v>23</v>
      </c>
      <c r="N7910" s="6">
        <v>43960.0</v>
      </c>
      <c r="Q7910" s="2" t="s">
        <v>86</v>
      </c>
    </row>
    <row r="7911">
      <c r="A7911" s="2">
        <v>7910.0</v>
      </c>
      <c r="B7911" s="2" t="s">
        <v>12549</v>
      </c>
      <c r="C7911" s="2" t="s">
        <v>23</v>
      </c>
      <c r="N7911" s="6">
        <v>44172.0</v>
      </c>
      <c r="Q7911" s="2" t="s">
        <v>1790</v>
      </c>
    </row>
    <row r="7912">
      <c r="A7912" s="2">
        <v>7911.0</v>
      </c>
      <c r="B7912" s="2" t="s">
        <v>12550</v>
      </c>
      <c r="C7912" s="2" t="s">
        <v>23</v>
      </c>
      <c r="K7912" s="2">
        <v>20.0</v>
      </c>
      <c r="N7912" s="6">
        <v>43942.0</v>
      </c>
      <c r="Q7912" s="2" t="s">
        <v>1711</v>
      </c>
    </row>
    <row r="7913">
      <c r="A7913" s="2">
        <v>7912.0</v>
      </c>
      <c r="B7913" s="2" t="s">
        <v>12551</v>
      </c>
      <c r="C7913" s="2" t="s">
        <v>23</v>
      </c>
      <c r="N7913" s="6">
        <v>42528.0</v>
      </c>
      <c r="Q7913" s="2" t="s">
        <v>86</v>
      </c>
    </row>
    <row r="7914">
      <c r="A7914" s="2">
        <v>7913.0</v>
      </c>
      <c r="B7914" s="2" t="s">
        <v>12552</v>
      </c>
      <c r="C7914" s="2" t="s">
        <v>23</v>
      </c>
      <c r="K7914" s="2">
        <v>20.0</v>
      </c>
      <c r="N7914" s="6">
        <v>44491.0</v>
      </c>
      <c r="Q7914" s="2" t="s">
        <v>12553</v>
      </c>
    </row>
    <row r="7915">
      <c r="A7915" s="2">
        <v>7914.0</v>
      </c>
      <c r="B7915" s="2" t="s">
        <v>12554</v>
      </c>
      <c r="C7915" s="2" t="s">
        <v>23</v>
      </c>
      <c r="N7915" s="6">
        <v>44998.0</v>
      </c>
      <c r="Q7915" s="2" t="s">
        <v>86</v>
      </c>
    </row>
    <row r="7916">
      <c r="A7916" s="2">
        <v>7915.0</v>
      </c>
      <c r="B7916" s="2" t="s">
        <v>12555</v>
      </c>
      <c r="C7916" s="2" t="s">
        <v>23</v>
      </c>
      <c r="K7916" s="2">
        <v>30.0</v>
      </c>
      <c r="N7916" s="6">
        <v>45730.0</v>
      </c>
      <c r="Q7916" s="2" t="s">
        <v>12556</v>
      </c>
    </row>
    <row r="7917">
      <c r="A7917" s="2">
        <v>7916.0</v>
      </c>
      <c r="B7917" s="2" t="s">
        <v>12557</v>
      </c>
      <c r="C7917" s="2" t="s">
        <v>23</v>
      </c>
      <c r="F7917" s="2">
        <v>0.04</v>
      </c>
      <c r="N7917" s="6">
        <v>42282.0</v>
      </c>
      <c r="O7917" s="2" t="s">
        <v>49</v>
      </c>
      <c r="P7917" s="2" t="s">
        <v>36</v>
      </c>
      <c r="Q7917" s="2" t="s">
        <v>12558</v>
      </c>
      <c r="S7917" s="2" t="s">
        <v>39</v>
      </c>
    </row>
    <row r="7918">
      <c r="A7918" s="2">
        <v>7917.0</v>
      </c>
      <c r="B7918" s="2" t="s">
        <v>12559</v>
      </c>
      <c r="C7918" s="2" t="s">
        <v>23</v>
      </c>
      <c r="K7918" s="2">
        <v>20.0</v>
      </c>
      <c r="N7918" s="6">
        <v>44826.0</v>
      </c>
      <c r="Q7918" s="2" t="s">
        <v>3232</v>
      </c>
    </row>
    <row r="7919">
      <c r="A7919" s="2">
        <v>7918.0</v>
      </c>
      <c r="B7919" s="2" t="s">
        <v>12560</v>
      </c>
      <c r="C7919" s="2" t="s">
        <v>23</v>
      </c>
      <c r="N7919" s="6">
        <v>44671.0</v>
      </c>
      <c r="Q7919" s="2" t="s">
        <v>1295</v>
      </c>
    </row>
    <row r="7920">
      <c r="A7920" s="2">
        <v>7919.0</v>
      </c>
      <c r="B7920" s="2" t="s">
        <v>12561</v>
      </c>
      <c r="C7920" s="2" t="s">
        <v>23</v>
      </c>
      <c r="K7920" s="2">
        <v>70.0</v>
      </c>
      <c r="N7920" s="6">
        <v>45688.0</v>
      </c>
      <c r="Q7920" s="2" t="s">
        <v>12562</v>
      </c>
    </row>
    <row r="7921">
      <c r="A7921" s="2">
        <v>7920.0</v>
      </c>
      <c r="B7921" s="2" t="s">
        <v>12563</v>
      </c>
      <c r="C7921" s="2" t="s">
        <v>23</v>
      </c>
      <c r="K7921" s="2">
        <v>200.0</v>
      </c>
      <c r="N7921" s="6">
        <v>44217.0</v>
      </c>
      <c r="Q7921" s="2" t="s">
        <v>12564</v>
      </c>
    </row>
    <row r="7922">
      <c r="A7922" s="2">
        <v>7921.0</v>
      </c>
      <c r="B7922" s="2" t="s">
        <v>12565</v>
      </c>
      <c r="C7922" s="2" t="s">
        <v>23</v>
      </c>
      <c r="N7922" s="6">
        <v>44290.0</v>
      </c>
      <c r="Q7922" s="2" t="s">
        <v>86</v>
      </c>
    </row>
    <row r="7923">
      <c r="A7923" s="2">
        <v>7922.0</v>
      </c>
      <c r="B7923" s="2" t="s">
        <v>12566</v>
      </c>
      <c r="C7923" s="2" t="s">
        <v>23</v>
      </c>
      <c r="K7923" s="2">
        <v>200.0</v>
      </c>
      <c r="N7923" s="6">
        <v>44285.0</v>
      </c>
      <c r="Q7923" s="2" t="s">
        <v>12567</v>
      </c>
    </row>
    <row r="7924">
      <c r="A7924" s="2">
        <v>7923.0</v>
      </c>
      <c r="B7924" s="2" t="s">
        <v>12568</v>
      </c>
      <c r="C7924" s="2" t="s">
        <v>23</v>
      </c>
      <c r="N7924" s="6">
        <v>44275.0</v>
      </c>
      <c r="Q7924" s="2" t="s">
        <v>86</v>
      </c>
    </row>
    <row r="7925">
      <c r="A7925" s="2">
        <v>7924.0</v>
      </c>
      <c r="B7925" s="2" t="s">
        <v>12569</v>
      </c>
      <c r="C7925" s="2" t="s">
        <v>23</v>
      </c>
      <c r="K7925" s="2">
        <v>40.0</v>
      </c>
      <c r="N7925" s="6">
        <v>45060.0</v>
      </c>
      <c r="Q7925" s="2" t="s">
        <v>1048</v>
      </c>
    </row>
    <row r="7926">
      <c r="A7926" s="2">
        <v>7925.0</v>
      </c>
      <c r="B7926" s="2" t="s">
        <v>12570</v>
      </c>
      <c r="C7926" s="2" t="s">
        <v>23</v>
      </c>
      <c r="K7926" s="2">
        <v>10.0</v>
      </c>
      <c r="N7926" s="6">
        <v>44095.0</v>
      </c>
      <c r="Q7926" s="2" t="s">
        <v>86</v>
      </c>
    </row>
    <row r="7927">
      <c r="A7927" s="2">
        <v>7926.0</v>
      </c>
      <c r="B7927" s="2" t="s">
        <v>12571</v>
      </c>
      <c r="C7927" s="2" t="s">
        <v>23</v>
      </c>
      <c r="K7927" s="2">
        <v>50.0</v>
      </c>
      <c r="N7927" s="6">
        <v>45630.0</v>
      </c>
      <c r="Q7927" s="2" t="s">
        <v>12572</v>
      </c>
    </row>
    <row r="7928">
      <c r="A7928" s="2">
        <v>7927.0</v>
      </c>
      <c r="B7928" s="2" t="s">
        <v>12573</v>
      </c>
      <c r="C7928" s="2" t="s">
        <v>23</v>
      </c>
      <c r="K7928" s="2">
        <v>10.0</v>
      </c>
      <c r="N7928" s="6">
        <v>44488.0</v>
      </c>
      <c r="Q7928" s="2" t="s">
        <v>86</v>
      </c>
    </row>
    <row r="7929">
      <c r="A7929" s="2">
        <v>7928.0</v>
      </c>
      <c r="B7929" s="2" t="s">
        <v>12574</v>
      </c>
      <c r="C7929" s="2" t="s">
        <v>23</v>
      </c>
      <c r="K7929" s="2">
        <v>30.0</v>
      </c>
      <c r="N7929" s="6">
        <v>44529.0</v>
      </c>
      <c r="Q7929" s="2" t="s">
        <v>12575</v>
      </c>
    </row>
    <row r="7930">
      <c r="A7930" s="2">
        <v>7929.0</v>
      </c>
      <c r="B7930" s="2" t="s">
        <v>12576</v>
      </c>
      <c r="C7930" s="2" t="s">
        <v>23</v>
      </c>
      <c r="N7930" s="6">
        <v>44520.0</v>
      </c>
      <c r="Q7930" s="2" t="s">
        <v>60</v>
      </c>
    </row>
    <row r="7931">
      <c r="A7931" s="2">
        <v>7930.0</v>
      </c>
      <c r="B7931" s="2" t="s">
        <v>12577</v>
      </c>
      <c r="C7931" s="2" t="s">
        <v>23</v>
      </c>
      <c r="N7931" s="6">
        <v>45263.0</v>
      </c>
      <c r="Q7931" s="2" t="s">
        <v>4913</v>
      </c>
    </row>
    <row r="7932">
      <c r="A7932" s="2">
        <v>7931.0</v>
      </c>
      <c r="B7932" s="2" t="s">
        <v>12578</v>
      </c>
      <c r="C7932" s="2" t="s">
        <v>23</v>
      </c>
      <c r="K7932" s="2">
        <v>70.0</v>
      </c>
      <c r="N7932" s="6">
        <v>44035.0</v>
      </c>
      <c r="Q7932" s="2" t="s">
        <v>12579</v>
      </c>
    </row>
    <row r="7933">
      <c r="A7933" s="2">
        <v>7932.0</v>
      </c>
      <c r="B7933" s="2" t="s">
        <v>12580</v>
      </c>
      <c r="C7933" s="2" t="s">
        <v>23</v>
      </c>
      <c r="K7933" s="2">
        <v>50.0</v>
      </c>
      <c r="N7933" s="6">
        <v>45734.0</v>
      </c>
      <c r="Q7933" s="2" t="s">
        <v>10415</v>
      </c>
    </row>
    <row r="7934">
      <c r="A7934" s="2">
        <v>7933.0</v>
      </c>
      <c r="B7934" s="2" t="s">
        <v>12581</v>
      </c>
      <c r="C7934" s="2" t="s">
        <v>23</v>
      </c>
      <c r="N7934" s="6">
        <v>45273.0</v>
      </c>
      <c r="Q7934" s="2" t="s">
        <v>12378</v>
      </c>
    </row>
    <row r="7935">
      <c r="A7935" s="2">
        <v>7934.0</v>
      </c>
      <c r="B7935" s="2" t="s">
        <v>12582</v>
      </c>
      <c r="C7935" s="2" t="s">
        <v>23</v>
      </c>
      <c r="N7935" s="6">
        <v>44578.0</v>
      </c>
      <c r="Q7935" s="2" t="s">
        <v>86</v>
      </c>
    </row>
    <row r="7936">
      <c r="A7936" s="2">
        <v>7935.0</v>
      </c>
      <c r="B7936" s="2" t="s">
        <v>12583</v>
      </c>
      <c r="C7936" s="2" t="s">
        <v>23</v>
      </c>
      <c r="K7936" s="2">
        <v>50.0</v>
      </c>
      <c r="N7936" s="6">
        <v>44249.0</v>
      </c>
      <c r="Q7936" s="2" t="s">
        <v>86</v>
      </c>
    </row>
    <row r="7937">
      <c r="A7937" s="2">
        <v>7936.0</v>
      </c>
      <c r="B7937" s="2" t="s">
        <v>12584</v>
      </c>
      <c r="C7937" s="2" t="s">
        <v>23</v>
      </c>
      <c r="K7937" s="2">
        <v>50.0</v>
      </c>
      <c r="N7937" s="6">
        <v>45491.0</v>
      </c>
      <c r="Q7937" s="2" t="s">
        <v>5678</v>
      </c>
    </row>
    <row r="7938">
      <c r="A7938" s="2">
        <v>7937.0</v>
      </c>
      <c r="B7938" s="2" t="s">
        <v>12585</v>
      </c>
      <c r="C7938" s="2" t="s">
        <v>23</v>
      </c>
      <c r="N7938" s="6">
        <v>44872.0</v>
      </c>
      <c r="Q7938" s="2" t="s">
        <v>8028</v>
      </c>
    </row>
    <row r="7939">
      <c r="A7939" s="2">
        <v>7938.0</v>
      </c>
      <c r="B7939" s="2" t="s">
        <v>12586</v>
      </c>
      <c r="C7939" s="2" t="s">
        <v>23</v>
      </c>
      <c r="N7939" s="6">
        <v>45096.0</v>
      </c>
      <c r="Q7939" s="2" t="s">
        <v>12587</v>
      </c>
    </row>
    <row r="7940">
      <c r="A7940" s="2">
        <v>7939.0</v>
      </c>
      <c r="B7940" s="2" t="s">
        <v>12588</v>
      </c>
      <c r="C7940" s="2" t="s">
        <v>23</v>
      </c>
      <c r="K7940" s="2">
        <v>20.0</v>
      </c>
      <c r="N7940" s="6">
        <v>44259.0</v>
      </c>
      <c r="Q7940" s="2" t="s">
        <v>86</v>
      </c>
    </row>
    <row r="7941">
      <c r="A7941" s="2">
        <v>7940.0</v>
      </c>
      <c r="B7941" s="2" t="s">
        <v>12589</v>
      </c>
      <c r="C7941" s="2" t="s">
        <v>23</v>
      </c>
      <c r="N7941" s="6">
        <v>44004.0</v>
      </c>
      <c r="Q7941" s="2" t="s">
        <v>86</v>
      </c>
    </row>
    <row r="7942">
      <c r="A7942" s="2">
        <v>7941.0</v>
      </c>
      <c r="B7942" s="2" t="s">
        <v>12590</v>
      </c>
      <c r="C7942" s="2" t="s">
        <v>23</v>
      </c>
      <c r="N7942" s="6">
        <v>44571.0</v>
      </c>
      <c r="Q7942" s="2" t="s">
        <v>86</v>
      </c>
    </row>
    <row r="7943">
      <c r="A7943" s="2">
        <v>7942.0</v>
      </c>
      <c r="B7943" s="2" t="s">
        <v>12591</v>
      </c>
      <c r="C7943" s="2" t="s">
        <v>23</v>
      </c>
      <c r="K7943" s="2">
        <v>40.0</v>
      </c>
      <c r="N7943" s="6">
        <v>44429.0</v>
      </c>
      <c r="Q7943" s="2" t="s">
        <v>12592</v>
      </c>
    </row>
    <row r="7944">
      <c r="A7944" s="2">
        <v>7943.0</v>
      </c>
      <c r="B7944" s="2" t="s">
        <v>12593</v>
      </c>
      <c r="C7944" s="2" t="s">
        <v>23</v>
      </c>
      <c r="K7944" s="2">
        <v>200.0</v>
      </c>
      <c r="N7944" s="6">
        <v>44443.0</v>
      </c>
      <c r="Q7944" s="2" t="s">
        <v>12594</v>
      </c>
    </row>
    <row r="7945">
      <c r="A7945" s="2">
        <v>7944.0</v>
      </c>
      <c r="B7945" s="2" t="s">
        <v>12595</v>
      </c>
      <c r="C7945" s="2" t="s">
        <v>23</v>
      </c>
      <c r="N7945" s="6">
        <v>43932.0</v>
      </c>
      <c r="Q7945" s="2" t="s">
        <v>86</v>
      </c>
    </row>
    <row r="7946">
      <c r="A7946" s="2">
        <v>7945.0</v>
      </c>
      <c r="B7946" s="2" t="s">
        <v>12596</v>
      </c>
      <c r="C7946" s="2" t="s">
        <v>23</v>
      </c>
      <c r="K7946" s="2">
        <v>30.0</v>
      </c>
      <c r="N7946" s="6">
        <v>44378.0</v>
      </c>
      <c r="Q7946" s="2" t="s">
        <v>9693</v>
      </c>
    </row>
    <row r="7947">
      <c r="A7947" s="2">
        <v>7946.0</v>
      </c>
      <c r="B7947" s="2" t="s">
        <v>12597</v>
      </c>
      <c r="C7947" s="2" t="s">
        <v>23</v>
      </c>
      <c r="K7947" s="2">
        <v>70.0</v>
      </c>
      <c r="N7947" s="6">
        <v>45209.0</v>
      </c>
      <c r="Q7947" s="2" t="s">
        <v>12598</v>
      </c>
    </row>
    <row r="7948">
      <c r="A7948" s="2">
        <v>7947.0</v>
      </c>
      <c r="B7948" s="2" t="s">
        <v>12599</v>
      </c>
      <c r="C7948" s="2" t="s">
        <v>23</v>
      </c>
      <c r="N7948" s="6">
        <v>44305.0</v>
      </c>
      <c r="Q7948" s="2" t="s">
        <v>86</v>
      </c>
    </row>
    <row r="7949">
      <c r="A7949" s="2">
        <v>7948.0</v>
      </c>
      <c r="B7949" s="2" t="s">
        <v>12600</v>
      </c>
      <c r="C7949" s="2" t="s">
        <v>23</v>
      </c>
      <c r="K7949" s="2">
        <v>50.0</v>
      </c>
      <c r="N7949" s="6">
        <v>45774.0</v>
      </c>
      <c r="Q7949" s="2" t="s">
        <v>12601</v>
      </c>
    </row>
    <row r="7950">
      <c r="A7950" s="2">
        <v>7949.0</v>
      </c>
      <c r="B7950" s="2" t="s">
        <v>12602</v>
      </c>
      <c r="C7950" s="2" t="s">
        <v>23</v>
      </c>
      <c r="K7950" s="2">
        <v>40.0</v>
      </c>
      <c r="N7950" s="6">
        <v>43844.0</v>
      </c>
      <c r="Q7950" s="2" t="s">
        <v>12603</v>
      </c>
    </row>
    <row r="7951">
      <c r="A7951" s="2">
        <v>7950.0</v>
      </c>
      <c r="B7951" s="2" t="s">
        <v>12604</v>
      </c>
      <c r="C7951" s="2" t="s">
        <v>23</v>
      </c>
      <c r="K7951" s="2">
        <v>10.0</v>
      </c>
      <c r="N7951" s="6">
        <v>44187.0</v>
      </c>
      <c r="Q7951" s="2" t="s">
        <v>86</v>
      </c>
    </row>
    <row r="7952">
      <c r="A7952" s="2">
        <v>7951.0</v>
      </c>
      <c r="B7952" s="2" t="s">
        <v>12605</v>
      </c>
      <c r="C7952" s="2" t="s">
        <v>23</v>
      </c>
      <c r="N7952" s="6">
        <v>45519.0</v>
      </c>
      <c r="Q7952" s="2" t="s">
        <v>12606</v>
      </c>
    </row>
    <row r="7953">
      <c r="A7953" s="2">
        <v>7952.0</v>
      </c>
      <c r="B7953" s="2" t="s">
        <v>12607</v>
      </c>
      <c r="C7953" s="2" t="s">
        <v>23</v>
      </c>
      <c r="K7953" s="2">
        <v>150.0</v>
      </c>
      <c r="N7953" s="6">
        <v>44365.0</v>
      </c>
      <c r="Q7953" s="2" t="s">
        <v>86</v>
      </c>
    </row>
    <row r="7954">
      <c r="A7954" s="2">
        <v>7953.0</v>
      </c>
      <c r="B7954" s="2" t="s">
        <v>12608</v>
      </c>
      <c r="C7954" s="2" t="s">
        <v>23</v>
      </c>
      <c r="N7954" s="6">
        <v>45621.0</v>
      </c>
      <c r="Q7954" s="2" t="s">
        <v>5929</v>
      </c>
    </row>
    <row r="7955">
      <c r="A7955" s="2">
        <v>7954.0</v>
      </c>
      <c r="B7955" s="2" t="s">
        <v>12609</v>
      </c>
      <c r="C7955" s="2" t="s">
        <v>23</v>
      </c>
      <c r="K7955" s="2">
        <v>10.0</v>
      </c>
      <c r="N7955" s="6">
        <v>43958.0</v>
      </c>
      <c r="Q7955" s="2" t="s">
        <v>86</v>
      </c>
    </row>
    <row r="7956">
      <c r="A7956" s="2">
        <v>7955.0</v>
      </c>
      <c r="B7956" s="2" t="s">
        <v>12610</v>
      </c>
      <c r="C7956" s="2" t="s">
        <v>23</v>
      </c>
      <c r="K7956" s="2">
        <v>50.0</v>
      </c>
      <c r="N7956" s="6">
        <v>45798.0</v>
      </c>
      <c r="Q7956" s="2" t="s">
        <v>12611</v>
      </c>
    </row>
    <row r="7957">
      <c r="A7957" s="2">
        <v>7956.0</v>
      </c>
      <c r="B7957" s="2" t="s">
        <v>12612</v>
      </c>
      <c r="C7957" s="2" t="s">
        <v>23</v>
      </c>
      <c r="K7957" s="2">
        <v>50.0</v>
      </c>
      <c r="N7957" s="6">
        <v>45695.0</v>
      </c>
      <c r="Q7957" s="2" t="s">
        <v>12613</v>
      </c>
    </row>
    <row r="7958">
      <c r="A7958" s="2">
        <v>7957.0</v>
      </c>
      <c r="B7958" s="2" t="s">
        <v>12614</v>
      </c>
      <c r="C7958" s="2" t="s">
        <v>23</v>
      </c>
      <c r="N7958" s="6">
        <v>44935.0</v>
      </c>
      <c r="Q7958" s="2" t="s">
        <v>1437</v>
      </c>
    </row>
    <row r="7959">
      <c r="A7959" s="2">
        <v>7958.0</v>
      </c>
      <c r="B7959" s="2" t="s">
        <v>12615</v>
      </c>
      <c r="C7959" s="2" t="s">
        <v>23</v>
      </c>
      <c r="K7959" s="2">
        <v>40.0</v>
      </c>
      <c r="N7959" s="6">
        <v>45705.0</v>
      </c>
      <c r="Q7959" s="2" t="s">
        <v>12616</v>
      </c>
    </row>
    <row r="7960">
      <c r="A7960" s="2">
        <v>7959.0</v>
      </c>
      <c r="B7960" s="2" t="s">
        <v>12617</v>
      </c>
      <c r="C7960" s="2" t="s">
        <v>23</v>
      </c>
      <c r="K7960" s="2">
        <v>10.0</v>
      </c>
      <c r="N7960" s="6">
        <v>44327.0</v>
      </c>
      <c r="Q7960" s="2" t="s">
        <v>86</v>
      </c>
    </row>
    <row r="7961">
      <c r="A7961" s="2">
        <v>7960.0</v>
      </c>
      <c r="B7961" s="2" t="s">
        <v>12618</v>
      </c>
      <c r="C7961" s="2" t="s">
        <v>23</v>
      </c>
      <c r="K7961" s="2">
        <v>10.0</v>
      </c>
      <c r="N7961" s="6">
        <v>44993.0</v>
      </c>
      <c r="Q7961" s="2" t="s">
        <v>12619</v>
      </c>
    </row>
    <row r="7962">
      <c r="A7962" s="2">
        <v>7961.0</v>
      </c>
      <c r="B7962" s="2" t="s">
        <v>12620</v>
      </c>
      <c r="C7962" s="2" t="s">
        <v>23</v>
      </c>
      <c r="N7962" s="6">
        <v>44752.0</v>
      </c>
      <c r="Q7962" s="2" t="s">
        <v>12621</v>
      </c>
    </row>
    <row r="7963">
      <c r="A7963" s="2">
        <v>7962.0</v>
      </c>
      <c r="B7963" s="2" t="s">
        <v>12622</v>
      </c>
      <c r="C7963" s="2" t="s">
        <v>23</v>
      </c>
      <c r="N7963" s="6">
        <v>44891.0</v>
      </c>
      <c r="Q7963" s="2" t="s">
        <v>86</v>
      </c>
    </row>
    <row r="7964">
      <c r="A7964" s="2">
        <v>7963.0</v>
      </c>
      <c r="B7964" s="2" t="s">
        <v>12623</v>
      </c>
      <c r="C7964" s="2" t="s">
        <v>23</v>
      </c>
      <c r="K7964" s="2">
        <v>150.0</v>
      </c>
      <c r="N7964" s="6">
        <v>45183.0</v>
      </c>
      <c r="Q7964" s="2" t="s">
        <v>12624</v>
      </c>
    </row>
    <row r="7965">
      <c r="A7965" s="2">
        <v>7964.0</v>
      </c>
      <c r="B7965" s="2" t="s">
        <v>12625</v>
      </c>
      <c r="C7965" s="2" t="s">
        <v>23</v>
      </c>
      <c r="K7965" s="2">
        <v>10.0</v>
      </c>
      <c r="N7965" s="6">
        <v>44050.0</v>
      </c>
      <c r="Q7965" s="2" t="s">
        <v>5976</v>
      </c>
    </row>
    <row r="7966">
      <c r="A7966" s="2">
        <v>7965.0</v>
      </c>
      <c r="B7966" s="2" t="s">
        <v>12626</v>
      </c>
      <c r="C7966" s="2" t="s">
        <v>23</v>
      </c>
      <c r="K7966" s="2">
        <v>30.0</v>
      </c>
      <c r="N7966" s="6">
        <v>44685.0</v>
      </c>
      <c r="Q7966" s="2" t="s">
        <v>86</v>
      </c>
    </row>
    <row r="7967">
      <c r="A7967" s="2">
        <v>7966.0</v>
      </c>
      <c r="B7967" s="2" t="s">
        <v>12627</v>
      </c>
      <c r="C7967" s="2" t="s">
        <v>23</v>
      </c>
      <c r="N7967" s="6">
        <v>44616.0</v>
      </c>
      <c r="Q7967" s="2" t="s">
        <v>86</v>
      </c>
    </row>
    <row r="7968">
      <c r="A7968" s="2">
        <v>7967.0</v>
      </c>
      <c r="B7968" s="2" t="s">
        <v>12628</v>
      </c>
      <c r="C7968" s="2" t="s">
        <v>23</v>
      </c>
      <c r="N7968" s="6">
        <v>44949.0</v>
      </c>
      <c r="Q7968" s="2" t="s">
        <v>12629</v>
      </c>
    </row>
    <row r="7969">
      <c r="A7969" s="2">
        <v>7968.0</v>
      </c>
      <c r="B7969" s="2" t="s">
        <v>12630</v>
      </c>
      <c r="C7969" s="2" t="s">
        <v>23</v>
      </c>
      <c r="N7969" s="6">
        <v>45395.0</v>
      </c>
      <c r="Q7969" s="2" t="s">
        <v>86</v>
      </c>
    </row>
    <row r="7970">
      <c r="A7970" s="2">
        <v>7969.0</v>
      </c>
      <c r="B7970" s="2" t="s">
        <v>12631</v>
      </c>
      <c r="C7970" s="2" t="s">
        <v>23</v>
      </c>
      <c r="K7970" s="2">
        <v>20.0</v>
      </c>
      <c r="N7970" s="6">
        <v>44503.0</v>
      </c>
      <c r="Q7970" s="2" t="s">
        <v>12632</v>
      </c>
    </row>
    <row r="7971">
      <c r="A7971" s="2">
        <v>7970.0</v>
      </c>
      <c r="B7971" s="2" t="s">
        <v>12633</v>
      </c>
      <c r="C7971" s="2" t="s">
        <v>23</v>
      </c>
      <c r="K7971" s="2">
        <v>90.0</v>
      </c>
      <c r="N7971" s="6">
        <v>43940.0</v>
      </c>
      <c r="Q7971" s="2" t="s">
        <v>12634</v>
      </c>
    </row>
    <row r="7972">
      <c r="A7972" s="2">
        <v>7971.0</v>
      </c>
      <c r="B7972" s="2" t="s">
        <v>12635</v>
      </c>
      <c r="C7972" s="2" t="s">
        <v>23</v>
      </c>
      <c r="N7972" s="6">
        <v>44748.0</v>
      </c>
      <c r="Q7972" s="2" t="s">
        <v>86</v>
      </c>
    </row>
    <row r="7973">
      <c r="A7973" s="2">
        <v>7972.0</v>
      </c>
      <c r="B7973" s="2" t="s">
        <v>12636</v>
      </c>
      <c r="C7973" s="2" t="s">
        <v>23</v>
      </c>
      <c r="N7973" s="6">
        <v>42877.0</v>
      </c>
      <c r="Q7973" s="2" t="s">
        <v>86</v>
      </c>
    </row>
    <row r="7974">
      <c r="A7974" s="2">
        <v>7973.0</v>
      </c>
      <c r="B7974" s="2" t="s">
        <v>12637</v>
      </c>
      <c r="C7974" s="2" t="s">
        <v>23</v>
      </c>
      <c r="K7974" s="2">
        <v>40.0</v>
      </c>
      <c r="N7974" s="6">
        <v>45145.0</v>
      </c>
      <c r="Q7974" s="2" t="s">
        <v>4273</v>
      </c>
    </row>
    <row r="7975">
      <c r="A7975" s="2">
        <v>7974.0</v>
      </c>
      <c r="B7975" s="2" t="s">
        <v>12638</v>
      </c>
      <c r="C7975" s="2" t="s">
        <v>23</v>
      </c>
      <c r="K7975" s="2">
        <v>10.0</v>
      </c>
      <c r="N7975" s="6">
        <v>44511.0</v>
      </c>
      <c r="Q7975" s="2" t="s">
        <v>86</v>
      </c>
    </row>
    <row r="7976">
      <c r="A7976" s="2">
        <v>7975.0</v>
      </c>
      <c r="B7976" s="2" t="s">
        <v>12639</v>
      </c>
      <c r="C7976" s="2" t="s">
        <v>23</v>
      </c>
      <c r="K7976" s="2">
        <v>30.0</v>
      </c>
      <c r="N7976" s="6">
        <v>45286.0</v>
      </c>
      <c r="Q7976" s="2" t="s">
        <v>1156</v>
      </c>
    </row>
    <row r="7977">
      <c r="A7977" s="2">
        <v>7976.0</v>
      </c>
      <c r="B7977" s="2" t="s">
        <v>12640</v>
      </c>
      <c r="C7977" s="2" t="s">
        <v>23</v>
      </c>
      <c r="N7977" s="6">
        <v>44200.0</v>
      </c>
      <c r="Q7977" s="2" t="s">
        <v>86</v>
      </c>
    </row>
    <row r="7978">
      <c r="A7978" s="2">
        <v>7977.0</v>
      </c>
      <c r="B7978" s="2" t="s">
        <v>12641</v>
      </c>
      <c r="C7978" s="2" t="s">
        <v>23</v>
      </c>
      <c r="K7978" s="2">
        <v>10.0</v>
      </c>
      <c r="N7978" s="6">
        <v>44628.0</v>
      </c>
      <c r="Q7978" s="2" t="s">
        <v>86</v>
      </c>
    </row>
    <row r="7979">
      <c r="A7979" s="2">
        <v>7978.0</v>
      </c>
      <c r="B7979" s="2" t="s">
        <v>12642</v>
      </c>
      <c r="C7979" s="2" t="s">
        <v>23</v>
      </c>
      <c r="K7979" s="2">
        <v>90.0</v>
      </c>
      <c r="N7979" s="6">
        <v>44042.0</v>
      </c>
      <c r="Q7979" s="2" t="s">
        <v>12643</v>
      </c>
    </row>
    <row r="7980">
      <c r="A7980" s="2">
        <v>7979.0</v>
      </c>
      <c r="B7980" s="2" t="s">
        <v>12644</v>
      </c>
      <c r="C7980" s="2" t="s">
        <v>23</v>
      </c>
      <c r="K7980" s="2">
        <v>50.0</v>
      </c>
      <c r="N7980" s="6">
        <v>45858.0</v>
      </c>
      <c r="Q7980" s="2" t="s">
        <v>12645</v>
      </c>
    </row>
    <row r="7981">
      <c r="A7981" s="2">
        <v>7980.0</v>
      </c>
      <c r="B7981" s="2" t="s">
        <v>12646</v>
      </c>
      <c r="C7981" s="2" t="s">
        <v>23</v>
      </c>
      <c r="N7981" s="6">
        <v>44321.0</v>
      </c>
      <c r="Q7981" s="2" t="s">
        <v>86</v>
      </c>
    </row>
    <row r="7982">
      <c r="A7982" s="2">
        <v>7981.0</v>
      </c>
      <c r="B7982" s="2" t="s">
        <v>12647</v>
      </c>
      <c r="C7982" s="2" t="s">
        <v>23</v>
      </c>
      <c r="N7982" s="6">
        <v>44648.0</v>
      </c>
      <c r="Q7982" s="2" t="s">
        <v>86</v>
      </c>
    </row>
    <row r="7983">
      <c r="A7983" s="2">
        <v>7982.0</v>
      </c>
      <c r="B7983" s="2" t="s">
        <v>12648</v>
      </c>
      <c r="C7983" s="2" t="s">
        <v>23</v>
      </c>
      <c r="N7983" s="6">
        <v>42290.0</v>
      </c>
      <c r="Q7983" s="2" t="s">
        <v>86</v>
      </c>
    </row>
    <row r="7984">
      <c r="A7984" s="2">
        <v>7983.0</v>
      </c>
      <c r="B7984" s="2" t="s">
        <v>12649</v>
      </c>
      <c r="C7984" s="2" t="s">
        <v>23</v>
      </c>
      <c r="K7984" s="2">
        <v>20.0</v>
      </c>
      <c r="N7984" s="6">
        <v>45024.0</v>
      </c>
      <c r="Q7984" s="2" t="s">
        <v>12650</v>
      </c>
    </row>
    <row r="7985">
      <c r="A7985" s="2">
        <v>7984.0</v>
      </c>
      <c r="B7985" s="2" t="s">
        <v>12651</v>
      </c>
      <c r="C7985" s="2" t="s">
        <v>23</v>
      </c>
      <c r="N7985" s="6">
        <v>44571.0</v>
      </c>
      <c r="Q7985" s="2" t="s">
        <v>86</v>
      </c>
    </row>
    <row r="7986">
      <c r="A7986" s="2">
        <v>7985.0</v>
      </c>
      <c r="B7986" s="2" t="s">
        <v>12652</v>
      </c>
      <c r="C7986" s="2" t="s">
        <v>23</v>
      </c>
      <c r="K7986" s="2">
        <v>10.0</v>
      </c>
      <c r="N7986" s="6">
        <v>45621.0</v>
      </c>
      <c r="Q7986" s="2" t="s">
        <v>1711</v>
      </c>
    </row>
    <row r="7987">
      <c r="A7987" s="2">
        <v>7986.0</v>
      </c>
      <c r="B7987" s="2" t="s">
        <v>12653</v>
      </c>
      <c r="C7987" s="2" t="s">
        <v>23</v>
      </c>
      <c r="K7987" s="2">
        <v>100.0</v>
      </c>
      <c r="N7987" s="6">
        <v>44977.0</v>
      </c>
      <c r="Q7987" s="2" t="s">
        <v>3282</v>
      </c>
    </row>
    <row r="7988">
      <c r="A7988" s="2">
        <v>7987.0</v>
      </c>
      <c r="B7988" s="2" t="s">
        <v>12654</v>
      </c>
      <c r="C7988" s="2" t="s">
        <v>23</v>
      </c>
      <c r="K7988" s="2">
        <v>50.0</v>
      </c>
      <c r="N7988" s="6">
        <v>45236.0</v>
      </c>
      <c r="Q7988" s="2" t="s">
        <v>3082</v>
      </c>
    </row>
    <row r="7989">
      <c r="A7989" s="2">
        <v>7988.0</v>
      </c>
      <c r="B7989" s="2" t="s">
        <v>12655</v>
      </c>
      <c r="C7989" s="2" t="s">
        <v>23</v>
      </c>
      <c r="K7989" s="2">
        <v>200.0</v>
      </c>
      <c r="N7989" s="6">
        <v>44043.0</v>
      </c>
      <c r="Q7989" s="2" t="s">
        <v>12656</v>
      </c>
    </row>
    <row r="7990">
      <c r="A7990" s="2">
        <v>7989.0</v>
      </c>
      <c r="B7990" s="2" t="s">
        <v>12657</v>
      </c>
      <c r="C7990" s="2" t="s">
        <v>23</v>
      </c>
      <c r="N7990" s="6">
        <v>45756.0</v>
      </c>
      <c r="Q7990" s="2" t="s">
        <v>12658</v>
      </c>
    </row>
    <row r="7991">
      <c r="A7991" s="2">
        <v>7990.0</v>
      </c>
      <c r="B7991" s="2" t="s">
        <v>12659</v>
      </c>
      <c r="C7991" s="2" t="s">
        <v>23</v>
      </c>
      <c r="K7991" s="2">
        <v>50.0</v>
      </c>
      <c r="N7991" s="6">
        <v>45177.0</v>
      </c>
      <c r="Q7991" s="2" t="s">
        <v>3768</v>
      </c>
    </row>
    <row r="7992">
      <c r="A7992" s="2">
        <v>7991.0</v>
      </c>
      <c r="B7992" s="2" t="s">
        <v>12660</v>
      </c>
      <c r="C7992" s="2" t="s">
        <v>23</v>
      </c>
      <c r="N7992" s="6">
        <v>44644.0</v>
      </c>
      <c r="Q7992" s="2" t="s">
        <v>1249</v>
      </c>
    </row>
    <row r="7993">
      <c r="A7993" s="2">
        <v>7992.0</v>
      </c>
      <c r="B7993" s="2" t="s">
        <v>12661</v>
      </c>
      <c r="C7993" s="2" t="s">
        <v>23</v>
      </c>
      <c r="K7993" s="2">
        <v>30.0</v>
      </c>
      <c r="N7993" s="6">
        <v>45695.0</v>
      </c>
      <c r="Q7993" s="2" t="s">
        <v>3355</v>
      </c>
    </row>
    <row r="7994">
      <c r="A7994" s="2">
        <v>7993.0</v>
      </c>
      <c r="B7994" s="2" t="s">
        <v>12662</v>
      </c>
      <c r="C7994" s="2" t="s">
        <v>23</v>
      </c>
      <c r="K7994" s="2">
        <v>50.0</v>
      </c>
      <c r="N7994" s="6">
        <v>44837.0</v>
      </c>
      <c r="Q7994" s="2" t="s">
        <v>1249</v>
      </c>
    </row>
    <row r="7995">
      <c r="A7995" s="2">
        <v>7994.0</v>
      </c>
      <c r="B7995" s="2" t="s">
        <v>12663</v>
      </c>
      <c r="C7995" s="2" t="s">
        <v>23</v>
      </c>
      <c r="N7995" s="6">
        <v>43892.0</v>
      </c>
      <c r="Q7995" s="2" t="s">
        <v>86</v>
      </c>
    </row>
    <row r="7996">
      <c r="A7996" s="2">
        <v>7995.0</v>
      </c>
      <c r="B7996" s="2" t="s">
        <v>12664</v>
      </c>
      <c r="C7996" s="2" t="s">
        <v>23</v>
      </c>
      <c r="N7996" s="6">
        <v>46128.0</v>
      </c>
      <c r="Q7996" s="2" t="s">
        <v>12665</v>
      </c>
    </row>
    <row r="7997">
      <c r="A7997" s="2">
        <v>7996.0</v>
      </c>
      <c r="B7997" s="2" t="s">
        <v>12666</v>
      </c>
      <c r="C7997" s="2" t="s">
        <v>23</v>
      </c>
      <c r="N7997" s="6">
        <v>44423.0</v>
      </c>
      <c r="Q7997" s="2" t="s">
        <v>86</v>
      </c>
    </row>
    <row r="7998">
      <c r="A7998" s="2">
        <v>7997.0</v>
      </c>
      <c r="B7998" s="2" t="s">
        <v>12667</v>
      </c>
      <c r="C7998" s="2" t="s">
        <v>23</v>
      </c>
      <c r="K7998" s="2">
        <v>70.0</v>
      </c>
      <c r="N7998" s="6">
        <v>45628.0</v>
      </c>
      <c r="Q7998" s="2" t="s">
        <v>12668</v>
      </c>
    </row>
    <row r="7999">
      <c r="A7999" s="2">
        <v>7998.0</v>
      </c>
      <c r="B7999" s="2" t="s">
        <v>12669</v>
      </c>
      <c r="C7999" s="2" t="s">
        <v>23</v>
      </c>
      <c r="N7999" s="6">
        <v>44557.0</v>
      </c>
      <c r="Q7999" s="2" t="s">
        <v>86</v>
      </c>
    </row>
    <row r="8000">
      <c r="A8000" s="2">
        <v>7999.0</v>
      </c>
      <c r="B8000" s="2" t="s">
        <v>12670</v>
      </c>
      <c r="C8000" s="2" t="s">
        <v>23</v>
      </c>
      <c r="N8000" s="6">
        <v>45564.0</v>
      </c>
      <c r="Q8000" s="2" t="s">
        <v>3643</v>
      </c>
    </row>
    <row r="8001">
      <c r="A8001" s="2">
        <v>8000.0</v>
      </c>
      <c r="B8001" s="2" t="s">
        <v>12671</v>
      </c>
      <c r="C8001" s="2" t="s">
        <v>23</v>
      </c>
      <c r="N8001" s="6">
        <v>45588.0</v>
      </c>
      <c r="Q8001" s="2" t="s">
        <v>1727</v>
      </c>
    </row>
    <row r="8002">
      <c r="A8002" s="2">
        <v>8001.0</v>
      </c>
      <c r="B8002" s="2" t="s">
        <v>12672</v>
      </c>
      <c r="C8002" s="2" t="s">
        <v>23</v>
      </c>
      <c r="K8002" s="2">
        <v>90.0</v>
      </c>
      <c r="N8002" s="6">
        <v>45795.0</v>
      </c>
      <c r="Q8002" s="2" t="s">
        <v>12673</v>
      </c>
    </row>
    <row r="8003">
      <c r="A8003" s="2">
        <v>8002.0</v>
      </c>
      <c r="B8003" s="2" t="s">
        <v>12674</v>
      </c>
      <c r="C8003" s="2" t="s">
        <v>23</v>
      </c>
      <c r="N8003" s="6">
        <v>45260.0</v>
      </c>
      <c r="Q8003" s="2" t="s">
        <v>1070</v>
      </c>
    </row>
    <row r="8004">
      <c r="A8004" s="2">
        <v>8003.0</v>
      </c>
      <c r="B8004" s="2" t="s">
        <v>12675</v>
      </c>
      <c r="C8004" s="2" t="s">
        <v>23</v>
      </c>
      <c r="K8004" s="2">
        <v>40.0</v>
      </c>
      <c r="N8004" s="6">
        <v>44026.0</v>
      </c>
      <c r="Q8004" s="2" t="s">
        <v>86</v>
      </c>
    </row>
    <row r="8005">
      <c r="A8005" s="2">
        <v>8004.0</v>
      </c>
      <c r="B8005" s="2" t="s">
        <v>12676</v>
      </c>
      <c r="C8005" s="2" t="s">
        <v>23</v>
      </c>
      <c r="N8005" s="6">
        <v>42467.0</v>
      </c>
      <c r="Q8005" s="2" t="s">
        <v>86</v>
      </c>
    </row>
    <row r="8006">
      <c r="A8006" s="2">
        <v>8005.0</v>
      </c>
      <c r="B8006" s="2" t="s">
        <v>12677</v>
      </c>
      <c r="C8006" s="2" t="s">
        <v>23</v>
      </c>
      <c r="N8006" s="6">
        <v>44344.0</v>
      </c>
      <c r="Q8006" s="2" t="s">
        <v>86</v>
      </c>
    </row>
    <row r="8007">
      <c r="A8007" s="2">
        <v>8006.0</v>
      </c>
      <c r="B8007" s="2" t="s">
        <v>12678</v>
      </c>
      <c r="C8007" s="2" t="s">
        <v>23</v>
      </c>
      <c r="N8007" s="6">
        <v>43892.0</v>
      </c>
      <c r="Q8007" s="2" t="s">
        <v>86</v>
      </c>
    </row>
    <row r="8008">
      <c r="A8008" s="2">
        <v>8007.0</v>
      </c>
      <c r="B8008" s="2" t="s">
        <v>12679</v>
      </c>
      <c r="C8008" s="2" t="s">
        <v>23</v>
      </c>
      <c r="N8008" s="6">
        <v>44732.0</v>
      </c>
      <c r="Q8008" s="2" t="s">
        <v>86</v>
      </c>
    </row>
    <row r="8009">
      <c r="A8009" s="2">
        <v>8008.0</v>
      </c>
      <c r="B8009" s="2" t="s">
        <v>12680</v>
      </c>
      <c r="C8009" s="2" t="s">
        <v>23</v>
      </c>
      <c r="N8009" s="6">
        <v>44133.0</v>
      </c>
      <c r="Q8009" s="2" t="s">
        <v>86</v>
      </c>
    </row>
    <row r="8010">
      <c r="A8010" s="2">
        <v>8009.0</v>
      </c>
      <c r="B8010" s="2" t="s">
        <v>12681</v>
      </c>
      <c r="C8010" s="2" t="s">
        <v>23</v>
      </c>
      <c r="K8010" s="2">
        <v>350.0</v>
      </c>
      <c r="N8010" s="6">
        <v>43961.0</v>
      </c>
      <c r="Q8010" s="2" t="s">
        <v>12682</v>
      </c>
    </row>
    <row r="8011">
      <c r="A8011" s="2">
        <v>8010.0</v>
      </c>
      <c r="B8011" s="2" t="s">
        <v>12683</v>
      </c>
      <c r="C8011" s="2" t="s">
        <v>23</v>
      </c>
      <c r="K8011" s="2">
        <v>30.0</v>
      </c>
      <c r="N8011" s="6">
        <v>43852.0</v>
      </c>
      <c r="Q8011" s="2" t="s">
        <v>86</v>
      </c>
    </row>
    <row r="8012">
      <c r="A8012" s="2">
        <v>8011.0</v>
      </c>
      <c r="B8012" s="2" t="s">
        <v>12684</v>
      </c>
      <c r="C8012" s="2" t="s">
        <v>23</v>
      </c>
      <c r="N8012" s="6">
        <v>43945.0</v>
      </c>
      <c r="Q8012" s="2" t="s">
        <v>86</v>
      </c>
    </row>
    <row r="8013">
      <c r="A8013" s="2">
        <v>8012.0</v>
      </c>
      <c r="B8013" s="2" t="s">
        <v>12685</v>
      </c>
      <c r="C8013" s="2" t="s">
        <v>23</v>
      </c>
      <c r="K8013" s="2">
        <v>30.0</v>
      </c>
      <c r="N8013" s="6">
        <v>43844.0</v>
      </c>
      <c r="Q8013" s="2" t="s">
        <v>12686</v>
      </c>
    </row>
    <row r="8014">
      <c r="A8014" s="2">
        <v>8013.0</v>
      </c>
      <c r="B8014" s="2" t="s">
        <v>12687</v>
      </c>
      <c r="C8014" s="2" t="s">
        <v>23</v>
      </c>
      <c r="K8014" s="2">
        <v>30.0</v>
      </c>
      <c r="N8014" s="6">
        <v>44189.0</v>
      </c>
      <c r="Q8014" s="2" t="s">
        <v>86</v>
      </c>
    </row>
    <row r="8015">
      <c r="A8015" s="2">
        <v>8014.0</v>
      </c>
      <c r="B8015" s="2" t="s">
        <v>12688</v>
      </c>
      <c r="C8015" s="2" t="s">
        <v>23</v>
      </c>
      <c r="K8015" s="2">
        <v>60.0</v>
      </c>
      <c r="N8015" s="6">
        <v>44277.0</v>
      </c>
      <c r="Q8015" s="2" t="s">
        <v>426</v>
      </c>
    </row>
    <row r="8016">
      <c r="A8016" s="2">
        <v>8015.0</v>
      </c>
      <c r="B8016" s="2" t="s">
        <v>12689</v>
      </c>
      <c r="C8016" s="2" t="s">
        <v>23</v>
      </c>
      <c r="K8016" s="2">
        <v>30.0</v>
      </c>
      <c r="N8016" s="6">
        <v>45610.0</v>
      </c>
      <c r="Q8016" s="2" t="s">
        <v>12690</v>
      </c>
    </row>
    <row r="8017">
      <c r="A8017" s="2">
        <v>8016.0</v>
      </c>
      <c r="B8017" s="2" t="s">
        <v>12691</v>
      </c>
      <c r="C8017" s="2" t="s">
        <v>23</v>
      </c>
      <c r="K8017" s="2">
        <v>20.0</v>
      </c>
      <c r="N8017" s="6">
        <v>44538.0</v>
      </c>
      <c r="Q8017" s="2" t="s">
        <v>86</v>
      </c>
    </row>
    <row r="8018">
      <c r="A8018" s="2">
        <v>8017.0</v>
      </c>
      <c r="B8018" s="2" t="s">
        <v>12692</v>
      </c>
      <c r="C8018" s="2" t="s">
        <v>23</v>
      </c>
      <c r="N8018" s="6">
        <v>44047.0</v>
      </c>
      <c r="Q8018" s="2" t="s">
        <v>86</v>
      </c>
    </row>
    <row r="8019">
      <c r="A8019" s="2">
        <v>8018.0</v>
      </c>
      <c r="B8019" s="2" t="s">
        <v>12693</v>
      </c>
      <c r="C8019" s="2" t="s">
        <v>23</v>
      </c>
      <c r="K8019" s="2">
        <v>40.0</v>
      </c>
      <c r="N8019" s="6">
        <v>45617.0</v>
      </c>
      <c r="Q8019" s="2" t="s">
        <v>2583</v>
      </c>
    </row>
    <row r="8020">
      <c r="A8020" s="2">
        <v>8019.0</v>
      </c>
      <c r="B8020" s="2" t="s">
        <v>12694</v>
      </c>
      <c r="C8020" s="2" t="s">
        <v>23</v>
      </c>
      <c r="K8020" s="2">
        <v>30.0</v>
      </c>
      <c r="N8020" s="6">
        <v>44114.0</v>
      </c>
      <c r="Q8020" s="2" t="s">
        <v>86</v>
      </c>
    </row>
    <row r="8021">
      <c r="A8021" s="2">
        <v>8020.0</v>
      </c>
      <c r="B8021" s="2" t="s">
        <v>12695</v>
      </c>
      <c r="C8021" s="2" t="s">
        <v>23</v>
      </c>
      <c r="N8021" s="6">
        <v>44271.0</v>
      </c>
      <c r="Q8021" s="2" t="s">
        <v>86</v>
      </c>
    </row>
    <row r="8022">
      <c r="A8022" s="2">
        <v>8021.0</v>
      </c>
      <c r="B8022" s="2" t="s">
        <v>12696</v>
      </c>
      <c r="C8022" s="2" t="s">
        <v>23</v>
      </c>
      <c r="N8022" s="6">
        <v>42416.0</v>
      </c>
      <c r="Q8022" s="2" t="s">
        <v>295</v>
      </c>
    </row>
    <row r="8023">
      <c r="A8023" s="2">
        <v>8022.0</v>
      </c>
      <c r="B8023" s="2" t="s">
        <v>12697</v>
      </c>
      <c r="C8023" s="2" t="s">
        <v>23</v>
      </c>
      <c r="K8023" s="2">
        <v>10.0</v>
      </c>
      <c r="N8023" s="6">
        <v>44184.0</v>
      </c>
      <c r="Q8023" s="2" t="s">
        <v>89</v>
      </c>
    </row>
    <row r="8024">
      <c r="A8024" s="2">
        <v>8023.0</v>
      </c>
      <c r="B8024" s="2" t="s">
        <v>12698</v>
      </c>
      <c r="C8024" s="2" t="s">
        <v>23</v>
      </c>
      <c r="K8024" s="2">
        <v>30.0</v>
      </c>
      <c r="N8024" s="6">
        <v>45707.0</v>
      </c>
      <c r="Q8024" s="2" t="s">
        <v>6588</v>
      </c>
    </row>
    <row r="8025">
      <c r="A8025" s="2">
        <v>8024.0</v>
      </c>
      <c r="B8025" s="2" t="s">
        <v>12699</v>
      </c>
      <c r="C8025" s="2" t="s">
        <v>23</v>
      </c>
      <c r="K8025" s="2">
        <v>50.0</v>
      </c>
      <c r="N8025" s="6">
        <v>44892.0</v>
      </c>
      <c r="Q8025" s="2" t="s">
        <v>12700</v>
      </c>
    </row>
    <row r="8026">
      <c r="A8026" s="2">
        <v>8025.0</v>
      </c>
      <c r="B8026" s="2" t="s">
        <v>495</v>
      </c>
      <c r="C8026" s="2" t="s">
        <v>23</v>
      </c>
      <c r="K8026" s="2">
        <v>40.0</v>
      </c>
      <c r="N8026" s="6">
        <v>43859.0</v>
      </c>
      <c r="Q8026" s="2" t="s">
        <v>498</v>
      </c>
    </row>
    <row r="8027">
      <c r="A8027" s="2">
        <v>8026.0</v>
      </c>
      <c r="B8027" s="2" t="s">
        <v>12701</v>
      </c>
      <c r="C8027" s="2" t="s">
        <v>23</v>
      </c>
      <c r="K8027" s="2">
        <v>20.0</v>
      </c>
      <c r="N8027" s="6">
        <v>44820.0</v>
      </c>
      <c r="Q8027" s="2" t="s">
        <v>60</v>
      </c>
    </row>
    <row r="8028">
      <c r="A8028" s="2">
        <v>8027.0</v>
      </c>
      <c r="B8028" s="2" t="s">
        <v>12702</v>
      </c>
      <c r="C8028" s="2" t="s">
        <v>23</v>
      </c>
      <c r="K8028" s="2">
        <v>20.0</v>
      </c>
      <c r="N8028" s="6">
        <v>45449.0</v>
      </c>
      <c r="Q8028" s="2" t="s">
        <v>12703</v>
      </c>
    </row>
    <row r="8029">
      <c r="A8029" s="2">
        <v>8028.0</v>
      </c>
      <c r="B8029" s="2" t="s">
        <v>12704</v>
      </c>
      <c r="C8029" s="2" t="s">
        <v>23</v>
      </c>
      <c r="K8029" s="2">
        <v>10.0</v>
      </c>
      <c r="N8029" s="6">
        <v>43940.0</v>
      </c>
      <c r="Q8029" s="2" t="s">
        <v>86</v>
      </c>
    </row>
    <row r="8030">
      <c r="A8030" s="2">
        <v>8029.0</v>
      </c>
      <c r="B8030" s="2" t="s">
        <v>12705</v>
      </c>
      <c r="C8030" s="2" t="s">
        <v>23</v>
      </c>
      <c r="K8030" s="2">
        <v>10.0</v>
      </c>
      <c r="N8030" s="6">
        <v>44532.0</v>
      </c>
      <c r="Q8030" s="2" t="s">
        <v>12092</v>
      </c>
    </row>
    <row r="8031">
      <c r="A8031" s="2">
        <v>8030.0</v>
      </c>
      <c r="B8031" s="2" t="s">
        <v>12706</v>
      </c>
      <c r="C8031" s="2" t="s">
        <v>23</v>
      </c>
      <c r="N8031" s="6">
        <v>44335.0</v>
      </c>
      <c r="Q8031" s="2" t="s">
        <v>3133</v>
      </c>
    </row>
    <row r="8032">
      <c r="A8032" s="2">
        <v>8031.0</v>
      </c>
      <c r="B8032" s="2" t="s">
        <v>12707</v>
      </c>
      <c r="C8032" s="2" t="s">
        <v>23</v>
      </c>
      <c r="K8032" s="2">
        <v>30.0</v>
      </c>
      <c r="N8032" s="6">
        <v>44020.0</v>
      </c>
      <c r="Q8032" s="2" t="s">
        <v>12708</v>
      </c>
    </row>
    <row r="8033">
      <c r="A8033" s="2">
        <v>8032.0</v>
      </c>
      <c r="B8033" s="2" t="s">
        <v>12709</v>
      </c>
      <c r="C8033" s="2" t="s">
        <v>23</v>
      </c>
      <c r="N8033" s="6">
        <v>44749.0</v>
      </c>
      <c r="Q8033" s="2" t="s">
        <v>1437</v>
      </c>
    </row>
    <row r="8034">
      <c r="A8034" s="2">
        <v>8033.0</v>
      </c>
      <c r="B8034" s="2" t="s">
        <v>12710</v>
      </c>
      <c r="C8034" s="2" t="s">
        <v>23</v>
      </c>
      <c r="N8034" s="6">
        <v>45625.0</v>
      </c>
      <c r="Q8034" s="2" t="s">
        <v>5108</v>
      </c>
    </row>
    <row r="8035">
      <c r="A8035" s="2">
        <v>8034.0</v>
      </c>
      <c r="B8035" s="2" t="s">
        <v>12711</v>
      </c>
      <c r="C8035" s="2" t="s">
        <v>23</v>
      </c>
      <c r="K8035" s="2">
        <v>50.0</v>
      </c>
      <c r="N8035" s="6">
        <v>45018.0</v>
      </c>
      <c r="Q8035" s="2" t="s">
        <v>1713</v>
      </c>
    </row>
    <row r="8036">
      <c r="A8036" s="2">
        <v>8035.0</v>
      </c>
      <c r="B8036" s="2" t="s">
        <v>12712</v>
      </c>
      <c r="C8036" s="2" t="s">
        <v>23</v>
      </c>
      <c r="K8036" s="2">
        <v>80.0</v>
      </c>
      <c r="N8036" s="6">
        <v>44178.0</v>
      </c>
      <c r="Q8036" s="2" t="s">
        <v>12713</v>
      </c>
    </row>
    <row r="8037">
      <c r="A8037" s="2">
        <v>8036.0</v>
      </c>
      <c r="B8037" s="2" t="s">
        <v>12714</v>
      </c>
      <c r="C8037" s="2" t="s">
        <v>23</v>
      </c>
      <c r="K8037" s="2">
        <v>10.0</v>
      </c>
      <c r="N8037" s="6">
        <v>45670.0</v>
      </c>
      <c r="Q8037" s="2" t="s">
        <v>12715</v>
      </c>
    </row>
    <row r="8038">
      <c r="A8038" s="2">
        <v>8037.0</v>
      </c>
      <c r="B8038" s="2" t="s">
        <v>12716</v>
      </c>
      <c r="C8038" s="2" t="s">
        <v>23</v>
      </c>
      <c r="N8038" s="6">
        <v>44961.0</v>
      </c>
      <c r="Q8038" s="2" t="s">
        <v>491</v>
      </c>
    </row>
    <row r="8039">
      <c r="A8039" s="2">
        <v>8038.0</v>
      </c>
      <c r="B8039" s="2" t="s">
        <v>12717</v>
      </c>
      <c r="C8039" s="2" t="s">
        <v>23</v>
      </c>
      <c r="K8039" s="2">
        <v>100.0</v>
      </c>
      <c r="N8039" s="6">
        <v>42812.0</v>
      </c>
      <c r="Q8039" s="2" t="s">
        <v>12718</v>
      </c>
    </row>
    <row r="8040">
      <c r="A8040" s="2">
        <v>8039.0</v>
      </c>
      <c r="B8040" s="2" t="s">
        <v>12719</v>
      </c>
      <c r="C8040" s="2" t="s">
        <v>23</v>
      </c>
      <c r="K8040" s="2">
        <v>300.0</v>
      </c>
      <c r="N8040" s="6">
        <v>44052.0</v>
      </c>
      <c r="Q8040" s="2" t="s">
        <v>12720</v>
      </c>
    </row>
    <row r="8041">
      <c r="A8041" s="2">
        <v>8040.0</v>
      </c>
      <c r="B8041" s="2" t="s">
        <v>12721</v>
      </c>
      <c r="C8041" s="2" t="s">
        <v>23</v>
      </c>
      <c r="K8041" s="2">
        <v>30.0</v>
      </c>
      <c r="N8041" s="6">
        <v>45613.0</v>
      </c>
      <c r="Q8041" s="2" t="s">
        <v>12722</v>
      </c>
    </row>
    <row r="8042">
      <c r="A8042" s="2">
        <v>8041.0</v>
      </c>
      <c r="B8042" s="2" t="s">
        <v>12723</v>
      </c>
      <c r="C8042" s="2" t="s">
        <v>23</v>
      </c>
      <c r="K8042" s="2">
        <v>30.0</v>
      </c>
      <c r="N8042" s="6">
        <v>44564.0</v>
      </c>
      <c r="Q8042" s="2" t="s">
        <v>6714</v>
      </c>
    </row>
    <row r="8043">
      <c r="A8043" s="2">
        <v>8042.0</v>
      </c>
      <c r="B8043" s="2" t="s">
        <v>12724</v>
      </c>
      <c r="C8043" s="2" t="s">
        <v>23</v>
      </c>
      <c r="K8043" s="2">
        <v>100.0</v>
      </c>
      <c r="N8043" s="6">
        <v>45226.0</v>
      </c>
      <c r="Q8043" s="2" t="s">
        <v>10573</v>
      </c>
    </row>
    <row r="8044">
      <c r="A8044" s="2">
        <v>8043.0</v>
      </c>
      <c r="B8044" s="2" t="s">
        <v>500</v>
      </c>
      <c r="C8044" s="2" t="s">
        <v>23</v>
      </c>
      <c r="K8044" s="2">
        <v>10.0</v>
      </c>
      <c r="N8044" s="6">
        <v>45058.0</v>
      </c>
      <c r="Q8044" s="2" t="s">
        <v>503</v>
      </c>
    </row>
    <row r="8045">
      <c r="A8045" s="2">
        <v>8044.0</v>
      </c>
      <c r="B8045" s="2" t="s">
        <v>12725</v>
      </c>
      <c r="C8045" s="2" t="s">
        <v>23</v>
      </c>
      <c r="N8045" s="6">
        <v>45942.0</v>
      </c>
      <c r="Q8045" s="2" t="s">
        <v>12726</v>
      </c>
    </row>
    <row r="8046">
      <c r="A8046" s="2">
        <v>8045.0</v>
      </c>
      <c r="B8046" s="2" t="s">
        <v>12727</v>
      </c>
      <c r="C8046" s="2" t="s">
        <v>23</v>
      </c>
      <c r="N8046" s="6">
        <v>44662.0</v>
      </c>
      <c r="Q8046" s="2" t="s">
        <v>86</v>
      </c>
    </row>
    <row r="8047">
      <c r="A8047" s="2">
        <v>8046.0</v>
      </c>
      <c r="B8047" s="2" t="s">
        <v>12728</v>
      </c>
      <c r="C8047" s="2" t="s">
        <v>23</v>
      </c>
      <c r="K8047" s="2">
        <v>10.0</v>
      </c>
      <c r="N8047" s="6">
        <v>44846.0</v>
      </c>
      <c r="Q8047" s="2" t="s">
        <v>86</v>
      </c>
    </row>
    <row r="8048">
      <c r="A8048" s="2">
        <v>8047.0</v>
      </c>
      <c r="B8048" s="2" t="s">
        <v>12729</v>
      </c>
      <c r="C8048" s="2" t="s">
        <v>23</v>
      </c>
      <c r="K8048" s="2">
        <v>10.0</v>
      </c>
      <c r="N8048" s="6">
        <v>45114.0</v>
      </c>
      <c r="Q8048" s="2" t="s">
        <v>200</v>
      </c>
    </row>
    <row r="8049">
      <c r="A8049" s="2">
        <v>8048.0</v>
      </c>
      <c r="B8049" s="2" t="s">
        <v>12730</v>
      </c>
      <c r="C8049" s="2" t="s">
        <v>23</v>
      </c>
      <c r="K8049" s="2">
        <v>200.0</v>
      </c>
      <c r="N8049" s="6">
        <v>45514.0</v>
      </c>
      <c r="Q8049" s="2" t="s">
        <v>12731</v>
      </c>
    </row>
    <row r="8050">
      <c r="A8050" s="2">
        <v>8049.0</v>
      </c>
      <c r="B8050" s="2" t="s">
        <v>12732</v>
      </c>
      <c r="C8050" s="2" t="s">
        <v>23</v>
      </c>
      <c r="K8050" s="2">
        <v>10.0</v>
      </c>
      <c r="N8050" s="6">
        <v>43982.0</v>
      </c>
      <c r="Q8050" s="2" t="s">
        <v>426</v>
      </c>
    </row>
    <row r="8051">
      <c r="A8051" s="2">
        <v>8050.0</v>
      </c>
      <c r="B8051" s="2" t="s">
        <v>12733</v>
      </c>
      <c r="C8051" s="2" t="s">
        <v>23</v>
      </c>
      <c r="K8051" s="2">
        <v>200.0</v>
      </c>
      <c r="N8051" s="6">
        <v>45105.0</v>
      </c>
      <c r="Q8051" s="2" t="s">
        <v>12734</v>
      </c>
    </row>
    <row r="8052">
      <c r="A8052" s="2">
        <v>8051.0</v>
      </c>
      <c r="B8052" s="2" t="s">
        <v>12735</v>
      </c>
      <c r="C8052" s="2" t="s">
        <v>23</v>
      </c>
      <c r="N8052" s="6">
        <v>44309.0</v>
      </c>
      <c r="Q8052" s="2" t="s">
        <v>5097</v>
      </c>
    </row>
    <row r="8053">
      <c r="A8053" s="2">
        <v>8052.0</v>
      </c>
      <c r="B8053" s="2" t="s">
        <v>12736</v>
      </c>
      <c r="C8053" s="2" t="s">
        <v>23</v>
      </c>
      <c r="K8053" s="2">
        <v>30.0</v>
      </c>
      <c r="N8053" s="6">
        <v>44096.0</v>
      </c>
      <c r="Q8053" s="2" t="s">
        <v>2642</v>
      </c>
    </row>
    <row r="8054">
      <c r="A8054" s="2">
        <v>8053.0</v>
      </c>
      <c r="B8054" s="2" t="s">
        <v>12737</v>
      </c>
      <c r="C8054" s="2" t="s">
        <v>23</v>
      </c>
      <c r="K8054" s="2">
        <v>20.0</v>
      </c>
      <c r="N8054" s="6">
        <v>43856.0</v>
      </c>
      <c r="Q8054" s="2" t="s">
        <v>401</v>
      </c>
    </row>
    <row r="8055">
      <c r="A8055" s="2">
        <v>8054.0</v>
      </c>
      <c r="B8055" s="2" t="s">
        <v>12738</v>
      </c>
      <c r="C8055" s="2" t="s">
        <v>23</v>
      </c>
      <c r="K8055" s="2">
        <v>150.0</v>
      </c>
      <c r="N8055" s="6">
        <v>45270.0</v>
      </c>
      <c r="Q8055" s="2" t="s">
        <v>12739</v>
      </c>
    </row>
    <row r="8056">
      <c r="A8056" s="2">
        <v>8055.0</v>
      </c>
      <c r="B8056" s="2" t="s">
        <v>12740</v>
      </c>
      <c r="C8056" s="2" t="s">
        <v>23</v>
      </c>
      <c r="K8056" s="2">
        <v>50.0</v>
      </c>
      <c r="N8056" s="6">
        <v>45408.0</v>
      </c>
      <c r="Q8056" s="2" t="s">
        <v>2583</v>
      </c>
    </row>
    <row r="8057">
      <c r="A8057" s="2">
        <v>8056.0</v>
      </c>
      <c r="B8057" s="2" t="s">
        <v>12741</v>
      </c>
      <c r="C8057" s="2" t="s">
        <v>23</v>
      </c>
      <c r="N8057" s="6">
        <v>44569.0</v>
      </c>
      <c r="Q8057" s="2" t="s">
        <v>86</v>
      </c>
    </row>
    <row r="8058">
      <c r="A8058" s="2">
        <v>8057.0</v>
      </c>
      <c r="B8058" s="2" t="s">
        <v>12742</v>
      </c>
      <c r="C8058" s="2" t="s">
        <v>23</v>
      </c>
      <c r="K8058" s="2">
        <v>30.0</v>
      </c>
      <c r="N8058" s="6">
        <v>44436.0</v>
      </c>
      <c r="Q8058" s="2" t="s">
        <v>175</v>
      </c>
    </row>
    <row r="8059">
      <c r="A8059" s="2">
        <v>8058.0</v>
      </c>
      <c r="B8059" s="2" t="s">
        <v>12743</v>
      </c>
      <c r="C8059" s="2" t="s">
        <v>23</v>
      </c>
      <c r="N8059" s="6">
        <v>45062.0</v>
      </c>
      <c r="Q8059" s="2" t="s">
        <v>86</v>
      </c>
    </row>
    <row r="8060">
      <c r="A8060" s="2">
        <v>8059.0</v>
      </c>
      <c r="B8060" s="2" t="s">
        <v>12744</v>
      </c>
      <c r="C8060" s="2" t="s">
        <v>23</v>
      </c>
      <c r="N8060" s="6">
        <v>43843.0</v>
      </c>
      <c r="Q8060" s="2" t="s">
        <v>2494</v>
      </c>
    </row>
    <row r="8061">
      <c r="A8061" s="2">
        <v>8060.0</v>
      </c>
      <c r="B8061" s="2" t="s">
        <v>12745</v>
      </c>
      <c r="C8061" s="2" t="s">
        <v>23</v>
      </c>
      <c r="N8061" s="6">
        <v>44544.0</v>
      </c>
      <c r="Q8061" s="2" t="s">
        <v>86</v>
      </c>
    </row>
    <row r="8062">
      <c r="A8062" s="2">
        <v>8061.0</v>
      </c>
      <c r="B8062" s="2" t="s">
        <v>12746</v>
      </c>
      <c r="C8062" s="2" t="s">
        <v>23</v>
      </c>
      <c r="K8062" s="2">
        <v>20.0</v>
      </c>
      <c r="N8062" s="6">
        <v>44387.0</v>
      </c>
      <c r="Q8062" s="2" t="s">
        <v>86</v>
      </c>
    </row>
    <row r="8063">
      <c r="A8063" s="2">
        <v>8062.0</v>
      </c>
      <c r="B8063" s="2" t="s">
        <v>12747</v>
      </c>
      <c r="C8063" s="2" t="s">
        <v>23</v>
      </c>
      <c r="N8063" s="6">
        <v>44066.0</v>
      </c>
      <c r="Q8063" s="2" t="s">
        <v>86</v>
      </c>
    </row>
    <row r="8064">
      <c r="A8064" s="2">
        <v>8063.0</v>
      </c>
      <c r="B8064" s="2" t="s">
        <v>12748</v>
      </c>
      <c r="C8064" s="2" t="s">
        <v>23</v>
      </c>
      <c r="N8064" s="6">
        <v>44877.0</v>
      </c>
      <c r="Q8064" s="2" t="s">
        <v>86</v>
      </c>
    </row>
    <row r="8065">
      <c r="A8065" s="2">
        <v>8064.0</v>
      </c>
      <c r="B8065" s="2" t="s">
        <v>12749</v>
      </c>
      <c r="C8065" s="2" t="s">
        <v>23</v>
      </c>
      <c r="N8065" s="6">
        <v>44483.0</v>
      </c>
      <c r="Q8065" s="2" t="s">
        <v>86</v>
      </c>
    </row>
    <row r="8066">
      <c r="A8066" s="2">
        <v>8065.0</v>
      </c>
      <c r="B8066" s="2" t="s">
        <v>12750</v>
      </c>
      <c r="C8066" s="2" t="s">
        <v>23</v>
      </c>
      <c r="K8066" s="2">
        <v>100.0</v>
      </c>
      <c r="N8066" s="6">
        <v>43947.0</v>
      </c>
      <c r="Q8066" s="2" t="s">
        <v>2796</v>
      </c>
    </row>
    <row r="8067">
      <c r="A8067" s="2">
        <v>8066.0</v>
      </c>
      <c r="B8067" s="2" t="s">
        <v>12751</v>
      </c>
      <c r="C8067" s="2" t="s">
        <v>23</v>
      </c>
      <c r="K8067" s="2">
        <v>150.0</v>
      </c>
      <c r="N8067" s="6">
        <v>45518.0</v>
      </c>
      <c r="Q8067" s="2" t="s">
        <v>12752</v>
      </c>
    </row>
    <row r="8068">
      <c r="A8068" s="2">
        <v>8067.0</v>
      </c>
      <c r="B8068" s="2" t="s">
        <v>12753</v>
      </c>
      <c r="C8068" s="2" t="s">
        <v>23</v>
      </c>
      <c r="K8068" s="2">
        <v>50.0</v>
      </c>
      <c r="N8068" s="6">
        <v>45322.0</v>
      </c>
      <c r="Q8068" s="2" t="s">
        <v>12754</v>
      </c>
    </row>
    <row r="8069">
      <c r="A8069" s="2">
        <v>8068.0</v>
      </c>
      <c r="B8069" s="2" t="s">
        <v>12755</v>
      </c>
      <c r="C8069" s="2" t="s">
        <v>23</v>
      </c>
      <c r="N8069" s="6">
        <v>45994.0</v>
      </c>
      <c r="Q8069" s="2" t="s">
        <v>8285</v>
      </c>
    </row>
    <row r="8070">
      <c r="A8070" s="2">
        <v>8069.0</v>
      </c>
      <c r="B8070" s="2" t="s">
        <v>12756</v>
      </c>
      <c r="C8070" s="2" t="s">
        <v>23</v>
      </c>
      <c r="K8070" s="2">
        <v>30.0</v>
      </c>
      <c r="N8070" s="6">
        <v>45273.0</v>
      </c>
      <c r="Q8070" s="2" t="s">
        <v>12757</v>
      </c>
    </row>
    <row r="8071">
      <c r="A8071" s="2">
        <v>8070.0</v>
      </c>
      <c r="B8071" s="2" t="s">
        <v>12758</v>
      </c>
      <c r="C8071" s="2" t="s">
        <v>23</v>
      </c>
      <c r="K8071" s="2">
        <v>10.0</v>
      </c>
      <c r="N8071" s="6">
        <v>44134.0</v>
      </c>
      <c r="Q8071" s="2" t="s">
        <v>12759</v>
      </c>
    </row>
    <row r="8072">
      <c r="A8072" s="2">
        <v>8071.0</v>
      </c>
      <c r="B8072" s="2" t="s">
        <v>12760</v>
      </c>
      <c r="C8072" s="2" t="s">
        <v>23</v>
      </c>
      <c r="K8072" s="2">
        <v>400.0</v>
      </c>
      <c r="N8072" s="6">
        <v>43851.0</v>
      </c>
      <c r="Q8072" s="2" t="s">
        <v>12761</v>
      </c>
    </row>
    <row r="8073">
      <c r="A8073" s="2">
        <v>8072.0</v>
      </c>
      <c r="B8073" s="2" t="s">
        <v>12762</v>
      </c>
      <c r="C8073" s="2" t="s">
        <v>23</v>
      </c>
      <c r="K8073" s="2">
        <v>10.0</v>
      </c>
      <c r="N8073" s="6">
        <v>44764.0</v>
      </c>
      <c r="Q8073" s="2" t="s">
        <v>12763</v>
      </c>
    </row>
    <row r="8074">
      <c r="A8074" s="2">
        <v>8073.0</v>
      </c>
      <c r="B8074" s="2" t="s">
        <v>506</v>
      </c>
      <c r="C8074" s="2" t="s">
        <v>23</v>
      </c>
      <c r="K8074" s="2">
        <v>10.0</v>
      </c>
      <c r="N8074" s="6">
        <v>45024.0</v>
      </c>
      <c r="Q8074" s="2" t="s">
        <v>510</v>
      </c>
    </row>
    <row r="8075">
      <c r="A8075" s="2">
        <v>8074.0</v>
      </c>
      <c r="B8075" s="2" t="s">
        <v>12764</v>
      </c>
      <c r="C8075" s="2" t="s">
        <v>23</v>
      </c>
      <c r="K8075" s="2">
        <v>250.0</v>
      </c>
      <c r="N8075" s="6">
        <v>43988.0</v>
      </c>
      <c r="Q8075" s="2" t="s">
        <v>12765</v>
      </c>
    </row>
    <row r="8076">
      <c r="A8076" s="2">
        <v>8075.0</v>
      </c>
      <c r="B8076" s="2" t="s">
        <v>12766</v>
      </c>
      <c r="C8076" s="2" t="s">
        <v>23</v>
      </c>
      <c r="K8076" s="2">
        <v>100.0</v>
      </c>
      <c r="N8076" s="6">
        <v>44676.0</v>
      </c>
      <c r="Q8076" s="2" t="s">
        <v>12767</v>
      </c>
    </row>
    <row r="8077">
      <c r="A8077" s="2">
        <v>8076.0</v>
      </c>
      <c r="B8077" s="2" t="s">
        <v>12768</v>
      </c>
      <c r="C8077" s="2" t="s">
        <v>23</v>
      </c>
      <c r="K8077" s="2">
        <v>30.0</v>
      </c>
      <c r="N8077" s="6">
        <v>42528.0</v>
      </c>
      <c r="Q8077" s="2" t="s">
        <v>12769</v>
      </c>
    </row>
    <row r="8078">
      <c r="A8078" s="2">
        <v>8077.0</v>
      </c>
      <c r="B8078" s="2" t="s">
        <v>12770</v>
      </c>
      <c r="C8078" s="2" t="s">
        <v>23</v>
      </c>
      <c r="N8078" s="6">
        <v>45531.0</v>
      </c>
      <c r="Q8078" s="2" t="s">
        <v>12771</v>
      </c>
    </row>
    <row r="8079">
      <c r="A8079" s="2">
        <v>8078.0</v>
      </c>
      <c r="B8079" s="2" t="s">
        <v>12772</v>
      </c>
      <c r="C8079" s="2" t="s">
        <v>23</v>
      </c>
      <c r="K8079" s="2">
        <v>10.0</v>
      </c>
      <c r="N8079" s="6">
        <v>44872.0</v>
      </c>
      <c r="Q8079" s="2" t="s">
        <v>1048</v>
      </c>
    </row>
    <row r="8080">
      <c r="A8080" s="2">
        <v>8079.0</v>
      </c>
      <c r="B8080" s="2" t="s">
        <v>12773</v>
      </c>
      <c r="C8080" s="2" t="s">
        <v>23</v>
      </c>
      <c r="K8080" s="2">
        <v>10.0</v>
      </c>
      <c r="N8080" s="6">
        <v>42498.0</v>
      </c>
      <c r="Q8080" s="2" t="s">
        <v>12774</v>
      </c>
    </row>
    <row r="8081">
      <c r="A8081" s="2">
        <v>8080.0</v>
      </c>
      <c r="B8081" s="2" t="s">
        <v>12775</v>
      </c>
      <c r="C8081" s="2" t="s">
        <v>23</v>
      </c>
      <c r="K8081" s="2">
        <v>100.0</v>
      </c>
      <c r="N8081" s="6">
        <v>45570.0</v>
      </c>
      <c r="Q8081" s="2" t="s">
        <v>12776</v>
      </c>
    </row>
    <row r="8082">
      <c r="A8082" s="2">
        <v>8081.0</v>
      </c>
      <c r="B8082" s="2" t="s">
        <v>12777</v>
      </c>
      <c r="C8082" s="2" t="s">
        <v>23</v>
      </c>
      <c r="K8082" s="2">
        <v>100.0</v>
      </c>
      <c r="N8082" s="6">
        <v>44305.0</v>
      </c>
      <c r="Q8082" s="2" t="s">
        <v>12778</v>
      </c>
    </row>
    <row r="8083">
      <c r="A8083" s="2">
        <v>8082.0</v>
      </c>
      <c r="B8083" s="2" t="s">
        <v>12779</v>
      </c>
      <c r="C8083" s="2" t="s">
        <v>23</v>
      </c>
      <c r="K8083" s="2">
        <v>10.0</v>
      </c>
      <c r="N8083" s="6">
        <v>43981.0</v>
      </c>
      <c r="Q8083" s="2" t="s">
        <v>12780</v>
      </c>
    </row>
    <row r="8084">
      <c r="A8084" s="2">
        <v>8083.0</v>
      </c>
      <c r="B8084" s="2" t="s">
        <v>12781</v>
      </c>
      <c r="C8084" s="2" t="s">
        <v>23</v>
      </c>
      <c r="N8084" s="6">
        <v>42548.0</v>
      </c>
      <c r="Q8084" s="2" t="s">
        <v>12782</v>
      </c>
    </row>
    <row r="8085">
      <c r="A8085" s="2">
        <v>8084.0</v>
      </c>
      <c r="B8085" s="2" t="s">
        <v>12783</v>
      </c>
      <c r="C8085" s="2" t="s">
        <v>23</v>
      </c>
      <c r="K8085" s="2">
        <v>30.0</v>
      </c>
      <c r="N8085" s="6">
        <v>45099.0</v>
      </c>
      <c r="Q8085" s="2" t="s">
        <v>86</v>
      </c>
    </row>
    <row r="8086">
      <c r="A8086" s="2">
        <v>8085.0</v>
      </c>
      <c r="B8086" s="2" t="s">
        <v>12784</v>
      </c>
      <c r="C8086" s="2" t="s">
        <v>23</v>
      </c>
      <c r="K8086" s="2">
        <v>50.0</v>
      </c>
      <c r="N8086" s="6">
        <v>45540.0</v>
      </c>
      <c r="Q8086" s="2" t="s">
        <v>12785</v>
      </c>
    </row>
    <row r="8087">
      <c r="A8087" s="2">
        <v>8086.0</v>
      </c>
      <c r="B8087" s="2" t="s">
        <v>12786</v>
      </c>
      <c r="C8087" s="2" t="s">
        <v>23</v>
      </c>
      <c r="K8087" s="2">
        <v>30.0</v>
      </c>
      <c r="N8087" s="6">
        <v>44905.0</v>
      </c>
      <c r="Q8087" s="2" t="s">
        <v>12787</v>
      </c>
    </row>
    <row r="8088">
      <c r="A8088" s="2">
        <v>8087.0</v>
      </c>
      <c r="B8088" s="2" t="s">
        <v>12788</v>
      </c>
      <c r="C8088" s="2" t="s">
        <v>23</v>
      </c>
      <c r="N8088" s="6">
        <v>44298.0</v>
      </c>
      <c r="Q8088" s="2" t="s">
        <v>86</v>
      </c>
    </row>
    <row r="8089">
      <c r="A8089" s="2">
        <v>8088.0</v>
      </c>
      <c r="B8089" s="2" t="s">
        <v>12789</v>
      </c>
      <c r="C8089" s="2" t="s">
        <v>23</v>
      </c>
      <c r="K8089" s="2">
        <v>80.0</v>
      </c>
      <c r="N8089" s="6">
        <v>44253.0</v>
      </c>
      <c r="Q8089" s="2" t="s">
        <v>12790</v>
      </c>
    </row>
    <row r="8090">
      <c r="A8090" s="2">
        <v>8089.0</v>
      </c>
      <c r="B8090" s="2" t="s">
        <v>12791</v>
      </c>
      <c r="C8090" s="2" t="s">
        <v>23</v>
      </c>
      <c r="N8090" s="6">
        <v>44352.0</v>
      </c>
      <c r="Q8090" s="2" t="s">
        <v>86</v>
      </c>
    </row>
    <row r="8091">
      <c r="A8091" s="2">
        <v>8090.0</v>
      </c>
      <c r="B8091" s="2" t="s">
        <v>12792</v>
      </c>
      <c r="C8091" s="2" t="s">
        <v>23</v>
      </c>
      <c r="K8091" s="2">
        <v>10.0</v>
      </c>
      <c r="N8091" s="6">
        <v>42601.0</v>
      </c>
      <c r="Q8091" s="2" t="s">
        <v>12793</v>
      </c>
    </row>
    <row r="8092">
      <c r="A8092" s="2">
        <v>8091.0</v>
      </c>
      <c r="B8092" s="2" t="s">
        <v>12794</v>
      </c>
      <c r="C8092" s="2" t="s">
        <v>23</v>
      </c>
      <c r="K8092" s="2">
        <v>30.0</v>
      </c>
      <c r="N8092" s="6">
        <v>45725.0</v>
      </c>
      <c r="Q8092" s="2" t="s">
        <v>6432</v>
      </c>
    </row>
    <row r="8093">
      <c r="A8093" s="2">
        <v>8092.0</v>
      </c>
      <c r="B8093" s="2" t="s">
        <v>12795</v>
      </c>
      <c r="C8093" s="2" t="s">
        <v>23</v>
      </c>
      <c r="N8093" s="6">
        <v>44089.0</v>
      </c>
      <c r="Q8093" s="2" t="s">
        <v>86</v>
      </c>
    </row>
    <row r="8094">
      <c r="A8094" s="2">
        <v>8093.0</v>
      </c>
      <c r="B8094" s="2" t="s">
        <v>12796</v>
      </c>
      <c r="C8094" s="2" t="s">
        <v>23</v>
      </c>
      <c r="K8094" s="2">
        <v>80.0</v>
      </c>
      <c r="N8094" s="6">
        <v>44673.0</v>
      </c>
      <c r="Q8094" s="2" t="s">
        <v>12797</v>
      </c>
    </row>
    <row r="8095">
      <c r="A8095" s="2">
        <v>8094.0</v>
      </c>
      <c r="B8095" s="2" t="s">
        <v>12798</v>
      </c>
      <c r="C8095" s="2" t="s">
        <v>23</v>
      </c>
      <c r="K8095" s="2">
        <v>90.0</v>
      </c>
      <c r="N8095" s="6">
        <v>43893.0</v>
      </c>
      <c r="Q8095" s="2" t="s">
        <v>12799</v>
      </c>
    </row>
    <row r="8096">
      <c r="A8096" s="2">
        <v>8095.0</v>
      </c>
      <c r="B8096" s="2" t="s">
        <v>12800</v>
      </c>
      <c r="C8096" s="2" t="s">
        <v>23</v>
      </c>
      <c r="K8096" s="2">
        <v>50.0</v>
      </c>
      <c r="N8096" s="6">
        <v>45149.0</v>
      </c>
      <c r="Q8096" s="2" t="s">
        <v>86</v>
      </c>
    </row>
    <row r="8097">
      <c r="A8097" s="2">
        <v>8096.0</v>
      </c>
      <c r="B8097" s="2" t="s">
        <v>12801</v>
      </c>
      <c r="C8097" s="2" t="s">
        <v>23</v>
      </c>
      <c r="N8097" s="6">
        <v>44951.0</v>
      </c>
      <c r="Q8097" s="2" t="s">
        <v>86</v>
      </c>
    </row>
    <row r="8098">
      <c r="A8098" s="2">
        <v>8097.0</v>
      </c>
      <c r="B8098" s="2" t="s">
        <v>12802</v>
      </c>
      <c r="C8098" s="2" t="s">
        <v>23</v>
      </c>
      <c r="K8098" s="2">
        <v>100.0</v>
      </c>
      <c r="N8098" s="6">
        <v>43858.0</v>
      </c>
      <c r="Q8098" s="2" t="s">
        <v>12803</v>
      </c>
    </row>
    <row r="8099">
      <c r="A8099" s="2">
        <v>8098.0</v>
      </c>
      <c r="B8099" s="2" t="s">
        <v>12804</v>
      </c>
      <c r="C8099" s="2" t="s">
        <v>23</v>
      </c>
      <c r="K8099" s="2">
        <v>60.0</v>
      </c>
      <c r="N8099" s="6">
        <v>45579.0</v>
      </c>
      <c r="Q8099" s="2" t="s">
        <v>12805</v>
      </c>
    </row>
    <row r="8100">
      <c r="A8100" s="2">
        <v>8099.0</v>
      </c>
      <c r="B8100" s="2" t="s">
        <v>12806</v>
      </c>
      <c r="C8100" s="2" t="s">
        <v>23</v>
      </c>
      <c r="K8100" s="2">
        <v>20.0</v>
      </c>
      <c r="N8100" s="6">
        <v>44418.0</v>
      </c>
      <c r="Q8100" s="2" t="s">
        <v>86</v>
      </c>
    </row>
    <row r="8101">
      <c r="A8101" s="2">
        <v>8100.0</v>
      </c>
      <c r="B8101" s="2" t="s">
        <v>512</v>
      </c>
      <c r="C8101" s="2" t="s">
        <v>23</v>
      </c>
      <c r="N8101" s="6">
        <v>42974.0</v>
      </c>
      <c r="Q8101" s="2" t="s">
        <v>513</v>
      </c>
    </row>
    <row r="8102">
      <c r="A8102" s="2">
        <v>8101.0</v>
      </c>
      <c r="B8102" s="2" t="s">
        <v>12807</v>
      </c>
      <c r="C8102" s="2" t="s">
        <v>23</v>
      </c>
      <c r="K8102" s="2">
        <v>10.0</v>
      </c>
      <c r="N8102" s="6">
        <v>44257.0</v>
      </c>
      <c r="Q8102" s="2" t="s">
        <v>86</v>
      </c>
    </row>
    <row r="8103">
      <c r="A8103" s="2">
        <v>8102.0</v>
      </c>
      <c r="B8103" s="2" t="s">
        <v>12808</v>
      </c>
      <c r="C8103" s="2" t="s">
        <v>23</v>
      </c>
      <c r="K8103" s="2">
        <v>10.0</v>
      </c>
      <c r="N8103" s="6">
        <v>44254.0</v>
      </c>
      <c r="Q8103" s="2" t="s">
        <v>12809</v>
      </c>
    </row>
    <row r="8104">
      <c r="A8104" s="2">
        <v>8103.0</v>
      </c>
      <c r="B8104" s="2" t="s">
        <v>12810</v>
      </c>
      <c r="C8104" s="2" t="s">
        <v>23</v>
      </c>
      <c r="K8104" s="2">
        <v>150.0</v>
      </c>
      <c r="N8104" s="6">
        <v>44181.0</v>
      </c>
      <c r="Q8104" s="2" t="s">
        <v>5328</v>
      </c>
    </row>
    <row r="8105">
      <c r="A8105" s="2">
        <v>8104.0</v>
      </c>
      <c r="B8105" s="2" t="s">
        <v>12811</v>
      </c>
      <c r="C8105" s="2" t="s">
        <v>23</v>
      </c>
      <c r="F8105" s="2">
        <v>0.5</v>
      </c>
      <c r="K8105" s="2">
        <v>3000.0</v>
      </c>
      <c r="N8105" s="6">
        <v>42261.0</v>
      </c>
      <c r="Q8105" s="2" t="s">
        <v>12812</v>
      </c>
    </row>
    <row r="8106">
      <c r="A8106" s="2">
        <v>8105.0</v>
      </c>
      <c r="B8106" s="2" t="s">
        <v>12813</v>
      </c>
      <c r="C8106" s="2" t="s">
        <v>23</v>
      </c>
      <c r="K8106" s="2">
        <v>50.0</v>
      </c>
      <c r="N8106" s="6">
        <v>44148.0</v>
      </c>
      <c r="Q8106" s="2" t="s">
        <v>8920</v>
      </c>
    </row>
    <row r="8107">
      <c r="A8107" s="2">
        <v>8106.0</v>
      </c>
      <c r="B8107" s="2" t="s">
        <v>12814</v>
      </c>
      <c r="C8107" s="2" t="s">
        <v>23</v>
      </c>
      <c r="N8107" s="6">
        <v>44323.0</v>
      </c>
      <c r="Q8107" s="2" t="s">
        <v>86</v>
      </c>
    </row>
    <row r="8108">
      <c r="A8108" s="2">
        <v>8107.0</v>
      </c>
      <c r="B8108" s="2" t="s">
        <v>12815</v>
      </c>
      <c r="C8108" s="2" t="s">
        <v>23</v>
      </c>
      <c r="N8108" s="6">
        <v>43928.0</v>
      </c>
      <c r="Q8108" s="2" t="s">
        <v>86</v>
      </c>
    </row>
    <row r="8109">
      <c r="A8109" s="2">
        <v>8108.0</v>
      </c>
      <c r="B8109" s="2" t="s">
        <v>12816</v>
      </c>
      <c r="C8109" s="2" t="s">
        <v>23</v>
      </c>
      <c r="K8109" s="2">
        <v>200.0</v>
      </c>
      <c r="N8109" s="6">
        <v>43843.0</v>
      </c>
      <c r="Q8109" s="2" t="s">
        <v>12817</v>
      </c>
    </row>
    <row r="8110">
      <c r="A8110" s="2">
        <v>8109.0</v>
      </c>
      <c r="B8110" s="2" t="s">
        <v>12818</v>
      </c>
      <c r="C8110" s="2" t="s">
        <v>23</v>
      </c>
      <c r="N8110" s="6">
        <v>44544.0</v>
      </c>
      <c r="Q8110" s="2" t="s">
        <v>86</v>
      </c>
    </row>
    <row r="8111">
      <c r="A8111" s="2">
        <v>8110.0</v>
      </c>
      <c r="B8111" s="2" t="s">
        <v>12819</v>
      </c>
      <c r="C8111" s="2" t="s">
        <v>23</v>
      </c>
      <c r="N8111" s="6">
        <v>43796.0</v>
      </c>
      <c r="Q8111" s="2" t="s">
        <v>5202</v>
      </c>
    </row>
    <row r="8112">
      <c r="A8112" s="2">
        <v>8111.0</v>
      </c>
      <c r="B8112" s="2" t="s">
        <v>12820</v>
      </c>
      <c r="C8112" s="2" t="s">
        <v>23</v>
      </c>
      <c r="N8112" s="6">
        <v>44536.0</v>
      </c>
      <c r="Q8112" s="2" t="s">
        <v>86</v>
      </c>
    </row>
    <row r="8113">
      <c r="A8113" s="2">
        <v>8112.0</v>
      </c>
      <c r="B8113" s="2" t="s">
        <v>12821</v>
      </c>
      <c r="C8113" s="2" t="s">
        <v>23</v>
      </c>
      <c r="K8113" s="2">
        <v>10.0</v>
      </c>
      <c r="N8113" s="6">
        <v>44740.0</v>
      </c>
      <c r="Q8113" s="2" t="s">
        <v>86</v>
      </c>
    </row>
    <row r="8114">
      <c r="A8114" s="2">
        <v>8113.0</v>
      </c>
      <c r="B8114" s="2" t="s">
        <v>12822</v>
      </c>
      <c r="C8114" s="2" t="s">
        <v>23</v>
      </c>
      <c r="K8114" s="2">
        <v>200.0</v>
      </c>
      <c r="N8114" s="6">
        <v>44592.0</v>
      </c>
      <c r="Q8114" s="2" t="s">
        <v>12823</v>
      </c>
    </row>
    <row r="8115">
      <c r="A8115" s="2">
        <v>8114.0</v>
      </c>
      <c r="B8115" s="2" t="s">
        <v>12824</v>
      </c>
      <c r="C8115" s="2" t="s">
        <v>23</v>
      </c>
      <c r="K8115" s="2">
        <v>50.0</v>
      </c>
      <c r="N8115" s="6">
        <v>45669.0</v>
      </c>
      <c r="Q8115" s="2" t="s">
        <v>12825</v>
      </c>
    </row>
    <row r="8116">
      <c r="A8116" s="2">
        <v>8115.0</v>
      </c>
      <c r="B8116" s="2" t="s">
        <v>12826</v>
      </c>
      <c r="C8116" s="2" t="s">
        <v>23</v>
      </c>
      <c r="K8116" s="2">
        <v>30.0</v>
      </c>
      <c r="N8116" s="6">
        <v>44787.0</v>
      </c>
      <c r="Q8116" s="2" t="s">
        <v>3075</v>
      </c>
    </row>
    <row r="8117">
      <c r="A8117" s="2">
        <v>8116.0</v>
      </c>
      <c r="B8117" s="2" t="s">
        <v>12827</v>
      </c>
      <c r="C8117" s="2" t="s">
        <v>23</v>
      </c>
      <c r="K8117" s="2">
        <v>70.0</v>
      </c>
      <c r="N8117" s="6">
        <v>43909.0</v>
      </c>
      <c r="Q8117" s="2" t="s">
        <v>12828</v>
      </c>
    </row>
    <row r="8118">
      <c r="A8118" s="2">
        <v>8117.0</v>
      </c>
      <c r="B8118" s="2" t="s">
        <v>12829</v>
      </c>
      <c r="C8118" s="2" t="s">
        <v>23</v>
      </c>
      <c r="N8118" s="6">
        <v>44673.0</v>
      </c>
      <c r="Q8118" s="2" t="s">
        <v>86</v>
      </c>
    </row>
    <row r="8119">
      <c r="A8119" s="2">
        <v>8118.0</v>
      </c>
      <c r="B8119" s="2" t="s">
        <v>12830</v>
      </c>
      <c r="C8119" s="2" t="s">
        <v>23</v>
      </c>
      <c r="K8119" s="2">
        <v>100.0</v>
      </c>
      <c r="N8119" s="6">
        <v>45120.0</v>
      </c>
      <c r="Q8119" s="2" t="s">
        <v>12437</v>
      </c>
    </row>
    <row r="8120">
      <c r="A8120" s="2">
        <v>8119.0</v>
      </c>
      <c r="B8120" s="2" t="s">
        <v>12831</v>
      </c>
      <c r="C8120" s="2" t="s">
        <v>23</v>
      </c>
      <c r="K8120" s="2">
        <v>90.0</v>
      </c>
      <c r="N8120" s="6">
        <v>43923.0</v>
      </c>
      <c r="Q8120" s="2" t="s">
        <v>86</v>
      </c>
    </row>
    <row r="8121">
      <c r="A8121" s="2">
        <v>8120.0</v>
      </c>
      <c r="B8121" s="2" t="s">
        <v>12832</v>
      </c>
      <c r="C8121" s="2" t="s">
        <v>23</v>
      </c>
      <c r="K8121" s="2">
        <v>100.0</v>
      </c>
      <c r="N8121" s="6">
        <v>44059.0</v>
      </c>
      <c r="Q8121" s="2" t="s">
        <v>2318</v>
      </c>
    </row>
    <row r="8122">
      <c r="A8122" s="2">
        <v>8121.0</v>
      </c>
      <c r="B8122" s="2" t="s">
        <v>12833</v>
      </c>
      <c r="C8122" s="2" t="s">
        <v>23</v>
      </c>
      <c r="K8122" s="2">
        <v>40.0</v>
      </c>
      <c r="N8122" s="6">
        <v>45636.0</v>
      </c>
      <c r="Q8122" s="2" t="s">
        <v>12834</v>
      </c>
    </row>
    <row r="8123">
      <c r="A8123" s="2">
        <v>8122.0</v>
      </c>
      <c r="B8123" s="2" t="s">
        <v>12835</v>
      </c>
      <c r="C8123" s="2" t="s">
        <v>23</v>
      </c>
      <c r="N8123" s="6">
        <v>44303.0</v>
      </c>
      <c r="Q8123" s="2" t="s">
        <v>86</v>
      </c>
    </row>
    <row r="8124">
      <c r="A8124" s="2">
        <v>8123.0</v>
      </c>
      <c r="B8124" s="2" t="s">
        <v>12836</v>
      </c>
      <c r="C8124" s="2" t="s">
        <v>23</v>
      </c>
      <c r="K8124" s="2">
        <v>30.0</v>
      </c>
      <c r="N8124" s="6">
        <v>45601.0</v>
      </c>
      <c r="Q8124" s="2" t="s">
        <v>12837</v>
      </c>
    </row>
    <row r="8125">
      <c r="A8125" s="2">
        <v>8124.0</v>
      </c>
      <c r="B8125" s="2" t="s">
        <v>12838</v>
      </c>
      <c r="C8125" s="2" t="s">
        <v>23</v>
      </c>
      <c r="N8125" s="6">
        <v>44463.0</v>
      </c>
      <c r="Q8125" s="2" t="s">
        <v>86</v>
      </c>
    </row>
    <row r="8126">
      <c r="A8126" s="2">
        <v>8125.0</v>
      </c>
      <c r="B8126" s="2" t="s">
        <v>12839</v>
      </c>
      <c r="C8126" s="2" t="s">
        <v>23</v>
      </c>
      <c r="N8126" s="6">
        <v>44789.0</v>
      </c>
      <c r="Q8126" s="2" t="s">
        <v>3400</v>
      </c>
    </row>
    <row r="8127">
      <c r="A8127" s="2">
        <v>8126.0</v>
      </c>
      <c r="B8127" s="2" t="s">
        <v>12840</v>
      </c>
      <c r="C8127" s="2" t="s">
        <v>23</v>
      </c>
      <c r="N8127" s="6">
        <v>44326.0</v>
      </c>
      <c r="Q8127" s="2" t="s">
        <v>12841</v>
      </c>
    </row>
    <row r="8128">
      <c r="A8128" s="2">
        <v>8127.0</v>
      </c>
      <c r="B8128" s="2" t="s">
        <v>12842</v>
      </c>
      <c r="C8128" s="2" t="s">
        <v>23</v>
      </c>
      <c r="K8128" s="2">
        <v>90.0</v>
      </c>
      <c r="N8128" s="6">
        <v>43905.0</v>
      </c>
      <c r="Q8128" s="2" t="s">
        <v>86</v>
      </c>
    </row>
    <row r="8129">
      <c r="A8129" s="2">
        <v>8128.0</v>
      </c>
      <c r="B8129" s="2" t="s">
        <v>12843</v>
      </c>
      <c r="C8129" s="2" t="s">
        <v>23</v>
      </c>
      <c r="K8129" s="2">
        <v>100.0</v>
      </c>
      <c r="N8129" s="6">
        <v>44035.0</v>
      </c>
      <c r="Q8129" s="2" t="s">
        <v>94</v>
      </c>
    </row>
    <row r="8130">
      <c r="A8130" s="2">
        <v>8129.0</v>
      </c>
      <c r="B8130" s="2" t="s">
        <v>12844</v>
      </c>
      <c r="C8130" s="2" t="s">
        <v>23</v>
      </c>
      <c r="N8130" s="6">
        <v>44488.0</v>
      </c>
      <c r="Q8130" s="2" t="s">
        <v>86</v>
      </c>
    </row>
    <row r="8131">
      <c r="A8131" s="2">
        <v>8130.0</v>
      </c>
      <c r="B8131" s="2" t="s">
        <v>12845</v>
      </c>
      <c r="C8131" s="2" t="s">
        <v>23</v>
      </c>
      <c r="K8131" s="2">
        <v>200.0</v>
      </c>
      <c r="N8131" s="6">
        <v>44467.0</v>
      </c>
      <c r="Q8131" s="2" t="s">
        <v>12846</v>
      </c>
    </row>
    <row r="8132">
      <c r="A8132" s="2">
        <v>8131.0</v>
      </c>
      <c r="B8132" s="2" t="s">
        <v>12847</v>
      </c>
      <c r="C8132" s="2" t="s">
        <v>23</v>
      </c>
      <c r="K8132" s="2">
        <v>150.0</v>
      </c>
      <c r="N8132" s="6">
        <v>45617.0</v>
      </c>
      <c r="Q8132" s="2" t="s">
        <v>12848</v>
      </c>
    </row>
    <row r="8133">
      <c r="A8133" s="2">
        <v>8132.0</v>
      </c>
      <c r="B8133" s="2" t="s">
        <v>12849</v>
      </c>
      <c r="C8133" s="2" t="s">
        <v>23</v>
      </c>
      <c r="K8133" s="2">
        <v>250.0</v>
      </c>
      <c r="N8133" s="6">
        <v>43849.0</v>
      </c>
      <c r="Q8133" s="2" t="s">
        <v>12850</v>
      </c>
    </row>
    <row r="8134">
      <c r="A8134" s="2">
        <v>8133.0</v>
      </c>
      <c r="B8134" s="2" t="s">
        <v>12851</v>
      </c>
      <c r="C8134" s="2" t="s">
        <v>23</v>
      </c>
      <c r="K8134" s="2">
        <v>150.0</v>
      </c>
      <c r="N8134" s="6">
        <v>45074.0</v>
      </c>
      <c r="Q8134" s="2" t="s">
        <v>12852</v>
      </c>
    </row>
    <row r="8135">
      <c r="A8135" s="2">
        <v>8134.0</v>
      </c>
      <c r="B8135" s="2" t="s">
        <v>12853</v>
      </c>
      <c r="C8135" s="2" t="s">
        <v>23</v>
      </c>
      <c r="N8135" s="6">
        <v>45135.0</v>
      </c>
      <c r="Q8135" s="2" t="s">
        <v>86</v>
      </c>
    </row>
    <row r="8136">
      <c r="A8136" s="2">
        <v>8135.0</v>
      </c>
      <c r="B8136" s="2" t="s">
        <v>12854</v>
      </c>
      <c r="C8136" s="2" t="s">
        <v>23</v>
      </c>
      <c r="K8136" s="2">
        <v>20.0</v>
      </c>
      <c r="N8136" s="6">
        <v>42891.0</v>
      </c>
      <c r="Q8136" s="2" t="s">
        <v>12855</v>
      </c>
    </row>
    <row r="8137">
      <c r="A8137" s="2">
        <v>8136.0</v>
      </c>
      <c r="B8137" s="2" t="s">
        <v>12856</v>
      </c>
      <c r="C8137" s="2" t="s">
        <v>23</v>
      </c>
      <c r="K8137" s="2">
        <v>200.0</v>
      </c>
      <c r="N8137" s="6">
        <v>45550.0</v>
      </c>
      <c r="Q8137" s="2" t="s">
        <v>12857</v>
      </c>
    </row>
    <row r="8138">
      <c r="A8138" s="2">
        <v>8137.0</v>
      </c>
      <c r="B8138" s="2" t="s">
        <v>12858</v>
      </c>
      <c r="C8138" s="2" t="s">
        <v>23</v>
      </c>
      <c r="N8138" s="6">
        <v>44585.0</v>
      </c>
      <c r="Q8138" s="2" t="s">
        <v>86</v>
      </c>
    </row>
    <row r="8139">
      <c r="A8139" s="2">
        <v>8138.0</v>
      </c>
      <c r="B8139" s="2" t="s">
        <v>12859</v>
      </c>
      <c r="C8139" s="2" t="s">
        <v>23</v>
      </c>
      <c r="K8139" s="2">
        <v>40.0</v>
      </c>
      <c r="N8139" s="6">
        <v>44449.0</v>
      </c>
      <c r="Q8139" s="2" t="s">
        <v>86</v>
      </c>
    </row>
    <row r="8140">
      <c r="A8140" s="2">
        <v>8139.0</v>
      </c>
      <c r="B8140" s="2" t="s">
        <v>12860</v>
      </c>
      <c r="C8140" s="2" t="s">
        <v>23</v>
      </c>
      <c r="K8140" s="2">
        <v>70.0</v>
      </c>
      <c r="N8140" s="6">
        <v>43627.0</v>
      </c>
      <c r="Q8140" s="2" t="s">
        <v>12861</v>
      </c>
    </row>
    <row r="8141">
      <c r="A8141" s="2">
        <v>8140.0</v>
      </c>
      <c r="B8141" s="2" t="s">
        <v>12862</v>
      </c>
      <c r="C8141" s="2" t="s">
        <v>23</v>
      </c>
      <c r="K8141" s="2">
        <v>200.0</v>
      </c>
      <c r="N8141" s="6">
        <v>45575.0</v>
      </c>
      <c r="Q8141" s="2" t="s">
        <v>12863</v>
      </c>
    </row>
    <row r="8142">
      <c r="A8142" s="2">
        <v>8141.0</v>
      </c>
      <c r="B8142" s="2" t="s">
        <v>12864</v>
      </c>
      <c r="C8142" s="2" t="s">
        <v>23</v>
      </c>
      <c r="N8142" s="6">
        <v>44606.0</v>
      </c>
      <c r="Q8142" s="2" t="s">
        <v>86</v>
      </c>
    </row>
    <row r="8143">
      <c r="A8143" s="2">
        <v>8142.0</v>
      </c>
      <c r="B8143" s="2" t="s">
        <v>12865</v>
      </c>
      <c r="C8143" s="2" t="s">
        <v>23</v>
      </c>
      <c r="K8143" s="2">
        <v>30.0</v>
      </c>
      <c r="N8143" s="6">
        <v>43858.0</v>
      </c>
      <c r="Q8143" s="2" t="s">
        <v>86</v>
      </c>
    </row>
    <row r="8144">
      <c r="A8144" s="2">
        <v>8143.0</v>
      </c>
      <c r="B8144" s="2" t="s">
        <v>12866</v>
      </c>
      <c r="C8144" s="2" t="s">
        <v>23</v>
      </c>
      <c r="K8144" s="2">
        <v>60.0</v>
      </c>
      <c r="N8144" s="6">
        <v>44044.0</v>
      </c>
      <c r="Q8144" s="2" t="s">
        <v>12867</v>
      </c>
    </row>
    <row r="8145">
      <c r="A8145" s="2">
        <v>8144.0</v>
      </c>
      <c r="B8145" s="2" t="s">
        <v>12868</v>
      </c>
      <c r="C8145" s="2" t="s">
        <v>23</v>
      </c>
      <c r="K8145" s="2">
        <v>40.0</v>
      </c>
      <c r="N8145" s="6">
        <v>44502.0</v>
      </c>
      <c r="Q8145" s="2" t="s">
        <v>1437</v>
      </c>
    </row>
    <row r="8146">
      <c r="A8146" s="2">
        <v>8145.0</v>
      </c>
      <c r="B8146" s="2" t="s">
        <v>12869</v>
      </c>
      <c r="C8146" s="2" t="s">
        <v>23</v>
      </c>
      <c r="K8146" s="2">
        <v>50.0</v>
      </c>
      <c r="N8146" s="6">
        <v>44169.0</v>
      </c>
      <c r="Q8146" s="2" t="s">
        <v>1437</v>
      </c>
    </row>
    <row r="8147">
      <c r="A8147" s="2">
        <v>8146.0</v>
      </c>
      <c r="B8147" s="2" t="s">
        <v>12870</v>
      </c>
      <c r="C8147" s="2" t="s">
        <v>23</v>
      </c>
      <c r="N8147" s="6">
        <v>45178.0</v>
      </c>
      <c r="Q8147" s="2" t="s">
        <v>86</v>
      </c>
    </row>
    <row r="8148">
      <c r="A8148" s="2">
        <v>8147.0</v>
      </c>
      <c r="B8148" s="2" t="s">
        <v>12871</v>
      </c>
      <c r="C8148" s="2" t="s">
        <v>23</v>
      </c>
      <c r="N8148" s="6">
        <v>44736.0</v>
      </c>
      <c r="Q8148" s="2" t="s">
        <v>86</v>
      </c>
    </row>
    <row r="8149">
      <c r="A8149" s="2">
        <v>8148.0</v>
      </c>
      <c r="B8149" s="2" t="s">
        <v>12872</v>
      </c>
      <c r="C8149" s="2" t="s">
        <v>23</v>
      </c>
      <c r="K8149" s="2">
        <v>50.0</v>
      </c>
      <c r="N8149" s="6">
        <v>45654.0</v>
      </c>
      <c r="Q8149" s="2" t="s">
        <v>12873</v>
      </c>
    </row>
    <row r="8150">
      <c r="A8150" s="2">
        <v>8149.0</v>
      </c>
      <c r="B8150" s="2" t="s">
        <v>12874</v>
      </c>
      <c r="C8150" s="2" t="s">
        <v>23</v>
      </c>
      <c r="K8150" s="2">
        <v>100.0</v>
      </c>
      <c r="N8150" s="6">
        <v>43916.0</v>
      </c>
      <c r="Q8150" s="2" t="s">
        <v>6335</v>
      </c>
    </row>
    <row r="8151">
      <c r="A8151" s="2">
        <v>8150.0</v>
      </c>
      <c r="B8151" s="2" t="s">
        <v>12875</v>
      </c>
      <c r="C8151" s="2" t="s">
        <v>23</v>
      </c>
      <c r="K8151" s="2">
        <v>20.0</v>
      </c>
      <c r="N8151" s="6">
        <v>44606.0</v>
      </c>
      <c r="Q8151" s="2" t="s">
        <v>86</v>
      </c>
    </row>
    <row r="8152">
      <c r="A8152" s="2">
        <v>8151.0</v>
      </c>
      <c r="B8152" s="2" t="s">
        <v>12876</v>
      </c>
      <c r="C8152" s="2" t="s">
        <v>23</v>
      </c>
      <c r="N8152" s="6">
        <v>44959.0</v>
      </c>
      <c r="Q8152" s="2" t="s">
        <v>12877</v>
      </c>
    </row>
    <row r="8153">
      <c r="A8153" s="2">
        <v>8152.0</v>
      </c>
      <c r="B8153" s="2" t="s">
        <v>12878</v>
      </c>
      <c r="C8153" s="2" t="s">
        <v>23</v>
      </c>
      <c r="N8153" s="6">
        <v>44530.0</v>
      </c>
      <c r="Q8153" s="2" t="s">
        <v>86</v>
      </c>
    </row>
    <row r="8154">
      <c r="A8154" s="2">
        <v>8153.0</v>
      </c>
      <c r="B8154" s="2" t="s">
        <v>12879</v>
      </c>
      <c r="C8154" s="2" t="s">
        <v>23</v>
      </c>
      <c r="K8154" s="2">
        <v>60.0</v>
      </c>
      <c r="N8154" s="6">
        <v>45572.0</v>
      </c>
      <c r="Q8154" s="2" t="s">
        <v>12880</v>
      </c>
    </row>
    <row r="8155">
      <c r="A8155" s="2">
        <v>8154.0</v>
      </c>
      <c r="B8155" s="2" t="s">
        <v>12881</v>
      </c>
      <c r="C8155" s="2" t="s">
        <v>23</v>
      </c>
      <c r="K8155" s="2">
        <v>40.0</v>
      </c>
      <c r="N8155" s="6">
        <v>45718.0</v>
      </c>
      <c r="Q8155" s="2" t="s">
        <v>12882</v>
      </c>
    </row>
    <row r="8156">
      <c r="A8156" s="2">
        <v>8155.0</v>
      </c>
      <c r="B8156" s="2" t="s">
        <v>12883</v>
      </c>
      <c r="C8156" s="2" t="s">
        <v>23</v>
      </c>
      <c r="K8156" s="2">
        <v>30.0</v>
      </c>
      <c r="N8156" s="6">
        <v>44027.0</v>
      </c>
      <c r="Q8156" s="2" t="s">
        <v>86</v>
      </c>
    </row>
    <row r="8157">
      <c r="A8157" s="2">
        <v>8156.0</v>
      </c>
      <c r="B8157" s="2" t="s">
        <v>12884</v>
      </c>
      <c r="C8157" s="2" t="s">
        <v>23</v>
      </c>
      <c r="K8157" s="2">
        <v>150.0</v>
      </c>
      <c r="N8157" s="6">
        <v>44529.0</v>
      </c>
      <c r="Q8157" s="2" t="s">
        <v>2001</v>
      </c>
    </row>
    <row r="8158">
      <c r="A8158" s="2">
        <v>8157.0</v>
      </c>
      <c r="B8158" s="2" t="s">
        <v>12885</v>
      </c>
      <c r="C8158" s="2" t="s">
        <v>23</v>
      </c>
      <c r="N8158" s="6">
        <v>45528.0</v>
      </c>
      <c r="Q8158" s="2" t="s">
        <v>12886</v>
      </c>
    </row>
    <row r="8159">
      <c r="A8159" s="2">
        <v>8158.0</v>
      </c>
      <c r="B8159" s="2" t="s">
        <v>12887</v>
      </c>
      <c r="C8159" s="2" t="s">
        <v>23</v>
      </c>
      <c r="K8159" s="2">
        <v>10.0</v>
      </c>
      <c r="N8159" s="6">
        <v>43930.0</v>
      </c>
      <c r="Q8159" s="2" t="s">
        <v>86</v>
      </c>
    </row>
    <row r="8160">
      <c r="A8160" s="2">
        <v>8159.0</v>
      </c>
      <c r="B8160" s="2" t="s">
        <v>12888</v>
      </c>
      <c r="C8160" s="2" t="s">
        <v>23</v>
      </c>
      <c r="K8160" s="2">
        <v>20.0</v>
      </c>
      <c r="N8160" s="6">
        <v>45180.0</v>
      </c>
      <c r="Q8160" s="2" t="s">
        <v>200</v>
      </c>
    </row>
    <row r="8161">
      <c r="A8161" s="2">
        <v>8160.0</v>
      </c>
      <c r="B8161" s="2" t="s">
        <v>12889</v>
      </c>
      <c r="C8161" s="2" t="s">
        <v>23</v>
      </c>
      <c r="K8161" s="2">
        <v>150.0</v>
      </c>
      <c r="N8161" s="6">
        <v>45723.0</v>
      </c>
      <c r="Q8161" s="2" t="s">
        <v>12890</v>
      </c>
    </row>
    <row r="8162">
      <c r="A8162" s="2">
        <v>8161.0</v>
      </c>
      <c r="B8162" s="2" t="s">
        <v>12891</v>
      </c>
      <c r="C8162" s="2" t="s">
        <v>23</v>
      </c>
      <c r="K8162" s="2">
        <v>30.0</v>
      </c>
      <c r="N8162" s="6">
        <v>44663.0</v>
      </c>
      <c r="Q8162" s="2" t="s">
        <v>2001</v>
      </c>
    </row>
    <row r="8163">
      <c r="A8163" s="2">
        <v>8162.0</v>
      </c>
      <c r="B8163" s="2" t="s">
        <v>12892</v>
      </c>
      <c r="C8163" s="2" t="s">
        <v>23</v>
      </c>
      <c r="N8163" s="6">
        <v>44301.0</v>
      </c>
      <c r="Q8163" s="2" t="s">
        <v>86</v>
      </c>
    </row>
    <row r="8164">
      <c r="A8164" s="2">
        <v>8163.0</v>
      </c>
      <c r="B8164" s="2" t="s">
        <v>12893</v>
      </c>
      <c r="C8164" s="2" t="s">
        <v>23</v>
      </c>
      <c r="K8164" s="2">
        <v>10.0</v>
      </c>
      <c r="N8164" s="6">
        <v>43912.0</v>
      </c>
      <c r="Q8164" s="2" t="s">
        <v>86</v>
      </c>
    </row>
    <row r="8165">
      <c r="A8165" s="2">
        <v>8164.0</v>
      </c>
      <c r="B8165" s="2" t="s">
        <v>12894</v>
      </c>
      <c r="C8165" s="2" t="s">
        <v>23</v>
      </c>
      <c r="K8165" s="2">
        <v>80.0</v>
      </c>
      <c r="N8165" s="6">
        <v>45622.0</v>
      </c>
      <c r="Q8165" s="2" t="s">
        <v>12895</v>
      </c>
    </row>
    <row r="8166">
      <c r="A8166" s="2">
        <v>8165.0</v>
      </c>
      <c r="B8166" s="2" t="s">
        <v>12896</v>
      </c>
      <c r="C8166" s="2" t="s">
        <v>23</v>
      </c>
      <c r="N8166" s="6">
        <v>44599.0</v>
      </c>
      <c r="Q8166" s="2" t="s">
        <v>86</v>
      </c>
    </row>
    <row r="8167">
      <c r="A8167" s="2">
        <v>8166.0</v>
      </c>
      <c r="B8167" s="2" t="s">
        <v>12897</v>
      </c>
      <c r="C8167" s="2" t="s">
        <v>23</v>
      </c>
      <c r="K8167" s="2">
        <v>70.0</v>
      </c>
      <c r="N8167" s="6">
        <v>45391.0</v>
      </c>
      <c r="Q8167" s="2" t="s">
        <v>12898</v>
      </c>
    </row>
    <row r="8168">
      <c r="A8168" s="2">
        <v>8167.0</v>
      </c>
      <c r="B8168" s="2" t="s">
        <v>12899</v>
      </c>
      <c r="C8168" s="2" t="s">
        <v>23</v>
      </c>
      <c r="K8168" s="2">
        <v>60.0</v>
      </c>
      <c r="N8168" s="6">
        <v>45700.0</v>
      </c>
      <c r="Q8168" s="2" t="s">
        <v>10935</v>
      </c>
    </row>
    <row r="8169">
      <c r="A8169" s="2">
        <v>8168.0</v>
      </c>
      <c r="B8169" s="2" t="s">
        <v>12900</v>
      </c>
      <c r="C8169" s="2" t="s">
        <v>23</v>
      </c>
      <c r="K8169" s="2">
        <v>10.0</v>
      </c>
      <c r="N8169" s="6">
        <v>45596.0</v>
      </c>
      <c r="Q8169" s="2" t="s">
        <v>1727</v>
      </c>
    </row>
    <row r="8170">
      <c r="A8170" s="2">
        <v>8169.0</v>
      </c>
      <c r="B8170" s="2" t="s">
        <v>12901</v>
      </c>
      <c r="C8170" s="2" t="s">
        <v>23</v>
      </c>
      <c r="K8170" s="2">
        <v>40.0</v>
      </c>
      <c r="N8170" s="6">
        <v>44680.0</v>
      </c>
      <c r="Q8170" s="2" t="s">
        <v>86</v>
      </c>
    </row>
    <row r="8171">
      <c r="A8171" s="2">
        <v>8170.0</v>
      </c>
      <c r="B8171" s="2" t="s">
        <v>12902</v>
      </c>
      <c r="C8171" s="2" t="s">
        <v>23</v>
      </c>
      <c r="N8171" s="6">
        <v>44501.0</v>
      </c>
      <c r="Q8171" s="2" t="s">
        <v>86</v>
      </c>
    </row>
    <row r="8172">
      <c r="A8172" s="2">
        <v>8171.0</v>
      </c>
      <c r="B8172" s="2" t="s">
        <v>12903</v>
      </c>
      <c r="C8172" s="2" t="s">
        <v>23</v>
      </c>
      <c r="K8172" s="2">
        <v>100.0</v>
      </c>
      <c r="N8172" s="6">
        <v>45397.0</v>
      </c>
      <c r="Q8172" s="2" t="s">
        <v>12904</v>
      </c>
    </row>
    <row r="8173">
      <c r="A8173" s="2">
        <v>8172.0</v>
      </c>
      <c r="B8173" s="2" t="s">
        <v>12905</v>
      </c>
      <c r="C8173" s="2" t="s">
        <v>23</v>
      </c>
      <c r="K8173" s="2">
        <v>10.0</v>
      </c>
      <c r="N8173" s="6">
        <v>43971.0</v>
      </c>
      <c r="Q8173" s="2" t="s">
        <v>2285</v>
      </c>
    </row>
    <row r="8174">
      <c r="A8174" s="2">
        <v>8173.0</v>
      </c>
      <c r="B8174" s="2" t="s">
        <v>12906</v>
      </c>
      <c r="C8174" s="2" t="s">
        <v>23</v>
      </c>
      <c r="N8174" s="6">
        <v>44160.0</v>
      </c>
      <c r="Q8174" s="2" t="s">
        <v>12907</v>
      </c>
    </row>
    <row r="8175">
      <c r="A8175" s="2">
        <v>8174.0</v>
      </c>
      <c r="B8175" s="2" t="s">
        <v>12908</v>
      </c>
      <c r="C8175" s="2" t="s">
        <v>23</v>
      </c>
      <c r="K8175" s="2">
        <v>50.0</v>
      </c>
      <c r="N8175" s="6">
        <v>43403.0</v>
      </c>
      <c r="Q8175" s="2" t="s">
        <v>12909</v>
      </c>
    </row>
    <row r="8176">
      <c r="A8176" s="2">
        <v>8175.0</v>
      </c>
      <c r="B8176" s="2" t="s">
        <v>12910</v>
      </c>
      <c r="C8176" s="2" t="s">
        <v>23</v>
      </c>
      <c r="K8176" s="2">
        <v>90.0</v>
      </c>
      <c r="N8176" s="6">
        <v>45068.0</v>
      </c>
      <c r="Q8176" s="2" t="s">
        <v>12911</v>
      </c>
    </row>
    <row r="8177">
      <c r="A8177" s="2">
        <v>8176.0</v>
      </c>
      <c r="B8177" s="2" t="s">
        <v>12912</v>
      </c>
      <c r="C8177" s="2" t="s">
        <v>23</v>
      </c>
      <c r="N8177" s="6">
        <v>44239.0</v>
      </c>
      <c r="Q8177" s="2" t="s">
        <v>2409</v>
      </c>
    </row>
    <row r="8178">
      <c r="A8178" s="2">
        <v>8177.0</v>
      </c>
      <c r="B8178" s="2" t="s">
        <v>12913</v>
      </c>
      <c r="C8178" s="2" t="s">
        <v>23</v>
      </c>
      <c r="K8178" s="2">
        <v>40.0</v>
      </c>
      <c r="N8178" s="6">
        <v>44063.0</v>
      </c>
      <c r="Q8178" s="2" t="s">
        <v>86</v>
      </c>
    </row>
    <row r="8179">
      <c r="A8179" s="2">
        <v>8178.0</v>
      </c>
      <c r="B8179" s="2" t="s">
        <v>12914</v>
      </c>
      <c r="C8179" s="2" t="s">
        <v>23</v>
      </c>
      <c r="K8179" s="2">
        <v>30.0</v>
      </c>
      <c r="N8179" s="6">
        <v>43927.0</v>
      </c>
      <c r="Q8179" s="2" t="s">
        <v>1466</v>
      </c>
    </row>
    <row r="8180">
      <c r="A8180" s="2">
        <v>8179.0</v>
      </c>
      <c r="B8180" s="2" t="s">
        <v>12915</v>
      </c>
      <c r="C8180" s="2" t="s">
        <v>23</v>
      </c>
      <c r="K8180" s="2">
        <v>70.0</v>
      </c>
      <c r="N8180" s="6">
        <v>45614.0</v>
      </c>
      <c r="Q8180" s="2" t="s">
        <v>12916</v>
      </c>
    </row>
    <row r="8181">
      <c r="A8181" s="2">
        <v>8180.0</v>
      </c>
      <c r="B8181" s="2" t="s">
        <v>12917</v>
      </c>
      <c r="C8181" s="2" t="s">
        <v>23</v>
      </c>
      <c r="N8181" s="6">
        <v>45611.0</v>
      </c>
      <c r="Q8181" s="2" t="s">
        <v>12918</v>
      </c>
    </row>
    <row r="8182">
      <c r="A8182" s="2">
        <v>8181.0</v>
      </c>
      <c r="B8182" s="2" t="s">
        <v>12919</v>
      </c>
      <c r="C8182" s="2" t="s">
        <v>23</v>
      </c>
      <c r="K8182" s="2">
        <v>10.0</v>
      </c>
      <c r="N8182" s="6">
        <v>42906.0</v>
      </c>
      <c r="Q8182" s="2" t="s">
        <v>86</v>
      </c>
    </row>
    <row r="8183">
      <c r="A8183" s="2">
        <v>8182.0</v>
      </c>
      <c r="B8183" s="2" t="s">
        <v>12920</v>
      </c>
      <c r="C8183" s="2" t="s">
        <v>23</v>
      </c>
      <c r="K8183" s="2">
        <v>150.0</v>
      </c>
      <c r="N8183" s="6">
        <v>44189.0</v>
      </c>
      <c r="Q8183" s="2" t="s">
        <v>12921</v>
      </c>
    </row>
    <row r="8184">
      <c r="A8184" s="2">
        <v>8183.0</v>
      </c>
      <c r="B8184" s="2" t="s">
        <v>12922</v>
      </c>
      <c r="C8184" s="2" t="s">
        <v>23</v>
      </c>
      <c r="N8184" s="6">
        <v>45664.0</v>
      </c>
      <c r="Q8184" s="2" t="s">
        <v>6291</v>
      </c>
    </row>
    <row r="8185">
      <c r="A8185" s="2">
        <v>8184.0</v>
      </c>
      <c r="B8185" s="2" t="s">
        <v>12923</v>
      </c>
      <c r="C8185" s="2" t="s">
        <v>23</v>
      </c>
      <c r="K8185" s="2">
        <v>250.0</v>
      </c>
      <c r="N8185" s="6">
        <v>44476.0</v>
      </c>
      <c r="Q8185" s="2" t="s">
        <v>9441</v>
      </c>
    </row>
    <row r="8186">
      <c r="A8186" s="2">
        <v>8185.0</v>
      </c>
      <c r="B8186" s="2" t="s">
        <v>12924</v>
      </c>
      <c r="C8186" s="2" t="s">
        <v>23</v>
      </c>
      <c r="K8186" s="2">
        <v>20.0</v>
      </c>
      <c r="N8186" s="6">
        <v>43923.0</v>
      </c>
      <c r="Q8186" s="2" t="s">
        <v>1437</v>
      </c>
    </row>
    <row r="8187">
      <c r="A8187" s="2">
        <v>8186.0</v>
      </c>
      <c r="B8187" s="2" t="s">
        <v>12925</v>
      </c>
      <c r="C8187" s="2" t="s">
        <v>23</v>
      </c>
      <c r="K8187" s="2">
        <v>150.0</v>
      </c>
      <c r="N8187" s="6">
        <v>44881.0</v>
      </c>
      <c r="Q8187" s="2" t="s">
        <v>12926</v>
      </c>
    </row>
    <row r="8188">
      <c r="A8188" s="2">
        <v>8187.0</v>
      </c>
      <c r="B8188" s="2" t="s">
        <v>12927</v>
      </c>
      <c r="C8188" s="2" t="s">
        <v>23</v>
      </c>
      <c r="N8188" s="6">
        <v>45969.0</v>
      </c>
      <c r="Q8188" s="2" t="s">
        <v>1977</v>
      </c>
    </row>
    <row r="8189">
      <c r="A8189" s="2">
        <v>8188.0</v>
      </c>
      <c r="B8189" s="2" t="s">
        <v>12928</v>
      </c>
      <c r="C8189" s="2" t="s">
        <v>23</v>
      </c>
      <c r="N8189" s="6">
        <v>44153.0</v>
      </c>
      <c r="Q8189" s="2" t="s">
        <v>12929</v>
      </c>
    </row>
    <row r="8190">
      <c r="A8190" s="2">
        <v>8189.0</v>
      </c>
      <c r="B8190" s="2" t="s">
        <v>12930</v>
      </c>
      <c r="C8190" s="2" t="s">
        <v>23</v>
      </c>
      <c r="K8190" s="2">
        <v>200.0</v>
      </c>
      <c r="N8190" s="6">
        <v>43948.0</v>
      </c>
      <c r="Q8190" s="2" t="s">
        <v>12931</v>
      </c>
    </row>
    <row r="8191">
      <c r="A8191" s="2">
        <v>8190.0</v>
      </c>
      <c r="B8191" s="2" t="s">
        <v>12932</v>
      </c>
      <c r="C8191" s="2" t="s">
        <v>23</v>
      </c>
      <c r="K8191" s="2">
        <v>60.0</v>
      </c>
      <c r="N8191" s="6">
        <v>45678.0</v>
      </c>
      <c r="Q8191" s="2" t="s">
        <v>8289</v>
      </c>
    </row>
    <row r="8192">
      <c r="A8192" s="2">
        <v>8191.0</v>
      </c>
      <c r="B8192" s="2" t="s">
        <v>12933</v>
      </c>
      <c r="C8192" s="2" t="s">
        <v>23</v>
      </c>
      <c r="N8192" s="6">
        <v>44427.0</v>
      </c>
      <c r="Q8192" s="2" t="s">
        <v>426</v>
      </c>
    </row>
    <row r="8193">
      <c r="A8193" s="2">
        <v>8192.0</v>
      </c>
      <c r="B8193" s="2" t="s">
        <v>12934</v>
      </c>
      <c r="C8193" s="2" t="s">
        <v>23</v>
      </c>
      <c r="K8193" s="2">
        <v>10.0</v>
      </c>
      <c r="N8193" s="6">
        <v>44416.0</v>
      </c>
      <c r="Q8193" s="2" t="s">
        <v>86</v>
      </c>
    </row>
    <row r="8194">
      <c r="A8194" s="2">
        <v>8193.0</v>
      </c>
      <c r="B8194" s="2" t="s">
        <v>12935</v>
      </c>
      <c r="C8194" s="2" t="s">
        <v>23</v>
      </c>
      <c r="N8194" s="6">
        <v>45959.0</v>
      </c>
      <c r="Q8194" s="2" t="s">
        <v>12936</v>
      </c>
    </row>
    <row r="8195">
      <c r="A8195" s="2">
        <v>8194.0</v>
      </c>
      <c r="B8195" s="2" t="s">
        <v>12937</v>
      </c>
      <c r="C8195" s="2" t="s">
        <v>23</v>
      </c>
      <c r="N8195" s="6">
        <v>44352.0</v>
      </c>
      <c r="Q8195" s="2" t="s">
        <v>86</v>
      </c>
    </row>
    <row r="8196">
      <c r="A8196" s="2">
        <v>8195.0</v>
      </c>
      <c r="B8196" s="2" t="s">
        <v>12938</v>
      </c>
      <c r="C8196" s="2" t="s">
        <v>23</v>
      </c>
      <c r="N8196" s="6">
        <v>45471.0</v>
      </c>
      <c r="Q8196" s="2" t="s">
        <v>546</v>
      </c>
    </row>
    <row r="8197">
      <c r="A8197" s="2">
        <v>8196.0</v>
      </c>
      <c r="B8197" s="2" t="s">
        <v>12939</v>
      </c>
      <c r="C8197" s="2" t="s">
        <v>23</v>
      </c>
      <c r="K8197" s="2">
        <v>300.0</v>
      </c>
      <c r="N8197" s="6">
        <v>44164.0</v>
      </c>
      <c r="Q8197" s="2" t="s">
        <v>12940</v>
      </c>
    </row>
    <row r="8198">
      <c r="A8198" s="2">
        <v>8197.0</v>
      </c>
      <c r="B8198" s="2" t="s">
        <v>12941</v>
      </c>
      <c r="C8198" s="2" t="s">
        <v>23</v>
      </c>
      <c r="K8198" s="2">
        <v>20.0</v>
      </c>
      <c r="N8198" s="6">
        <v>42439.0</v>
      </c>
      <c r="Q8198" s="2" t="s">
        <v>12942</v>
      </c>
    </row>
    <row r="8199">
      <c r="A8199" s="2">
        <v>8198.0</v>
      </c>
      <c r="B8199" s="2" t="s">
        <v>12943</v>
      </c>
      <c r="C8199" s="2" t="s">
        <v>23</v>
      </c>
      <c r="K8199" s="2">
        <v>10.0</v>
      </c>
      <c r="N8199" s="6">
        <v>44230.0</v>
      </c>
      <c r="Q8199" s="2" t="s">
        <v>12944</v>
      </c>
    </row>
    <row r="8200">
      <c r="A8200" s="2">
        <v>8199.0</v>
      </c>
      <c r="B8200" s="2" t="s">
        <v>12945</v>
      </c>
      <c r="C8200" s="2" t="s">
        <v>23</v>
      </c>
      <c r="K8200" s="2">
        <v>40.0</v>
      </c>
      <c r="N8200" s="6">
        <v>44614.0</v>
      </c>
      <c r="Q8200" s="2" t="s">
        <v>7141</v>
      </c>
    </row>
    <row r="8201">
      <c r="A8201" s="2">
        <v>8200.0</v>
      </c>
      <c r="B8201" s="2" t="s">
        <v>12946</v>
      </c>
      <c r="C8201" s="2" t="s">
        <v>23</v>
      </c>
      <c r="K8201" s="2">
        <v>150.0</v>
      </c>
      <c r="N8201" s="6">
        <v>43894.0</v>
      </c>
      <c r="Q8201" s="2" t="s">
        <v>12947</v>
      </c>
    </row>
    <row r="8202">
      <c r="A8202" s="2">
        <v>8201.0</v>
      </c>
      <c r="B8202" s="2" t="s">
        <v>12948</v>
      </c>
      <c r="C8202" s="2" t="s">
        <v>23</v>
      </c>
      <c r="N8202" s="6">
        <v>44585.0</v>
      </c>
      <c r="Q8202" s="2" t="s">
        <v>86</v>
      </c>
    </row>
    <row r="8203">
      <c r="A8203" s="2">
        <v>8202.0</v>
      </c>
      <c r="B8203" s="2" t="s">
        <v>12949</v>
      </c>
      <c r="C8203" s="2" t="s">
        <v>23</v>
      </c>
      <c r="N8203" s="6">
        <v>42650.0</v>
      </c>
      <c r="Q8203" s="2" t="s">
        <v>86</v>
      </c>
    </row>
    <row r="8204">
      <c r="A8204" s="2">
        <v>8203.0</v>
      </c>
      <c r="B8204" s="2" t="s">
        <v>12950</v>
      </c>
      <c r="C8204" s="2" t="s">
        <v>23</v>
      </c>
      <c r="K8204" s="2">
        <v>20.0</v>
      </c>
      <c r="N8204" s="6">
        <v>45314.0</v>
      </c>
      <c r="Q8204" s="2" t="s">
        <v>12951</v>
      </c>
    </row>
    <row r="8205">
      <c r="A8205" s="2">
        <v>8204.0</v>
      </c>
      <c r="B8205" s="2" t="s">
        <v>12952</v>
      </c>
      <c r="C8205" s="2" t="s">
        <v>23</v>
      </c>
      <c r="N8205" s="6">
        <v>44058.0</v>
      </c>
      <c r="Q8205" s="2" t="s">
        <v>86</v>
      </c>
    </row>
    <row r="8206">
      <c r="A8206" s="2">
        <v>8205.0</v>
      </c>
      <c r="B8206" s="2" t="s">
        <v>12953</v>
      </c>
      <c r="C8206" s="2" t="s">
        <v>23</v>
      </c>
      <c r="N8206" s="6">
        <v>44095.0</v>
      </c>
      <c r="Q8206" s="2" t="s">
        <v>1156</v>
      </c>
    </row>
    <row r="8207">
      <c r="A8207" s="2">
        <v>8206.0</v>
      </c>
      <c r="B8207" s="2" t="s">
        <v>12954</v>
      </c>
      <c r="C8207" s="2" t="s">
        <v>23</v>
      </c>
      <c r="K8207" s="2">
        <v>10.0</v>
      </c>
      <c r="N8207" s="6">
        <v>44164.0</v>
      </c>
      <c r="Q8207" s="2" t="s">
        <v>86</v>
      </c>
    </row>
    <row r="8208">
      <c r="A8208" s="2">
        <v>8207.0</v>
      </c>
      <c r="B8208" s="2" t="s">
        <v>12955</v>
      </c>
      <c r="C8208" s="2" t="s">
        <v>23</v>
      </c>
      <c r="N8208" s="6">
        <v>44571.0</v>
      </c>
      <c r="Q8208" s="2" t="s">
        <v>86</v>
      </c>
    </row>
    <row r="8209">
      <c r="A8209" s="2">
        <v>8208.0</v>
      </c>
      <c r="B8209" s="2" t="s">
        <v>12956</v>
      </c>
      <c r="C8209" s="2" t="s">
        <v>23</v>
      </c>
      <c r="K8209" s="2">
        <v>150.0</v>
      </c>
      <c r="N8209" s="6">
        <v>44153.0</v>
      </c>
      <c r="Q8209" s="2" t="s">
        <v>12957</v>
      </c>
    </row>
    <row r="8210">
      <c r="A8210" s="2">
        <v>8209.0</v>
      </c>
      <c r="B8210" s="2" t="s">
        <v>12958</v>
      </c>
      <c r="C8210" s="2" t="s">
        <v>23</v>
      </c>
      <c r="N8210" s="6">
        <v>44088.0</v>
      </c>
      <c r="Q8210" s="2" t="s">
        <v>86</v>
      </c>
    </row>
    <row r="8211">
      <c r="A8211" s="2">
        <v>8210.0</v>
      </c>
      <c r="B8211" s="2" t="s">
        <v>12959</v>
      </c>
      <c r="C8211" s="2" t="s">
        <v>23</v>
      </c>
      <c r="K8211" s="2">
        <v>200.0</v>
      </c>
      <c r="N8211" s="6">
        <v>43969.0</v>
      </c>
      <c r="Q8211" s="2" t="s">
        <v>12960</v>
      </c>
    </row>
    <row r="8212">
      <c r="A8212" s="2">
        <v>8211.0</v>
      </c>
      <c r="B8212" s="2" t="s">
        <v>12961</v>
      </c>
      <c r="C8212" s="2" t="s">
        <v>23</v>
      </c>
      <c r="K8212" s="2">
        <v>10.0</v>
      </c>
      <c r="N8212" s="6">
        <v>43950.0</v>
      </c>
      <c r="Q8212" s="2" t="s">
        <v>1116</v>
      </c>
    </row>
    <row r="8213">
      <c r="A8213" s="2">
        <v>8212.0</v>
      </c>
      <c r="B8213" s="2" t="s">
        <v>12962</v>
      </c>
      <c r="C8213" s="2" t="s">
        <v>23</v>
      </c>
      <c r="K8213" s="2">
        <v>10.0</v>
      </c>
      <c r="N8213" s="6">
        <v>45623.0</v>
      </c>
      <c r="Q8213" s="2" t="s">
        <v>10087</v>
      </c>
    </row>
    <row r="8214">
      <c r="A8214" s="2">
        <v>8213.0</v>
      </c>
      <c r="B8214" s="2" t="s">
        <v>12963</v>
      </c>
      <c r="C8214" s="2" t="s">
        <v>23</v>
      </c>
      <c r="N8214" s="6">
        <v>45657.0</v>
      </c>
      <c r="Q8214" s="2" t="s">
        <v>6252</v>
      </c>
    </row>
    <row r="8215">
      <c r="A8215" s="2">
        <v>8214.0</v>
      </c>
      <c r="B8215" s="2" t="s">
        <v>12964</v>
      </c>
      <c r="C8215" s="2" t="s">
        <v>23</v>
      </c>
      <c r="N8215" s="6">
        <v>44273.0</v>
      </c>
      <c r="Q8215" s="2" t="s">
        <v>86</v>
      </c>
    </row>
    <row r="8216">
      <c r="A8216" s="2">
        <v>8215.0</v>
      </c>
      <c r="B8216" s="2" t="s">
        <v>12965</v>
      </c>
      <c r="C8216" s="2" t="s">
        <v>23</v>
      </c>
      <c r="N8216" s="6">
        <v>43993.0</v>
      </c>
      <c r="Q8216" s="2" t="s">
        <v>86</v>
      </c>
    </row>
    <row r="8217">
      <c r="A8217" s="2">
        <v>8216.0</v>
      </c>
      <c r="B8217" s="2" t="s">
        <v>12966</v>
      </c>
      <c r="C8217" s="2" t="s">
        <v>23</v>
      </c>
      <c r="K8217" s="2">
        <v>20.0</v>
      </c>
      <c r="N8217" s="6">
        <v>45423.0</v>
      </c>
      <c r="Q8217" s="2" t="s">
        <v>86</v>
      </c>
    </row>
    <row r="8218">
      <c r="A8218" s="2">
        <v>8217.0</v>
      </c>
      <c r="B8218" s="2" t="s">
        <v>12967</v>
      </c>
      <c r="C8218" s="2" t="s">
        <v>23</v>
      </c>
      <c r="K8218" s="2">
        <v>100.0</v>
      </c>
      <c r="N8218" s="6">
        <v>43992.0</v>
      </c>
      <c r="Q8218" s="2" t="s">
        <v>2362</v>
      </c>
    </row>
    <row r="8219">
      <c r="A8219" s="2">
        <v>8218.0</v>
      </c>
      <c r="B8219" s="2" t="s">
        <v>12968</v>
      </c>
      <c r="C8219" s="2" t="s">
        <v>23</v>
      </c>
      <c r="K8219" s="2">
        <v>10.0</v>
      </c>
      <c r="N8219" s="6">
        <v>44069.0</v>
      </c>
      <c r="Q8219" s="2" t="s">
        <v>12969</v>
      </c>
    </row>
    <row r="8220">
      <c r="A8220" s="2">
        <v>8219.0</v>
      </c>
      <c r="B8220" s="2" t="s">
        <v>12970</v>
      </c>
      <c r="C8220" s="2" t="s">
        <v>23</v>
      </c>
      <c r="N8220" s="6">
        <v>44459.0</v>
      </c>
      <c r="Q8220" s="2" t="s">
        <v>546</v>
      </c>
    </row>
    <row r="8221">
      <c r="A8221" s="2">
        <v>8220.0</v>
      </c>
      <c r="B8221" s="2" t="s">
        <v>12971</v>
      </c>
      <c r="C8221" s="2" t="s">
        <v>23</v>
      </c>
      <c r="K8221" s="2">
        <v>150.0</v>
      </c>
      <c r="N8221" s="6">
        <v>44151.0</v>
      </c>
      <c r="Q8221" s="2" t="s">
        <v>12972</v>
      </c>
    </row>
    <row r="8222">
      <c r="A8222" s="2">
        <v>8221.0</v>
      </c>
      <c r="B8222" s="2" t="s">
        <v>12973</v>
      </c>
      <c r="C8222" s="2" t="s">
        <v>23</v>
      </c>
      <c r="K8222" s="2">
        <v>10.0</v>
      </c>
      <c r="N8222" s="6">
        <v>44137.0</v>
      </c>
      <c r="Q8222" s="2" t="s">
        <v>2794</v>
      </c>
    </row>
    <row r="8223">
      <c r="A8223" s="2">
        <v>8222.0</v>
      </c>
      <c r="B8223" s="2" t="s">
        <v>12974</v>
      </c>
      <c r="C8223" s="2" t="s">
        <v>23</v>
      </c>
      <c r="K8223" s="2">
        <v>30.0</v>
      </c>
      <c r="N8223" s="6">
        <v>45540.0</v>
      </c>
      <c r="Q8223" s="2" t="s">
        <v>12975</v>
      </c>
    </row>
    <row r="8224">
      <c r="A8224" s="2">
        <v>8223.0</v>
      </c>
      <c r="B8224" s="2" t="s">
        <v>12976</v>
      </c>
      <c r="C8224" s="2" t="s">
        <v>23</v>
      </c>
      <c r="K8224" s="2">
        <v>60.0</v>
      </c>
      <c r="N8224" s="6">
        <v>44579.0</v>
      </c>
      <c r="Q8224" s="2" t="s">
        <v>12977</v>
      </c>
    </row>
    <row r="8225">
      <c r="A8225" s="2">
        <v>8224.0</v>
      </c>
      <c r="B8225" s="2" t="s">
        <v>12978</v>
      </c>
      <c r="C8225" s="2" t="s">
        <v>23</v>
      </c>
      <c r="N8225" s="6">
        <v>44459.0</v>
      </c>
      <c r="Q8225" s="2" t="s">
        <v>86</v>
      </c>
    </row>
    <row r="8226">
      <c r="A8226" s="2">
        <v>8225.0</v>
      </c>
      <c r="B8226" s="2" t="s">
        <v>12979</v>
      </c>
      <c r="C8226" s="2" t="s">
        <v>23</v>
      </c>
      <c r="K8226" s="2">
        <v>40.0</v>
      </c>
      <c r="N8226" s="6">
        <v>45682.0</v>
      </c>
      <c r="Q8226" s="2" t="s">
        <v>12980</v>
      </c>
    </row>
    <row r="8227">
      <c r="A8227" s="2">
        <v>8226.0</v>
      </c>
      <c r="B8227" s="2" t="s">
        <v>12981</v>
      </c>
      <c r="C8227" s="2" t="s">
        <v>23</v>
      </c>
      <c r="K8227" s="2">
        <v>10.0</v>
      </c>
      <c r="N8227" s="6">
        <v>45312.0</v>
      </c>
      <c r="Q8227" s="2" t="s">
        <v>2537</v>
      </c>
    </row>
    <row r="8228">
      <c r="A8228" s="2">
        <v>8227.0</v>
      </c>
      <c r="B8228" s="2" t="s">
        <v>12982</v>
      </c>
      <c r="C8228" s="2" t="s">
        <v>23</v>
      </c>
      <c r="K8228" s="2">
        <v>200.0</v>
      </c>
      <c r="N8228" s="6">
        <v>45742.0</v>
      </c>
      <c r="Q8228" s="2" t="s">
        <v>11031</v>
      </c>
    </row>
    <row r="8229">
      <c r="A8229" s="2">
        <v>8228.0</v>
      </c>
      <c r="B8229" s="2" t="s">
        <v>12983</v>
      </c>
      <c r="C8229" s="2" t="s">
        <v>23</v>
      </c>
      <c r="K8229" s="2">
        <v>20.0</v>
      </c>
      <c r="N8229" s="6">
        <v>45133.0</v>
      </c>
      <c r="Q8229" s="2" t="s">
        <v>12984</v>
      </c>
    </row>
    <row r="8230">
      <c r="A8230" s="2">
        <v>8229.0</v>
      </c>
      <c r="B8230" s="2" t="s">
        <v>12985</v>
      </c>
      <c r="C8230" s="2" t="s">
        <v>23</v>
      </c>
      <c r="K8230" s="2">
        <v>10.0</v>
      </c>
      <c r="N8230" s="6">
        <v>44312.0</v>
      </c>
      <c r="Q8230" s="2" t="s">
        <v>12134</v>
      </c>
    </row>
    <row r="8231">
      <c r="A8231" s="2">
        <v>8230.0</v>
      </c>
      <c r="B8231" s="2" t="s">
        <v>12986</v>
      </c>
      <c r="C8231" s="2" t="s">
        <v>23</v>
      </c>
      <c r="K8231" s="2">
        <v>10.0</v>
      </c>
      <c r="N8231" s="6">
        <v>44712.0</v>
      </c>
      <c r="Q8231" s="2" t="s">
        <v>86</v>
      </c>
    </row>
    <row r="8232">
      <c r="A8232" s="2">
        <v>8231.0</v>
      </c>
      <c r="B8232" s="2" t="s">
        <v>12987</v>
      </c>
      <c r="C8232" s="2" t="s">
        <v>23</v>
      </c>
      <c r="K8232" s="2">
        <v>20.0</v>
      </c>
      <c r="N8232" s="6">
        <v>45002.0</v>
      </c>
      <c r="Q8232" s="2" t="s">
        <v>6137</v>
      </c>
    </row>
    <row r="8233">
      <c r="A8233" s="2">
        <v>8232.0</v>
      </c>
      <c r="B8233" s="2" t="s">
        <v>12988</v>
      </c>
      <c r="C8233" s="2" t="s">
        <v>23</v>
      </c>
      <c r="N8233" s="6">
        <v>45127.0</v>
      </c>
      <c r="Q8233" s="2" t="s">
        <v>12989</v>
      </c>
    </row>
    <row r="8234">
      <c r="A8234" s="2">
        <v>8233.0</v>
      </c>
      <c r="B8234" s="2" t="s">
        <v>12990</v>
      </c>
      <c r="C8234" s="2" t="s">
        <v>23</v>
      </c>
      <c r="N8234" s="6">
        <v>44363.0</v>
      </c>
      <c r="Q8234" s="2" t="s">
        <v>86</v>
      </c>
    </row>
    <row r="8235">
      <c r="A8235" s="2">
        <v>8234.0</v>
      </c>
      <c r="B8235" s="2" t="s">
        <v>12991</v>
      </c>
      <c r="C8235" s="2" t="s">
        <v>23</v>
      </c>
      <c r="K8235" s="2">
        <v>100.0</v>
      </c>
      <c r="N8235" s="6">
        <v>45728.0</v>
      </c>
      <c r="Q8235" s="2" t="s">
        <v>12992</v>
      </c>
    </row>
    <row r="8236">
      <c r="A8236" s="2">
        <v>8235.0</v>
      </c>
      <c r="B8236" s="2" t="s">
        <v>12993</v>
      </c>
      <c r="C8236" s="2" t="s">
        <v>23</v>
      </c>
      <c r="K8236" s="2">
        <v>30.0</v>
      </c>
      <c r="N8236" s="6">
        <v>45576.0</v>
      </c>
      <c r="Q8236" s="2" t="s">
        <v>12994</v>
      </c>
    </row>
    <row r="8237">
      <c r="A8237" s="2">
        <v>8236.0</v>
      </c>
      <c r="B8237" s="2" t="s">
        <v>12995</v>
      </c>
      <c r="C8237" s="2" t="s">
        <v>23</v>
      </c>
      <c r="K8237" s="2">
        <v>10.0</v>
      </c>
      <c r="N8237" s="6">
        <v>45607.0</v>
      </c>
      <c r="Q8237" s="2" t="s">
        <v>12996</v>
      </c>
    </row>
    <row r="8238">
      <c r="A8238" s="2">
        <v>8237.0</v>
      </c>
      <c r="B8238" s="2" t="s">
        <v>12997</v>
      </c>
      <c r="C8238" s="2" t="s">
        <v>23</v>
      </c>
      <c r="N8238" s="6">
        <v>44501.0</v>
      </c>
      <c r="Q8238" s="2" t="s">
        <v>86</v>
      </c>
    </row>
    <row r="8239">
      <c r="A8239" s="2">
        <v>8238.0</v>
      </c>
      <c r="B8239" s="2" t="s">
        <v>12998</v>
      </c>
      <c r="C8239" s="2" t="s">
        <v>23</v>
      </c>
      <c r="K8239" s="2">
        <v>10.0</v>
      </c>
      <c r="N8239" s="6">
        <v>44336.0</v>
      </c>
      <c r="Q8239" s="2" t="s">
        <v>11965</v>
      </c>
    </row>
    <row r="8240">
      <c r="A8240" s="2">
        <v>8239.0</v>
      </c>
      <c r="B8240" s="2" t="s">
        <v>12999</v>
      </c>
      <c r="C8240" s="2" t="s">
        <v>23</v>
      </c>
      <c r="K8240" s="2">
        <v>100.0</v>
      </c>
      <c r="N8240" s="6">
        <v>44145.0</v>
      </c>
      <c r="Q8240" s="2" t="s">
        <v>13000</v>
      </c>
    </row>
    <row r="8241">
      <c r="A8241" s="2">
        <v>8240.0</v>
      </c>
      <c r="B8241" s="2" t="s">
        <v>13001</v>
      </c>
      <c r="C8241" s="2" t="s">
        <v>23</v>
      </c>
      <c r="N8241" s="6">
        <v>43864.0</v>
      </c>
      <c r="Q8241" s="2" t="s">
        <v>13002</v>
      </c>
    </row>
    <row r="8242">
      <c r="A8242" s="2">
        <v>8241.0</v>
      </c>
      <c r="B8242" s="2" t="s">
        <v>13003</v>
      </c>
      <c r="C8242" s="2" t="s">
        <v>23</v>
      </c>
      <c r="K8242" s="2">
        <v>20.0</v>
      </c>
      <c r="N8242" s="6">
        <v>44832.0</v>
      </c>
      <c r="Q8242" s="2" t="s">
        <v>60</v>
      </c>
    </row>
    <row r="8243">
      <c r="A8243" s="2">
        <v>8242.0</v>
      </c>
      <c r="B8243" s="2" t="s">
        <v>13004</v>
      </c>
      <c r="C8243" s="2" t="s">
        <v>23</v>
      </c>
      <c r="K8243" s="2">
        <v>20.0</v>
      </c>
      <c r="N8243" s="6">
        <v>45631.0</v>
      </c>
      <c r="Q8243" s="2" t="s">
        <v>1236</v>
      </c>
    </row>
    <row r="8244">
      <c r="A8244" s="2">
        <v>8243.0</v>
      </c>
      <c r="B8244" s="2" t="s">
        <v>13005</v>
      </c>
      <c r="C8244" s="2" t="s">
        <v>23</v>
      </c>
      <c r="K8244" s="2">
        <v>30.0</v>
      </c>
      <c r="N8244" s="6">
        <v>44139.0</v>
      </c>
      <c r="Q8244" s="2" t="s">
        <v>3866</v>
      </c>
    </row>
    <row r="8245">
      <c r="A8245" s="2">
        <v>8244.0</v>
      </c>
      <c r="B8245" s="2" t="s">
        <v>13006</v>
      </c>
      <c r="C8245" s="2" t="s">
        <v>23</v>
      </c>
      <c r="K8245" s="2">
        <v>20.0</v>
      </c>
      <c r="N8245" s="6">
        <v>43960.0</v>
      </c>
      <c r="Q8245" s="2" t="s">
        <v>13007</v>
      </c>
    </row>
    <row r="8246">
      <c r="A8246" s="2">
        <v>8245.0</v>
      </c>
      <c r="B8246" s="2" t="s">
        <v>13008</v>
      </c>
      <c r="C8246" s="2" t="s">
        <v>23</v>
      </c>
      <c r="N8246" s="6">
        <v>44080.0</v>
      </c>
      <c r="Q8246" s="2" t="s">
        <v>86</v>
      </c>
    </row>
    <row r="8247">
      <c r="A8247" s="2">
        <v>8246.0</v>
      </c>
      <c r="B8247" s="2" t="s">
        <v>13009</v>
      </c>
      <c r="C8247" s="2" t="s">
        <v>23</v>
      </c>
      <c r="N8247" s="6">
        <v>44815.0</v>
      </c>
      <c r="Q8247" s="2" t="s">
        <v>86</v>
      </c>
    </row>
    <row r="8248">
      <c r="A8248" s="2">
        <v>8247.0</v>
      </c>
      <c r="B8248" s="2" t="s">
        <v>13010</v>
      </c>
      <c r="C8248" s="2" t="s">
        <v>23</v>
      </c>
      <c r="K8248" s="2">
        <v>10.0</v>
      </c>
      <c r="N8248" s="6">
        <v>44021.0</v>
      </c>
      <c r="Q8248" s="2" t="s">
        <v>13011</v>
      </c>
    </row>
    <row r="8249">
      <c r="A8249" s="2">
        <v>8248.0</v>
      </c>
      <c r="B8249" s="2" t="s">
        <v>13012</v>
      </c>
      <c r="C8249" s="2" t="s">
        <v>23</v>
      </c>
      <c r="K8249" s="2">
        <v>150.0</v>
      </c>
      <c r="N8249" s="6">
        <v>44062.0</v>
      </c>
      <c r="Q8249" s="2" t="s">
        <v>11313</v>
      </c>
    </row>
    <row r="8250">
      <c r="A8250" s="2">
        <v>8249.0</v>
      </c>
      <c r="B8250" s="2" t="s">
        <v>13013</v>
      </c>
      <c r="C8250" s="2" t="s">
        <v>23</v>
      </c>
      <c r="K8250" s="2">
        <v>10.0</v>
      </c>
      <c r="N8250" s="6">
        <v>44261.0</v>
      </c>
      <c r="Q8250" s="2" t="s">
        <v>86</v>
      </c>
    </row>
    <row r="8251">
      <c r="A8251" s="2">
        <v>8250.0</v>
      </c>
      <c r="B8251" s="2" t="s">
        <v>13014</v>
      </c>
      <c r="C8251" s="2" t="s">
        <v>23</v>
      </c>
      <c r="K8251" s="2">
        <v>50.0</v>
      </c>
      <c r="N8251" s="6">
        <v>44380.0</v>
      </c>
      <c r="Q8251" s="2" t="s">
        <v>1562</v>
      </c>
    </row>
    <row r="8252">
      <c r="A8252" s="2">
        <v>8251.0</v>
      </c>
      <c r="B8252" s="2" t="s">
        <v>13015</v>
      </c>
      <c r="C8252" s="2" t="s">
        <v>23</v>
      </c>
      <c r="K8252" s="2">
        <v>60.0</v>
      </c>
      <c r="N8252" s="6">
        <v>44246.0</v>
      </c>
      <c r="Q8252" s="2" t="s">
        <v>1895</v>
      </c>
    </row>
    <row r="8253">
      <c r="A8253" s="2">
        <v>8252.0</v>
      </c>
      <c r="B8253" s="2" t="s">
        <v>13016</v>
      </c>
      <c r="C8253" s="2" t="s">
        <v>23</v>
      </c>
      <c r="N8253" s="6">
        <v>44697.0</v>
      </c>
      <c r="Q8253" s="2" t="s">
        <v>86</v>
      </c>
    </row>
    <row r="8254">
      <c r="A8254" s="2">
        <v>8253.0</v>
      </c>
      <c r="B8254" s="2" t="s">
        <v>13017</v>
      </c>
      <c r="C8254" s="2" t="s">
        <v>23</v>
      </c>
      <c r="N8254" s="6">
        <v>44641.0</v>
      </c>
      <c r="Q8254" s="2" t="s">
        <v>86</v>
      </c>
    </row>
    <row r="8255">
      <c r="A8255" s="2">
        <v>8254.0</v>
      </c>
      <c r="B8255" s="2" t="s">
        <v>13018</v>
      </c>
      <c r="C8255" s="2" t="s">
        <v>23</v>
      </c>
      <c r="K8255" s="2">
        <v>20.0</v>
      </c>
      <c r="N8255" s="6">
        <v>44380.0</v>
      </c>
      <c r="Q8255" s="2" t="s">
        <v>86</v>
      </c>
    </row>
    <row r="8256">
      <c r="A8256" s="2">
        <v>8255.0</v>
      </c>
      <c r="B8256" s="2" t="s">
        <v>13019</v>
      </c>
      <c r="C8256" s="2" t="s">
        <v>23</v>
      </c>
      <c r="N8256" s="6">
        <v>44519.0</v>
      </c>
      <c r="Q8256" s="2" t="s">
        <v>86</v>
      </c>
    </row>
    <row r="8257">
      <c r="A8257" s="2">
        <v>8256.0</v>
      </c>
      <c r="B8257" s="2" t="s">
        <v>13020</v>
      </c>
      <c r="C8257" s="2" t="s">
        <v>23</v>
      </c>
      <c r="K8257" s="2">
        <v>10.0</v>
      </c>
      <c r="N8257" s="6">
        <v>44999.0</v>
      </c>
      <c r="Q8257" s="2" t="s">
        <v>3062</v>
      </c>
    </row>
    <row r="8258">
      <c r="A8258" s="2">
        <v>8257.0</v>
      </c>
      <c r="B8258" s="2" t="s">
        <v>13021</v>
      </c>
      <c r="C8258" s="2" t="s">
        <v>23</v>
      </c>
      <c r="K8258" s="2">
        <v>10.0</v>
      </c>
      <c r="N8258" s="6">
        <v>44675.0</v>
      </c>
      <c r="Q8258" s="2" t="s">
        <v>13022</v>
      </c>
    </row>
    <row r="8259">
      <c r="A8259" s="2">
        <v>8258.0</v>
      </c>
      <c r="B8259" s="2" t="s">
        <v>13023</v>
      </c>
      <c r="C8259" s="2" t="s">
        <v>23</v>
      </c>
      <c r="K8259" s="2">
        <v>10.0</v>
      </c>
      <c r="N8259" s="6">
        <v>44384.0</v>
      </c>
      <c r="Q8259" s="2" t="s">
        <v>13024</v>
      </c>
    </row>
    <row r="8260">
      <c r="A8260" s="2">
        <v>8259.0</v>
      </c>
      <c r="B8260" s="2" t="s">
        <v>13025</v>
      </c>
      <c r="C8260" s="2" t="s">
        <v>23</v>
      </c>
      <c r="K8260" s="2">
        <v>40.0</v>
      </c>
      <c r="N8260" s="6">
        <v>43000.0</v>
      </c>
      <c r="Q8260" s="2" t="s">
        <v>11078</v>
      </c>
    </row>
    <row r="8261">
      <c r="A8261" s="2">
        <v>8260.0</v>
      </c>
      <c r="B8261" s="2" t="s">
        <v>13026</v>
      </c>
      <c r="C8261" s="2" t="s">
        <v>23</v>
      </c>
      <c r="N8261" s="6">
        <v>45449.0</v>
      </c>
      <c r="Q8261" s="2" t="s">
        <v>13027</v>
      </c>
    </row>
    <row r="8262">
      <c r="A8262" s="2">
        <v>8261.0</v>
      </c>
      <c r="B8262" s="2" t="s">
        <v>13028</v>
      </c>
      <c r="C8262" s="2" t="s">
        <v>23</v>
      </c>
      <c r="K8262" s="2">
        <v>30.0</v>
      </c>
      <c r="N8262" s="6">
        <v>45250.0</v>
      </c>
      <c r="Q8262" s="2" t="s">
        <v>6456</v>
      </c>
    </row>
    <row r="8263">
      <c r="A8263" s="2">
        <v>8262.0</v>
      </c>
      <c r="B8263" s="2" t="s">
        <v>13029</v>
      </c>
      <c r="C8263" s="2" t="s">
        <v>23</v>
      </c>
      <c r="N8263" s="6">
        <v>45995.0</v>
      </c>
      <c r="Q8263" s="2" t="s">
        <v>8653</v>
      </c>
    </row>
    <row r="8264">
      <c r="A8264" s="2">
        <v>8263.0</v>
      </c>
      <c r="B8264" s="2" t="s">
        <v>13030</v>
      </c>
      <c r="C8264" s="2" t="s">
        <v>23</v>
      </c>
      <c r="K8264" s="2">
        <v>40.0</v>
      </c>
      <c r="N8264" s="6">
        <v>44117.0</v>
      </c>
      <c r="Q8264" s="2" t="s">
        <v>86</v>
      </c>
    </row>
    <row r="8265">
      <c r="A8265" s="2">
        <v>8264.0</v>
      </c>
      <c r="B8265" s="2" t="s">
        <v>13031</v>
      </c>
      <c r="C8265" s="2" t="s">
        <v>23</v>
      </c>
      <c r="K8265" s="2">
        <v>10.0</v>
      </c>
      <c r="N8265" s="6">
        <v>43761.0</v>
      </c>
      <c r="Q8265" s="2" t="s">
        <v>13032</v>
      </c>
    </row>
    <row r="8266">
      <c r="A8266" s="2">
        <v>8265.0</v>
      </c>
      <c r="B8266" s="2" t="s">
        <v>13033</v>
      </c>
      <c r="C8266" s="2" t="s">
        <v>23</v>
      </c>
      <c r="K8266" s="2">
        <v>40.0</v>
      </c>
      <c r="N8266" s="6">
        <v>44781.0</v>
      </c>
      <c r="Q8266" s="2" t="s">
        <v>86</v>
      </c>
    </row>
    <row r="8267">
      <c r="A8267" s="2">
        <v>8266.0</v>
      </c>
      <c r="B8267" s="2" t="s">
        <v>13034</v>
      </c>
      <c r="C8267" s="2" t="s">
        <v>23</v>
      </c>
      <c r="K8267" s="2">
        <v>80.0</v>
      </c>
      <c r="N8267" s="6">
        <v>44651.0</v>
      </c>
      <c r="Q8267" s="2" t="s">
        <v>13035</v>
      </c>
    </row>
    <row r="8268">
      <c r="A8268" s="2">
        <v>8267.0</v>
      </c>
      <c r="B8268" s="2" t="s">
        <v>13036</v>
      </c>
      <c r="C8268" s="2" t="s">
        <v>23</v>
      </c>
      <c r="N8268" s="6">
        <v>44461.0</v>
      </c>
      <c r="Q8268" s="2" t="s">
        <v>86</v>
      </c>
    </row>
    <row r="8269">
      <c r="A8269" s="2">
        <v>8268.0</v>
      </c>
      <c r="B8269" s="2" t="s">
        <v>13037</v>
      </c>
      <c r="C8269" s="2" t="s">
        <v>23</v>
      </c>
      <c r="K8269" s="2">
        <v>80.0</v>
      </c>
      <c r="N8269" s="6">
        <v>42325.0</v>
      </c>
      <c r="Q8269" s="2" t="s">
        <v>13038</v>
      </c>
    </row>
    <row r="8270">
      <c r="A8270" s="2">
        <v>8269.0</v>
      </c>
      <c r="B8270" s="2" t="s">
        <v>13039</v>
      </c>
      <c r="C8270" s="2" t="s">
        <v>23</v>
      </c>
      <c r="N8270" s="6">
        <v>45339.0</v>
      </c>
      <c r="Q8270" s="2" t="s">
        <v>86</v>
      </c>
    </row>
    <row r="8271">
      <c r="A8271" s="2">
        <v>8270.0</v>
      </c>
      <c r="B8271" s="2" t="s">
        <v>13040</v>
      </c>
      <c r="C8271" s="2" t="s">
        <v>23</v>
      </c>
      <c r="N8271" s="6">
        <v>44415.0</v>
      </c>
      <c r="Q8271" s="2" t="s">
        <v>86</v>
      </c>
    </row>
    <row r="8272">
      <c r="A8272" s="2">
        <v>8271.0</v>
      </c>
      <c r="B8272" s="2" t="s">
        <v>13041</v>
      </c>
      <c r="C8272" s="2" t="s">
        <v>23</v>
      </c>
      <c r="K8272" s="2">
        <v>150.0</v>
      </c>
      <c r="N8272" s="6">
        <v>44574.0</v>
      </c>
      <c r="Q8272" s="2" t="s">
        <v>2435</v>
      </c>
    </row>
    <row r="8273">
      <c r="A8273" s="2">
        <v>8272.0</v>
      </c>
      <c r="B8273" s="2" t="s">
        <v>13042</v>
      </c>
      <c r="C8273" s="2" t="s">
        <v>23</v>
      </c>
      <c r="N8273" s="6">
        <v>45509.0</v>
      </c>
      <c r="Q8273" s="2" t="s">
        <v>13043</v>
      </c>
    </row>
    <row r="8274">
      <c r="A8274" s="2">
        <v>8273.0</v>
      </c>
      <c r="B8274" s="2" t="s">
        <v>13044</v>
      </c>
      <c r="C8274" s="2" t="s">
        <v>23</v>
      </c>
      <c r="N8274" s="6">
        <v>44294.0</v>
      </c>
      <c r="Q8274" s="2" t="s">
        <v>86</v>
      </c>
    </row>
    <row r="8275">
      <c r="A8275" s="2">
        <v>8274.0</v>
      </c>
      <c r="B8275" s="2" t="s">
        <v>13045</v>
      </c>
      <c r="C8275" s="2" t="s">
        <v>23</v>
      </c>
      <c r="K8275" s="2">
        <v>40.0</v>
      </c>
      <c r="N8275" s="6">
        <v>44189.0</v>
      </c>
      <c r="Q8275" s="2" t="s">
        <v>5165</v>
      </c>
    </row>
    <row r="8276">
      <c r="A8276" s="2">
        <v>8275.0</v>
      </c>
      <c r="B8276" s="2" t="s">
        <v>13046</v>
      </c>
      <c r="C8276" s="2" t="s">
        <v>23</v>
      </c>
      <c r="N8276" s="6">
        <v>42435.0</v>
      </c>
      <c r="Q8276" s="2" t="s">
        <v>13047</v>
      </c>
    </row>
    <row r="8277">
      <c r="A8277" s="2">
        <v>8276.0</v>
      </c>
      <c r="B8277" s="2" t="s">
        <v>13048</v>
      </c>
      <c r="C8277" s="2" t="s">
        <v>23</v>
      </c>
      <c r="N8277" s="6">
        <v>44237.0</v>
      </c>
      <c r="Q8277" s="2" t="s">
        <v>86</v>
      </c>
    </row>
    <row r="8278">
      <c r="A8278" s="2">
        <v>8277.0</v>
      </c>
      <c r="B8278" s="2" t="s">
        <v>13049</v>
      </c>
      <c r="C8278" s="2" t="s">
        <v>23</v>
      </c>
      <c r="K8278" s="2">
        <v>10.0</v>
      </c>
      <c r="N8278" s="6">
        <v>44777.0</v>
      </c>
      <c r="Q8278" s="2" t="s">
        <v>3218</v>
      </c>
    </row>
    <row r="8279">
      <c r="A8279" s="2">
        <v>8278.0</v>
      </c>
      <c r="B8279" s="2" t="s">
        <v>13050</v>
      </c>
      <c r="C8279" s="2" t="s">
        <v>23</v>
      </c>
      <c r="N8279" s="6">
        <v>45485.0</v>
      </c>
      <c r="Q8279" s="2" t="s">
        <v>1474</v>
      </c>
    </row>
    <row r="8280">
      <c r="A8280" s="2">
        <v>8279.0</v>
      </c>
      <c r="B8280" s="2" t="s">
        <v>13051</v>
      </c>
      <c r="C8280" s="2" t="s">
        <v>23</v>
      </c>
      <c r="K8280" s="2">
        <v>20.0</v>
      </c>
      <c r="N8280" s="6">
        <v>45583.0</v>
      </c>
      <c r="Q8280" s="2" t="s">
        <v>13052</v>
      </c>
    </row>
    <row r="8281">
      <c r="A8281" s="2">
        <v>8280.0</v>
      </c>
      <c r="B8281" s="2" t="s">
        <v>13053</v>
      </c>
      <c r="C8281" s="2" t="s">
        <v>23</v>
      </c>
      <c r="K8281" s="2">
        <v>10.0</v>
      </c>
      <c r="N8281" s="6">
        <v>45722.0</v>
      </c>
      <c r="Q8281" s="2" t="s">
        <v>8089</v>
      </c>
    </row>
    <row r="8282">
      <c r="A8282" s="2">
        <v>8281.0</v>
      </c>
      <c r="B8282" s="2" t="s">
        <v>13054</v>
      </c>
      <c r="C8282" s="2" t="s">
        <v>23</v>
      </c>
      <c r="K8282" s="2">
        <v>10.0</v>
      </c>
      <c r="N8282" s="6">
        <v>43010.0</v>
      </c>
      <c r="Q8282" s="2" t="s">
        <v>13055</v>
      </c>
    </row>
    <row r="8283">
      <c r="A8283" s="2">
        <v>8282.0</v>
      </c>
      <c r="B8283" s="2" t="s">
        <v>13056</v>
      </c>
      <c r="C8283" s="2" t="s">
        <v>23</v>
      </c>
      <c r="K8283" s="2">
        <v>150.0</v>
      </c>
      <c r="N8283" s="6">
        <v>44082.0</v>
      </c>
      <c r="Q8283" s="2" t="s">
        <v>13057</v>
      </c>
    </row>
    <row r="8284">
      <c r="A8284" s="2">
        <v>8283.0</v>
      </c>
      <c r="B8284" s="2" t="s">
        <v>13058</v>
      </c>
      <c r="C8284" s="2" t="s">
        <v>23</v>
      </c>
      <c r="N8284" s="6">
        <v>45080.0</v>
      </c>
      <c r="Q8284" s="2" t="s">
        <v>86</v>
      </c>
    </row>
    <row r="8285">
      <c r="A8285" s="2">
        <v>8284.0</v>
      </c>
      <c r="B8285" s="2" t="s">
        <v>13059</v>
      </c>
      <c r="C8285" s="2" t="s">
        <v>23</v>
      </c>
      <c r="N8285" s="6">
        <v>44112.0</v>
      </c>
      <c r="Q8285" s="2" t="s">
        <v>546</v>
      </c>
    </row>
    <row r="8286">
      <c r="A8286" s="2">
        <v>8285.0</v>
      </c>
      <c r="B8286" s="2" t="s">
        <v>13060</v>
      </c>
      <c r="C8286" s="2" t="s">
        <v>23</v>
      </c>
      <c r="K8286" s="2">
        <v>20.0</v>
      </c>
      <c r="N8286" s="6">
        <v>45756.0</v>
      </c>
      <c r="Q8286" s="2" t="s">
        <v>8246</v>
      </c>
    </row>
    <row r="8287">
      <c r="A8287" s="2">
        <v>8286.0</v>
      </c>
      <c r="B8287" s="2" t="s">
        <v>13061</v>
      </c>
      <c r="C8287" s="2" t="s">
        <v>23</v>
      </c>
      <c r="N8287" s="6">
        <v>44574.0</v>
      </c>
      <c r="Q8287" s="2" t="s">
        <v>86</v>
      </c>
    </row>
    <row r="8288">
      <c r="A8288" s="2">
        <v>8287.0</v>
      </c>
      <c r="B8288" s="2" t="s">
        <v>13062</v>
      </c>
      <c r="C8288" s="2" t="s">
        <v>23</v>
      </c>
      <c r="K8288" s="2">
        <v>70.0</v>
      </c>
      <c r="N8288" s="6">
        <v>44056.0</v>
      </c>
      <c r="Q8288" s="2" t="s">
        <v>13063</v>
      </c>
    </row>
    <row r="8289">
      <c r="A8289" s="2">
        <v>8288.0</v>
      </c>
      <c r="B8289" s="2" t="s">
        <v>13064</v>
      </c>
      <c r="C8289" s="2" t="s">
        <v>23</v>
      </c>
      <c r="K8289" s="2">
        <v>90.0</v>
      </c>
      <c r="N8289" s="6">
        <v>44039.0</v>
      </c>
      <c r="Q8289" s="2" t="s">
        <v>1895</v>
      </c>
    </row>
    <row r="8290">
      <c r="A8290" s="2">
        <v>8289.0</v>
      </c>
      <c r="B8290" s="2" t="s">
        <v>13065</v>
      </c>
      <c r="C8290" s="2" t="s">
        <v>23</v>
      </c>
      <c r="N8290" s="6">
        <v>42667.0</v>
      </c>
      <c r="O8290" s="2" t="s">
        <v>560</v>
      </c>
      <c r="P8290" s="2" t="s">
        <v>36</v>
      </c>
      <c r="Q8290" s="2" t="s">
        <v>86</v>
      </c>
      <c r="S8290" s="2" t="s">
        <v>786</v>
      </c>
    </row>
    <row r="8291">
      <c r="A8291" s="2">
        <v>8290.0</v>
      </c>
      <c r="B8291" s="2" t="s">
        <v>13066</v>
      </c>
      <c r="C8291" s="2" t="s">
        <v>23</v>
      </c>
      <c r="K8291" s="2">
        <v>60.0</v>
      </c>
      <c r="N8291" s="6">
        <v>44256.0</v>
      </c>
      <c r="Q8291" s="2" t="s">
        <v>2771</v>
      </c>
    </row>
    <row r="8292">
      <c r="A8292" s="2">
        <v>8291.0</v>
      </c>
      <c r="B8292" s="2" t="s">
        <v>13067</v>
      </c>
      <c r="C8292" s="2" t="s">
        <v>23</v>
      </c>
      <c r="K8292" s="2">
        <v>90.0</v>
      </c>
      <c r="N8292" s="6">
        <v>44133.0</v>
      </c>
      <c r="Q8292" s="2" t="s">
        <v>13068</v>
      </c>
    </row>
    <row r="8293">
      <c r="A8293" s="2">
        <v>8292.0</v>
      </c>
      <c r="B8293" s="2" t="s">
        <v>13069</v>
      </c>
      <c r="C8293" s="2" t="s">
        <v>23</v>
      </c>
      <c r="N8293" s="6">
        <v>45256.0</v>
      </c>
      <c r="Q8293" s="2" t="s">
        <v>3584</v>
      </c>
    </row>
    <row r="8294">
      <c r="A8294" s="2">
        <v>8293.0</v>
      </c>
      <c r="B8294" s="2" t="s">
        <v>13070</v>
      </c>
      <c r="C8294" s="2" t="s">
        <v>23</v>
      </c>
      <c r="K8294" s="2">
        <v>70.0</v>
      </c>
      <c r="N8294" s="6">
        <v>44228.0</v>
      </c>
      <c r="Q8294" s="2" t="s">
        <v>13071</v>
      </c>
    </row>
    <row r="8295">
      <c r="A8295" s="2">
        <v>8294.0</v>
      </c>
      <c r="B8295" s="2" t="s">
        <v>13072</v>
      </c>
      <c r="C8295" s="2" t="s">
        <v>23</v>
      </c>
      <c r="K8295" s="2">
        <v>100.0</v>
      </c>
      <c r="N8295" s="6">
        <v>45620.0</v>
      </c>
      <c r="Q8295" s="2" t="s">
        <v>13073</v>
      </c>
    </row>
    <row r="8296">
      <c r="A8296" s="2">
        <v>8295.0</v>
      </c>
      <c r="B8296" s="2" t="s">
        <v>13074</v>
      </c>
      <c r="C8296" s="2" t="s">
        <v>23</v>
      </c>
      <c r="N8296" s="6">
        <v>44247.0</v>
      </c>
      <c r="Q8296" s="2" t="s">
        <v>1437</v>
      </c>
    </row>
    <row r="8297">
      <c r="A8297" s="2">
        <v>8296.0</v>
      </c>
      <c r="B8297" s="2" t="s">
        <v>13075</v>
      </c>
      <c r="C8297" s="2" t="s">
        <v>23</v>
      </c>
      <c r="K8297" s="2">
        <v>10.0</v>
      </c>
      <c r="N8297" s="6">
        <v>44208.0</v>
      </c>
      <c r="Q8297" s="2" t="s">
        <v>13076</v>
      </c>
    </row>
    <row r="8298">
      <c r="A8298" s="2">
        <v>8297.0</v>
      </c>
      <c r="B8298" s="2" t="s">
        <v>13077</v>
      </c>
      <c r="C8298" s="2" t="s">
        <v>23</v>
      </c>
      <c r="N8298" s="6">
        <v>45348.0</v>
      </c>
      <c r="Q8298" s="2" t="s">
        <v>86</v>
      </c>
    </row>
    <row r="8299">
      <c r="A8299" s="2">
        <v>8298.0</v>
      </c>
      <c r="B8299" s="2" t="s">
        <v>13078</v>
      </c>
      <c r="C8299" s="2" t="s">
        <v>23</v>
      </c>
      <c r="K8299" s="2">
        <v>60.0</v>
      </c>
      <c r="N8299" s="6">
        <v>44297.0</v>
      </c>
      <c r="Q8299" s="2" t="s">
        <v>13079</v>
      </c>
    </row>
    <row r="8300">
      <c r="A8300" s="2">
        <v>8299.0</v>
      </c>
      <c r="B8300" s="2" t="s">
        <v>13080</v>
      </c>
      <c r="C8300" s="2" t="s">
        <v>23</v>
      </c>
      <c r="K8300" s="2">
        <v>10.0</v>
      </c>
      <c r="N8300" s="6">
        <v>42424.0</v>
      </c>
      <c r="Q8300" s="2" t="s">
        <v>13081</v>
      </c>
    </row>
    <row r="8301">
      <c r="A8301" s="2">
        <v>8300.0</v>
      </c>
      <c r="B8301" s="2" t="s">
        <v>13082</v>
      </c>
      <c r="C8301" s="2" t="s">
        <v>23</v>
      </c>
      <c r="N8301" s="6">
        <v>44331.0</v>
      </c>
      <c r="Q8301" s="2" t="s">
        <v>86</v>
      </c>
    </row>
    <row r="8302">
      <c r="A8302" s="2">
        <v>8301.0</v>
      </c>
      <c r="B8302" s="2" t="s">
        <v>13083</v>
      </c>
      <c r="C8302" s="2" t="s">
        <v>23</v>
      </c>
      <c r="N8302" s="6">
        <v>44425.0</v>
      </c>
      <c r="Q8302" s="2" t="s">
        <v>86</v>
      </c>
    </row>
    <row r="8303">
      <c r="A8303" s="2">
        <v>8302.0</v>
      </c>
      <c r="B8303" s="2" t="s">
        <v>13084</v>
      </c>
      <c r="C8303" s="2" t="s">
        <v>23</v>
      </c>
      <c r="N8303" s="6">
        <v>42434.0</v>
      </c>
      <c r="Q8303" s="2" t="s">
        <v>86</v>
      </c>
    </row>
    <row r="8304">
      <c r="A8304" s="2">
        <v>8303.0</v>
      </c>
      <c r="B8304" s="2" t="s">
        <v>13085</v>
      </c>
      <c r="C8304" s="2" t="s">
        <v>23</v>
      </c>
      <c r="K8304" s="2">
        <v>40.0</v>
      </c>
      <c r="N8304" s="6">
        <v>44457.0</v>
      </c>
      <c r="Q8304" s="2" t="s">
        <v>13086</v>
      </c>
    </row>
    <row r="8305">
      <c r="A8305" s="2">
        <v>8304.0</v>
      </c>
      <c r="B8305" s="2" t="s">
        <v>13087</v>
      </c>
      <c r="C8305" s="2" t="s">
        <v>23</v>
      </c>
      <c r="K8305" s="2">
        <v>30.0</v>
      </c>
      <c r="N8305" s="6">
        <v>44769.0</v>
      </c>
      <c r="Q8305" s="2" t="s">
        <v>118</v>
      </c>
    </row>
    <row r="8306">
      <c r="A8306" s="2">
        <v>8305.0</v>
      </c>
      <c r="B8306" s="2" t="s">
        <v>13088</v>
      </c>
      <c r="C8306" s="2" t="s">
        <v>23</v>
      </c>
      <c r="N8306" s="6">
        <v>42562.0</v>
      </c>
      <c r="Q8306" s="2" t="s">
        <v>86</v>
      </c>
    </row>
    <row r="8307">
      <c r="A8307" s="2">
        <v>8306.0</v>
      </c>
      <c r="B8307" s="2" t="s">
        <v>13089</v>
      </c>
      <c r="C8307" s="2" t="s">
        <v>23</v>
      </c>
      <c r="K8307" s="2">
        <v>20.0</v>
      </c>
      <c r="N8307" s="6">
        <v>44431.0</v>
      </c>
      <c r="Q8307" s="2" t="s">
        <v>491</v>
      </c>
    </row>
    <row r="8308">
      <c r="A8308" s="2">
        <v>8307.0</v>
      </c>
      <c r="B8308" s="2" t="s">
        <v>13090</v>
      </c>
      <c r="C8308" s="2" t="s">
        <v>23</v>
      </c>
      <c r="K8308" s="2">
        <v>10.0</v>
      </c>
      <c r="N8308" s="6">
        <v>45226.0</v>
      </c>
      <c r="Q8308" s="2" t="s">
        <v>86</v>
      </c>
    </row>
    <row r="8309">
      <c r="A8309" s="2">
        <v>8308.0</v>
      </c>
      <c r="B8309" s="2" t="s">
        <v>13091</v>
      </c>
      <c r="C8309" s="2" t="s">
        <v>23</v>
      </c>
      <c r="K8309" s="2">
        <v>40.0</v>
      </c>
      <c r="N8309" s="6">
        <v>45723.0</v>
      </c>
      <c r="Q8309" s="2" t="s">
        <v>13092</v>
      </c>
    </row>
    <row r="8310">
      <c r="A8310" s="2">
        <v>8309.0</v>
      </c>
      <c r="B8310" s="2" t="s">
        <v>13093</v>
      </c>
      <c r="C8310" s="2" t="s">
        <v>23</v>
      </c>
      <c r="N8310" s="6">
        <v>42488.0</v>
      </c>
      <c r="Q8310" s="2" t="s">
        <v>86</v>
      </c>
    </row>
    <row r="8311">
      <c r="A8311" s="2">
        <v>8310.0</v>
      </c>
      <c r="B8311" s="2" t="s">
        <v>13094</v>
      </c>
      <c r="C8311" s="2" t="s">
        <v>23</v>
      </c>
      <c r="K8311" s="2">
        <v>20.0</v>
      </c>
      <c r="N8311" s="6">
        <v>44573.0</v>
      </c>
      <c r="Q8311" s="2" t="s">
        <v>86</v>
      </c>
    </row>
    <row r="8312">
      <c r="A8312" s="2">
        <v>8311.0</v>
      </c>
      <c r="B8312" s="2" t="s">
        <v>13095</v>
      </c>
      <c r="C8312" s="2" t="s">
        <v>23</v>
      </c>
      <c r="K8312" s="2">
        <v>80.0</v>
      </c>
      <c r="N8312" s="6">
        <v>43546.0</v>
      </c>
      <c r="Q8312" s="2" t="s">
        <v>13096</v>
      </c>
    </row>
    <row r="8313">
      <c r="A8313" s="2">
        <v>8312.0</v>
      </c>
      <c r="B8313" s="2" t="s">
        <v>13097</v>
      </c>
      <c r="C8313" s="2" t="s">
        <v>23</v>
      </c>
      <c r="K8313" s="2">
        <v>150.0</v>
      </c>
      <c r="N8313" s="6">
        <v>43996.0</v>
      </c>
      <c r="Q8313" s="2" t="s">
        <v>13098</v>
      </c>
    </row>
    <row r="8314">
      <c r="A8314" s="2">
        <v>8313.0</v>
      </c>
      <c r="B8314" s="2" t="s">
        <v>13099</v>
      </c>
      <c r="C8314" s="2" t="s">
        <v>23</v>
      </c>
      <c r="N8314" s="6">
        <v>45992.0</v>
      </c>
      <c r="Q8314" s="2" t="s">
        <v>13100</v>
      </c>
    </row>
    <row r="8315">
      <c r="A8315" s="2">
        <v>8314.0</v>
      </c>
      <c r="B8315" s="2" t="s">
        <v>13101</v>
      </c>
      <c r="C8315" s="2" t="s">
        <v>23</v>
      </c>
      <c r="K8315" s="2">
        <v>80.0</v>
      </c>
      <c r="N8315" s="6">
        <v>44320.0</v>
      </c>
      <c r="Q8315" s="2" t="s">
        <v>13102</v>
      </c>
    </row>
    <row r="8316">
      <c r="A8316" s="2">
        <v>8315.0</v>
      </c>
      <c r="B8316" s="2" t="s">
        <v>13103</v>
      </c>
      <c r="C8316" s="2" t="s">
        <v>23</v>
      </c>
      <c r="K8316" s="2">
        <v>100.0</v>
      </c>
      <c r="N8316" s="6">
        <v>45099.0</v>
      </c>
      <c r="Q8316" s="2" t="s">
        <v>5350</v>
      </c>
    </row>
    <row r="8317">
      <c r="A8317" s="2">
        <v>8316.0</v>
      </c>
      <c r="B8317" s="2" t="s">
        <v>13104</v>
      </c>
      <c r="C8317" s="2" t="s">
        <v>23</v>
      </c>
      <c r="N8317" s="6">
        <v>46002.0</v>
      </c>
      <c r="Q8317" s="2" t="s">
        <v>8653</v>
      </c>
    </row>
    <row r="8318">
      <c r="A8318" s="2">
        <v>8317.0</v>
      </c>
      <c r="B8318" s="2" t="s">
        <v>13105</v>
      </c>
      <c r="C8318" s="2" t="s">
        <v>23</v>
      </c>
      <c r="N8318" s="6">
        <v>44431.0</v>
      </c>
      <c r="Q8318" s="2" t="s">
        <v>1070</v>
      </c>
    </row>
    <row r="8319">
      <c r="A8319" s="2">
        <v>8318.0</v>
      </c>
      <c r="B8319" s="2" t="s">
        <v>13106</v>
      </c>
      <c r="C8319" s="2" t="s">
        <v>23</v>
      </c>
      <c r="K8319" s="2">
        <v>50.0</v>
      </c>
      <c r="N8319" s="6">
        <v>45779.0</v>
      </c>
      <c r="Q8319" s="2" t="s">
        <v>6634</v>
      </c>
    </row>
    <row r="8320">
      <c r="A8320" s="2">
        <v>8319.0</v>
      </c>
      <c r="B8320" s="2" t="s">
        <v>13107</v>
      </c>
      <c r="C8320" s="2" t="s">
        <v>23</v>
      </c>
      <c r="K8320" s="2">
        <v>10.0</v>
      </c>
      <c r="N8320" s="6">
        <v>44725.0</v>
      </c>
      <c r="Q8320" s="2" t="s">
        <v>1472</v>
      </c>
    </row>
    <row r="8321">
      <c r="A8321" s="2">
        <v>8320.0</v>
      </c>
      <c r="B8321" s="2" t="s">
        <v>13108</v>
      </c>
      <c r="C8321" s="2" t="s">
        <v>23</v>
      </c>
      <c r="K8321" s="2">
        <v>20.0</v>
      </c>
      <c r="N8321" s="6">
        <v>44736.0</v>
      </c>
      <c r="Q8321" s="2" t="s">
        <v>13109</v>
      </c>
    </row>
    <row r="8322">
      <c r="A8322" s="2">
        <v>8321.0</v>
      </c>
      <c r="B8322" s="2" t="s">
        <v>13110</v>
      </c>
      <c r="C8322" s="2" t="s">
        <v>23</v>
      </c>
      <c r="K8322" s="2">
        <v>150.0</v>
      </c>
      <c r="N8322" s="6">
        <v>43918.0</v>
      </c>
      <c r="Q8322" s="2" t="s">
        <v>13111</v>
      </c>
    </row>
    <row r="8323">
      <c r="A8323" s="2">
        <v>8322.0</v>
      </c>
      <c r="B8323" s="2" t="s">
        <v>13112</v>
      </c>
      <c r="C8323" s="2" t="s">
        <v>23</v>
      </c>
      <c r="N8323" s="6">
        <v>44788.0</v>
      </c>
      <c r="Q8323" s="2" t="s">
        <v>86</v>
      </c>
    </row>
    <row r="8324">
      <c r="A8324" s="2">
        <v>8323.0</v>
      </c>
      <c r="B8324" s="2" t="s">
        <v>13113</v>
      </c>
      <c r="C8324" s="2" t="s">
        <v>23</v>
      </c>
      <c r="K8324" s="2">
        <v>40.0</v>
      </c>
      <c r="N8324" s="6">
        <v>45611.0</v>
      </c>
      <c r="Q8324" s="2" t="s">
        <v>13114</v>
      </c>
    </row>
    <row r="8325">
      <c r="A8325" s="2">
        <v>8324.0</v>
      </c>
      <c r="B8325" s="2" t="s">
        <v>13115</v>
      </c>
      <c r="C8325" s="2" t="s">
        <v>23</v>
      </c>
      <c r="N8325" s="6">
        <v>44620.0</v>
      </c>
      <c r="Q8325" s="2" t="s">
        <v>86</v>
      </c>
    </row>
    <row r="8326">
      <c r="A8326" s="2">
        <v>8325.0</v>
      </c>
      <c r="B8326" s="2" t="s">
        <v>13116</v>
      </c>
      <c r="C8326" s="2" t="s">
        <v>23</v>
      </c>
      <c r="K8326" s="2">
        <v>40.0</v>
      </c>
      <c r="N8326" s="6">
        <v>42379.0</v>
      </c>
      <c r="Q8326" s="2" t="s">
        <v>13117</v>
      </c>
    </row>
    <row r="8327">
      <c r="A8327" s="2">
        <v>8326.0</v>
      </c>
      <c r="B8327" s="2" t="s">
        <v>13118</v>
      </c>
      <c r="C8327" s="2" t="s">
        <v>23</v>
      </c>
      <c r="K8327" s="2">
        <v>10.0</v>
      </c>
      <c r="N8327" s="6">
        <v>44229.0</v>
      </c>
      <c r="Q8327" s="2" t="s">
        <v>13119</v>
      </c>
    </row>
    <row r="8328">
      <c r="A8328" s="2">
        <v>8327.0</v>
      </c>
      <c r="B8328" s="2" t="s">
        <v>13120</v>
      </c>
      <c r="C8328" s="2" t="s">
        <v>23</v>
      </c>
      <c r="K8328" s="2">
        <v>30.0</v>
      </c>
      <c r="N8328" s="6">
        <v>44320.0</v>
      </c>
      <c r="Q8328" s="2" t="s">
        <v>12409</v>
      </c>
    </row>
    <row r="8329">
      <c r="A8329" s="2">
        <v>8328.0</v>
      </c>
      <c r="B8329" s="2" t="s">
        <v>13121</v>
      </c>
      <c r="C8329" s="2" t="s">
        <v>23</v>
      </c>
      <c r="K8329" s="2">
        <v>40.0</v>
      </c>
      <c r="N8329" s="6">
        <v>45204.0</v>
      </c>
      <c r="Q8329" s="2" t="s">
        <v>2411</v>
      </c>
    </row>
    <row r="8330">
      <c r="A8330" s="2">
        <v>8329.0</v>
      </c>
      <c r="B8330" s="2" t="s">
        <v>13122</v>
      </c>
      <c r="C8330" s="2" t="s">
        <v>23</v>
      </c>
      <c r="N8330" s="6">
        <v>44786.0</v>
      </c>
      <c r="Q8330" s="2" t="s">
        <v>118</v>
      </c>
    </row>
    <row r="8331">
      <c r="A8331" s="2">
        <v>8330.0</v>
      </c>
      <c r="B8331" s="2" t="s">
        <v>13123</v>
      </c>
      <c r="C8331" s="2" t="s">
        <v>23</v>
      </c>
      <c r="N8331" s="6">
        <v>44539.0</v>
      </c>
      <c r="Q8331" s="2" t="s">
        <v>86</v>
      </c>
    </row>
    <row r="8332">
      <c r="A8332" s="2">
        <v>8331.0</v>
      </c>
      <c r="B8332" s="2" t="s">
        <v>13124</v>
      </c>
      <c r="C8332" s="2" t="s">
        <v>23</v>
      </c>
      <c r="N8332" s="6">
        <v>44457.0</v>
      </c>
      <c r="Q8332" s="2" t="s">
        <v>86</v>
      </c>
    </row>
    <row r="8333">
      <c r="A8333" s="2">
        <v>8332.0</v>
      </c>
      <c r="B8333" s="2" t="s">
        <v>13125</v>
      </c>
      <c r="C8333" s="2" t="s">
        <v>23</v>
      </c>
      <c r="K8333" s="2">
        <v>30.0</v>
      </c>
      <c r="N8333" s="6">
        <v>44672.0</v>
      </c>
      <c r="Q8333" s="2" t="s">
        <v>491</v>
      </c>
    </row>
    <row r="8334">
      <c r="A8334" s="2">
        <v>8333.0</v>
      </c>
      <c r="B8334" s="2" t="s">
        <v>13126</v>
      </c>
      <c r="C8334" s="2" t="s">
        <v>23</v>
      </c>
      <c r="K8334" s="2">
        <v>100.0</v>
      </c>
      <c r="N8334" s="6">
        <v>42326.0</v>
      </c>
      <c r="Q8334" s="2" t="s">
        <v>13127</v>
      </c>
    </row>
    <row r="8335">
      <c r="A8335" s="2">
        <v>8334.0</v>
      </c>
      <c r="B8335" s="2" t="s">
        <v>13128</v>
      </c>
      <c r="C8335" s="2" t="s">
        <v>23</v>
      </c>
      <c r="K8335" s="2">
        <v>10.0</v>
      </c>
      <c r="N8335" s="6">
        <v>44874.0</v>
      </c>
      <c r="Q8335" s="2" t="s">
        <v>13129</v>
      </c>
    </row>
    <row r="8336">
      <c r="A8336" s="2">
        <v>8335.0</v>
      </c>
      <c r="B8336" s="2" t="s">
        <v>13130</v>
      </c>
      <c r="C8336" s="2" t="s">
        <v>23</v>
      </c>
      <c r="K8336" s="2">
        <v>40.0</v>
      </c>
      <c r="N8336" s="6">
        <v>44399.0</v>
      </c>
      <c r="Q8336" s="2" t="s">
        <v>1466</v>
      </c>
    </row>
    <row r="8337">
      <c r="A8337" s="2">
        <v>8336.0</v>
      </c>
      <c r="B8337" s="2" t="s">
        <v>13131</v>
      </c>
      <c r="C8337" s="2" t="s">
        <v>23</v>
      </c>
      <c r="K8337" s="2">
        <v>150.0</v>
      </c>
      <c r="N8337" s="6">
        <v>43410.0</v>
      </c>
      <c r="Q8337" s="2" t="s">
        <v>13132</v>
      </c>
    </row>
    <row r="8338">
      <c r="A8338" s="2">
        <v>8337.0</v>
      </c>
      <c r="B8338" s="2" t="s">
        <v>13133</v>
      </c>
      <c r="C8338" s="2" t="s">
        <v>23</v>
      </c>
      <c r="N8338" s="6">
        <v>44144.0</v>
      </c>
      <c r="Q8338" s="2" t="s">
        <v>86</v>
      </c>
    </row>
    <row r="8339">
      <c r="A8339" s="2">
        <v>8338.0</v>
      </c>
      <c r="B8339" s="2" t="s">
        <v>13134</v>
      </c>
      <c r="C8339" s="2" t="s">
        <v>23</v>
      </c>
      <c r="K8339" s="2">
        <v>10.0</v>
      </c>
      <c r="N8339" s="6">
        <v>44796.0</v>
      </c>
      <c r="Q8339" s="2" t="s">
        <v>13135</v>
      </c>
    </row>
    <row r="8340">
      <c r="A8340" s="2">
        <v>8339.0</v>
      </c>
      <c r="B8340" s="2" t="s">
        <v>13136</v>
      </c>
      <c r="C8340" s="2" t="s">
        <v>23</v>
      </c>
      <c r="N8340" s="6">
        <v>43384.0</v>
      </c>
      <c r="Q8340" s="2" t="s">
        <v>86</v>
      </c>
    </row>
    <row r="8341">
      <c r="A8341" s="2">
        <v>8340.0</v>
      </c>
      <c r="B8341" s="2" t="s">
        <v>13137</v>
      </c>
      <c r="C8341" s="2" t="s">
        <v>23</v>
      </c>
      <c r="K8341" s="2">
        <v>90.0</v>
      </c>
      <c r="N8341" s="6">
        <v>45255.0</v>
      </c>
      <c r="Q8341" s="2" t="s">
        <v>13138</v>
      </c>
    </row>
    <row r="8342">
      <c r="A8342" s="2">
        <v>8341.0</v>
      </c>
      <c r="B8342" s="2" t="s">
        <v>13139</v>
      </c>
      <c r="C8342" s="2" t="s">
        <v>23</v>
      </c>
      <c r="N8342" s="6">
        <v>44367.0</v>
      </c>
      <c r="Q8342" s="2" t="s">
        <v>86</v>
      </c>
    </row>
    <row r="8343">
      <c r="A8343" s="2">
        <v>8342.0</v>
      </c>
      <c r="B8343" s="2" t="s">
        <v>13140</v>
      </c>
      <c r="C8343" s="2" t="s">
        <v>23</v>
      </c>
      <c r="K8343" s="2">
        <v>10.0</v>
      </c>
      <c r="N8343" s="6">
        <v>44847.0</v>
      </c>
      <c r="Q8343" s="2" t="s">
        <v>401</v>
      </c>
    </row>
    <row r="8344">
      <c r="A8344" s="2">
        <v>8343.0</v>
      </c>
      <c r="B8344" s="2" t="s">
        <v>516</v>
      </c>
      <c r="C8344" s="2" t="s">
        <v>23</v>
      </c>
      <c r="N8344" s="6">
        <v>43858.0</v>
      </c>
      <c r="Q8344" s="2" t="s">
        <v>519</v>
      </c>
    </row>
    <row r="8345">
      <c r="A8345" s="2">
        <v>8344.0</v>
      </c>
      <c r="B8345" s="2" t="s">
        <v>13141</v>
      </c>
      <c r="C8345" s="2" t="s">
        <v>23</v>
      </c>
      <c r="N8345" s="6">
        <v>44469.0</v>
      </c>
      <c r="Q8345" s="2" t="s">
        <v>2409</v>
      </c>
    </row>
    <row r="8346">
      <c r="A8346" s="2">
        <v>8345.0</v>
      </c>
      <c r="B8346" s="2" t="s">
        <v>13142</v>
      </c>
      <c r="C8346" s="2" t="s">
        <v>23</v>
      </c>
      <c r="N8346" s="6">
        <v>45660.0</v>
      </c>
      <c r="Q8346" s="2" t="s">
        <v>2738</v>
      </c>
    </row>
    <row r="8347">
      <c r="A8347" s="2">
        <v>8346.0</v>
      </c>
      <c r="B8347" s="2" t="s">
        <v>13143</v>
      </c>
      <c r="C8347" s="2" t="s">
        <v>23</v>
      </c>
      <c r="N8347" s="6">
        <v>44053.0</v>
      </c>
      <c r="Q8347" s="2" t="s">
        <v>86</v>
      </c>
    </row>
    <row r="8348">
      <c r="A8348" s="2">
        <v>8347.0</v>
      </c>
      <c r="B8348" s="2" t="s">
        <v>13144</v>
      </c>
      <c r="C8348" s="2" t="s">
        <v>23</v>
      </c>
      <c r="K8348" s="2">
        <v>30.0</v>
      </c>
      <c r="N8348" s="6">
        <v>44166.0</v>
      </c>
      <c r="Q8348" s="2" t="s">
        <v>235</v>
      </c>
    </row>
    <row r="8349">
      <c r="A8349" s="2">
        <v>8348.0</v>
      </c>
      <c r="B8349" s="2" t="s">
        <v>13145</v>
      </c>
      <c r="C8349" s="2" t="s">
        <v>23</v>
      </c>
      <c r="N8349" s="6">
        <v>45169.0</v>
      </c>
      <c r="Q8349" s="2" t="s">
        <v>13146</v>
      </c>
    </row>
    <row r="8350">
      <c r="A8350" s="2">
        <v>8349.0</v>
      </c>
      <c r="B8350" s="2" t="s">
        <v>13147</v>
      </c>
      <c r="C8350" s="2" t="s">
        <v>23</v>
      </c>
      <c r="N8350" s="6">
        <v>43931.0</v>
      </c>
      <c r="Q8350" s="2" t="s">
        <v>86</v>
      </c>
    </row>
    <row r="8351">
      <c r="A8351" s="2">
        <v>8350.0</v>
      </c>
      <c r="B8351" s="2" t="s">
        <v>13148</v>
      </c>
      <c r="C8351" s="2" t="s">
        <v>23</v>
      </c>
      <c r="N8351" s="6">
        <v>44564.0</v>
      </c>
      <c r="Q8351" s="2" t="s">
        <v>86</v>
      </c>
    </row>
    <row r="8352">
      <c r="A8352" s="2">
        <v>8351.0</v>
      </c>
      <c r="B8352" s="2" t="s">
        <v>13149</v>
      </c>
      <c r="C8352" s="2" t="s">
        <v>23</v>
      </c>
      <c r="K8352" s="2">
        <v>40.0</v>
      </c>
      <c r="N8352" s="6">
        <v>45026.0</v>
      </c>
      <c r="Q8352" s="2" t="s">
        <v>426</v>
      </c>
    </row>
    <row r="8353">
      <c r="A8353" s="2">
        <v>8352.0</v>
      </c>
      <c r="B8353" s="2" t="s">
        <v>13150</v>
      </c>
      <c r="C8353" s="2" t="s">
        <v>23</v>
      </c>
      <c r="K8353" s="2">
        <v>20.0</v>
      </c>
      <c r="N8353" s="6">
        <v>45006.0</v>
      </c>
      <c r="Q8353" s="2" t="s">
        <v>1156</v>
      </c>
    </row>
    <row r="8354">
      <c r="A8354" s="2">
        <v>8353.0</v>
      </c>
      <c r="B8354" s="2" t="s">
        <v>13151</v>
      </c>
      <c r="C8354" s="2" t="s">
        <v>23</v>
      </c>
      <c r="N8354" s="6">
        <v>44859.0</v>
      </c>
      <c r="Q8354" s="2" t="s">
        <v>86</v>
      </c>
    </row>
    <row r="8355">
      <c r="A8355" s="2">
        <v>8354.0</v>
      </c>
      <c r="B8355" s="2" t="s">
        <v>13152</v>
      </c>
      <c r="C8355" s="2" t="s">
        <v>23</v>
      </c>
      <c r="K8355" s="2">
        <v>40.0</v>
      </c>
      <c r="N8355" s="6">
        <v>45179.0</v>
      </c>
      <c r="Q8355" s="2" t="s">
        <v>13153</v>
      </c>
    </row>
    <row r="8356">
      <c r="A8356" s="2">
        <v>8355.0</v>
      </c>
      <c r="B8356" s="2" t="s">
        <v>13154</v>
      </c>
      <c r="C8356" s="2" t="s">
        <v>23</v>
      </c>
      <c r="N8356" s="6">
        <v>44482.0</v>
      </c>
      <c r="Q8356" s="2" t="s">
        <v>13155</v>
      </c>
    </row>
    <row r="8357">
      <c r="A8357" s="2">
        <v>8356.0</v>
      </c>
      <c r="B8357" s="2" t="s">
        <v>13156</v>
      </c>
      <c r="C8357" s="2" t="s">
        <v>23</v>
      </c>
      <c r="K8357" s="2">
        <v>100.0</v>
      </c>
      <c r="N8357" s="6">
        <v>42462.0</v>
      </c>
      <c r="Q8357" s="2" t="s">
        <v>13157</v>
      </c>
    </row>
    <row r="8358">
      <c r="A8358" s="2">
        <v>8357.0</v>
      </c>
      <c r="B8358" s="2" t="s">
        <v>13158</v>
      </c>
      <c r="C8358" s="2" t="s">
        <v>23</v>
      </c>
      <c r="N8358" s="6">
        <v>45296.0</v>
      </c>
      <c r="Q8358" s="2" t="s">
        <v>3514</v>
      </c>
    </row>
    <row r="8359">
      <c r="A8359" s="2">
        <v>8358.0</v>
      </c>
      <c r="B8359" s="2" t="s">
        <v>13159</v>
      </c>
      <c r="C8359" s="2" t="s">
        <v>23</v>
      </c>
      <c r="K8359" s="2">
        <v>100.0</v>
      </c>
      <c r="N8359" s="6">
        <v>44362.0</v>
      </c>
      <c r="Q8359" s="2" t="s">
        <v>13160</v>
      </c>
    </row>
    <row r="8360">
      <c r="A8360" s="2">
        <v>8359.0</v>
      </c>
      <c r="B8360" s="2" t="s">
        <v>13161</v>
      </c>
      <c r="C8360" s="2" t="s">
        <v>23</v>
      </c>
      <c r="N8360" s="6">
        <v>44585.0</v>
      </c>
      <c r="Q8360" s="2" t="s">
        <v>86</v>
      </c>
    </row>
    <row r="8361">
      <c r="A8361" s="2">
        <v>8360.0</v>
      </c>
      <c r="B8361" s="2" t="s">
        <v>13162</v>
      </c>
      <c r="C8361" s="2" t="s">
        <v>23</v>
      </c>
      <c r="N8361" s="6">
        <v>45584.0</v>
      </c>
      <c r="Q8361" s="2" t="s">
        <v>2876</v>
      </c>
    </row>
    <row r="8362">
      <c r="A8362" s="2">
        <v>8361.0</v>
      </c>
      <c r="B8362" s="2" t="s">
        <v>13163</v>
      </c>
      <c r="C8362" s="2" t="s">
        <v>23</v>
      </c>
      <c r="K8362" s="2">
        <v>150.0</v>
      </c>
      <c r="N8362" s="6">
        <v>44167.0</v>
      </c>
      <c r="Q8362" s="2" t="s">
        <v>13164</v>
      </c>
    </row>
    <row r="8363">
      <c r="A8363" s="2">
        <v>8362.0</v>
      </c>
      <c r="B8363" s="2" t="s">
        <v>13165</v>
      </c>
      <c r="C8363" s="2" t="s">
        <v>23</v>
      </c>
      <c r="N8363" s="6">
        <v>44718.0</v>
      </c>
      <c r="Q8363" s="2" t="s">
        <v>86</v>
      </c>
    </row>
    <row r="8364">
      <c r="A8364" s="2">
        <v>8363.0</v>
      </c>
      <c r="B8364" s="2" t="s">
        <v>13166</v>
      </c>
      <c r="C8364" s="2" t="s">
        <v>23</v>
      </c>
      <c r="N8364" s="6">
        <v>45060.0</v>
      </c>
      <c r="Q8364" s="2" t="s">
        <v>86</v>
      </c>
    </row>
    <row r="8365">
      <c r="A8365" s="2">
        <v>8364.0</v>
      </c>
      <c r="B8365" s="2" t="s">
        <v>13167</v>
      </c>
      <c r="C8365" s="2" t="s">
        <v>23</v>
      </c>
      <c r="K8365" s="2">
        <v>10.0</v>
      </c>
      <c r="N8365" s="6">
        <v>44842.0</v>
      </c>
      <c r="Q8365" s="2" t="s">
        <v>86</v>
      </c>
    </row>
    <row r="8366">
      <c r="A8366" s="2">
        <v>8365.0</v>
      </c>
      <c r="B8366" s="2" t="s">
        <v>13168</v>
      </c>
      <c r="C8366" s="2" t="s">
        <v>23</v>
      </c>
      <c r="N8366" s="6">
        <v>44722.0</v>
      </c>
      <c r="Q8366" s="2" t="s">
        <v>13169</v>
      </c>
    </row>
    <row r="8367">
      <c r="A8367" s="2">
        <v>8366.0</v>
      </c>
      <c r="B8367" s="2" t="s">
        <v>13170</v>
      </c>
      <c r="C8367" s="2" t="s">
        <v>23</v>
      </c>
      <c r="N8367" s="6">
        <v>43968.0</v>
      </c>
      <c r="Q8367" s="2" t="s">
        <v>86</v>
      </c>
    </row>
    <row r="8368">
      <c r="A8368" s="2">
        <v>8367.0</v>
      </c>
      <c r="B8368" s="2" t="s">
        <v>13171</v>
      </c>
      <c r="C8368" s="2" t="s">
        <v>23</v>
      </c>
      <c r="K8368" s="2">
        <v>500.0</v>
      </c>
      <c r="N8368" s="6">
        <v>43854.0</v>
      </c>
      <c r="Q8368" s="2" t="s">
        <v>13172</v>
      </c>
    </row>
    <row r="8369">
      <c r="A8369" s="2">
        <v>8368.0</v>
      </c>
      <c r="B8369" s="2" t="s">
        <v>13173</v>
      </c>
      <c r="C8369" s="2" t="s">
        <v>23</v>
      </c>
      <c r="N8369" s="6">
        <v>44039.0</v>
      </c>
      <c r="Q8369" s="2" t="s">
        <v>1466</v>
      </c>
    </row>
    <row r="8370">
      <c r="A8370" s="2">
        <v>8369.0</v>
      </c>
      <c r="B8370" s="2" t="s">
        <v>13174</v>
      </c>
      <c r="C8370" s="2" t="s">
        <v>23</v>
      </c>
      <c r="N8370" s="6">
        <v>44337.0</v>
      </c>
      <c r="Q8370" s="2" t="s">
        <v>86</v>
      </c>
    </row>
    <row r="8371">
      <c r="A8371" s="2">
        <v>8370.0</v>
      </c>
      <c r="B8371" s="2" t="s">
        <v>13175</v>
      </c>
      <c r="C8371" s="2" t="s">
        <v>23</v>
      </c>
      <c r="K8371" s="2">
        <v>200.0</v>
      </c>
      <c r="N8371" s="6">
        <v>45717.0</v>
      </c>
      <c r="Q8371" s="2" t="s">
        <v>13176</v>
      </c>
    </row>
    <row r="8372">
      <c r="A8372" s="2">
        <v>8371.0</v>
      </c>
      <c r="B8372" s="2" t="s">
        <v>13177</v>
      </c>
      <c r="C8372" s="2" t="s">
        <v>23</v>
      </c>
      <c r="K8372" s="2">
        <v>30.0</v>
      </c>
      <c r="N8372" s="6">
        <v>44964.0</v>
      </c>
      <c r="Q8372" s="2" t="s">
        <v>86</v>
      </c>
    </row>
    <row r="8373">
      <c r="A8373" s="2">
        <v>8372.0</v>
      </c>
      <c r="B8373" s="2" t="s">
        <v>13178</v>
      </c>
      <c r="C8373" s="2" t="s">
        <v>23</v>
      </c>
      <c r="K8373" s="2">
        <v>90.0</v>
      </c>
      <c r="N8373" s="6">
        <v>43866.0</v>
      </c>
      <c r="Q8373" s="2" t="s">
        <v>13179</v>
      </c>
    </row>
    <row r="8374">
      <c r="A8374" s="2">
        <v>8373.0</v>
      </c>
      <c r="B8374" s="2" t="s">
        <v>13180</v>
      </c>
      <c r="C8374" s="2" t="s">
        <v>23</v>
      </c>
      <c r="K8374" s="2">
        <v>10.0</v>
      </c>
      <c r="N8374" s="6">
        <v>45199.0</v>
      </c>
      <c r="Q8374" s="2" t="s">
        <v>13181</v>
      </c>
    </row>
    <row r="8375">
      <c r="A8375" s="2">
        <v>8374.0</v>
      </c>
      <c r="B8375" s="2" t="s">
        <v>13182</v>
      </c>
      <c r="C8375" s="2" t="s">
        <v>23</v>
      </c>
      <c r="N8375" s="6">
        <v>44590.0</v>
      </c>
      <c r="Q8375" s="2" t="s">
        <v>86</v>
      </c>
    </row>
    <row r="8376">
      <c r="A8376" s="2">
        <v>8375.0</v>
      </c>
      <c r="B8376" s="2" t="s">
        <v>13183</v>
      </c>
      <c r="C8376" s="2" t="s">
        <v>23</v>
      </c>
      <c r="K8376" s="2">
        <v>10.0</v>
      </c>
      <c r="N8376" s="6">
        <v>44143.0</v>
      </c>
      <c r="Q8376" s="2" t="s">
        <v>86</v>
      </c>
    </row>
    <row r="8377">
      <c r="A8377" s="2">
        <v>8376.0</v>
      </c>
      <c r="B8377" s="2" t="s">
        <v>13184</v>
      </c>
      <c r="C8377" s="2" t="s">
        <v>23</v>
      </c>
      <c r="N8377" s="6">
        <v>43473.0</v>
      </c>
      <c r="Q8377" s="2" t="s">
        <v>86</v>
      </c>
    </row>
    <row r="8378">
      <c r="A8378" s="2">
        <v>8377.0</v>
      </c>
      <c r="B8378" s="2" t="s">
        <v>13185</v>
      </c>
      <c r="C8378" s="2" t="s">
        <v>23</v>
      </c>
      <c r="K8378" s="2">
        <v>200.0</v>
      </c>
      <c r="N8378" s="6">
        <v>45558.0</v>
      </c>
      <c r="Q8378" s="2" t="s">
        <v>13186</v>
      </c>
    </row>
    <row r="8379">
      <c r="A8379" s="2">
        <v>8378.0</v>
      </c>
      <c r="B8379" s="2" t="s">
        <v>13187</v>
      </c>
      <c r="C8379" s="2" t="s">
        <v>23</v>
      </c>
      <c r="N8379" s="6">
        <v>44118.0</v>
      </c>
      <c r="Q8379" s="2" t="s">
        <v>86</v>
      </c>
    </row>
    <row r="8380">
      <c r="A8380" s="2">
        <v>8379.0</v>
      </c>
      <c r="B8380" s="2" t="s">
        <v>13188</v>
      </c>
      <c r="C8380" s="2" t="s">
        <v>23</v>
      </c>
      <c r="K8380" s="2">
        <v>70.0</v>
      </c>
      <c r="N8380" s="6">
        <v>44034.0</v>
      </c>
      <c r="Q8380" s="2" t="s">
        <v>13189</v>
      </c>
    </row>
    <row r="8381">
      <c r="A8381" s="2">
        <v>8380.0</v>
      </c>
      <c r="B8381" s="2" t="s">
        <v>13190</v>
      </c>
      <c r="C8381" s="2" t="s">
        <v>23</v>
      </c>
      <c r="K8381" s="2">
        <v>50.0</v>
      </c>
      <c r="N8381" s="6">
        <v>44276.0</v>
      </c>
      <c r="Q8381" s="2" t="s">
        <v>13191</v>
      </c>
    </row>
    <row r="8382">
      <c r="A8382" s="2">
        <v>8381.0</v>
      </c>
      <c r="B8382" s="2" t="s">
        <v>13192</v>
      </c>
      <c r="C8382" s="2" t="s">
        <v>23</v>
      </c>
      <c r="K8382" s="2">
        <v>100.0</v>
      </c>
      <c r="N8382" s="6">
        <v>45429.0</v>
      </c>
      <c r="Q8382" s="2" t="s">
        <v>13193</v>
      </c>
    </row>
    <row r="8383">
      <c r="A8383" s="2">
        <v>8382.0</v>
      </c>
      <c r="B8383" s="2" t="s">
        <v>13194</v>
      </c>
      <c r="C8383" s="2" t="s">
        <v>23</v>
      </c>
      <c r="K8383" s="2">
        <v>10.0</v>
      </c>
      <c r="N8383" s="6">
        <v>43962.0</v>
      </c>
      <c r="Q8383" s="2" t="s">
        <v>235</v>
      </c>
    </row>
    <row r="8384">
      <c r="A8384" s="2">
        <v>8383.0</v>
      </c>
      <c r="B8384" s="2" t="s">
        <v>13195</v>
      </c>
      <c r="C8384" s="2" t="s">
        <v>23</v>
      </c>
      <c r="K8384" s="2">
        <v>200.0</v>
      </c>
      <c r="N8384" s="6">
        <v>44369.0</v>
      </c>
      <c r="Q8384" s="2" t="s">
        <v>13196</v>
      </c>
    </row>
    <row r="8385">
      <c r="A8385" s="2">
        <v>8384.0</v>
      </c>
      <c r="B8385" s="2" t="s">
        <v>13197</v>
      </c>
      <c r="C8385" s="2" t="s">
        <v>23</v>
      </c>
      <c r="K8385" s="2">
        <v>20.0</v>
      </c>
      <c r="N8385" s="6">
        <v>44901.0</v>
      </c>
      <c r="Q8385" s="2" t="s">
        <v>1437</v>
      </c>
    </row>
    <row r="8386">
      <c r="A8386" s="2">
        <v>8385.0</v>
      </c>
      <c r="B8386" s="2" t="s">
        <v>13198</v>
      </c>
      <c r="C8386" s="2" t="s">
        <v>23</v>
      </c>
      <c r="K8386" s="2">
        <v>30.0</v>
      </c>
      <c r="N8386" s="6">
        <v>44830.0</v>
      </c>
      <c r="Q8386" s="2" t="s">
        <v>1070</v>
      </c>
    </row>
    <row r="8387">
      <c r="A8387" s="2">
        <v>8386.0</v>
      </c>
      <c r="B8387" s="2" t="s">
        <v>13199</v>
      </c>
      <c r="C8387" s="2" t="s">
        <v>23</v>
      </c>
      <c r="N8387" s="6">
        <v>44580.0</v>
      </c>
      <c r="Q8387" s="2" t="s">
        <v>86</v>
      </c>
    </row>
    <row r="8388">
      <c r="A8388" s="2">
        <v>8387.0</v>
      </c>
      <c r="B8388" s="2" t="s">
        <v>13200</v>
      </c>
      <c r="C8388" s="2" t="s">
        <v>23</v>
      </c>
      <c r="N8388" s="6">
        <v>44493.0</v>
      </c>
      <c r="Q8388" s="2" t="s">
        <v>86</v>
      </c>
    </row>
    <row r="8389">
      <c r="A8389" s="2">
        <v>8388.0</v>
      </c>
      <c r="B8389" s="2" t="s">
        <v>13201</v>
      </c>
      <c r="C8389" s="2" t="s">
        <v>23</v>
      </c>
      <c r="K8389" s="2">
        <v>40.0</v>
      </c>
      <c r="N8389" s="6">
        <v>44512.0</v>
      </c>
      <c r="Q8389" s="2" t="s">
        <v>2731</v>
      </c>
    </row>
    <row r="8390">
      <c r="A8390" s="2">
        <v>8389.0</v>
      </c>
      <c r="B8390" s="2" t="s">
        <v>13202</v>
      </c>
      <c r="C8390" s="2" t="s">
        <v>23</v>
      </c>
      <c r="N8390" s="6">
        <v>44506.0</v>
      </c>
      <c r="Q8390" s="2" t="s">
        <v>86</v>
      </c>
    </row>
    <row r="8391">
      <c r="A8391" s="2">
        <v>8390.0</v>
      </c>
      <c r="B8391" s="2" t="s">
        <v>13203</v>
      </c>
      <c r="C8391" s="2" t="s">
        <v>23</v>
      </c>
      <c r="K8391" s="2">
        <v>500.0</v>
      </c>
      <c r="N8391" s="6">
        <v>43866.0</v>
      </c>
      <c r="Q8391" s="2" t="s">
        <v>13204</v>
      </c>
    </row>
    <row r="8392">
      <c r="A8392" s="2">
        <v>8391.0</v>
      </c>
      <c r="B8392" s="2" t="s">
        <v>13205</v>
      </c>
      <c r="C8392" s="2" t="s">
        <v>23</v>
      </c>
      <c r="N8392" s="6">
        <v>45073.0</v>
      </c>
      <c r="Q8392" s="2" t="s">
        <v>86</v>
      </c>
    </row>
    <row r="8393">
      <c r="A8393" s="2">
        <v>8392.0</v>
      </c>
      <c r="B8393" s="2" t="s">
        <v>13206</v>
      </c>
      <c r="C8393" s="2" t="s">
        <v>23</v>
      </c>
      <c r="K8393" s="2">
        <v>30.0</v>
      </c>
      <c r="N8393" s="6">
        <v>45171.0</v>
      </c>
      <c r="Q8393" s="2" t="s">
        <v>13207</v>
      </c>
    </row>
    <row r="8394">
      <c r="A8394" s="2">
        <v>8393.0</v>
      </c>
      <c r="B8394" s="2" t="s">
        <v>13208</v>
      </c>
      <c r="C8394" s="2" t="s">
        <v>23</v>
      </c>
      <c r="N8394" s="6">
        <v>43531.0</v>
      </c>
      <c r="Q8394" s="2" t="s">
        <v>1116</v>
      </c>
    </row>
    <row r="8395">
      <c r="A8395" s="2">
        <v>8394.0</v>
      </c>
      <c r="B8395" s="2" t="s">
        <v>13209</v>
      </c>
      <c r="C8395" s="2" t="s">
        <v>23</v>
      </c>
      <c r="K8395" s="2">
        <v>10.0</v>
      </c>
      <c r="N8395" s="6">
        <v>42486.0</v>
      </c>
      <c r="Q8395" s="2" t="s">
        <v>4995</v>
      </c>
    </row>
    <row r="8396">
      <c r="A8396" s="2">
        <v>8395.0</v>
      </c>
      <c r="B8396" s="2" t="s">
        <v>13210</v>
      </c>
      <c r="C8396" s="2" t="s">
        <v>23</v>
      </c>
      <c r="N8396" s="6">
        <v>45079.0</v>
      </c>
      <c r="Q8396" s="2" t="s">
        <v>1116</v>
      </c>
    </row>
    <row r="8397">
      <c r="A8397" s="2">
        <v>8396.0</v>
      </c>
      <c r="B8397" s="2" t="s">
        <v>13211</v>
      </c>
      <c r="C8397" s="2" t="s">
        <v>23</v>
      </c>
      <c r="K8397" s="2">
        <v>50.0</v>
      </c>
      <c r="N8397" s="6">
        <v>45662.0</v>
      </c>
      <c r="Q8397" s="2" t="s">
        <v>3745</v>
      </c>
    </row>
    <row r="8398">
      <c r="A8398" s="2">
        <v>8397.0</v>
      </c>
      <c r="B8398" s="2" t="s">
        <v>13212</v>
      </c>
      <c r="C8398" s="2" t="s">
        <v>23</v>
      </c>
      <c r="K8398" s="2">
        <v>10.0</v>
      </c>
      <c r="N8398" s="6">
        <v>44068.0</v>
      </c>
      <c r="Q8398" s="2" t="s">
        <v>1823</v>
      </c>
    </row>
    <row r="8399">
      <c r="A8399" s="2">
        <v>8398.0</v>
      </c>
      <c r="B8399" s="2" t="s">
        <v>13213</v>
      </c>
      <c r="C8399" s="2" t="s">
        <v>23</v>
      </c>
      <c r="K8399" s="2">
        <v>50.0</v>
      </c>
      <c r="N8399" s="6">
        <v>44370.0</v>
      </c>
      <c r="Q8399" s="2" t="s">
        <v>2362</v>
      </c>
    </row>
    <row r="8400">
      <c r="A8400" s="2">
        <v>8399.0</v>
      </c>
      <c r="B8400" s="2" t="s">
        <v>13214</v>
      </c>
      <c r="C8400" s="2" t="s">
        <v>23</v>
      </c>
      <c r="N8400" s="6">
        <v>44556.0</v>
      </c>
      <c r="Q8400" s="2" t="s">
        <v>86</v>
      </c>
    </row>
    <row r="8401">
      <c r="A8401" s="2">
        <v>8400.0</v>
      </c>
      <c r="B8401" s="2" t="s">
        <v>13215</v>
      </c>
      <c r="C8401" s="2" t="s">
        <v>23</v>
      </c>
      <c r="N8401" s="6">
        <v>44460.0</v>
      </c>
      <c r="Q8401" s="2" t="s">
        <v>86</v>
      </c>
    </row>
    <row r="8402">
      <c r="A8402" s="2">
        <v>8401.0</v>
      </c>
      <c r="B8402" s="2" t="s">
        <v>13216</v>
      </c>
      <c r="C8402" s="2" t="s">
        <v>23</v>
      </c>
      <c r="N8402" s="6">
        <v>44542.0</v>
      </c>
      <c r="Q8402" s="2" t="s">
        <v>86</v>
      </c>
    </row>
    <row r="8403">
      <c r="A8403" s="2">
        <v>8402.0</v>
      </c>
      <c r="B8403" s="2" t="s">
        <v>13217</v>
      </c>
      <c r="C8403" s="2" t="s">
        <v>23</v>
      </c>
      <c r="N8403" s="6">
        <v>44990.0</v>
      </c>
      <c r="Q8403" s="2" t="s">
        <v>86</v>
      </c>
    </row>
    <row r="8404">
      <c r="A8404" s="2">
        <v>8403.0</v>
      </c>
      <c r="B8404" s="2" t="s">
        <v>13218</v>
      </c>
      <c r="C8404" s="2" t="s">
        <v>23</v>
      </c>
      <c r="K8404" s="2">
        <v>20.0</v>
      </c>
      <c r="N8404" s="6">
        <v>44792.0</v>
      </c>
      <c r="Q8404" s="2" t="s">
        <v>2324</v>
      </c>
    </row>
    <row r="8405">
      <c r="A8405" s="2">
        <v>8404.0</v>
      </c>
      <c r="B8405" s="2" t="s">
        <v>13219</v>
      </c>
      <c r="C8405" s="2" t="s">
        <v>23</v>
      </c>
      <c r="K8405" s="2">
        <v>40.0</v>
      </c>
      <c r="N8405" s="6">
        <v>44372.0</v>
      </c>
      <c r="Q8405" s="2" t="s">
        <v>86</v>
      </c>
    </row>
    <row r="8406">
      <c r="A8406" s="2">
        <v>8405.0</v>
      </c>
      <c r="B8406" s="2" t="s">
        <v>13220</v>
      </c>
      <c r="C8406" s="2" t="s">
        <v>23</v>
      </c>
      <c r="K8406" s="2">
        <v>10.0</v>
      </c>
      <c r="N8406" s="6">
        <v>43992.0</v>
      </c>
      <c r="Q8406" s="2" t="s">
        <v>86</v>
      </c>
    </row>
    <row r="8407">
      <c r="A8407" s="2">
        <v>8406.0</v>
      </c>
      <c r="B8407" s="2" t="s">
        <v>13221</v>
      </c>
      <c r="C8407" s="2" t="s">
        <v>23</v>
      </c>
      <c r="K8407" s="2">
        <v>50.0</v>
      </c>
      <c r="N8407" s="6">
        <v>44480.0</v>
      </c>
      <c r="Q8407" s="2" t="s">
        <v>13222</v>
      </c>
    </row>
    <row r="8408">
      <c r="A8408" s="2">
        <v>8407.0</v>
      </c>
      <c r="B8408" s="2" t="s">
        <v>13223</v>
      </c>
      <c r="C8408" s="2" t="s">
        <v>23</v>
      </c>
      <c r="K8408" s="2">
        <v>10.0</v>
      </c>
      <c r="N8408" s="6">
        <v>44427.0</v>
      </c>
      <c r="Q8408" s="2" t="s">
        <v>86</v>
      </c>
    </row>
    <row r="8409">
      <c r="A8409" s="2">
        <v>8408.0</v>
      </c>
      <c r="B8409" s="2" t="s">
        <v>13224</v>
      </c>
      <c r="C8409" s="2" t="s">
        <v>23</v>
      </c>
      <c r="K8409" s="2">
        <v>30.0</v>
      </c>
      <c r="N8409" s="6">
        <v>44176.0</v>
      </c>
      <c r="Q8409" s="2" t="s">
        <v>13225</v>
      </c>
    </row>
    <row r="8410">
      <c r="A8410" s="2">
        <v>8409.0</v>
      </c>
      <c r="B8410" s="2" t="s">
        <v>13226</v>
      </c>
      <c r="C8410" s="2" t="s">
        <v>23</v>
      </c>
      <c r="N8410" s="6">
        <v>44396.0</v>
      </c>
      <c r="Q8410" s="2" t="s">
        <v>86</v>
      </c>
    </row>
    <row r="8411">
      <c r="A8411" s="2">
        <v>8410.0</v>
      </c>
      <c r="B8411" s="2" t="s">
        <v>13227</v>
      </c>
      <c r="C8411" s="2" t="s">
        <v>23</v>
      </c>
      <c r="K8411" s="2">
        <v>70.0</v>
      </c>
      <c r="N8411" s="6">
        <v>44039.0</v>
      </c>
      <c r="Q8411" s="2" t="s">
        <v>426</v>
      </c>
    </row>
    <row r="8412">
      <c r="A8412" s="2">
        <v>8411.0</v>
      </c>
      <c r="B8412" s="2" t="s">
        <v>13228</v>
      </c>
      <c r="C8412" s="2" t="s">
        <v>23</v>
      </c>
      <c r="K8412" s="2">
        <v>20.0</v>
      </c>
      <c r="N8412" s="6">
        <v>44271.0</v>
      </c>
      <c r="Q8412" s="2" t="s">
        <v>5256</v>
      </c>
    </row>
    <row r="8413">
      <c r="A8413" s="2">
        <v>8412.0</v>
      </c>
      <c r="B8413" s="2" t="s">
        <v>13229</v>
      </c>
      <c r="C8413" s="2" t="s">
        <v>23</v>
      </c>
      <c r="K8413" s="2">
        <v>50.0</v>
      </c>
      <c r="N8413" s="6">
        <v>44624.0</v>
      </c>
      <c r="Q8413" s="2" t="s">
        <v>13230</v>
      </c>
    </row>
    <row r="8414">
      <c r="A8414" s="2">
        <v>8413.0</v>
      </c>
      <c r="B8414" s="2" t="s">
        <v>13231</v>
      </c>
      <c r="C8414" s="2" t="s">
        <v>23</v>
      </c>
      <c r="N8414" s="6">
        <v>44687.0</v>
      </c>
      <c r="Q8414" s="2" t="s">
        <v>86</v>
      </c>
    </row>
    <row r="8415">
      <c r="A8415" s="2">
        <v>8414.0</v>
      </c>
      <c r="B8415" s="2" t="s">
        <v>13232</v>
      </c>
      <c r="C8415" s="2" t="s">
        <v>23</v>
      </c>
      <c r="N8415" s="6">
        <v>43910.0</v>
      </c>
      <c r="Q8415" s="2" t="s">
        <v>491</v>
      </c>
    </row>
    <row r="8416">
      <c r="A8416" s="2">
        <v>8415.0</v>
      </c>
      <c r="B8416" s="2" t="s">
        <v>13233</v>
      </c>
      <c r="C8416" s="2" t="s">
        <v>23</v>
      </c>
      <c r="K8416" s="2">
        <v>10.0</v>
      </c>
      <c r="N8416" s="6">
        <v>44603.0</v>
      </c>
      <c r="Q8416" s="2" t="s">
        <v>1801</v>
      </c>
    </row>
    <row r="8417">
      <c r="A8417" s="2">
        <v>8416.0</v>
      </c>
      <c r="B8417" s="2" t="s">
        <v>13234</v>
      </c>
      <c r="C8417" s="2" t="s">
        <v>23</v>
      </c>
      <c r="K8417" s="2">
        <v>60.0</v>
      </c>
      <c r="N8417" s="6">
        <v>43339.0</v>
      </c>
      <c r="Q8417" s="2" t="s">
        <v>13235</v>
      </c>
    </row>
    <row r="8418">
      <c r="A8418" s="2">
        <v>8417.0</v>
      </c>
      <c r="B8418" s="2" t="s">
        <v>13236</v>
      </c>
      <c r="C8418" s="2" t="s">
        <v>23</v>
      </c>
      <c r="K8418" s="2">
        <v>300.0</v>
      </c>
      <c r="N8418" s="6">
        <v>44937.0</v>
      </c>
      <c r="Q8418" s="2" t="s">
        <v>13237</v>
      </c>
    </row>
    <row r="8419">
      <c r="A8419" s="2">
        <v>8418.0</v>
      </c>
      <c r="B8419" s="2" t="s">
        <v>13238</v>
      </c>
      <c r="C8419" s="2" t="s">
        <v>23</v>
      </c>
      <c r="K8419" s="2">
        <v>30.0</v>
      </c>
      <c r="N8419" s="6">
        <v>43825.0</v>
      </c>
      <c r="Q8419" s="2" t="s">
        <v>13239</v>
      </c>
    </row>
    <row r="8420">
      <c r="A8420" s="2">
        <v>8419.0</v>
      </c>
      <c r="B8420" s="2" t="s">
        <v>13240</v>
      </c>
      <c r="C8420" s="2" t="s">
        <v>23</v>
      </c>
      <c r="K8420" s="2">
        <v>20.0</v>
      </c>
      <c r="N8420" s="6">
        <v>44488.0</v>
      </c>
      <c r="Q8420" s="2" t="s">
        <v>5108</v>
      </c>
    </row>
    <row r="8421">
      <c r="A8421" s="2">
        <v>8420.0</v>
      </c>
      <c r="B8421" s="2" t="s">
        <v>13241</v>
      </c>
      <c r="C8421" s="2" t="s">
        <v>23</v>
      </c>
      <c r="N8421" s="6">
        <v>43928.0</v>
      </c>
      <c r="Q8421" s="2" t="s">
        <v>86</v>
      </c>
    </row>
    <row r="8422">
      <c r="A8422" s="2">
        <v>8421.0</v>
      </c>
      <c r="B8422" s="2" t="s">
        <v>13242</v>
      </c>
      <c r="C8422" s="2" t="s">
        <v>23</v>
      </c>
      <c r="K8422" s="2">
        <v>10.0</v>
      </c>
      <c r="N8422" s="6">
        <v>44433.0</v>
      </c>
      <c r="Q8422" s="2" t="s">
        <v>13243</v>
      </c>
    </row>
    <row r="8423">
      <c r="A8423" s="2">
        <v>8422.0</v>
      </c>
      <c r="B8423" s="2" t="s">
        <v>13244</v>
      </c>
      <c r="C8423" s="2" t="s">
        <v>23</v>
      </c>
      <c r="K8423" s="2">
        <v>150.0</v>
      </c>
      <c r="N8423" s="6">
        <v>43851.0</v>
      </c>
      <c r="Q8423" s="2" t="s">
        <v>9662</v>
      </c>
    </row>
    <row r="8424">
      <c r="A8424" s="2">
        <v>8423.0</v>
      </c>
      <c r="B8424" s="2" t="s">
        <v>13245</v>
      </c>
      <c r="C8424" s="2" t="s">
        <v>23</v>
      </c>
      <c r="K8424" s="2">
        <v>90.0</v>
      </c>
      <c r="N8424" s="6">
        <v>44077.0</v>
      </c>
      <c r="Q8424" s="2" t="s">
        <v>13246</v>
      </c>
    </row>
    <row r="8425">
      <c r="A8425" s="2">
        <v>8424.0</v>
      </c>
      <c r="B8425" s="2" t="s">
        <v>13247</v>
      </c>
      <c r="C8425" s="2" t="s">
        <v>23</v>
      </c>
      <c r="N8425" s="6">
        <v>44697.0</v>
      </c>
      <c r="Q8425" s="2" t="s">
        <v>86</v>
      </c>
    </row>
    <row r="8426">
      <c r="A8426" s="2">
        <v>8425.0</v>
      </c>
      <c r="B8426" s="2" t="s">
        <v>13248</v>
      </c>
      <c r="C8426" s="2" t="s">
        <v>23</v>
      </c>
      <c r="N8426" s="6">
        <v>43921.0</v>
      </c>
      <c r="Q8426" s="2" t="s">
        <v>86</v>
      </c>
    </row>
    <row r="8427">
      <c r="A8427" s="2">
        <v>8426.0</v>
      </c>
      <c r="B8427" s="2" t="s">
        <v>13249</v>
      </c>
      <c r="C8427" s="2" t="s">
        <v>23</v>
      </c>
      <c r="K8427" s="2">
        <v>40.0</v>
      </c>
      <c r="N8427" s="6">
        <v>44566.0</v>
      </c>
      <c r="Q8427" s="2" t="s">
        <v>13250</v>
      </c>
    </row>
    <row r="8428">
      <c r="A8428" s="2">
        <v>8427.0</v>
      </c>
      <c r="B8428" s="2" t="s">
        <v>13251</v>
      </c>
      <c r="C8428" s="2" t="s">
        <v>23</v>
      </c>
      <c r="K8428" s="2">
        <v>10.0</v>
      </c>
      <c r="N8428" s="6">
        <v>43928.0</v>
      </c>
      <c r="Q8428" s="2" t="s">
        <v>13252</v>
      </c>
    </row>
    <row r="8429">
      <c r="A8429" s="2">
        <v>8428.0</v>
      </c>
      <c r="B8429" s="2" t="s">
        <v>13253</v>
      </c>
      <c r="C8429" s="2" t="s">
        <v>23</v>
      </c>
      <c r="K8429" s="2">
        <v>10.0</v>
      </c>
      <c r="N8429" s="6">
        <v>45050.0</v>
      </c>
      <c r="Q8429" s="2" t="s">
        <v>86</v>
      </c>
    </row>
    <row r="8430">
      <c r="A8430" s="2">
        <v>8429.0</v>
      </c>
      <c r="B8430" s="2" t="s">
        <v>13254</v>
      </c>
      <c r="C8430" s="2" t="s">
        <v>23</v>
      </c>
      <c r="K8430" s="2">
        <v>100.0</v>
      </c>
      <c r="N8430" s="6">
        <v>44274.0</v>
      </c>
      <c r="Q8430" s="2" t="s">
        <v>13255</v>
      </c>
    </row>
    <row r="8431">
      <c r="A8431" s="2">
        <v>8430.0</v>
      </c>
      <c r="B8431" s="2" t="s">
        <v>13256</v>
      </c>
      <c r="C8431" s="2" t="s">
        <v>23</v>
      </c>
      <c r="N8431" s="6">
        <v>45076.0</v>
      </c>
      <c r="Q8431" s="2" t="s">
        <v>86</v>
      </c>
    </row>
    <row r="8432">
      <c r="A8432" s="2">
        <v>8431.0</v>
      </c>
      <c r="B8432" s="2" t="s">
        <v>13257</v>
      </c>
      <c r="C8432" s="2" t="s">
        <v>23</v>
      </c>
      <c r="K8432" s="2">
        <v>20.0</v>
      </c>
      <c r="N8432" s="6">
        <v>44838.0</v>
      </c>
      <c r="Q8432" s="2" t="s">
        <v>13258</v>
      </c>
    </row>
    <row r="8433">
      <c r="A8433" s="2">
        <v>8432.0</v>
      </c>
      <c r="B8433" s="2" t="s">
        <v>13259</v>
      </c>
      <c r="C8433" s="2" t="s">
        <v>23</v>
      </c>
      <c r="K8433" s="2">
        <v>10.0</v>
      </c>
      <c r="N8433" s="6">
        <v>45389.0</v>
      </c>
      <c r="Q8433" s="2" t="s">
        <v>2876</v>
      </c>
    </row>
    <row r="8434">
      <c r="A8434" s="2">
        <v>8433.0</v>
      </c>
      <c r="B8434" s="2" t="s">
        <v>13260</v>
      </c>
      <c r="C8434" s="2" t="s">
        <v>23</v>
      </c>
      <c r="K8434" s="2">
        <v>10.0</v>
      </c>
      <c r="N8434" s="6">
        <v>44526.0</v>
      </c>
      <c r="Q8434" s="2" t="s">
        <v>491</v>
      </c>
    </row>
    <row r="8435">
      <c r="A8435" s="2">
        <v>8434.0</v>
      </c>
      <c r="B8435" s="2" t="s">
        <v>13261</v>
      </c>
      <c r="C8435" s="2" t="s">
        <v>23</v>
      </c>
      <c r="N8435" s="6">
        <v>45391.0</v>
      </c>
      <c r="Q8435" s="2" t="s">
        <v>426</v>
      </c>
    </row>
    <row r="8436">
      <c r="A8436" s="2">
        <v>8435.0</v>
      </c>
      <c r="B8436" s="2" t="s">
        <v>13262</v>
      </c>
      <c r="C8436" s="2" t="s">
        <v>23</v>
      </c>
      <c r="N8436" s="6">
        <v>45273.0</v>
      </c>
      <c r="Q8436" s="2" t="s">
        <v>13263</v>
      </c>
    </row>
    <row r="8437">
      <c r="A8437" s="2">
        <v>8436.0</v>
      </c>
      <c r="B8437" s="2" t="s">
        <v>13264</v>
      </c>
      <c r="C8437" s="2" t="s">
        <v>23</v>
      </c>
      <c r="K8437" s="2">
        <v>20.0</v>
      </c>
      <c r="N8437" s="6">
        <v>44077.0</v>
      </c>
      <c r="Q8437" s="2" t="s">
        <v>13265</v>
      </c>
    </row>
    <row r="8438">
      <c r="A8438" s="2">
        <v>8437.0</v>
      </c>
      <c r="B8438" s="2" t="s">
        <v>13266</v>
      </c>
      <c r="C8438" s="2" t="s">
        <v>23</v>
      </c>
      <c r="N8438" s="6">
        <v>44386.0</v>
      </c>
      <c r="Q8438" s="2" t="s">
        <v>86</v>
      </c>
    </row>
    <row r="8439">
      <c r="A8439" s="2">
        <v>8438.0</v>
      </c>
      <c r="B8439" s="2" t="s">
        <v>13267</v>
      </c>
      <c r="C8439" s="2" t="s">
        <v>23</v>
      </c>
      <c r="K8439" s="2">
        <v>90.0</v>
      </c>
      <c r="N8439" s="6">
        <v>44231.0</v>
      </c>
      <c r="Q8439" s="2" t="s">
        <v>3614</v>
      </c>
    </row>
    <row r="8440">
      <c r="A8440" s="2">
        <v>8439.0</v>
      </c>
      <c r="B8440" s="2" t="s">
        <v>13268</v>
      </c>
      <c r="C8440" s="2" t="s">
        <v>23</v>
      </c>
      <c r="K8440" s="2">
        <v>150.0</v>
      </c>
      <c r="N8440" s="6">
        <v>43888.0</v>
      </c>
      <c r="Q8440" s="2" t="s">
        <v>13269</v>
      </c>
    </row>
    <row r="8441">
      <c r="A8441" s="2">
        <v>8440.0</v>
      </c>
      <c r="B8441" s="2" t="s">
        <v>13270</v>
      </c>
      <c r="C8441" s="2" t="s">
        <v>23</v>
      </c>
      <c r="N8441" s="6">
        <v>45449.0</v>
      </c>
      <c r="Q8441" s="2" t="s">
        <v>1605</v>
      </c>
    </row>
    <row r="8442">
      <c r="A8442" s="2">
        <v>8441.0</v>
      </c>
      <c r="B8442" s="2" t="s">
        <v>13271</v>
      </c>
      <c r="C8442" s="2" t="s">
        <v>23</v>
      </c>
      <c r="K8442" s="2">
        <v>40.0</v>
      </c>
      <c r="N8442" s="6">
        <v>44303.0</v>
      </c>
      <c r="Q8442" s="2" t="s">
        <v>2313</v>
      </c>
    </row>
    <row r="8443">
      <c r="A8443" s="2">
        <v>8442.0</v>
      </c>
      <c r="B8443" s="2" t="s">
        <v>13272</v>
      </c>
      <c r="C8443" s="2" t="s">
        <v>23</v>
      </c>
      <c r="N8443" s="6">
        <v>44613.0</v>
      </c>
      <c r="Q8443" s="2" t="s">
        <v>86</v>
      </c>
    </row>
    <row r="8444">
      <c r="A8444" s="2">
        <v>8443.0</v>
      </c>
      <c r="B8444" s="2" t="s">
        <v>13273</v>
      </c>
      <c r="C8444" s="2" t="s">
        <v>23</v>
      </c>
      <c r="N8444" s="6">
        <v>44744.0</v>
      </c>
      <c r="Q8444" s="2" t="s">
        <v>86</v>
      </c>
    </row>
    <row r="8445">
      <c r="A8445" s="2">
        <v>8444.0</v>
      </c>
      <c r="B8445" s="2" t="s">
        <v>13274</v>
      </c>
      <c r="C8445" s="2" t="s">
        <v>23</v>
      </c>
      <c r="K8445" s="2">
        <v>30.0</v>
      </c>
      <c r="N8445" s="6">
        <v>44222.0</v>
      </c>
      <c r="Q8445" s="2" t="s">
        <v>1116</v>
      </c>
    </row>
    <row r="8446">
      <c r="A8446" s="2">
        <v>8445.0</v>
      </c>
      <c r="B8446" s="2" t="s">
        <v>13275</v>
      </c>
      <c r="C8446" s="2" t="s">
        <v>23</v>
      </c>
      <c r="N8446" s="6">
        <v>44292.0</v>
      </c>
      <c r="Q8446" s="2" t="s">
        <v>1156</v>
      </c>
    </row>
    <row r="8447">
      <c r="A8447" s="2">
        <v>8446.0</v>
      </c>
      <c r="B8447" s="2" t="s">
        <v>13276</v>
      </c>
      <c r="C8447" s="2" t="s">
        <v>23</v>
      </c>
      <c r="K8447" s="2">
        <v>10.0</v>
      </c>
      <c r="N8447" s="6">
        <v>44371.0</v>
      </c>
      <c r="Q8447" s="2" t="s">
        <v>13277</v>
      </c>
    </row>
    <row r="8448">
      <c r="A8448" s="2">
        <v>8447.0</v>
      </c>
      <c r="B8448" s="2" t="s">
        <v>13278</v>
      </c>
      <c r="C8448" s="2" t="s">
        <v>23</v>
      </c>
      <c r="K8448" s="2">
        <v>80.0</v>
      </c>
      <c r="N8448" s="6">
        <v>43896.0</v>
      </c>
      <c r="Q8448" s="2" t="s">
        <v>3232</v>
      </c>
    </row>
    <row r="8449">
      <c r="A8449" s="2">
        <v>8448.0</v>
      </c>
      <c r="B8449" s="2" t="s">
        <v>13279</v>
      </c>
      <c r="C8449" s="2" t="s">
        <v>23</v>
      </c>
      <c r="N8449" s="6">
        <v>45714.0</v>
      </c>
      <c r="Q8449" s="2" t="s">
        <v>5802</v>
      </c>
    </row>
    <row r="8450">
      <c r="A8450" s="2">
        <v>8449.0</v>
      </c>
      <c r="B8450" s="2" t="s">
        <v>13280</v>
      </c>
      <c r="C8450" s="2" t="s">
        <v>23</v>
      </c>
      <c r="N8450" s="6">
        <v>45436.0</v>
      </c>
      <c r="Q8450" s="2" t="s">
        <v>13281</v>
      </c>
    </row>
    <row r="8451">
      <c r="A8451" s="2">
        <v>8450.0</v>
      </c>
      <c r="B8451" s="2" t="s">
        <v>13282</v>
      </c>
      <c r="C8451" s="2" t="s">
        <v>23</v>
      </c>
      <c r="N8451" s="6">
        <v>44516.0</v>
      </c>
      <c r="Q8451" s="2" t="s">
        <v>86</v>
      </c>
    </row>
    <row r="8452">
      <c r="A8452" s="2">
        <v>8451.0</v>
      </c>
      <c r="B8452" s="2" t="s">
        <v>13283</v>
      </c>
      <c r="C8452" s="2" t="s">
        <v>23</v>
      </c>
      <c r="K8452" s="2">
        <v>50.0</v>
      </c>
      <c r="N8452" s="6">
        <v>45660.0</v>
      </c>
      <c r="Q8452" s="2" t="s">
        <v>13284</v>
      </c>
    </row>
    <row r="8453">
      <c r="A8453" s="2">
        <v>8452.0</v>
      </c>
      <c r="B8453" s="2" t="s">
        <v>13285</v>
      </c>
      <c r="C8453" s="2" t="s">
        <v>23</v>
      </c>
      <c r="K8453" s="2">
        <v>10.0</v>
      </c>
      <c r="N8453" s="6">
        <v>45500.0</v>
      </c>
      <c r="Q8453" s="2" t="s">
        <v>13286</v>
      </c>
    </row>
    <row r="8454">
      <c r="A8454" s="2">
        <v>8453.0</v>
      </c>
      <c r="B8454" s="2" t="s">
        <v>13287</v>
      </c>
      <c r="C8454" s="2" t="s">
        <v>23</v>
      </c>
      <c r="K8454" s="2">
        <v>50.0</v>
      </c>
      <c r="N8454" s="6">
        <v>45645.0</v>
      </c>
      <c r="Q8454" s="2" t="s">
        <v>5458</v>
      </c>
    </row>
    <row r="8455">
      <c r="A8455" s="2">
        <v>8454.0</v>
      </c>
      <c r="B8455" s="2" t="s">
        <v>13288</v>
      </c>
      <c r="C8455" s="2" t="s">
        <v>23</v>
      </c>
      <c r="N8455" s="6">
        <v>43267.0</v>
      </c>
      <c r="Q8455" s="2" t="s">
        <v>1472</v>
      </c>
    </row>
    <row r="8456">
      <c r="A8456" s="2">
        <v>8455.0</v>
      </c>
      <c r="B8456" s="2" t="s">
        <v>13289</v>
      </c>
      <c r="C8456" s="2" t="s">
        <v>23</v>
      </c>
      <c r="K8456" s="2">
        <v>10.0</v>
      </c>
      <c r="N8456" s="6">
        <v>44402.0</v>
      </c>
      <c r="Q8456" s="2" t="s">
        <v>13290</v>
      </c>
    </row>
    <row r="8457">
      <c r="A8457" s="2">
        <v>8456.0</v>
      </c>
      <c r="B8457" s="2" t="s">
        <v>13291</v>
      </c>
      <c r="C8457" s="2" t="s">
        <v>23</v>
      </c>
      <c r="K8457" s="2">
        <v>150.0</v>
      </c>
      <c r="N8457" s="6">
        <v>44658.0</v>
      </c>
      <c r="Q8457" s="2" t="s">
        <v>13292</v>
      </c>
    </row>
    <row r="8458">
      <c r="A8458" s="2">
        <v>8457.0</v>
      </c>
      <c r="B8458" s="2" t="s">
        <v>13293</v>
      </c>
      <c r="C8458" s="2" t="s">
        <v>23</v>
      </c>
      <c r="N8458" s="6">
        <v>44404.0</v>
      </c>
      <c r="Q8458" s="2" t="s">
        <v>86</v>
      </c>
    </row>
    <row r="8459">
      <c r="A8459" s="2">
        <v>8458.0</v>
      </c>
      <c r="B8459" s="2" t="s">
        <v>13294</v>
      </c>
      <c r="C8459" s="2" t="s">
        <v>23</v>
      </c>
      <c r="K8459" s="2">
        <v>10.0</v>
      </c>
      <c r="N8459" s="6">
        <v>44425.0</v>
      </c>
      <c r="Q8459" s="2" t="s">
        <v>13295</v>
      </c>
    </row>
    <row r="8460">
      <c r="A8460" s="2">
        <v>8459.0</v>
      </c>
      <c r="B8460" s="2" t="s">
        <v>13296</v>
      </c>
      <c r="C8460" s="2" t="s">
        <v>23</v>
      </c>
      <c r="N8460" s="6">
        <v>43846.0</v>
      </c>
      <c r="Q8460" s="2" t="s">
        <v>13297</v>
      </c>
    </row>
    <row r="8461">
      <c r="A8461" s="2">
        <v>8460.0</v>
      </c>
      <c r="B8461" s="2" t="s">
        <v>13298</v>
      </c>
      <c r="C8461" s="2" t="s">
        <v>23</v>
      </c>
      <c r="N8461" s="6">
        <v>44515.0</v>
      </c>
      <c r="Q8461" s="2" t="s">
        <v>86</v>
      </c>
    </row>
    <row r="8462">
      <c r="A8462" s="2">
        <v>8461.0</v>
      </c>
      <c r="B8462" s="2" t="s">
        <v>13299</v>
      </c>
      <c r="C8462" s="2" t="s">
        <v>23</v>
      </c>
      <c r="K8462" s="2">
        <v>10.0</v>
      </c>
      <c r="N8462" s="6">
        <v>44149.0</v>
      </c>
      <c r="Q8462" s="2" t="s">
        <v>86</v>
      </c>
    </row>
    <row r="8463">
      <c r="A8463" s="2">
        <v>8462.0</v>
      </c>
      <c r="B8463" s="2" t="s">
        <v>13300</v>
      </c>
      <c r="C8463" s="2" t="s">
        <v>23</v>
      </c>
      <c r="K8463" s="2">
        <v>100.0</v>
      </c>
      <c r="N8463" s="6">
        <v>44501.0</v>
      </c>
      <c r="Q8463" s="2" t="s">
        <v>3882</v>
      </c>
    </row>
    <row r="8464">
      <c r="A8464" s="2">
        <v>8463.0</v>
      </c>
      <c r="B8464" s="2" t="s">
        <v>13301</v>
      </c>
      <c r="C8464" s="2" t="s">
        <v>23</v>
      </c>
      <c r="K8464" s="2">
        <v>50.0</v>
      </c>
      <c r="N8464" s="6">
        <v>44076.0</v>
      </c>
      <c r="Q8464" s="2" t="s">
        <v>4231</v>
      </c>
    </row>
    <row r="8465">
      <c r="A8465" s="2">
        <v>8464.0</v>
      </c>
      <c r="B8465" s="2" t="s">
        <v>13302</v>
      </c>
      <c r="C8465" s="2" t="s">
        <v>23</v>
      </c>
      <c r="K8465" s="2">
        <v>20.0</v>
      </c>
      <c r="N8465" s="6">
        <v>44848.0</v>
      </c>
      <c r="Q8465" s="2" t="s">
        <v>2285</v>
      </c>
    </row>
    <row r="8466">
      <c r="A8466" s="2">
        <v>8465.0</v>
      </c>
      <c r="B8466" s="2" t="s">
        <v>13303</v>
      </c>
      <c r="C8466" s="2" t="s">
        <v>23</v>
      </c>
      <c r="K8466" s="2">
        <v>80.0</v>
      </c>
      <c r="N8466" s="6">
        <v>43843.0</v>
      </c>
      <c r="Q8466" s="2" t="s">
        <v>13304</v>
      </c>
    </row>
    <row r="8467">
      <c r="A8467" s="2">
        <v>8466.0</v>
      </c>
      <c r="B8467" s="2" t="s">
        <v>13305</v>
      </c>
      <c r="C8467" s="2" t="s">
        <v>23</v>
      </c>
      <c r="N8467" s="6">
        <v>45956.0</v>
      </c>
      <c r="Q8467" s="2" t="s">
        <v>13306</v>
      </c>
    </row>
    <row r="8468">
      <c r="A8468" s="2">
        <v>8467.0</v>
      </c>
      <c r="B8468" s="2" t="s">
        <v>13307</v>
      </c>
      <c r="C8468" s="2" t="s">
        <v>23</v>
      </c>
      <c r="K8468" s="2">
        <v>10.0</v>
      </c>
      <c r="N8468" s="6">
        <v>43902.0</v>
      </c>
      <c r="Q8468" s="2" t="s">
        <v>86</v>
      </c>
    </row>
    <row r="8469">
      <c r="A8469" s="2">
        <v>8468.0</v>
      </c>
      <c r="B8469" s="2" t="s">
        <v>13308</v>
      </c>
      <c r="C8469" s="2" t="s">
        <v>23</v>
      </c>
      <c r="N8469" s="6">
        <v>46002.0</v>
      </c>
      <c r="Q8469" s="2" t="s">
        <v>8287</v>
      </c>
    </row>
    <row r="8470">
      <c r="A8470" s="2">
        <v>8469.0</v>
      </c>
      <c r="B8470" s="2" t="s">
        <v>13309</v>
      </c>
      <c r="C8470" s="2" t="s">
        <v>23</v>
      </c>
      <c r="K8470" s="2">
        <v>40.0</v>
      </c>
      <c r="N8470" s="6">
        <v>43932.0</v>
      </c>
      <c r="Q8470" s="2" t="s">
        <v>13310</v>
      </c>
    </row>
    <row r="8471">
      <c r="A8471" s="2">
        <v>8470.0</v>
      </c>
      <c r="B8471" s="2" t="s">
        <v>13311</v>
      </c>
      <c r="C8471" s="2" t="s">
        <v>23</v>
      </c>
      <c r="K8471" s="2">
        <v>100.0</v>
      </c>
      <c r="N8471" s="6">
        <v>44078.0</v>
      </c>
      <c r="Q8471" s="2" t="s">
        <v>13312</v>
      </c>
    </row>
    <row r="8472">
      <c r="A8472" s="2">
        <v>8471.0</v>
      </c>
      <c r="B8472" s="2" t="s">
        <v>13313</v>
      </c>
      <c r="C8472" s="2" t="s">
        <v>23</v>
      </c>
      <c r="K8472" s="2">
        <v>40.0</v>
      </c>
      <c r="N8472" s="6">
        <v>45627.0</v>
      </c>
      <c r="Q8472" s="2" t="s">
        <v>13314</v>
      </c>
    </row>
    <row r="8473">
      <c r="A8473" s="2">
        <v>8472.0</v>
      </c>
      <c r="B8473" s="2" t="s">
        <v>13315</v>
      </c>
      <c r="C8473" s="2" t="s">
        <v>23</v>
      </c>
      <c r="K8473" s="2">
        <v>30.0</v>
      </c>
      <c r="N8473" s="6">
        <v>43840.0</v>
      </c>
      <c r="Q8473" s="2" t="s">
        <v>295</v>
      </c>
    </row>
    <row r="8474">
      <c r="A8474" s="2">
        <v>8473.0</v>
      </c>
      <c r="B8474" s="2" t="s">
        <v>13316</v>
      </c>
      <c r="C8474" s="2" t="s">
        <v>23</v>
      </c>
      <c r="K8474" s="2">
        <v>70.0</v>
      </c>
      <c r="N8474" s="6">
        <v>44261.0</v>
      </c>
      <c r="Q8474" s="2" t="s">
        <v>1048</v>
      </c>
    </row>
    <row r="8475">
      <c r="A8475" s="2">
        <v>8474.0</v>
      </c>
      <c r="B8475" s="2" t="s">
        <v>13317</v>
      </c>
      <c r="C8475" s="2" t="s">
        <v>23</v>
      </c>
      <c r="K8475" s="2">
        <v>90.0</v>
      </c>
      <c r="N8475" s="6">
        <v>45701.0</v>
      </c>
      <c r="Q8475" s="2" t="s">
        <v>13318</v>
      </c>
    </row>
    <row r="8476">
      <c r="A8476" s="2">
        <v>8475.0</v>
      </c>
      <c r="B8476" s="2" t="s">
        <v>13319</v>
      </c>
      <c r="C8476" s="2" t="s">
        <v>23</v>
      </c>
      <c r="K8476" s="2">
        <v>200.0</v>
      </c>
      <c r="N8476" s="6">
        <v>44737.0</v>
      </c>
      <c r="Q8476" s="2" t="s">
        <v>13320</v>
      </c>
    </row>
    <row r="8477">
      <c r="A8477" s="2">
        <v>8476.0</v>
      </c>
      <c r="B8477" s="2" t="s">
        <v>13321</v>
      </c>
      <c r="C8477" s="2" t="s">
        <v>23</v>
      </c>
      <c r="K8477" s="2">
        <v>40.0</v>
      </c>
      <c r="N8477" s="6">
        <v>44115.0</v>
      </c>
      <c r="Q8477" s="2" t="s">
        <v>86</v>
      </c>
    </row>
    <row r="8478">
      <c r="A8478" s="2">
        <v>8477.0</v>
      </c>
      <c r="B8478" s="2" t="s">
        <v>13322</v>
      </c>
      <c r="C8478" s="2" t="s">
        <v>23</v>
      </c>
      <c r="K8478" s="2">
        <v>10.0</v>
      </c>
      <c r="N8478" s="6">
        <v>44184.0</v>
      </c>
      <c r="Q8478" s="2" t="s">
        <v>4320</v>
      </c>
    </row>
    <row r="8479">
      <c r="A8479" s="2">
        <v>8478.0</v>
      </c>
      <c r="B8479" s="2" t="s">
        <v>13323</v>
      </c>
      <c r="C8479" s="2" t="s">
        <v>23</v>
      </c>
      <c r="K8479" s="2">
        <v>200.0</v>
      </c>
      <c r="N8479" s="6">
        <v>43992.0</v>
      </c>
      <c r="Q8479" s="2" t="s">
        <v>2840</v>
      </c>
    </row>
    <row r="8480">
      <c r="A8480" s="2">
        <v>8479.0</v>
      </c>
      <c r="B8480" s="2" t="s">
        <v>13324</v>
      </c>
      <c r="C8480" s="2" t="s">
        <v>23</v>
      </c>
      <c r="K8480" s="2">
        <v>90.0</v>
      </c>
      <c r="N8480" s="6">
        <v>45814.0</v>
      </c>
      <c r="Q8480" s="2" t="s">
        <v>13325</v>
      </c>
    </row>
    <row r="8481">
      <c r="A8481" s="2">
        <v>8480.0</v>
      </c>
      <c r="B8481" s="2" t="s">
        <v>13326</v>
      </c>
      <c r="C8481" s="2" t="s">
        <v>23</v>
      </c>
      <c r="K8481" s="2">
        <v>30.0</v>
      </c>
      <c r="N8481" s="6">
        <v>42755.0</v>
      </c>
      <c r="Q8481" s="2" t="s">
        <v>13327</v>
      </c>
    </row>
    <row r="8482">
      <c r="A8482" s="2">
        <v>8481.0</v>
      </c>
      <c r="B8482" s="2" t="s">
        <v>13328</v>
      </c>
      <c r="C8482" s="2" t="s">
        <v>23</v>
      </c>
      <c r="N8482" s="6">
        <v>44256.0</v>
      </c>
      <c r="Q8482" s="2" t="s">
        <v>1156</v>
      </c>
    </row>
    <row r="8483">
      <c r="A8483" s="2">
        <v>8482.0</v>
      </c>
      <c r="B8483" s="2" t="s">
        <v>13329</v>
      </c>
      <c r="C8483" s="2" t="s">
        <v>23</v>
      </c>
      <c r="N8483" s="6">
        <v>44746.0</v>
      </c>
      <c r="Q8483" s="2" t="s">
        <v>86</v>
      </c>
    </row>
    <row r="8484">
      <c r="A8484" s="2">
        <v>8483.0</v>
      </c>
      <c r="B8484" s="2" t="s">
        <v>13330</v>
      </c>
      <c r="C8484" s="2" t="s">
        <v>23</v>
      </c>
      <c r="N8484" s="6">
        <v>44072.0</v>
      </c>
      <c r="Q8484" s="2" t="s">
        <v>86</v>
      </c>
    </row>
    <row r="8485">
      <c r="A8485" s="2">
        <v>8484.0</v>
      </c>
      <c r="B8485" s="2" t="s">
        <v>13331</v>
      </c>
      <c r="C8485" s="2" t="s">
        <v>23</v>
      </c>
      <c r="K8485" s="2">
        <v>70.0</v>
      </c>
      <c r="N8485" s="6">
        <v>45360.0</v>
      </c>
      <c r="Q8485" s="2" t="s">
        <v>6178</v>
      </c>
    </row>
    <row r="8486">
      <c r="A8486" s="2">
        <v>8485.0</v>
      </c>
      <c r="B8486" s="2" t="s">
        <v>13332</v>
      </c>
      <c r="C8486" s="2" t="s">
        <v>23</v>
      </c>
      <c r="K8486" s="2">
        <v>150.0</v>
      </c>
      <c r="N8486" s="6">
        <v>45635.0</v>
      </c>
      <c r="Q8486" s="2" t="s">
        <v>13333</v>
      </c>
    </row>
    <row r="8487">
      <c r="A8487" s="2">
        <v>8486.0</v>
      </c>
      <c r="B8487" s="2" t="s">
        <v>13334</v>
      </c>
      <c r="C8487" s="2" t="s">
        <v>23</v>
      </c>
      <c r="N8487" s="6">
        <v>42332.0</v>
      </c>
      <c r="Q8487" s="2" t="s">
        <v>86</v>
      </c>
    </row>
    <row r="8488">
      <c r="A8488" s="2">
        <v>8487.0</v>
      </c>
      <c r="B8488" s="2" t="s">
        <v>13335</v>
      </c>
      <c r="C8488" s="2" t="s">
        <v>23</v>
      </c>
      <c r="K8488" s="2">
        <v>20.0</v>
      </c>
      <c r="N8488" s="6">
        <v>45283.0</v>
      </c>
      <c r="Q8488" s="2" t="s">
        <v>60</v>
      </c>
    </row>
    <row r="8489">
      <c r="A8489" s="2">
        <v>8488.0</v>
      </c>
      <c r="B8489" s="2" t="s">
        <v>13336</v>
      </c>
      <c r="C8489" s="2" t="s">
        <v>23</v>
      </c>
      <c r="K8489" s="2">
        <v>20.0</v>
      </c>
      <c r="N8489" s="6">
        <v>44532.0</v>
      </c>
      <c r="Q8489" s="2" t="s">
        <v>546</v>
      </c>
    </row>
    <row r="8490">
      <c r="A8490" s="2">
        <v>8489.0</v>
      </c>
      <c r="B8490" s="2" t="s">
        <v>13337</v>
      </c>
      <c r="C8490" s="2" t="s">
        <v>23</v>
      </c>
      <c r="K8490" s="2">
        <v>40.0</v>
      </c>
      <c r="N8490" s="6">
        <v>45433.0</v>
      </c>
      <c r="Q8490" s="2" t="s">
        <v>3501</v>
      </c>
    </row>
    <row r="8491">
      <c r="A8491" s="2">
        <v>8490.0</v>
      </c>
      <c r="B8491" s="2" t="s">
        <v>13338</v>
      </c>
      <c r="C8491" s="2" t="s">
        <v>23</v>
      </c>
      <c r="K8491" s="2">
        <v>20.0</v>
      </c>
      <c r="N8491" s="6">
        <v>43864.0</v>
      </c>
      <c r="Q8491" s="2" t="s">
        <v>13339</v>
      </c>
    </row>
    <row r="8492">
      <c r="A8492" s="2">
        <v>8491.0</v>
      </c>
      <c r="B8492" s="2" t="s">
        <v>13340</v>
      </c>
      <c r="C8492" s="2" t="s">
        <v>23</v>
      </c>
      <c r="N8492" s="6">
        <v>44927.0</v>
      </c>
      <c r="Q8492" s="2" t="s">
        <v>86</v>
      </c>
    </row>
    <row r="8493">
      <c r="A8493" s="2">
        <v>8492.0</v>
      </c>
      <c r="B8493" s="2" t="s">
        <v>13341</v>
      </c>
      <c r="C8493" s="2" t="s">
        <v>23</v>
      </c>
      <c r="K8493" s="2">
        <v>50.0</v>
      </c>
      <c r="N8493" s="6">
        <v>45723.0</v>
      </c>
      <c r="Q8493" s="2" t="s">
        <v>13342</v>
      </c>
    </row>
    <row r="8494">
      <c r="A8494" s="2">
        <v>8493.0</v>
      </c>
      <c r="B8494" s="2" t="s">
        <v>13343</v>
      </c>
      <c r="C8494" s="2" t="s">
        <v>23</v>
      </c>
      <c r="K8494" s="2">
        <v>300.0</v>
      </c>
      <c r="N8494" s="6">
        <v>43908.0</v>
      </c>
      <c r="Q8494" s="2" t="s">
        <v>13344</v>
      </c>
    </row>
    <row r="8495">
      <c r="A8495" s="2">
        <v>8494.0</v>
      </c>
      <c r="B8495" s="2" t="s">
        <v>13345</v>
      </c>
      <c r="C8495" s="2" t="s">
        <v>23</v>
      </c>
      <c r="N8495" s="6">
        <v>45063.0</v>
      </c>
      <c r="Q8495" s="2" t="s">
        <v>235</v>
      </c>
    </row>
    <row r="8496">
      <c r="A8496" s="2">
        <v>8495.0</v>
      </c>
      <c r="B8496" s="2" t="s">
        <v>13346</v>
      </c>
      <c r="C8496" s="2" t="s">
        <v>23</v>
      </c>
      <c r="N8496" s="6">
        <v>46121.0</v>
      </c>
      <c r="Q8496" s="2" t="s">
        <v>13347</v>
      </c>
    </row>
    <row r="8497">
      <c r="A8497" s="2">
        <v>8496.0</v>
      </c>
      <c r="B8497" s="2" t="s">
        <v>13348</v>
      </c>
      <c r="C8497" s="2" t="s">
        <v>23</v>
      </c>
      <c r="N8497" s="6">
        <v>44634.0</v>
      </c>
      <c r="Q8497" s="2" t="s">
        <v>86</v>
      </c>
    </row>
    <row r="8498">
      <c r="A8498" s="2">
        <v>8497.0</v>
      </c>
      <c r="B8498" s="2" t="s">
        <v>13349</v>
      </c>
      <c r="C8498" s="2" t="s">
        <v>23</v>
      </c>
      <c r="N8498" s="6">
        <v>45561.0</v>
      </c>
      <c r="Q8498" s="2" t="s">
        <v>7518</v>
      </c>
    </row>
    <row r="8499">
      <c r="A8499" s="2">
        <v>8498.0</v>
      </c>
      <c r="B8499" s="2" t="s">
        <v>13350</v>
      </c>
      <c r="C8499" s="2" t="s">
        <v>23</v>
      </c>
      <c r="K8499" s="2">
        <v>10.0</v>
      </c>
      <c r="N8499" s="6">
        <v>43955.0</v>
      </c>
      <c r="Q8499" s="2" t="s">
        <v>86</v>
      </c>
    </row>
    <row r="8500">
      <c r="A8500" s="2">
        <v>8499.0</v>
      </c>
      <c r="B8500" s="2" t="s">
        <v>13351</v>
      </c>
      <c r="C8500" s="2" t="s">
        <v>23</v>
      </c>
      <c r="N8500" s="6">
        <v>44882.0</v>
      </c>
      <c r="Q8500" s="2" t="s">
        <v>86</v>
      </c>
    </row>
    <row r="8501">
      <c r="A8501" s="2">
        <v>8500.0</v>
      </c>
      <c r="B8501" s="2" t="s">
        <v>13352</v>
      </c>
      <c r="C8501" s="2" t="s">
        <v>23</v>
      </c>
      <c r="K8501" s="2">
        <v>20.0</v>
      </c>
      <c r="N8501" s="6">
        <v>44189.0</v>
      </c>
      <c r="Q8501" s="2" t="s">
        <v>86</v>
      </c>
    </row>
    <row r="8502">
      <c r="A8502" s="2">
        <v>8501.0</v>
      </c>
      <c r="B8502" s="2" t="s">
        <v>13353</v>
      </c>
      <c r="C8502" s="2" t="s">
        <v>23</v>
      </c>
      <c r="K8502" s="2">
        <v>10.0</v>
      </c>
      <c r="N8502" s="6">
        <v>44027.0</v>
      </c>
      <c r="Q8502" s="2" t="s">
        <v>1437</v>
      </c>
    </row>
    <row r="8503">
      <c r="A8503" s="2">
        <v>8502.0</v>
      </c>
      <c r="B8503" s="2" t="s">
        <v>13354</v>
      </c>
      <c r="C8503" s="2" t="s">
        <v>23</v>
      </c>
      <c r="N8503" s="6">
        <v>44753.0</v>
      </c>
      <c r="Q8503" s="2" t="s">
        <v>86</v>
      </c>
    </row>
    <row r="8504">
      <c r="A8504" s="2">
        <v>8503.0</v>
      </c>
      <c r="B8504" s="2" t="s">
        <v>13355</v>
      </c>
      <c r="C8504" s="2" t="s">
        <v>23</v>
      </c>
      <c r="K8504" s="2">
        <v>20.0</v>
      </c>
      <c r="N8504" s="6">
        <v>44423.0</v>
      </c>
      <c r="Q8504" s="2" t="s">
        <v>86</v>
      </c>
    </row>
    <row r="8505">
      <c r="A8505" s="2">
        <v>8504.0</v>
      </c>
      <c r="B8505" s="2" t="s">
        <v>13356</v>
      </c>
      <c r="C8505" s="2" t="s">
        <v>23</v>
      </c>
      <c r="N8505" s="6">
        <v>44448.0</v>
      </c>
      <c r="Q8505" s="2" t="s">
        <v>86</v>
      </c>
    </row>
    <row r="8506">
      <c r="A8506" s="2">
        <v>8505.0</v>
      </c>
      <c r="B8506" s="2" t="s">
        <v>13357</v>
      </c>
      <c r="C8506" s="2" t="s">
        <v>23</v>
      </c>
      <c r="K8506" s="2">
        <v>20.0</v>
      </c>
      <c r="N8506" s="6">
        <v>44361.0</v>
      </c>
      <c r="Q8506" s="2" t="s">
        <v>13358</v>
      </c>
    </row>
    <row r="8507">
      <c r="A8507" s="2">
        <v>8506.0</v>
      </c>
      <c r="B8507" s="2" t="s">
        <v>13359</v>
      </c>
      <c r="C8507" s="2" t="s">
        <v>23</v>
      </c>
      <c r="K8507" s="2">
        <v>10.0</v>
      </c>
      <c r="N8507" s="6">
        <v>44313.0</v>
      </c>
      <c r="Q8507" s="2" t="s">
        <v>1236</v>
      </c>
    </row>
    <row r="8508">
      <c r="A8508" s="2">
        <v>8507.0</v>
      </c>
      <c r="B8508" s="2" t="s">
        <v>13360</v>
      </c>
      <c r="C8508" s="2" t="s">
        <v>23</v>
      </c>
      <c r="K8508" s="2">
        <v>30.0</v>
      </c>
      <c r="N8508" s="6">
        <v>44934.0</v>
      </c>
      <c r="Q8508" s="2" t="s">
        <v>4589</v>
      </c>
    </row>
    <row r="8509">
      <c r="A8509" s="2">
        <v>8508.0</v>
      </c>
      <c r="B8509" s="2" t="s">
        <v>13361</v>
      </c>
      <c r="C8509" s="2" t="s">
        <v>23</v>
      </c>
      <c r="K8509" s="2">
        <v>10.0</v>
      </c>
      <c r="N8509" s="6">
        <v>44239.0</v>
      </c>
      <c r="Q8509" s="2" t="s">
        <v>13362</v>
      </c>
    </row>
    <row r="8510">
      <c r="A8510" s="2">
        <v>8509.0</v>
      </c>
      <c r="B8510" s="2" t="s">
        <v>13363</v>
      </c>
      <c r="C8510" s="2" t="s">
        <v>23</v>
      </c>
      <c r="K8510" s="2">
        <v>30.0</v>
      </c>
      <c r="N8510" s="6">
        <v>44679.0</v>
      </c>
      <c r="Q8510" s="2" t="s">
        <v>13364</v>
      </c>
    </row>
    <row r="8511">
      <c r="A8511" s="2">
        <v>8510.0</v>
      </c>
      <c r="B8511" s="2" t="s">
        <v>13365</v>
      </c>
      <c r="C8511" s="2" t="s">
        <v>23</v>
      </c>
      <c r="N8511" s="6">
        <v>44778.0</v>
      </c>
      <c r="Q8511" s="2" t="s">
        <v>86</v>
      </c>
    </row>
    <row r="8512">
      <c r="A8512" s="2">
        <v>8511.0</v>
      </c>
      <c r="B8512" s="2" t="s">
        <v>13366</v>
      </c>
      <c r="C8512" s="2" t="s">
        <v>23</v>
      </c>
      <c r="K8512" s="2">
        <v>100.0</v>
      </c>
      <c r="N8512" s="6">
        <v>43912.0</v>
      </c>
      <c r="Q8512" s="2" t="s">
        <v>540</v>
      </c>
    </row>
    <row r="8513">
      <c r="A8513" s="2">
        <v>8512.0</v>
      </c>
      <c r="B8513" s="2" t="s">
        <v>13367</v>
      </c>
      <c r="C8513" s="2" t="s">
        <v>23</v>
      </c>
      <c r="K8513" s="2">
        <v>20.0</v>
      </c>
      <c r="N8513" s="6">
        <v>44336.0</v>
      </c>
      <c r="Q8513" s="2" t="s">
        <v>1437</v>
      </c>
    </row>
    <row r="8514">
      <c r="A8514" s="2">
        <v>8513.0</v>
      </c>
      <c r="B8514" s="2" t="s">
        <v>13368</v>
      </c>
      <c r="C8514" s="2" t="s">
        <v>23</v>
      </c>
      <c r="K8514" s="2">
        <v>10.0</v>
      </c>
      <c r="N8514" s="6">
        <v>44159.0</v>
      </c>
      <c r="Q8514" s="2" t="s">
        <v>2475</v>
      </c>
    </row>
    <row r="8515">
      <c r="A8515" s="2">
        <v>8514.0</v>
      </c>
      <c r="B8515" s="2" t="s">
        <v>13369</v>
      </c>
      <c r="C8515" s="2" t="s">
        <v>23</v>
      </c>
      <c r="K8515" s="2">
        <v>50.0</v>
      </c>
      <c r="N8515" s="6">
        <v>45693.0</v>
      </c>
      <c r="Q8515" s="2" t="s">
        <v>13370</v>
      </c>
    </row>
    <row r="8516">
      <c r="A8516" s="2">
        <v>8515.0</v>
      </c>
      <c r="B8516" s="2" t="s">
        <v>13371</v>
      </c>
      <c r="C8516" s="2" t="s">
        <v>23</v>
      </c>
      <c r="N8516" s="6">
        <v>44550.0</v>
      </c>
      <c r="Q8516" s="2" t="s">
        <v>86</v>
      </c>
    </row>
    <row r="8517">
      <c r="A8517" s="2">
        <v>8516.0</v>
      </c>
      <c r="B8517" s="2" t="s">
        <v>13372</v>
      </c>
      <c r="C8517" s="2" t="s">
        <v>23</v>
      </c>
      <c r="K8517" s="2">
        <v>40.0</v>
      </c>
      <c r="N8517" s="6">
        <v>45804.0</v>
      </c>
      <c r="Q8517" s="2" t="s">
        <v>13373</v>
      </c>
    </row>
    <row r="8518">
      <c r="A8518" s="2">
        <v>8517.0</v>
      </c>
      <c r="B8518" s="2" t="s">
        <v>13374</v>
      </c>
      <c r="C8518" s="2" t="s">
        <v>23</v>
      </c>
      <c r="K8518" s="2">
        <v>30.0</v>
      </c>
      <c r="N8518" s="6">
        <v>45639.0</v>
      </c>
      <c r="Q8518" s="2" t="s">
        <v>13375</v>
      </c>
    </row>
    <row r="8519">
      <c r="A8519" s="2">
        <v>8518.0</v>
      </c>
      <c r="B8519" s="2" t="s">
        <v>13376</v>
      </c>
      <c r="C8519" s="2" t="s">
        <v>23</v>
      </c>
      <c r="N8519" s="6">
        <v>44589.0</v>
      </c>
      <c r="Q8519" s="2" t="s">
        <v>86</v>
      </c>
    </row>
    <row r="8520">
      <c r="A8520" s="2">
        <v>8519.0</v>
      </c>
      <c r="B8520" s="2" t="s">
        <v>13377</v>
      </c>
      <c r="C8520" s="2" t="s">
        <v>23</v>
      </c>
      <c r="K8520" s="2">
        <v>10.0</v>
      </c>
      <c r="N8520" s="6">
        <v>44348.0</v>
      </c>
      <c r="Q8520" s="2" t="s">
        <v>13378</v>
      </c>
    </row>
    <row r="8521">
      <c r="A8521" s="2">
        <v>8520.0</v>
      </c>
      <c r="B8521" s="2" t="s">
        <v>13379</v>
      </c>
      <c r="C8521" s="2" t="s">
        <v>23</v>
      </c>
      <c r="I8521" s="4"/>
      <c r="N8521" s="6">
        <v>43927.0</v>
      </c>
      <c r="Q8521" s="2" t="s">
        <v>86</v>
      </c>
    </row>
    <row r="8522">
      <c r="A8522" s="2">
        <v>8521.0</v>
      </c>
      <c r="B8522" s="2" t="s">
        <v>13380</v>
      </c>
      <c r="C8522" s="2" t="s">
        <v>23</v>
      </c>
      <c r="N8522" s="6">
        <v>45567.0</v>
      </c>
      <c r="Q8522" s="2" t="s">
        <v>13381</v>
      </c>
    </row>
    <row r="8523">
      <c r="A8523" s="2">
        <v>8522.0</v>
      </c>
      <c r="B8523" s="2" t="s">
        <v>13382</v>
      </c>
      <c r="C8523" s="2" t="s">
        <v>23</v>
      </c>
      <c r="K8523" s="2">
        <v>70.0</v>
      </c>
      <c r="N8523" s="6">
        <v>45489.0</v>
      </c>
      <c r="Q8523" s="2" t="s">
        <v>13383</v>
      </c>
    </row>
    <row r="8524">
      <c r="A8524" s="2">
        <v>8523.0</v>
      </c>
      <c r="B8524" s="2" t="s">
        <v>13384</v>
      </c>
      <c r="C8524" s="2" t="s">
        <v>23</v>
      </c>
      <c r="K8524" s="2">
        <v>40.0</v>
      </c>
      <c r="N8524" s="6">
        <v>45365.0</v>
      </c>
      <c r="Q8524" s="2" t="s">
        <v>7502</v>
      </c>
    </row>
    <row r="8525">
      <c r="A8525" s="2">
        <v>8524.0</v>
      </c>
      <c r="B8525" s="2" t="s">
        <v>13385</v>
      </c>
      <c r="C8525" s="2" t="s">
        <v>23</v>
      </c>
      <c r="N8525" s="6">
        <v>44521.0</v>
      </c>
      <c r="Q8525" s="2" t="s">
        <v>86</v>
      </c>
    </row>
    <row r="8526">
      <c r="A8526" s="2">
        <v>8525.0</v>
      </c>
      <c r="B8526" s="2" t="s">
        <v>13386</v>
      </c>
      <c r="C8526" s="2" t="s">
        <v>23</v>
      </c>
      <c r="K8526" s="2">
        <v>10.0</v>
      </c>
      <c r="N8526" s="6">
        <v>42816.0</v>
      </c>
      <c r="Q8526" s="2" t="s">
        <v>3584</v>
      </c>
    </row>
    <row r="8527">
      <c r="A8527" s="2">
        <v>8526.0</v>
      </c>
      <c r="B8527" s="2" t="s">
        <v>13387</v>
      </c>
      <c r="C8527" s="2" t="s">
        <v>23</v>
      </c>
      <c r="K8527" s="2">
        <v>10.0</v>
      </c>
      <c r="N8527" s="6">
        <v>44050.0</v>
      </c>
      <c r="Q8527" s="2" t="s">
        <v>13388</v>
      </c>
    </row>
    <row r="8528">
      <c r="A8528" s="2">
        <v>8527.0</v>
      </c>
      <c r="B8528" s="2" t="s">
        <v>13389</v>
      </c>
      <c r="C8528" s="2" t="s">
        <v>23</v>
      </c>
      <c r="K8528" s="2">
        <v>10.0</v>
      </c>
      <c r="N8528" s="6">
        <v>44275.0</v>
      </c>
      <c r="Q8528" s="2" t="s">
        <v>13390</v>
      </c>
    </row>
    <row r="8529">
      <c r="A8529" s="2">
        <v>8528.0</v>
      </c>
      <c r="B8529" s="2" t="s">
        <v>13391</v>
      </c>
      <c r="C8529" s="2" t="s">
        <v>23</v>
      </c>
      <c r="N8529" s="6">
        <v>45344.0</v>
      </c>
      <c r="Q8529" s="2" t="s">
        <v>86</v>
      </c>
    </row>
    <row r="8530">
      <c r="A8530" s="2">
        <v>8529.0</v>
      </c>
      <c r="B8530" s="2" t="s">
        <v>13392</v>
      </c>
      <c r="C8530" s="2" t="s">
        <v>23</v>
      </c>
      <c r="N8530" s="6">
        <v>44719.0</v>
      </c>
      <c r="Q8530" s="2" t="s">
        <v>86</v>
      </c>
    </row>
    <row r="8531">
      <c r="A8531" s="2">
        <v>8530.0</v>
      </c>
      <c r="B8531" s="2" t="s">
        <v>13393</v>
      </c>
      <c r="C8531" s="2" t="s">
        <v>23</v>
      </c>
      <c r="K8531" s="2">
        <v>30.0</v>
      </c>
      <c r="N8531" s="6">
        <v>44671.0</v>
      </c>
      <c r="Q8531" s="2" t="s">
        <v>200</v>
      </c>
    </row>
    <row r="8532">
      <c r="A8532" s="2">
        <v>8531.0</v>
      </c>
      <c r="B8532" s="2" t="s">
        <v>13394</v>
      </c>
      <c r="C8532" s="2" t="s">
        <v>23</v>
      </c>
      <c r="K8532" s="2">
        <v>100.0</v>
      </c>
      <c r="N8532" s="6">
        <v>44072.0</v>
      </c>
      <c r="Q8532" s="2" t="s">
        <v>13395</v>
      </c>
    </row>
    <row r="8533">
      <c r="A8533" s="2">
        <v>8532.0</v>
      </c>
      <c r="B8533" s="2" t="s">
        <v>13396</v>
      </c>
      <c r="C8533" s="2" t="s">
        <v>23</v>
      </c>
      <c r="K8533" s="2">
        <v>50.0</v>
      </c>
      <c r="N8533" s="6">
        <v>44436.0</v>
      </c>
      <c r="Q8533" s="2" t="s">
        <v>13397</v>
      </c>
    </row>
    <row r="8534">
      <c r="A8534" s="2">
        <v>8533.0</v>
      </c>
      <c r="B8534" s="2" t="s">
        <v>13398</v>
      </c>
      <c r="C8534" s="2" t="s">
        <v>23</v>
      </c>
      <c r="K8534" s="2">
        <v>30.0</v>
      </c>
      <c r="N8534" s="6">
        <v>44181.0</v>
      </c>
      <c r="Q8534" s="2" t="s">
        <v>94</v>
      </c>
    </row>
    <row r="8535">
      <c r="A8535" s="2">
        <v>8534.0</v>
      </c>
      <c r="B8535" s="2" t="s">
        <v>13399</v>
      </c>
      <c r="C8535" s="2" t="s">
        <v>23</v>
      </c>
      <c r="N8535" s="6">
        <v>44700.0</v>
      </c>
      <c r="Q8535" s="2" t="s">
        <v>86</v>
      </c>
    </row>
    <row r="8536">
      <c r="A8536" s="2">
        <v>8535.0</v>
      </c>
      <c r="B8536" s="2" t="s">
        <v>13400</v>
      </c>
      <c r="C8536" s="2" t="s">
        <v>23</v>
      </c>
      <c r="K8536" s="2">
        <v>20.0</v>
      </c>
      <c r="N8536" s="6">
        <v>45355.0</v>
      </c>
      <c r="Q8536" s="2" t="s">
        <v>86</v>
      </c>
    </row>
    <row r="8537">
      <c r="A8537" s="2">
        <v>8536.0</v>
      </c>
      <c r="B8537" s="2" t="s">
        <v>13401</v>
      </c>
      <c r="C8537" s="2" t="s">
        <v>23</v>
      </c>
      <c r="N8537" s="6">
        <v>42523.0</v>
      </c>
      <c r="Q8537" s="2" t="s">
        <v>86</v>
      </c>
    </row>
    <row r="8538">
      <c r="A8538" s="2">
        <v>8537.0</v>
      </c>
      <c r="B8538" s="2" t="s">
        <v>13402</v>
      </c>
      <c r="C8538" s="2" t="s">
        <v>23</v>
      </c>
      <c r="N8538" s="6">
        <v>44600.0</v>
      </c>
      <c r="Q8538" s="2" t="s">
        <v>86</v>
      </c>
    </row>
    <row r="8539">
      <c r="A8539" s="2">
        <v>8538.0</v>
      </c>
      <c r="B8539" s="2" t="s">
        <v>13403</v>
      </c>
      <c r="C8539" s="2" t="s">
        <v>23</v>
      </c>
      <c r="K8539" s="2">
        <v>60.0</v>
      </c>
      <c r="N8539" s="6">
        <v>44579.0</v>
      </c>
      <c r="Q8539" s="2" t="s">
        <v>13404</v>
      </c>
    </row>
    <row r="8540">
      <c r="A8540" s="2">
        <v>8539.0</v>
      </c>
      <c r="B8540" s="2" t="s">
        <v>13405</v>
      </c>
      <c r="C8540" s="2" t="s">
        <v>23</v>
      </c>
      <c r="K8540" s="2">
        <v>80.0</v>
      </c>
      <c r="N8540" s="6">
        <v>45781.0</v>
      </c>
      <c r="Q8540" s="2" t="s">
        <v>13406</v>
      </c>
    </row>
    <row r="8541">
      <c r="A8541" s="2">
        <v>8540.0</v>
      </c>
      <c r="B8541" s="2" t="s">
        <v>13407</v>
      </c>
      <c r="C8541" s="2" t="s">
        <v>23</v>
      </c>
      <c r="N8541" s="6">
        <v>44572.0</v>
      </c>
      <c r="Q8541" s="2" t="s">
        <v>86</v>
      </c>
    </row>
    <row r="8542">
      <c r="A8542" s="2">
        <v>8541.0</v>
      </c>
      <c r="B8542" s="2" t="s">
        <v>13408</v>
      </c>
      <c r="C8542" s="2" t="s">
        <v>23</v>
      </c>
      <c r="K8542" s="2">
        <v>20.0</v>
      </c>
      <c r="N8542" s="6">
        <v>44332.0</v>
      </c>
      <c r="Q8542" s="2" t="s">
        <v>3764</v>
      </c>
    </row>
    <row r="8543">
      <c r="A8543" s="2">
        <v>8542.0</v>
      </c>
      <c r="B8543" s="2" t="s">
        <v>13409</v>
      </c>
      <c r="C8543" s="2" t="s">
        <v>23</v>
      </c>
      <c r="K8543" s="2">
        <v>10.0</v>
      </c>
      <c r="N8543" s="6">
        <v>44334.0</v>
      </c>
      <c r="Q8543" s="2" t="s">
        <v>86</v>
      </c>
    </row>
    <row r="8544">
      <c r="A8544" s="2">
        <v>8543.0</v>
      </c>
      <c r="B8544" s="2" t="s">
        <v>13410</v>
      </c>
      <c r="C8544" s="2" t="s">
        <v>23</v>
      </c>
      <c r="K8544" s="2">
        <v>10.0</v>
      </c>
      <c r="N8544" s="6">
        <v>44391.0</v>
      </c>
      <c r="Q8544" s="2" t="s">
        <v>94</v>
      </c>
    </row>
    <row r="8545">
      <c r="A8545" s="2">
        <v>8544.0</v>
      </c>
      <c r="B8545" s="2" t="s">
        <v>13411</v>
      </c>
      <c r="C8545" s="2" t="s">
        <v>23</v>
      </c>
      <c r="K8545" s="2">
        <v>20.0</v>
      </c>
      <c r="N8545" s="6">
        <v>44537.0</v>
      </c>
      <c r="Q8545" s="2" t="s">
        <v>13412</v>
      </c>
    </row>
    <row r="8546">
      <c r="A8546" s="2">
        <v>8545.0</v>
      </c>
      <c r="B8546" s="2" t="s">
        <v>13413</v>
      </c>
      <c r="C8546" s="2" t="s">
        <v>23</v>
      </c>
      <c r="K8546" s="2">
        <v>60.0</v>
      </c>
      <c r="N8546" s="6">
        <v>44936.0</v>
      </c>
      <c r="Q8546" s="2" t="s">
        <v>13414</v>
      </c>
    </row>
    <row r="8547">
      <c r="A8547" s="2">
        <v>8546.0</v>
      </c>
      <c r="B8547" s="2" t="s">
        <v>13415</v>
      </c>
      <c r="C8547" s="2" t="s">
        <v>23</v>
      </c>
      <c r="K8547" s="2">
        <v>150.0</v>
      </c>
      <c r="N8547" s="6">
        <v>45590.0</v>
      </c>
      <c r="Q8547" s="2" t="s">
        <v>13416</v>
      </c>
    </row>
    <row r="8548">
      <c r="A8548" s="2">
        <v>8547.0</v>
      </c>
      <c r="B8548" s="2" t="s">
        <v>13417</v>
      </c>
      <c r="C8548" s="2" t="s">
        <v>23</v>
      </c>
      <c r="K8548" s="2">
        <v>20.0</v>
      </c>
      <c r="N8548" s="6">
        <v>44237.0</v>
      </c>
      <c r="Q8548" s="2" t="s">
        <v>13418</v>
      </c>
    </row>
    <row r="8549">
      <c r="A8549" s="2">
        <v>8548.0</v>
      </c>
      <c r="B8549" s="2" t="s">
        <v>13419</v>
      </c>
      <c r="C8549" s="2" t="s">
        <v>23</v>
      </c>
      <c r="N8549" s="6">
        <v>43996.0</v>
      </c>
      <c r="Q8549" s="2" t="s">
        <v>86</v>
      </c>
    </row>
    <row r="8550">
      <c r="A8550" s="2">
        <v>8549.0</v>
      </c>
      <c r="B8550" s="2" t="s">
        <v>13420</v>
      </c>
      <c r="C8550" s="2" t="s">
        <v>23</v>
      </c>
      <c r="N8550" s="6">
        <v>42631.0</v>
      </c>
      <c r="Q8550" s="2" t="s">
        <v>86</v>
      </c>
    </row>
    <row r="8551">
      <c r="A8551" s="2">
        <v>8550.0</v>
      </c>
      <c r="B8551" s="2" t="s">
        <v>13421</v>
      </c>
      <c r="C8551" s="2" t="s">
        <v>23</v>
      </c>
      <c r="N8551" s="6">
        <v>44809.0</v>
      </c>
      <c r="Q8551" s="2" t="s">
        <v>86</v>
      </c>
    </row>
    <row r="8552">
      <c r="A8552" s="2">
        <v>8551.0</v>
      </c>
      <c r="B8552" s="2" t="s">
        <v>13422</v>
      </c>
      <c r="C8552" s="2" t="s">
        <v>23</v>
      </c>
      <c r="N8552" s="6">
        <v>45706.0</v>
      </c>
      <c r="Q8552" s="2" t="s">
        <v>3768</v>
      </c>
    </row>
    <row r="8553">
      <c r="A8553" s="2">
        <v>8552.0</v>
      </c>
      <c r="B8553" s="2" t="s">
        <v>13423</v>
      </c>
      <c r="C8553" s="2" t="s">
        <v>23</v>
      </c>
      <c r="K8553" s="2">
        <v>40.0</v>
      </c>
      <c r="N8553" s="6">
        <v>44141.0</v>
      </c>
      <c r="Q8553" s="2" t="s">
        <v>13424</v>
      </c>
    </row>
    <row r="8554">
      <c r="A8554" s="2">
        <v>8553.0</v>
      </c>
      <c r="B8554" s="2" t="s">
        <v>13425</v>
      </c>
      <c r="C8554" s="2" t="s">
        <v>23</v>
      </c>
      <c r="N8554" s="6">
        <v>44013.0</v>
      </c>
      <c r="Q8554" s="2" t="s">
        <v>86</v>
      </c>
    </row>
    <row r="8555">
      <c r="A8555" s="2">
        <v>8554.0</v>
      </c>
      <c r="B8555" s="2" t="s">
        <v>13426</v>
      </c>
      <c r="C8555" s="2" t="s">
        <v>23</v>
      </c>
      <c r="K8555" s="2">
        <v>70.0</v>
      </c>
      <c r="N8555" s="6">
        <v>44011.0</v>
      </c>
      <c r="Q8555" s="2" t="s">
        <v>1711</v>
      </c>
    </row>
    <row r="8556">
      <c r="A8556" s="2">
        <v>8555.0</v>
      </c>
      <c r="B8556" s="2" t="s">
        <v>13427</v>
      </c>
      <c r="C8556" s="2" t="s">
        <v>23</v>
      </c>
      <c r="K8556" s="2">
        <v>20.0</v>
      </c>
      <c r="N8556" s="6">
        <v>44752.0</v>
      </c>
      <c r="Q8556" s="2" t="s">
        <v>60</v>
      </c>
    </row>
    <row r="8557">
      <c r="A8557" s="2">
        <v>8556.0</v>
      </c>
      <c r="B8557" s="2" t="s">
        <v>13428</v>
      </c>
      <c r="C8557" s="2" t="s">
        <v>23</v>
      </c>
      <c r="K8557" s="2">
        <v>70.0</v>
      </c>
      <c r="N8557" s="6">
        <v>43888.0</v>
      </c>
      <c r="Q8557" s="2" t="s">
        <v>86</v>
      </c>
    </row>
    <row r="8558">
      <c r="A8558" s="2">
        <v>8557.0</v>
      </c>
      <c r="B8558" s="2" t="s">
        <v>13429</v>
      </c>
      <c r="C8558" s="2" t="s">
        <v>23</v>
      </c>
      <c r="N8558" s="6">
        <v>44183.0</v>
      </c>
      <c r="Q8558" s="2" t="s">
        <v>86</v>
      </c>
    </row>
    <row r="8559">
      <c r="A8559" s="2">
        <v>8558.0</v>
      </c>
      <c r="B8559" s="2" t="s">
        <v>13430</v>
      </c>
      <c r="C8559" s="2" t="s">
        <v>23</v>
      </c>
      <c r="K8559" s="2">
        <v>90.0</v>
      </c>
      <c r="N8559" s="6">
        <v>45606.0</v>
      </c>
      <c r="Q8559" s="2" t="s">
        <v>13431</v>
      </c>
    </row>
    <row r="8560">
      <c r="A8560" s="2">
        <v>8559.0</v>
      </c>
      <c r="B8560" s="2" t="s">
        <v>13432</v>
      </c>
      <c r="C8560" s="2" t="s">
        <v>23</v>
      </c>
      <c r="K8560" s="2">
        <v>50.0</v>
      </c>
      <c r="N8560" s="6">
        <v>43889.0</v>
      </c>
      <c r="Q8560" s="2" t="s">
        <v>3075</v>
      </c>
    </row>
    <row r="8561">
      <c r="A8561" s="2">
        <v>8560.0</v>
      </c>
      <c r="B8561" s="2" t="s">
        <v>13433</v>
      </c>
      <c r="C8561" s="2" t="s">
        <v>23</v>
      </c>
      <c r="N8561" s="6">
        <v>44683.0</v>
      </c>
      <c r="Q8561" s="2" t="s">
        <v>86</v>
      </c>
    </row>
    <row r="8562">
      <c r="A8562" s="2">
        <v>8561.0</v>
      </c>
      <c r="B8562" s="2" t="s">
        <v>13434</v>
      </c>
      <c r="C8562" s="2" t="s">
        <v>23</v>
      </c>
      <c r="N8562" s="6">
        <v>44095.0</v>
      </c>
      <c r="Q8562" s="2" t="s">
        <v>86</v>
      </c>
    </row>
    <row r="8563">
      <c r="A8563" s="2">
        <v>8562.0</v>
      </c>
      <c r="B8563" s="2" t="s">
        <v>13435</v>
      </c>
      <c r="C8563" s="2" t="s">
        <v>23</v>
      </c>
      <c r="N8563" s="6">
        <v>44723.0</v>
      </c>
      <c r="Q8563" s="2" t="s">
        <v>86</v>
      </c>
    </row>
    <row r="8564">
      <c r="A8564" s="2">
        <v>8563.0</v>
      </c>
      <c r="B8564" s="2" t="s">
        <v>13436</v>
      </c>
      <c r="C8564" s="2" t="s">
        <v>23</v>
      </c>
      <c r="N8564" s="6">
        <v>45990.0</v>
      </c>
      <c r="Q8564" s="2" t="s">
        <v>12782</v>
      </c>
    </row>
    <row r="8565">
      <c r="A8565" s="2">
        <v>8564.0</v>
      </c>
      <c r="B8565" s="2" t="s">
        <v>13437</v>
      </c>
      <c r="C8565" s="2" t="s">
        <v>23</v>
      </c>
      <c r="N8565" s="6">
        <v>44421.0</v>
      </c>
      <c r="Q8565" s="2" t="s">
        <v>86</v>
      </c>
    </row>
    <row r="8566">
      <c r="A8566" s="2">
        <v>8565.0</v>
      </c>
      <c r="B8566" s="2" t="s">
        <v>13438</v>
      </c>
      <c r="C8566" s="2" t="s">
        <v>23</v>
      </c>
      <c r="K8566" s="2">
        <v>90.0</v>
      </c>
      <c r="N8566" s="6">
        <v>45676.0</v>
      </c>
      <c r="Q8566" s="2" t="s">
        <v>13439</v>
      </c>
    </row>
    <row r="8567">
      <c r="A8567" s="2">
        <v>8566.0</v>
      </c>
      <c r="B8567" s="2" t="s">
        <v>13440</v>
      </c>
      <c r="C8567" s="2" t="s">
        <v>23</v>
      </c>
      <c r="K8567" s="2">
        <v>150.0</v>
      </c>
      <c r="N8567" s="6">
        <v>44152.0</v>
      </c>
      <c r="Q8567" s="2" t="s">
        <v>8910</v>
      </c>
    </row>
    <row r="8568">
      <c r="A8568" s="2">
        <v>8567.0</v>
      </c>
      <c r="B8568" s="2" t="s">
        <v>13441</v>
      </c>
      <c r="C8568" s="2" t="s">
        <v>23</v>
      </c>
      <c r="K8568" s="2">
        <v>80.0</v>
      </c>
      <c r="N8568" s="6">
        <v>42411.0</v>
      </c>
      <c r="Q8568" s="2" t="s">
        <v>13442</v>
      </c>
    </row>
    <row r="8569">
      <c r="A8569" s="2">
        <v>8568.0</v>
      </c>
      <c r="B8569" s="2" t="s">
        <v>13443</v>
      </c>
      <c r="C8569" s="2" t="s">
        <v>23</v>
      </c>
      <c r="K8569" s="2">
        <v>200.0</v>
      </c>
      <c r="N8569" s="6">
        <v>44602.0</v>
      </c>
      <c r="Q8569" s="2" t="s">
        <v>13444</v>
      </c>
    </row>
    <row r="8570">
      <c r="A8570" s="2">
        <v>8569.0</v>
      </c>
      <c r="B8570" s="2" t="s">
        <v>13445</v>
      </c>
      <c r="C8570" s="2" t="s">
        <v>23</v>
      </c>
      <c r="K8570" s="2">
        <v>100.0</v>
      </c>
      <c r="N8570" s="6">
        <v>44126.0</v>
      </c>
      <c r="Q8570" s="2" t="s">
        <v>13446</v>
      </c>
    </row>
    <row r="8571">
      <c r="A8571" s="2">
        <v>8570.0</v>
      </c>
      <c r="B8571" s="2" t="s">
        <v>13447</v>
      </c>
      <c r="C8571" s="2" t="s">
        <v>23</v>
      </c>
      <c r="N8571" s="6">
        <v>44243.0</v>
      </c>
      <c r="Q8571" s="2" t="s">
        <v>1528</v>
      </c>
    </row>
    <row r="8572">
      <c r="A8572" s="2">
        <v>8571.0</v>
      </c>
      <c r="B8572" s="2" t="s">
        <v>13448</v>
      </c>
      <c r="C8572" s="2" t="s">
        <v>23</v>
      </c>
      <c r="N8572" s="6">
        <v>43951.0</v>
      </c>
      <c r="Q8572" s="2" t="s">
        <v>86</v>
      </c>
    </row>
    <row r="8573">
      <c r="A8573" s="2">
        <v>8572.0</v>
      </c>
      <c r="B8573" s="2" t="s">
        <v>13449</v>
      </c>
      <c r="C8573" s="2" t="s">
        <v>23</v>
      </c>
      <c r="N8573" s="6">
        <v>45331.0</v>
      </c>
      <c r="Q8573" s="2" t="s">
        <v>86</v>
      </c>
    </row>
    <row r="8574">
      <c r="A8574" s="2">
        <v>8573.0</v>
      </c>
      <c r="B8574" s="2" t="s">
        <v>13450</v>
      </c>
      <c r="C8574" s="2" t="s">
        <v>23</v>
      </c>
      <c r="K8574" s="2">
        <v>80.0</v>
      </c>
      <c r="N8574" s="6">
        <v>45212.0</v>
      </c>
      <c r="Q8574" s="2" t="s">
        <v>4273</v>
      </c>
    </row>
    <row r="8575">
      <c r="A8575" s="2">
        <v>8574.0</v>
      </c>
      <c r="B8575" s="2" t="s">
        <v>13451</v>
      </c>
      <c r="C8575" s="2" t="s">
        <v>23</v>
      </c>
      <c r="N8575" s="6">
        <v>44110.0</v>
      </c>
      <c r="Q8575" s="2" t="s">
        <v>86</v>
      </c>
    </row>
    <row r="8576">
      <c r="A8576" s="2">
        <v>8575.0</v>
      </c>
      <c r="B8576" s="2" t="s">
        <v>13452</v>
      </c>
      <c r="C8576" s="2" t="s">
        <v>23</v>
      </c>
      <c r="N8576" s="6">
        <v>42913.0</v>
      </c>
      <c r="Q8576" s="2" t="s">
        <v>86</v>
      </c>
    </row>
    <row r="8577">
      <c r="A8577" s="2">
        <v>8576.0</v>
      </c>
      <c r="B8577" s="2" t="s">
        <v>13453</v>
      </c>
      <c r="C8577" s="2" t="s">
        <v>23</v>
      </c>
      <c r="N8577" s="6">
        <v>44225.0</v>
      </c>
      <c r="Q8577" s="2" t="s">
        <v>86</v>
      </c>
    </row>
    <row r="8578">
      <c r="A8578" s="2">
        <v>8577.0</v>
      </c>
      <c r="B8578" s="2" t="s">
        <v>13454</v>
      </c>
      <c r="C8578" s="2" t="s">
        <v>23</v>
      </c>
      <c r="K8578" s="2">
        <v>50.0</v>
      </c>
      <c r="N8578" s="6">
        <v>44586.0</v>
      </c>
      <c r="Q8578" s="2" t="s">
        <v>4589</v>
      </c>
    </row>
    <row r="8579">
      <c r="A8579" s="2">
        <v>8578.0</v>
      </c>
      <c r="B8579" s="2" t="s">
        <v>13455</v>
      </c>
      <c r="C8579" s="2" t="s">
        <v>23</v>
      </c>
      <c r="N8579" s="6">
        <v>45266.0</v>
      </c>
      <c r="Q8579" s="2" t="s">
        <v>86</v>
      </c>
    </row>
    <row r="8580">
      <c r="A8580" s="2">
        <v>8579.0</v>
      </c>
      <c r="B8580" s="2" t="s">
        <v>13456</v>
      </c>
      <c r="C8580" s="2" t="s">
        <v>23</v>
      </c>
      <c r="N8580" s="6">
        <v>45597.0</v>
      </c>
      <c r="Q8580" s="2" t="s">
        <v>2838</v>
      </c>
    </row>
    <row r="8581">
      <c r="A8581" s="2">
        <v>8580.0</v>
      </c>
      <c r="B8581" s="2" t="s">
        <v>13457</v>
      </c>
      <c r="C8581" s="2" t="s">
        <v>23</v>
      </c>
      <c r="K8581" s="2">
        <v>20.0</v>
      </c>
      <c r="N8581" s="6">
        <v>44469.0</v>
      </c>
      <c r="Q8581" s="2" t="s">
        <v>13458</v>
      </c>
    </row>
    <row r="8582">
      <c r="A8582" s="2">
        <v>8581.0</v>
      </c>
      <c r="B8582" s="2" t="s">
        <v>13459</v>
      </c>
      <c r="C8582" s="2" t="s">
        <v>23</v>
      </c>
      <c r="K8582" s="2">
        <v>30.0</v>
      </c>
      <c r="N8582" s="6">
        <v>43870.0</v>
      </c>
      <c r="Q8582" s="2" t="s">
        <v>1466</v>
      </c>
    </row>
    <row r="8583">
      <c r="A8583" s="2">
        <v>8582.0</v>
      </c>
      <c r="B8583" s="2" t="s">
        <v>13460</v>
      </c>
      <c r="C8583" s="2" t="s">
        <v>23</v>
      </c>
      <c r="K8583" s="2">
        <v>200.0</v>
      </c>
      <c r="N8583" s="6">
        <v>44685.0</v>
      </c>
      <c r="Q8583" s="2" t="s">
        <v>1437</v>
      </c>
    </row>
    <row r="8584">
      <c r="A8584" s="2">
        <v>8583.0</v>
      </c>
      <c r="B8584" s="2" t="s">
        <v>13461</v>
      </c>
      <c r="C8584" s="2" t="s">
        <v>23</v>
      </c>
      <c r="K8584" s="2">
        <v>200.0</v>
      </c>
      <c r="N8584" s="6">
        <v>44103.0</v>
      </c>
      <c r="Q8584" s="2" t="s">
        <v>13462</v>
      </c>
    </row>
    <row r="8585">
      <c r="A8585" s="2">
        <v>8584.0</v>
      </c>
      <c r="B8585" s="2" t="s">
        <v>13463</v>
      </c>
      <c r="C8585" s="2" t="s">
        <v>23</v>
      </c>
      <c r="N8585" s="6">
        <v>44682.0</v>
      </c>
      <c r="Q8585" s="2" t="s">
        <v>86</v>
      </c>
    </row>
    <row r="8586">
      <c r="A8586" s="2">
        <v>8585.0</v>
      </c>
      <c r="B8586" s="2" t="s">
        <v>13464</v>
      </c>
      <c r="C8586" s="2" t="s">
        <v>23</v>
      </c>
      <c r="K8586" s="2">
        <v>50.0</v>
      </c>
      <c r="N8586" s="6">
        <v>44070.0</v>
      </c>
      <c r="Q8586" s="2" t="s">
        <v>13465</v>
      </c>
    </row>
    <row r="8587">
      <c r="A8587" s="2">
        <v>8586.0</v>
      </c>
      <c r="B8587" s="2" t="s">
        <v>13466</v>
      </c>
      <c r="C8587" s="2" t="s">
        <v>23</v>
      </c>
      <c r="K8587" s="2">
        <v>30.0</v>
      </c>
      <c r="N8587" s="6">
        <v>45431.0</v>
      </c>
      <c r="Q8587" s="2" t="s">
        <v>1249</v>
      </c>
    </row>
    <row r="8588">
      <c r="A8588" s="2">
        <v>8587.0</v>
      </c>
      <c r="B8588" s="2" t="s">
        <v>13467</v>
      </c>
      <c r="C8588" s="2" t="s">
        <v>23</v>
      </c>
      <c r="K8588" s="2">
        <v>50.0</v>
      </c>
      <c r="N8588" s="6">
        <v>43879.0</v>
      </c>
      <c r="Q8588" s="2" t="s">
        <v>86</v>
      </c>
    </row>
    <row r="8589">
      <c r="A8589" s="2">
        <v>8588.0</v>
      </c>
      <c r="B8589" s="2" t="s">
        <v>13468</v>
      </c>
      <c r="C8589" s="2" t="s">
        <v>23</v>
      </c>
      <c r="N8589" s="6">
        <v>42451.0</v>
      </c>
      <c r="Q8589" s="2" t="s">
        <v>86</v>
      </c>
    </row>
    <row r="8590">
      <c r="A8590" s="2">
        <v>8589.0</v>
      </c>
      <c r="B8590" s="2" t="s">
        <v>13469</v>
      </c>
      <c r="C8590" s="2" t="s">
        <v>23</v>
      </c>
      <c r="K8590" s="2">
        <v>10.0</v>
      </c>
      <c r="N8590" s="6">
        <v>44599.0</v>
      </c>
      <c r="Q8590" s="2" t="s">
        <v>1466</v>
      </c>
    </row>
    <row r="8591">
      <c r="A8591" s="2">
        <v>8590.0</v>
      </c>
      <c r="B8591" s="2" t="s">
        <v>13470</v>
      </c>
      <c r="C8591" s="2" t="s">
        <v>23</v>
      </c>
      <c r="K8591" s="2">
        <v>20.0</v>
      </c>
      <c r="N8591" s="6">
        <v>44481.0</v>
      </c>
      <c r="Q8591" s="2" t="s">
        <v>86</v>
      </c>
    </row>
    <row r="8592">
      <c r="A8592" s="2">
        <v>8591.0</v>
      </c>
      <c r="B8592" s="2" t="s">
        <v>13471</v>
      </c>
      <c r="C8592" s="2" t="s">
        <v>23</v>
      </c>
      <c r="K8592" s="2">
        <v>100.0</v>
      </c>
      <c r="N8592" s="6">
        <v>45086.0</v>
      </c>
      <c r="Q8592" s="2" t="s">
        <v>13472</v>
      </c>
    </row>
    <row r="8593">
      <c r="A8593" s="2">
        <v>8592.0</v>
      </c>
      <c r="B8593" s="2" t="s">
        <v>13473</v>
      </c>
      <c r="C8593" s="2" t="s">
        <v>23</v>
      </c>
      <c r="K8593" s="2">
        <v>20.0</v>
      </c>
      <c r="N8593" s="6">
        <v>43932.0</v>
      </c>
      <c r="Q8593" s="2" t="s">
        <v>6362</v>
      </c>
    </row>
    <row r="8594">
      <c r="A8594" s="2">
        <v>8593.0</v>
      </c>
      <c r="B8594" s="2" t="s">
        <v>13474</v>
      </c>
      <c r="C8594" s="2" t="s">
        <v>23</v>
      </c>
      <c r="K8594" s="2">
        <v>10.0</v>
      </c>
      <c r="N8594" s="6">
        <v>44574.0</v>
      </c>
      <c r="Q8594" s="2" t="s">
        <v>86</v>
      </c>
    </row>
    <row r="8595">
      <c r="A8595" s="2">
        <v>8594.0</v>
      </c>
      <c r="B8595" s="2" t="s">
        <v>13475</v>
      </c>
      <c r="C8595" s="2" t="s">
        <v>23</v>
      </c>
      <c r="N8595" s="6">
        <v>43858.0</v>
      </c>
      <c r="Q8595" s="2" t="s">
        <v>86</v>
      </c>
    </row>
    <row r="8596">
      <c r="A8596" s="2">
        <v>8595.0</v>
      </c>
      <c r="B8596" s="2" t="s">
        <v>13476</v>
      </c>
      <c r="C8596" s="2" t="s">
        <v>23</v>
      </c>
      <c r="K8596" s="2">
        <v>30.0</v>
      </c>
      <c r="N8596" s="6">
        <v>44432.0</v>
      </c>
      <c r="Q8596" s="2" t="s">
        <v>1437</v>
      </c>
    </row>
    <row r="8597">
      <c r="A8597" s="2">
        <v>8596.0</v>
      </c>
      <c r="B8597" s="2" t="s">
        <v>13477</v>
      </c>
      <c r="C8597" s="2" t="s">
        <v>23</v>
      </c>
      <c r="K8597" s="2">
        <v>30.0</v>
      </c>
      <c r="N8597" s="6">
        <v>44164.0</v>
      </c>
      <c r="Q8597" s="2" t="s">
        <v>6213</v>
      </c>
    </row>
    <row r="8598">
      <c r="A8598" s="2">
        <v>8597.0</v>
      </c>
      <c r="B8598" s="2" t="s">
        <v>13478</v>
      </c>
      <c r="C8598" s="2" t="s">
        <v>23</v>
      </c>
      <c r="K8598" s="2">
        <v>10.0</v>
      </c>
      <c r="N8598" s="6">
        <v>44934.0</v>
      </c>
      <c r="Q8598" s="2" t="s">
        <v>13479</v>
      </c>
    </row>
    <row r="8599">
      <c r="A8599" s="2">
        <v>8598.0</v>
      </c>
      <c r="B8599" s="2" t="s">
        <v>13480</v>
      </c>
      <c r="C8599" s="2" t="s">
        <v>23</v>
      </c>
      <c r="N8599" s="6">
        <v>45033.0</v>
      </c>
      <c r="Q8599" s="2" t="s">
        <v>86</v>
      </c>
    </row>
    <row r="8600">
      <c r="A8600" s="2">
        <v>8599.0</v>
      </c>
      <c r="B8600" s="2" t="s">
        <v>13481</v>
      </c>
      <c r="C8600" s="2" t="s">
        <v>23</v>
      </c>
      <c r="N8600" s="6">
        <v>44567.0</v>
      </c>
      <c r="Q8600" s="2" t="s">
        <v>86</v>
      </c>
    </row>
    <row r="8601">
      <c r="A8601" s="2">
        <v>8600.0</v>
      </c>
      <c r="B8601" s="2" t="s">
        <v>13482</v>
      </c>
      <c r="C8601" s="2" t="s">
        <v>23</v>
      </c>
      <c r="K8601" s="2">
        <v>90.0</v>
      </c>
      <c r="N8601" s="6">
        <v>43885.0</v>
      </c>
      <c r="Q8601" s="2" t="s">
        <v>13483</v>
      </c>
    </row>
    <row r="8602">
      <c r="A8602" s="2">
        <v>8601.0</v>
      </c>
      <c r="B8602" s="2" t="s">
        <v>13484</v>
      </c>
      <c r="C8602" s="2" t="s">
        <v>23</v>
      </c>
      <c r="N8602" s="6">
        <v>44015.0</v>
      </c>
      <c r="Q8602" s="2" t="s">
        <v>491</v>
      </c>
    </row>
    <row r="8603">
      <c r="A8603" s="2">
        <v>8602.0</v>
      </c>
      <c r="B8603" s="2" t="s">
        <v>13485</v>
      </c>
      <c r="C8603" s="2" t="s">
        <v>23</v>
      </c>
      <c r="N8603" s="6">
        <v>44102.0</v>
      </c>
      <c r="Q8603" s="2" t="s">
        <v>86</v>
      </c>
    </row>
    <row r="8604">
      <c r="A8604" s="2">
        <v>8603.0</v>
      </c>
      <c r="B8604" s="2" t="s">
        <v>13486</v>
      </c>
      <c r="C8604" s="2" t="s">
        <v>23</v>
      </c>
      <c r="K8604" s="2">
        <v>30.0</v>
      </c>
      <c r="N8604" s="6">
        <v>45383.0</v>
      </c>
      <c r="Q8604" s="2" t="s">
        <v>5663</v>
      </c>
    </row>
    <row r="8605">
      <c r="A8605" s="2">
        <v>8604.0</v>
      </c>
      <c r="B8605" s="2" t="s">
        <v>13487</v>
      </c>
      <c r="C8605" s="2" t="s">
        <v>23</v>
      </c>
      <c r="K8605" s="2">
        <v>20.0</v>
      </c>
      <c r="N8605" s="6">
        <v>44723.0</v>
      </c>
      <c r="Q8605" s="2" t="s">
        <v>86</v>
      </c>
    </row>
    <row r="8606">
      <c r="A8606" s="2">
        <v>8605.0</v>
      </c>
      <c r="B8606" s="2" t="s">
        <v>13488</v>
      </c>
      <c r="C8606" s="2" t="s">
        <v>23</v>
      </c>
      <c r="K8606" s="2">
        <v>700.0</v>
      </c>
      <c r="N8606" s="6">
        <v>43840.0</v>
      </c>
      <c r="Q8606" s="2" t="s">
        <v>13489</v>
      </c>
    </row>
    <row r="8607">
      <c r="A8607" s="2">
        <v>8606.0</v>
      </c>
      <c r="B8607" s="2" t="s">
        <v>13490</v>
      </c>
      <c r="C8607" s="2" t="s">
        <v>23</v>
      </c>
      <c r="K8607" s="2">
        <v>10.0</v>
      </c>
      <c r="N8607" s="6">
        <v>44015.0</v>
      </c>
      <c r="Q8607" s="2" t="s">
        <v>13491</v>
      </c>
    </row>
    <row r="8608">
      <c r="A8608" s="2">
        <v>8607.0</v>
      </c>
      <c r="B8608" s="2" t="s">
        <v>13492</v>
      </c>
      <c r="C8608" s="2" t="s">
        <v>23</v>
      </c>
      <c r="K8608" s="2">
        <v>40.0</v>
      </c>
      <c r="N8608" s="6">
        <v>45631.0</v>
      </c>
      <c r="Q8608" s="2" t="s">
        <v>13493</v>
      </c>
    </row>
    <row r="8609">
      <c r="A8609" s="2">
        <v>8608.0</v>
      </c>
      <c r="B8609" s="2" t="s">
        <v>13494</v>
      </c>
      <c r="C8609" s="2" t="s">
        <v>23</v>
      </c>
      <c r="K8609" s="2">
        <v>30.0</v>
      </c>
      <c r="N8609" s="6">
        <v>44240.0</v>
      </c>
      <c r="Q8609" s="2" t="s">
        <v>1895</v>
      </c>
    </row>
    <row r="8610">
      <c r="A8610" s="2">
        <v>8609.0</v>
      </c>
      <c r="B8610" s="2" t="s">
        <v>13495</v>
      </c>
      <c r="C8610" s="2" t="s">
        <v>23</v>
      </c>
      <c r="K8610" s="2">
        <v>30.0</v>
      </c>
      <c r="N8610" s="6">
        <v>44562.0</v>
      </c>
      <c r="Q8610" s="2" t="s">
        <v>13496</v>
      </c>
    </row>
    <row r="8611">
      <c r="A8611" s="2">
        <v>8610.0</v>
      </c>
      <c r="B8611" s="2" t="s">
        <v>13497</v>
      </c>
      <c r="C8611" s="2" t="s">
        <v>23</v>
      </c>
      <c r="N8611" s="6">
        <v>45302.0</v>
      </c>
      <c r="Q8611" s="2" t="s">
        <v>491</v>
      </c>
    </row>
    <row r="8612">
      <c r="A8612" s="2">
        <v>8611.0</v>
      </c>
      <c r="B8612" s="2" t="s">
        <v>13498</v>
      </c>
      <c r="C8612" s="2" t="s">
        <v>23</v>
      </c>
      <c r="K8612" s="2">
        <v>30.0</v>
      </c>
      <c r="N8612" s="6">
        <v>45054.0</v>
      </c>
      <c r="Q8612" s="2" t="s">
        <v>6936</v>
      </c>
    </row>
    <row r="8613">
      <c r="A8613" s="2">
        <v>8612.0</v>
      </c>
      <c r="B8613" s="2" t="s">
        <v>13499</v>
      </c>
      <c r="C8613" s="2" t="s">
        <v>23</v>
      </c>
      <c r="K8613" s="2">
        <v>20.0</v>
      </c>
      <c r="N8613" s="6">
        <v>44532.0</v>
      </c>
      <c r="Q8613" s="2" t="s">
        <v>86</v>
      </c>
    </row>
    <row r="8614">
      <c r="A8614" s="2">
        <v>8613.0</v>
      </c>
      <c r="B8614" s="2" t="s">
        <v>13500</v>
      </c>
      <c r="C8614" s="2" t="s">
        <v>23</v>
      </c>
      <c r="N8614" s="6">
        <v>42262.0</v>
      </c>
      <c r="Q8614" s="2" t="s">
        <v>86</v>
      </c>
    </row>
    <row r="8615">
      <c r="A8615" s="2">
        <v>8614.0</v>
      </c>
      <c r="B8615" s="2" t="s">
        <v>13501</v>
      </c>
      <c r="C8615" s="2" t="s">
        <v>23</v>
      </c>
      <c r="K8615" s="2">
        <v>10.0</v>
      </c>
      <c r="N8615" s="6">
        <v>44591.0</v>
      </c>
      <c r="Q8615" s="2" t="s">
        <v>86</v>
      </c>
    </row>
    <row r="8616">
      <c r="A8616" s="2">
        <v>8615.0</v>
      </c>
      <c r="B8616" s="2" t="s">
        <v>13502</v>
      </c>
      <c r="C8616" s="2" t="s">
        <v>23</v>
      </c>
      <c r="N8616" s="6">
        <v>44350.0</v>
      </c>
      <c r="Q8616" s="2" t="s">
        <v>86</v>
      </c>
    </row>
    <row r="8617">
      <c r="A8617" s="2">
        <v>8616.0</v>
      </c>
      <c r="B8617" s="2" t="s">
        <v>13503</v>
      </c>
      <c r="C8617" s="2" t="s">
        <v>23</v>
      </c>
      <c r="N8617" s="6">
        <v>44841.0</v>
      </c>
      <c r="Q8617" s="2" t="s">
        <v>13504</v>
      </c>
    </row>
    <row r="8618">
      <c r="A8618" s="2">
        <v>8617.0</v>
      </c>
      <c r="B8618" s="2" t="s">
        <v>13505</v>
      </c>
      <c r="C8618" s="2" t="s">
        <v>23</v>
      </c>
      <c r="N8618" s="6">
        <v>45958.0</v>
      </c>
      <c r="Q8618" s="2" t="s">
        <v>13506</v>
      </c>
    </row>
    <row r="8619">
      <c r="A8619" s="2">
        <v>8618.0</v>
      </c>
      <c r="B8619" s="2" t="s">
        <v>13507</v>
      </c>
      <c r="C8619" s="2" t="s">
        <v>23</v>
      </c>
      <c r="K8619" s="2">
        <v>70.0</v>
      </c>
      <c r="N8619" s="6">
        <v>43888.0</v>
      </c>
      <c r="Q8619" s="2" t="s">
        <v>13508</v>
      </c>
    </row>
    <row r="8620">
      <c r="A8620" s="2">
        <v>8619.0</v>
      </c>
      <c r="B8620" s="2" t="s">
        <v>13509</v>
      </c>
      <c r="C8620" s="2" t="s">
        <v>23</v>
      </c>
      <c r="K8620" s="2">
        <v>20.0</v>
      </c>
      <c r="N8620" s="6">
        <v>44440.0</v>
      </c>
      <c r="Q8620" s="2" t="s">
        <v>1687</v>
      </c>
    </row>
    <row r="8621">
      <c r="A8621" s="2">
        <v>8620.0</v>
      </c>
      <c r="B8621" s="2" t="s">
        <v>13510</v>
      </c>
      <c r="C8621" s="2" t="s">
        <v>23</v>
      </c>
      <c r="K8621" s="2">
        <v>150.0</v>
      </c>
      <c r="N8621" s="6">
        <v>45803.0</v>
      </c>
      <c r="Q8621" s="2" t="s">
        <v>13511</v>
      </c>
    </row>
    <row r="8622">
      <c r="A8622" s="2">
        <v>8621.0</v>
      </c>
      <c r="B8622" s="2" t="s">
        <v>13512</v>
      </c>
      <c r="C8622" s="2" t="s">
        <v>23</v>
      </c>
      <c r="K8622" s="2">
        <v>10.0</v>
      </c>
      <c r="N8622" s="6">
        <v>44498.0</v>
      </c>
      <c r="Q8622" s="2" t="s">
        <v>86</v>
      </c>
    </row>
    <row r="8623">
      <c r="A8623" s="2">
        <v>8622.0</v>
      </c>
      <c r="B8623" s="2" t="s">
        <v>13513</v>
      </c>
      <c r="C8623" s="2" t="s">
        <v>23</v>
      </c>
      <c r="N8623" s="6">
        <v>44083.0</v>
      </c>
      <c r="Q8623" s="2" t="s">
        <v>86</v>
      </c>
    </row>
    <row r="8624">
      <c r="A8624" s="2">
        <v>8623.0</v>
      </c>
      <c r="B8624" s="2" t="s">
        <v>13514</v>
      </c>
      <c r="C8624" s="2" t="s">
        <v>23</v>
      </c>
      <c r="K8624" s="2">
        <v>10.0</v>
      </c>
      <c r="N8624" s="6">
        <v>44294.0</v>
      </c>
      <c r="Q8624" s="2" t="s">
        <v>13515</v>
      </c>
    </row>
    <row r="8625">
      <c r="A8625" s="2">
        <v>8624.0</v>
      </c>
      <c r="B8625" s="2" t="s">
        <v>13516</v>
      </c>
      <c r="C8625" s="2" t="s">
        <v>23</v>
      </c>
      <c r="N8625" s="6">
        <v>45168.0</v>
      </c>
      <c r="Q8625" s="2" t="s">
        <v>1466</v>
      </c>
    </row>
    <row r="8626">
      <c r="A8626" s="2">
        <v>8625.0</v>
      </c>
      <c r="B8626" s="2" t="s">
        <v>13517</v>
      </c>
      <c r="C8626" s="2" t="s">
        <v>23</v>
      </c>
      <c r="K8626" s="2">
        <v>10.0</v>
      </c>
      <c r="N8626" s="6">
        <v>45117.0</v>
      </c>
      <c r="Q8626" s="2" t="s">
        <v>7851</v>
      </c>
    </row>
    <row r="8627">
      <c r="A8627" s="2">
        <v>8626.0</v>
      </c>
      <c r="B8627" s="2" t="s">
        <v>13518</v>
      </c>
      <c r="C8627" s="2" t="s">
        <v>23</v>
      </c>
      <c r="K8627" s="2">
        <v>20.0</v>
      </c>
      <c r="N8627" s="6">
        <v>45872.0</v>
      </c>
      <c r="Q8627" s="2" t="s">
        <v>8879</v>
      </c>
    </row>
    <row r="8628">
      <c r="A8628" s="2">
        <v>8627.0</v>
      </c>
      <c r="B8628" s="2" t="s">
        <v>13519</v>
      </c>
      <c r="C8628" s="2" t="s">
        <v>23</v>
      </c>
      <c r="N8628" s="6">
        <v>44479.0</v>
      </c>
      <c r="Q8628" s="2" t="s">
        <v>86</v>
      </c>
    </row>
    <row r="8629">
      <c r="A8629" s="2">
        <v>8628.0</v>
      </c>
      <c r="B8629" s="2" t="s">
        <v>13520</v>
      </c>
      <c r="C8629" s="2" t="s">
        <v>23</v>
      </c>
      <c r="N8629" s="6">
        <v>44518.0</v>
      </c>
      <c r="Q8629" s="2" t="s">
        <v>2362</v>
      </c>
    </row>
    <row r="8630">
      <c r="A8630" s="2">
        <v>8629.0</v>
      </c>
      <c r="B8630" s="2" t="s">
        <v>13521</v>
      </c>
      <c r="C8630" s="2" t="s">
        <v>23</v>
      </c>
      <c r="N8630" s="6">
        <v>43902.0</v>
      </c>
      <c r="Q8630" s="2" t="s">
        <v>86</v>
      </c>
    </row>
    <row r="8631">
      <c r="A8631" s="2">
        <v>8630.0</v>
      </c>
      <c r="B8631" s="2" t="s">
        <v>13522</v>
      </c>
      <c r="C8631" s="2" t="s">
        <v>23</v>
      </c>
      <c r="K8631" s="2">
        <v>30.0</v>
      </c>
      <c r="N8631" s="6">
        <v>45205.0</v>
      </c>
      <c r="Q8631" s="2" t="s">
        <v>2541</v>
      </c>
    </row>
    <row r="8632">
      <c r="A8632" s="2">
        <v>8631.0</v>
      </c>
      <c r="B8632" s="2" t="s">
        <v>13523</v>
      </c>
      <c r="C8632" s="2" t="s">
        <v>23</v>
      </c>
      <c r="K8632" s="2">
        <v>30.0</v>
      </c>
      <c r="N8632" s="6">
        <v>43991.0</v>
      </c>
      <c r="Q8632" s="2" t="s">
        <v>13524</v>
      </c>
    </row>
    <row r="8633">
      <c r="A8633" s="2">
        <v>8632.0</v>
      </c>
      <c r="B8633" s="2" t="s">
        <v>13525</v>
      </c>
      <c r="C8633" s="2" t="s">
        <v>23</v>
      </c>
      <c r="K8633" s="2">
        <v>10.0</v>
      </c>
      <c r="N8633" s="6">
        <v>44460.0</v>
      </c>
      <c r="Q8633" s="2" t="s">
        <v>386</v>
      </c>
    </row>
    <row r="8634">
      <c r="A8634" s="2">
        <v>8633.0</v>
      </c>
      <c r="B8634" s="2" t="s">
        <v>13526</v>
      </c>
      <c r="C8634" s="2" t="s">
        <v>23</v>
      </c>
      <c r="K8634" s="2">
        <v>10.0</v>
      </c>
      <c r="N8634" s="6">
        <v>45249.0</v>
      </c>
      <c r="Q8634" s="2" t="s">
        <v>1070</v>
      </c>
    </row>
    <row r="8635">
      <c r="A8635" s="2">
        <v>8634.0</v>
      </c>
      <c r="B8635" s="2" t="s">
        <v>13527</v>
      </c>
      <c r="C8635" s="2" t="s">
        <v>23</v>
      </c>
      <c r="N8635" s="6">
        <v>44328.0</v>
      </c>
      <c r="Q8635" s="2" t="s">
        <v>86</v>
      </c>
    </row>
    <row r="8636">
      <c r="A8636" s="2">
        <v>8635.0</v>
      </c>
      <c r="B8636" s="2" t="s">
        <v>13528</v>
      </c>
      <c r="C8636" s="2" t="s">
        <v>23</v>
      </c>
      <c r="K8636" s="2">
        <v>10.0</v>
      </c>
      <c r="N8636" s="6">
        <v>44067.0</v>
      </c>
      <c r="Q8636" s="2" t="s">
        <v>13529</v>
      </c>
    </row>
    <row r="8637">
      <c r="A8637" s="2">
        <v>8636.0</v>
      </c>
      <c r="B8637" s="2" t="s">
        <v>13530</v>
      </c>
      <c r="C8637" s="2" t="s">
        <v>23</v>
      </c>
      <c r="K8637" s="2">
        <v>20.0</v>
      </c>
      <c r="N8637" s="6">
        <v>44663.0</v>
      </c>
      <c r="Q8637" s="2" t="s">
        <v>13531</v>
      </c>
    </row>
    <row r="8638">
      <c r="A8638" s="2">
        <v>8637.0</v>
      </c>
      <c r="B8638" s="2" t="s">
        <v>13532</v>
      </c>
      <c r="C8638" s="2" t="s">
        <v>23</v>
      </c>
      <c r="N8638" s="6">
        <v>45972.0</v>
      </c>
      <c r="Q8638" s="2" t="s">
        <v>13533</v>
      </c>
    </row>
    <row r="8639">
      <c r="A8639" s="2">
        <v>8638.0</v>
      </c>
      <c r="B8639" s="2" t="s">
        <v>13534</v>
      </c>
      <c r="C8639" s="2" t="s">
        <v>23</v>
      </c>
      <c r="K8639" s="2">
        <v>10.0</v>
      </c>
      <c r="N8639" s="6">
        <v>43897.0</v>
      </c>
      <c r="Q8639" s="2" t="s">
        <v>546</v>
      </c>
    </row>
    <row r="8640">
      <c r="A8640" s="2">
        <v>8639.0</v>
      </c>
      <c r="B8640" s="2" t="s">
        <v>13535</v>
      </c>
      <c r="C8640" s="2" t="s">
        <v>23</v>
      </c>
      <c r="K8640" s="2">
        <v>80.0</v>
      </c>
      <c r="N8640" s="6">
        <v>45643.0</v>
      </c>
      <c r="Q8640" s="2" t="s">
        <v>13536</v>
      </c>
    </row>
    <row r="8641">
      <c r="A8641" s="2">
        <v>8640.0</v>
      </c>
      <c r="B8641" s="2" t="s">
        <v>13537</v>
      </c>
      <c r="C8641" s="2" t="s">
        <v>23</v>
      </c>
      <c r="N8641" s="6">
        <v>45519.0</v>
      </c>
      <c r="Q8641" s="2" t="s">
        <v>13538</v>
      </c>
    </row>
    <row r="8642">
      <c r="A8642" s="2">
        <v>8641.0</v>
      </c>
      <c r="B8642" s="2" t="s">
        <v>13539</v>
      </c>
      <c r="C8642" s="2" t="s">
        <v>23</v>
      </c>
      <c r="N8642" s="6">
        <v>44204.0</v>
      </c>
      <c r="Q8642" s="2" t="s">
        <v>86</v>
      </c>
    </row>
    <row r="8643">
      <c r="A8643" s="2">
        <v>8642.0</v>
      </c>
      <c r="B8643" s="2" t="s">
        <v>13540</v>
      </c>
      <c r="C8643" s="2" t="s">
        <v>23</v>
      </c>
      <c r="N8643" s="6">
        <v>44850.0</v>
      </c>
      <c r="Q8643" s="2" t="s">
        <v>86</v>
      </c>
    </row>
    <row r="8644">
      <c r="A8644" s="2">
        <v>8643.0</v>
      </c>
      <c r="B8644" s="2" t="s">
        <v>13541</v>
      </c>
      <c r="C8644" s="2" t="s">
        <v>23</v>
      </c>
      <c r="K8644" s="2">
        <v>150.0</v>
      </c>
      <c r="N8644" s="6">
        <v>44657.0</v>
      </c>
      <c r="Q8644" s="2" t="s">
        <v>13542</v>
      </c>
    </row>
    <row r="8645">
      <c r="A8645" s="2">
        <v>8644.0</v>
      </c>
      <c r="B8645" s="2" t="s">
        <v>13543</v>
      </c>
      <c r="C8645" s="2" t="s">
        <v>23</v>
      </c>
      <c r="N8645" s="6">
        <v>45040.0</v>
      </c>
      <c r="Q8645" s="2" t="s">
        <v>86</v>
      </c>
    </row>
    <row r="8646">
      <c r="A8646" s="2">
        <v>8645.0</v>
      </c>
      <c r="B8646" s="2" t="s">
        <v>13544</v>
      </c>
      <c r="C8646" s="2" t="s">
        <v>23</v>
      </c>
      <c r="K8646" s="2">
        <v>60.0</v>
      </c>
      <c r="N8646" s="6">
        <v>44185.0</v>
      </c>
      <c r="Q8646" s="2" t="s">
        <v>13545</v>
      </c>
    </row>
    <row r="8647">
      <c r="A8647" s="2">
        <v>8646.0</v>
      </c>
      <c r="B8647" s="2" t="s">
        <v>13546</v>
      </c>
      <c r="C8647" s="2" t="s">
        <v>23</v>
      </c>
      <c r="K8647" s="2">
        <v>100.0</v>
      </c>
      <c r="N8647" s="6">
        <v>44703.0</v>
      </c>
      <c r="Q8647" s="2" t="s">
        <v>13547</v>
      </c>
    </row>
    <row r="8648">
      <c r="A8648" s="2">
        <v>8647.0</v>
      </c>
      <c r="B8648" s="2" t="s">
        <v>13548</v>
      </c>
      <c r="C8648" s="2" t="s">
        <v>23</v>
      </c>
      <c r="K8648" s="2">
        <v>40.0</v>
      </c>
      <c r="N8648" s="6">
        <v>45587.0</v>
      </c>
      <c r="Q8648" s="2" t="s">
        <v>5299</v>
      </c>
    </row>
    <row r="8649">
      <c r="A8649" s="2">
        <v>8648.0</v>
      </c>
      <c r="B8649" s="2" t="s">
        <v>13549</v>
      </c>
      <c r="C8649" s="2" t="s">
        <v>23</v>
      </c>
      <c r="K8649" s="2">
        <v>150.0</v>
      </c>
      <c r="N8649" s="6">
        <v>44151.0</v>
      </c>
      <c r="Q8649" s="2" t="s">
        <v>13550</v>
      </c>
    </row>
    <row r="8650">
      <c r="A8650" s="2">
        <v>8649.0</v>
      </c>
      <c r="B8650" s="2" t="s">
        <v>13551</v>
      </c>
      <c r="C8650" s="2" t="s">
        <v>23</v>
      </c>
      <c r="N8650" s="6">
        <v>43913.0</v>
      </c>
      <c r="Q8650" s="2" t="s">
        <v>86</v>
      </c>
    </row>
    <row r="8651">
      <c r="A8651" s="2">
        <v>8650.0</v>
      </c>
      <c r="B8651" s="2" t="s">
        <v>13552</v>
      </c>
      <c r="C8651" s="2" t="s">
        <v>23</v>
      </c>
      <c r="K8651" s="2">
        <v>10.0</v>
      </c>
      <c r="N8651" s="6">
        <v>45168.0</v>
      </c>
      <c r="Q8651" s="2" t="s">
        <v>2583</v>
      </c>
    </row>
    <row r="8652">
      <c r="A8652" s="2">
        <v>8651.0</v>
      </c>
      <c r="B8652" s="2" t="s">
        <v>13553</v>
      </c>
      <c r="C8652" s="2" t="s">
        <v>23</v>
      </c>
      <c r="N8652" s="6">
        <v>45035.0</v>
      </c>
      <c r="Q8652" s="2" t="s">
        <v>86</v>
      </c>
    </row>
    <row r="8653">
      <c r="A8653" s="2">
        <v>8652.0</v>
      </c>
      <c r="B8653" s="2" t="s">
        <v>13554</v>
      </c>
      <c r="C8653" s="2" t="s">
        <v>23</v>
      </c>
      <c r="N8653" s="6">
        <v>45981.0</v>
      </c>
      <c r="Q8653" s="2" t="s">
        <v>13555</v>
      </c>
    </row>
    <row r="8654">
      <c r="A8654" s="2">
        <v>8653.0</v>
      </c>
      <c r="B8654" s="2" t="s">
        <v>13556</v>
      </c>
      <c r="C8654" s="2" t="s">
        <v>23</v>
      </c>
      <c r="K8654" s="2">
        <v>150.0</v>
      </c>
      <c r="N8654" s="6">
        <v>44559.0</v>
      </c>
      <c r="Q8654" s="2" t="s">
        <v>13557</v>
      </c>
    </row>
    <row r="8655">
      <c r="A8655" s="2">
        <v>8654.0</v>
      </c>
      <c r="B8655" s="2" t="s">
        <v>13558</v>
      </c>
      <c r="C8655" s="2" t="s">
        <v>23</v>
      </c>
      <c r="K8655" s="2">
        <v>30.0</v>
      </c>
      <c r="N8655" s="6">
        <v>45653.0</v>
      </c>
      <c r="Q8655" s="2" t="s">
        <v>10895</v>
      </c>
    </row>
    <row r="8656">
      <c r="A8656" s="2">
        <v>8655.0</v>
      </c>
      <c r="B8656" s="2" t="s">
        <v>13559</v>
      </c>
      <c r="C8656" s="2" t="s">
        <v>23</v>
      </c>
      <c r="K8656" s="2">
        <v>20.0</v>
      </c>
      <c r="N8656" s="6">
        <v>44479.0</v>
      </c>
      <c r="Q8656" s="2" t="s">
        <v>8647</v>
      </c>
    </row>
    <row r="8657">
      <c r="A8657" s="2">
        <v>8656.0</v>
      </c>
      <c r="B8657" s="2" t="s">
        <v>13560</v>
      </c>
      <c r="C8657" s="2" t="s">
        <v>23</v>
      </c>
      <c r="N8657" s="6">
        <v>44891.0</v>
      </c>
      <c r="Q8657" s="2" t="s">
        <v>13561</v>
      </c>
    </row>
    <row r="8658">
      <c r="A8658" s="2">
        <v>8657.0</v>
      </c>
      <c r="B8658" s="2" t="s">
        <v>13562</v>
      </c>
      <c r="C8658" s="2" t="s">
        <v>23</v>
      </c>
      <c r="N8658" s="6">
        <v>44889.0</v>
      </c>
      <c r="Q8658" s="2" t="s">
        <v>3321</v>
      </c>
    </row>
    <row r="8659">
      <c r="A8659" s="2">
        <v>8658.0</v>
      </c>
      <c r="B8659" s="2" t="s">
        <v>521</v>
      </c>
      <c r="C8659" s="2" t="s">
        <v>23</v>
      </c>
      <c r="K8659" s="2">
        <v>30.0</v>
      </c>
      <c r="N8659" s="6">
        <v>44419.0</v>
      </c>
      <c r="Q8659" s="2" t="s">
        <v>524</v>
      </c>
    </row>
    <row r="8660">
      <c r="A8660" s="2">
        <v>8659.0</v>
      </c>
      <c r="B8660" s="2" t="s">
        <v>13563</v>
      </c>
      <c r="C8660" s="2" t="s">
        <v>23</v>
      </c>
      <c r="N8660" s="6">
        <v>44571.0</v>
      </c>
      <c r="Q8660" s="2" t="s">
        <v>86</v>
      </c>
    </row>
    <row r="8661">
      <c r="A8661" s="2">
        <v>8660.0</v>
      </c>
      <c r="B8661" s="2" t="s">
        <v>13564</v>
      </c>
      <c r="C8661" s="2" t="s">
        <v>23</v>
      </c>
      <c r="K8661" s="2">
        <v>10.0</v>
      </c>
      <c r="N8661" s="6">
        <v>44062.0</v>
      </c>
      <c r="Q8661" s="2" t="s">
        <v>426</v>
      </c>
    </row>
    <row r="8662">
      <c r="A8662" s="2">
        <v>8661.0</v>
      </c>
      <c r="B8662" s="2" t="s">
        <v>13565</v>
      </c>
      <c r="C8662" s="2" t="s">
        <v>23</v>
      </c>
      <c r="N8662" s="6">
        <v>44418.0</v>
      </c>
      <c r="Q8662" s="2" t="s">
        <v>13566</v>
      </c>
    </row>
    <row r="8663">
      <c r="A8663" s="2">
        <v>8662.0</v>
      </c>
      <c r="B8663" s="2" t="s">
        <v>13567</v>
      </c>
      <c r="C8663" s="2" t="s">
        <v>23</v>
      </c>
      <c r="N8663" s="6">
        <v>45031.0</v>
      </c>
      <c r="Q8663" s="2" t="s">
        <v>86</v>
      </c>
    </row>
    <row r="8664">
      <c r="A8664" s="2">
        <v>8663.0</v>
      </c>
      <c r="B8664" s="2" t="s">
        <v>527</v>
      </c>
      <c r="C8664" s="2" t="s">
        <v>23</v>
      </c>
      <c r="K8664" s="2">
        <v>10.0</v>
      </c>
      <c r="N8664" s="6">
        <v>44866.0</v>
      </c>
      <c r="Q8664" s="2" t="s">
        <v>200</v>
      </c>
    </row>
    <row r="8665">
      <c r="A8665" s="2">
        <v>8664.0</v>
      </c>
      <c r="B8665" s="2" t="s">
        <v>13568</v>
      </c>
      <c r="C8665" s="2" t="s">
        <v>23</v>
      </c>
      <c r="K8665" s="2">
        <v>150.0</v>
      </c>
      <c r="N8665" s="6">
        <v>43974.0</v>
      </c>
      <c r="Q8665" s="2" t="s">
        <v>13569</v>
      </c>
    </row>
    <row r="8666">
      <c r="A8666" s="2">
        <v>8665.0</v>
      </c>
      <c r="B8666" s="2" t="s">
        <v>13570</v>
      </c>
      <c r="C8666" s="2" t="s">
        <v>23</v>
      </c>
      <c r="N8666" s="6">
        <v>45342.0</v>
      </c>
      <c r="Q8666" s="2" t="s">
        <v>86</v>
      </c>
    </row>
    <row r="8667">
      <c r="A8667" s="2">
        <v>8666.0</v>
      </c>
      <c r="B8667" s="2" t="s">
        <v>13571</v>
      </c>
      <c r="C8667" s="2" t="s">
        <v>23</v>
      </c>
      <c r="K8667" s="2">
        <v>200.0</v>
      </c>
      <c r="N8667" s="6">
        <v>45581.0</v>
      </c>
      <c r="Q8667" s="2" t="s">
        <v>13572</v>
      </c>
    </row>
    <row r="8668">
      <c r="A8668" s="2">
        <v>8667.0</v>
      </c>
      <c r="B8668" s="2" t="s">
        <v>13573</v>
      </c>
      <c r="C8668" s="2" t="s">
        <v>23</v>
      </c>
      <c r="N8668" s="6">
        <v>44319.0</v>
      </c>
      <c r="Q8668" s="2" t="s">
        <v>86</v>
      </c>
    </row>
    <row r="8669">
      <c r="A8669" s="2">
        <v>8668.0</v>
      </c>
      <c r="B8669" s="2" t="s">
        <v>532</v>
      </c>
      <c r="C8669" s="2" t="s">
        <v>23</v>
      </c>
      <c r="K8669" s="2">
        <v>80.0</v>
      </c>
      <c r="N8669" s="6">
        <v>45059.0</v>
      </c>
      <c r="Q8669" s="2" t="s">
        <v>534</v>
      </c>
    </row>
    <row r="8670">
      <c r="A8670" s="2">
        <v>8669.0</v>
      </c>
      <c r="B8670" s="2" t="s">
        <v>13574</v>
      </c>
      <c r="C8670" s="2" t="s">
        <v>23</v>
      </c>
      <c r="K8670" s="2">
        <v>10.0</v>
      </c>
      <c r="N8670" s="6">
        <v>45561.0</v>
      </c>
      <c r="Q8670" s="2" t="s">
        <v>10932</v>
      </c>
    </row>
    <row r="8671">
      <c r="A8671" s="2">
        <v>8670.0</v>
      </c>
      <c r="B8671" s="2" t="s">
        <v>13575</v>
      </c>
      <c r="C8671" s="2" t="s">
        <v>23</v>
      </c>
      <c r="K8671" s="2">
        <v>30.0</v>
      </c>
      <c r="N8671" s="6">
        <v>44901.0</v>
      </c>
      <c r="Q8671" s="2" t="s">
        <v>13576</v>
      </c>
    </row>
    <row r="8672">
      <c r="A8672" s="2">
        <v>8671.0</v>
      </c>
      <c r="B8672" s="2" t="s">
        <v>13577</v>
      </c>
      <c r="C8672" s="2" t="s">
        <v>23</v>
      </c>
      <c r="K8672" s="2">
        <v>30.0</v>
      </c>
      <c r="N8672" s="6">
        <v>44574.0</v>
      </c>
      <c r="Q8672" s="2" t="s">
        <v>60</v>
      </c>
    </row>
    <row r="8673">
      <c r="A8673" s="2">
        <v>8672.0</v>
      </c>
      <c r="B8673" s="2" t="s">
        <v>13578</v>
      </c>
      <c r="C8673" s="2" t="s">
        <v>23</v>
      </c>
      <c r="F8673" s="2">
        <v>0.5</v>
      </c>
      <c r="N8673" s="6">
        <v>45528.0</v>
      </c>
      <c r="Q8673" s="2" t="s">
        <v>13579</v>
      </c>
    </row>
    <row r="8674">
      <c r="A8674" s="2">
        <v>8673.0</v>
      </c>
      <c r="B8674" s="2" t="s">
        <v>13580</v>
      </c>
      <c r="C8674" s="2" t="s">
        <v>23</v>
      </c>
      <c r="K8674" s="2">
        <v>50.0</v>
      </c>
      <c r="N8674" s="6">
        <v>44678.0</v>
      </c>
      <c r="Q8674" s="2" t="s">
        <v>13581</v>
      </c>
    </row>
    <row r="8675">
      <c r="A8675" s="2">
        <v>8674.0</v>
      </c>
      <c r="B8675" s="2" t="s">
        <v>13582</v>
      </c>
      <c r="C8675" s="2" t="s">
        <v>23</v>
      </c>
      <c r="N8675" s="6">
        <v>44269.0</v>
      </c>
      <c r="Q8675" s="2" t="s">
        <v>86</v>
      </c>
    </row>
    <row r="8676">
      <c r="A8676" s="2">
        <v>8675.0</v>
      </c>
      <c r="B8676" s="2" t="s">
        <v>13583</v>
      </c>
      <c r="C8676" s="2" t="s">
        <v>23</v>
      </c>
      <c r="K8676" s="2">
        <v>10.0</v>
      </c>
      <c r="N8676" s="6">
        <v>43855.0</v>
      </c>
      <c r="Q8676" s="2" t="s">
        <v>86</v>
      </c>
    </row>
    <row r="8677">
      <c r="A8677" s="2">
        <v>8676.0</v>
      </c>
      <c r="B8677" s="2" t="s">
        <v>13584</v>
      </c>
      <c r="C8677" s="2" t="s">
        <v>23</v>
      </c>
      <c r="K8677" s="2">
        <v>40.0</v>
      </c>
      <c r="N8677" s="6">
        <v>44493.0</v>
      </c>
      <c r="Q8677" s="2" t="s">
        <v>13585</v>
      </c>
    </row>
    <row r="8678">
      <c r="A8678" s="2">
        <v>8677.0</v>
      </c>
      <c r="B8678" s="2" t="s">
        <v>13586</v>
      </c>
      <c r="C8678" s="2" t="s">
        <v>23</v>
      </c>
      <c r="N8678" s="6">
        <v>45344.0</v>
      </c>
      <c r="Q8678" s="2" t="s">
        <v>86</v>
      </c>
    </row>
    <row r="8679">
      <c r="A8679" s="2">
        <v>8678.0</v>
      </c>
      <c r="B8679" s="2" t="s">
        <v>13587</v>
      </c>
      <c r="C8679" s="2" t="s">
        <v>23</v>
      </c>
      <c r="K8679" s="2">
        <v>10.0</v>
      </c>
      <c r="N8679" s="6">
        <v>44152.0</v>
      </c>
      <c r="Q8679" s="2" t="s">
        <v>86</v>
      </c>
    </row>
    <row r="8680">
      <c r="A8680" s="2">
        <v>8679.0</v>
      </c>
      <c r="B8680" s="2" t="s">
        <v>13588</v>
      </c>
      <c r="C8680" s="2" t="s">
        <v>23</v>
      </c>
      <c r="N8680" s="6">
        <v>44800.0</v>
      </c>
      <c r="Q8680" s="2" t="s">
        <v>401</v>
      </c>
    </row>
    <row r="8681">
      <c r="A8681" s="2">
        <v>8680.0</v>
      </c>
      <c r="B8681" s="2" t="s">
        <v>13589</v>
      </c>
      <c r="C8681" s="2" t="s">
        <v>23</v>
      </c>
      <c r="K8681" s="2">
        <v>200.0</v>
      </c>
      <c r="N8681" s="6">
        <v>42394.0</v>
      </c>
      <c r="Q8681" s="2" t="s">
        <v>13590</v>
      </c>
    </row>
    <row r="8682">
      <c r="A8682" s="2">
        <v>8681.0</v>
      </c>
      <c r="B8682" s="2" t="s">
        <v>13591</v>
      </c>
      <c r="C8682" s="2" t="s">
        <v>23</v>
      </c>
      <c r="N8682" s="6">
        <v>43875.0</v>
      </c>
      <c r="Q8682" s="2" t="s">
        <v>86</v>
      </c>
    </row>
    <row r="8683">
      <c r="A8683" s="2">
        <v>8682.0</v>
      </c>
      <c r="B8683" s="2" t="s">
        <v>13592</v>
      </c>
      <c r="C8683" s="2" t="s">
        <v>23</v>
      </c>
      <c r="K8683" s="2">
        <v>70.0</v>
      </c>
      <c r="N8683" s="6">
        <v>43924.0</v>
      </c>
      <c r="Q8683" s="2" t="s">
        <v>491</v>
      </c>
    </row>
    <row r="8684">
      <c r="A8684" s="2">
        <v>8683.0</v>
      </c>
      <c r="B8684" s="2" t="s">
        <v>13593</v>
      </c>
      <c r="C8684" s="2" t="s">
        <v>23</v>
      </c>
      <c r="N8684" s="6">
        <v>44766.0</v>
      </c>
      <c r="Q8684" s="2" t="s">
        <v>86</v>
      </c>
    </row>
    <row r="8685">
      <c r="A8685" s="2">
        <v>8684.0</v>
      </c>
      <c r="B8685" s="2" t="s">
        <v>13594</v>
      </c>
      <c r="C8685" s="2" t="s">
        <v>23</v>
      </c>
      <c r="N8685" s="6">
        <v>42905.0</v>
      </c>
      <c r="Q8685" s="2" t="s">
        <v>86</v>
      </c>
    </row>
    <row r="8686">
      <c r="A8686" s="2">
        <v>8685.0</v>
      </c>
      <c r="B8686" s="2" t="s">
        <v>13595</v>
      </c>
      <c r="C8686" s="2" t="s">
        <v>23</v>
      </c>
      <c r="N8686" s="6">
        <v>45631.0</v>
      </c>
      <c r="Q8686" s="2" t="s">
        <v>1734</v>
      </c>
    </row>
    <row r="8687">
      <c r="A8687" s="2">
        <v>8686.0</v>
      </c>
      <c r="B8687" s="2" t="s">
        <v>13596</v>
      </c>
      <c r="C8687" s="2" t="s">
        <v>23</v>
      </c>
      <c r="K8687" s="2">
        <v>3500.0</v>
      </c>
      <c r="N8687" s="6">
        <v>43926.0</v>
      </c>
      <c r="Q8687" s="2" t="s">
        <v>13597</v>
      </c>
    </row>
    <row r="8688">
      <c r="A8688" s="2">
        <v>8687.0</v>
      </c>
      <c r="B8688" s="2" t="s">
        <v>13598</v>
      </c>
      <c r="C8688" s="2" t="s">
        <v>23</v>
      </c>
      <c r="K8688" s="2">
        <v>50.0</v>
      </c>
      <c r="N8688" s="6">
        <v>44428.0</v>
      </c>
      <c r="Q8688" s="2" t="s">
        <v>13599</v>
      </c>
    </row>
    <row r="8689">
      <c r="A8689" s="2">
        <v>8688.0</v>
      </c>
      <c r="B8689" s="2" t="s">
        <v>13600</v>
      </c>
      <c r="C8689" s="2" t="s">
        <v>23</v>
      </c>
      <c r="K8689" s="2">
        <v>50.0</v>
      </c>
      <c r="N8689" s="6">
        <v>45709.0</v>
      </c>
      <c r="Q8689" s="2" t="s">
        <v>10258</v>
      </c>
    </row>
    <row r="8690">
      <c r="A8690" s="2">
        <v>8689.0</v>
      </c>
      <c r="B8690" s="2" t="s">
        <v>13601</v>
      </c>
      <c r="C8690" s="2" t="s">
        <v>23</v>
      </c>
      <c r="K8690" s="2">
        <v>200.0</v>
      </c>
      <c r="N8690" s="6">
        <v>44277.0</v>
      </c>
      <c r="Q8690" s="2" t="s">
        <v>13602</v>
      </c>
    </row>
    <row r="8691">
      <c r="A8691" s="2">
        <v>8690.0</v>
      </c>
      <c r="B8691" s="2" t="s">
        <v>13603</v>
      </c>
      <c r="C8691" s="2" t="s">
        <v>23</v>
      </c>
      <c r="K8691" s="2">
        <v>40.0</v>
      </c>
      <c r="N8691" s="6">
        <v>44689.0</v>
      </c>
      <c r="Q8691" s="2" t="s">
        <v>13604</v>
      </c>
    </row>
    <row r="8692">
      <c r="A8692" s="2">
        <v>8691.0</v>
      </c>
      <c r="B8692" s="2" t="s">
        <v>13605</v>
      </c>
      <c r="C8692" s="2" t="s">
        <v>23</v>
      </c>
      <c r="K8692" s="2">
        <v>90.0</v>
      </c>
      <c r="N8692" s="6">
        <v>45964.0</v>
      </c>
      <c r="Q8692" s="2" t="s">
        <v>13606</v>
      </c>
    </row>
    <row r="8693">
      <c r="A8693" s="2">
        <v>8692.0</v>
      </c>
      <c r="B8693" s="2" t="s">
        <v>13607</v>
      </c>
      <c r="C8693" s="2" t="s">
        <v>23</v>
      </c>
      <c r="K8693" s="2">
        <v>30.0</v>
      </c>
      <c r="N8693" s="6">
        <v>45012.0</v>
      </c>
      <c r="Q8693" s="2" t="s">
        <v>86</v>
      </c>
    </row>
    <row r="8694">
      <c r="A8694" s="2">
        <v>8693.0</v>
      </c>
      <c r="B8694" s="2" t="s">
        <v>13608</v>
      </c>
      <c r="C8694" s="2" t="s">
        <v>23</v>
      </c>
      <c r="N8694" s="6">
        <v>44653.0</v>
      </c>
      <c r="Q8694" s="2" t="s">
        <v>86</v>
      </c>
    </row>
    <row r="8695">
      <c r="A8695" s="2">
        <v>8694.0</v>
      </c>
      <c r="B8695" s="2" t="s">
        <v>13609</v>
      </c>
      <c r="C8695" s="2" t="s">
        <v>23</v>
      </c>
      <c r="N8695" s="6">
        <v>44451.0</v>
      </c>
      <c r="Q8695" s="2" t="s">
        <v>86</v>
      </c>
    </row>
    <row r="8696">
      <c r="A8696" s="2">
        <v>8695.0</v>
      </c>
      <c r="B8696" s="2" t="s">
        <v>13610</v>
      </c>
      <c r="C8696" s="2" t="s">
        <v>23</v>
      </c>
      <c r="K8696" s="2">
        <v>30.0</v>
      </c>
      <c r="N8696" s="6">
        <v>45398.0</v>
      </c>
      <c r="Q8696" s="2" t="s">
        <v>13611</v>
      </c>
    </row>
    <row r="8697">
      <c r="A8697" s="2">
        <v>8696.0</v>
      </c>
      <c r="B8697" s="2" t="s">
        <v>13612</v>
      </c>
      <c r="C8697" s="2" t="s">
        <v>23</v>
      </c>
      <c r="K8697" s="2">
        <v>200.0</v>
      </c>
      <c r="N8697" s="6">
        <v>45576.0</v>
      </c>
      <c r="Q8697" s="2" t="s">
        <v>13613</v>
      </c>
    </row>
    <row r="8698">
      <c r="A8698" s="2">
        <v>8697.0</v>
      </c>
      <c r="B8698" s="2" t="s">
        <v>13614</v>
      </c>
      <c r="C8698" s="2" t="s">
        <v>23</v>
      </c>
      <c r="N8698" s="6">
        <v>44783.0</v>
      </c>
      <c r="Q8698" s="2" t="s">
        <v>86</v>
      </c>
    </row>
    <row r="8699">
      <c r="A8699" s="2">
        <v>8698.0</v>
      </c>
      <c r="B8699" s="2" t="s">
        <v>13615</v>
      </c>
      <c r="C8699" s="2" t="s">
        <v>23</v>
      </c>
      <c r="N8699" s="6">
        <v>43207.0</v>
      </c>
      <c r="Q8699" s="2" t="s">
        <v>86</v>
      </c>
    </row>
    <row r="8700">
      <c r="A8700" s="2">
        <v>8699.0</v>
      </c>
      <c r="B8700" s="2" t="s">
        <v>13616</v>
      </c>
      <c r="C8700" s="2" t="s">
        <v>23</v>
      </c>
      <c r="N8700" s="6">
        <v>44046.0</v>
      </c>
      <c r="Q8700" s="2" t="s">
        <v>86</v>
      </c>
    </row>
    <row r="8701">
      <c r="A8701" s="2">
        <v>8700.0</v>
      </c>
      <c r="B8701" s="2" t="s">
        <v>13617</v>
      </c>
      <c r="C8701" s="2" t="s">
        <v>23</v>
      </c>
      <c r="K8701" s="2">
        <v>100.0</v>
      </c>
      <c r="N8701" s="6">
        <v>43887.0</v>
      </c>
      <c r="Q8701" s="2" t="s">
        <v>13618</v>
      </c>
    </row>
    <row r="8702">
      <c r="A8702" s="2">
        <v>8701.0</v>
      </c>
      <c r="B8702" s="2" t="s">
        <v>13619</v>
      </c>
      <c r="C8702" s="2" t="s">
        <v>23</v>
      </c>
      <c r="K8702" s="2">
        <v>70.0</v>
      </c>
      <c r="N8702" s="6">
        <v>44223.0</v>
      </c>
      <c r="Q8702" s="2" t="s">
        <v>1437</v>
      </c>
    </row>
    <row r="8703">
      <c r="A8703" s="2">
        <v>8702.0</v>
      </c>
      <c r="B8703" s="2" t="s">
        <v>13620</v>
      </c>
      <c r="C8703" s="2" t="s">
        <v>23</v>
      </c>
      <c r="N8703" s="6">
        <v>44145.0</v>
      </c>
      <c r="Q8703" s="2" t="s">
        <v>86</v>
      </c>
    </row>
    <row r="8704">
      <c r="A8704" s="2">
        <v>8703.0</v>
      </c>
      <c r="B8704" s="2" t="s">
        <v>13621</v>
      </c>
      <c r="C8704" s="2" t="s">
        <v>23</v>
      </c>
      <c r="K8704" s="2">
        <v>50.0</v>
      </c>
      <c r="N8704" s="6">
        <v>45556.0</v>
      </c>
      <c r="Q8704" s="2" t="s">
        <v>13622</v>
      </c>
    </row>
    <row r="8705">
      <c r="A8705" s="2">
        <v>8704.0</v>
      </c>
      <c r="B8705" s="2" t="s">
        <v>13623</v>
      </c>
      <c r="C8705" s="2" t="s">
        <v>23</v>
      </c>
      <c r="K8705" s="2">
        <v>50.0</v>
      </c>
      <c r="N8705" s="6">
        <v>44044.0</v>
      </c>
      <c r="Q8705" s="2" t="s">
        <v>4395</v>
      </c>
    </row>
    <row r="8706">
      <c r="A8706" s="2">
        <v>8705.0</v>
      </c>
      <c r="B8706" s="2" t="s">
        <v>13624</v>
      </c>
      <c r="C8706" s="2" t="s">
        <v>23</v>
      </c>
      <c r="N8706" s="6">
        <v>45382.0</v>
      </c>
      <c r="Q8706" s="2" t="s">
        <v>94</v>
      </c>
    </row>
    <row r="8707">
      <c r="A8707" s="2">
        <v>8706.0</v>
      </c>
      <c r="B8707" s="2" t="s">
        <v>13625</v>
      </c>
      <c r="C8707" s="2" t="s">
        <v>23</v>
      </c>
      <c r="K8707" s="2">
        <v>30.0</v>
      </c>
      <c r="N8707" s="6">
        <v>43902.0</v>
      </c>
      <c r="Q8707" s="2" t="s">
        <v>86</v>
      </c>
    </row>
    <row r="8708">
      <c r="A8708" s="2">
        <v>8707.0</v>
      </c>
      <c r="B8708" s="2" t="s">
        <v>13626</v>
      </c>
      <c r="C8708" s="2" t="s">
        <v>23</v>
      </c>
      <c r="K8708" s="2">
        <v>40.0</v>
      </c>
      <c r="N8708" s="6">
        <v>42282.0</v>
      </c>
      <c r="Q8708" s="2" t="s">
        <v>13627</v>
      </c>
    </row>
    <row r="8709">
      <c r="A8709" s="2">
        <v>8708.0</v>
      </c>
      <c r="B8709" s="2" t="s">
        <v>13628</v>
      </c>
      <c r="C8709" s="2" t="s">
        <v>23</v>
      </c>
      <c r="N8709" s="6">
        <v>43951.0</v>
      </c>
      <c r="Q8709" s="2" t="s">
        <v>86</v>
      </c>
    </row>
    <row r="8710">
      <c r="A8710" s="2">
        <v>8709.0</v>
      </c>
      <c r="B8710" s="2" t="s">
        <v>13629</v>
      </c>
      <c r="C8710" s="2" t="s">
        <v>23</v>
      </c>
      <c r="N8710" s="6">
        <v>44788.0</v>
      </c>
      <c r="Q8710" s="2" t="s">
        <v>86</v>
      </c>
    </row>
    <row r="8711">
      <c r="A8711" s="2">
        <v>8710.0</v>
      </c>
      <c r="B8711" s="2" t="s">
        <v>13630</v>
      </c>
      <c r="C8711" s="2" t="s">
        <v>23</v>
      </c>
      <c r="K8711" s="2">
        <v>10.0</v>
      </c>
      <c r="N8711" s="6">
        <v>43900.0</v>
      </c>
      <c r="Q8711" s="2" t="s">
        <v>86</v>
      </c>
    </row>
    <row r="8712">
      <c r="A8712" s="2">
        <v>8711.0</v>
      </c>
      <c r="B8712" s="2" t="s">
        <v>13631</v>
      </c>
      <c r="C8712" s="2" t="s">
        <v>23</v>
      </c>
      <c r="K8712" s="2">
        <v>30.0</v>
      </c>
      <c r="N8712" s="6">
        <v>45209.0</v>
      </c>
      <c r="Q8712" s="2" t="s">
        <v>2948</v>
      </c>
    </row>
    <row r="8713">
      <c r="A8713" s="2">
        <v>8712.0</v>
      </c>
      <c r="B8713" s="2" t="s">
        <v>13632</v>
      </c>
      <c r="C8713" s="2" t="s">
        <v>23</v>
      </c>
      <c r="N8713" s="6">
        <v>45036.0</v>
      </c>
      <c r="Q8713" s="2" t="s">
        <v>86</v>
      </c>
    </row>
    <row r="8714">
      <c r="A8714" s="2">
        <v>8713.0</v>
      </c>
      <c r="B8714" s="2" t="s">
        <v>13633</v>
      </c>
      <c r="C8714" s="2" t="s">
        <v>23</v>
      </c>
      <c r="N8714" s="6">
        <v>44700.0</v>
      </c>
      <c r="Q8714" s="2" t="s">
        <v>86</v>
      </c>
    </row>
    <row r="8715">
      <c r="A8715" s="2">
        <v>8714.0</v>
      </c>
      <c r="B8715" s="2" t="s">
        <v>13634</v>
      </c>
      <c r="C8715" s="2" t="s">
        <v>23</v>
      </c>
      <c r="K8715" s="2">
        <v>30.0</v>
      </c>
      <c r="N8715" s="6">
        <v>45415.0</v>
      </c>
      <c r="Q8715" s="2" t="s">
        <v>9668</v>
      </c>
    </row>
    <row r="8716">
      <c r="A8716" s="2">
        <v>8715.0</v>
      </c>
      <c r="B8716" s="2" t="s">
        <v>13635</v>
      </c>
      <c r="C8716" s="2" t="s">
        <v>23</v>
      </c>
      <c r="K8716" s="2">
        <v>10.0</v>
      </c>
      <c r="N8716" s="6">
        <v>44867.0</v>
      </c>
      <c r="Q8716" s="2" t="s">
        <v>86</v>
      </c>
    </row>
    <row r="8717">
      <c r="A8717" s="2">
        <v>8716.0</v>
      </c>
      <c r="B8717" s="2" t="s">
        <v>13636</v>
      </c>
      <c r="C8717" s="2" t="s">
        <v>23</v>
      </c>
      <c r="K8717" s="2">
        <v>90.0</v>
      </c>
      <c r="N8717" s="6">
        <v>44027.0</v>
      </c>
      <c r="Q8717" s="2" t="s">
        <v>13637</v>
      </c>
    </row>
    <row r="8718">
      <c r="A8718" s="2">
        <v>8717.0</v>
      </c>
      <c r="B8718" s="2" t="s">
        <v>13638</v>
      </c>
      <c r="C8718" s="2" t="s">
        <v>23</v>
      </c>
      <c r="K8718" s="2">
        <v>20.0</v>
      </c>
      <c r="N8718" s="6">
        <v>44993.0</v>
      </c>
      <c r="Q8718" s="2" t="s">
        <v>9998</v>
      </c>
    </row>
    <row r="8719">
      <c r="A8719" s="2">
        <v>8718.0</v>
      </c>
      <c r="B8719" s="2" t="s">
        <v>13639</v>
      </c>
      <c r="C8719" s="2" t="s">
        <v>23</v>
      </c>
      <c r="K8719" s="2">
        <v>100.0</v>
      </c>
      <c r="N8719" s="6">
        <v>45604.0</v>
      </c>
      <c r="Q8719" s="2" t="s">
        <v>13640</v>
      </c>
    </row>
    <row r="8720">
      <c r="A8720" s="2">
        <v>8719.0</v>
      </c>
      <c r="B8720" s="2" t="s">
        <v>13641</v>
      </c>
      <c r="C8720" s="2" t="s">
        <v>23</v>
      </c>
      <c r="K8720" s="2">
        <v>10.0</v>
      </c>
      <c r="N8720" s="6">
        <v>44080.0</v>
      </c>
      <c r="Q8720" s="2" t="s">
        <v>86</v>
      </c>
    </row>
    <row r="8721">
      <c r="A8721" s="2">
        <v>8720.0</v>
      </c>
      <c r="B8721" s="2" t="s">
        <v>13642</v>
      </c>
      <c r="C8721" s="2" t="s">
        <v>23</v>
      </c>
      <c r="K8721" s="2">
        <v>200.0</v>
      </c>
      <c r="N8721" s="6">
        <v>43927.0</v>
      </c>
      <c r="Q8721" s="2" t="s">
        <v>13643</v>
      </c>
    </row>
    <row r="8722">
      <c r="A8722" s="2">
        <v>8721.0</v>
      </c>
      <c r="B8722" s="2" t="s">
        <v>13644</v>
      </c>
      <c r="C8722" s="2" t="s">
        <v>23</v>
      </c>
      <c r="K8722" s="2">
        <v>10.0</v>
      </c>
      <c r="N8722" s="6">
        <v>44794.0</v>
      </c>
      <c r="Q8722" s="2" t="s">
        <v>3208</v>
      </c>
    </row>
    <row r="8723">
      <c r="A8723" s="2">
        <v>8722.0</v>
      </c>
      <c r="B8723" s="2" t="s">
        <v>13645</v>
      </c>
      <c r="C8723" s="2" t="s">
        <v>23</v>
      </c>
      <c r="N8723" s="6">
        <v>43500.0</v>
      </c>
      <c r="Q8723" s="2" t="s">
        <v>86</v>
      </c>
    </row>
    <row r="8724">
      <c r="A8724" s="2">
        <v>8723.0</v>
      </c>
      <c r="B8724" s="2" t="s">
        <v>13646</v>
      </c>
      <c r="C8724" s="2" t="s">
        <v>23</v>
      </c>
      <c r="K8724" s="2">
        <v>20.0</v>
      </c>
      <c r="N8724" s="6">
        <v>45732.0</v>
      </c>
      <c r="Q8724" s="2" t="s">
        <v>3852</v>
      </c>
    </row>
    <row r="8725">
      <c r="A8725" s="2">
        <v>8724.0</v>
      </c>
      <c r="B8725" s="2" t="s">
        <v>13647</v>
      </c>
      <c r="C8725" s="2" t="s">
        <v>23</v>
      </c>
      <c r="K8725" s="2">
        <v>20.0</v>
      </c>
      <c r="N8725" s="6">
        <v>45028.0</v>
      </c>
      <c r="Q8725" s="2" t="s">
        <v>13648</v>
      </c>
    </row>
    <row r="8726">
      <c r="A8726" s="2">
        <v>8725.0</v>
      </c>
      <c r="B8726" s="2" t="s">
        <v>13649</v>
      </c>
      <c r="C8726" s="2" t="s">
        <v>23</v>
      </c>
      <c r="K8726" s="2">
        <v>30.0</v>
      </c>
      <c r="N8726" s="6">
        <v>44473.0</v>
      </c>
      <c r="Q8726" s="2" t="s">
        <v>13650</v>
      </c>
    </row>
    <row r="8727">
      <c r="A8727" s="2">
        <v>8726.0</v>
      </c>
      <c r="B8727" s="2" t="s">
        <v>13651</v>
      </c>
      <c r="C8727" s="2" t="s">
        <v>23</v>
      </c>
      <c r="N8727" s="6">
        <v>44409.0</v>
      </c>
      <c r="Q8727" s="2" t="s">
        <v>86</v>
      </c>
    </row>
    <row r="8728">
      <c r="A8728" s="2">
        <v>8727.0</v>
      </c>
      <c r="B8728" s="2" t="s">
        <v>13652</v>
      </c>
      <c r="C8728" s="2" t="s">
        <v>23</v>
      </c>
      <c r="N8728" s="6">
        <v>45089.0</v>
      </c>
      <c r="Q8728" s="2" t="s">
        <v>86</v>
      </c>
    </row>
    <row r="8729">
      <c r="A8729" s="2">
        <v>8728.0</v>
      </c>
      <c r="B8729" s="2" t="s">
        <v>13653</v>
      </c>
      <c r="C8729" s="2" t="s">
        <v>23</v>
      </c>
      <c r="K8729" s="2">
        <v>150.0</v>
      </c>
      <c r="N8729" s="6">
        <v>45599.0</v>
      </c>
      <c r="Q8729" s="2" t="s">
        <v>13654</v>
      </c>
    </row>
    <row r="8730">
      <c r="A8730" s="2">
        <v>8729.0</v>
      </c>
      <c r="B8730" s="2" t="s">
        <v>13655</v>
      </c>
      <c r="C8730" s="2" t="s">
        <v>23</v>
      </c>
      <c r="K8730" s="2">
        <v>20.0</v>
      </c>
      <c r="N8730" s="6">
        <v>43907.0</v>
      </c>
      <c r="Q8730" s="2" t="s">
        <v>86</v>
      </c>
    </row>
    <row r="8731">
      <c r="A8731" s="2">
        <v>8730.0</v>
      </c>
      <c r="B8731" s="2" t="s">
        <v>13656</v>
      </c>
      <c r="C8731" s="2" t="s">
        <v>23</v>
      </c>
      <c r="K8731" s="2">
        <v>60.0</v>
      </c>
      <c r="N8731" s="6">
        <v>44623.0</v>
      </c>
      <c r="Q8731" s="2" t="s">
        <v>86</v>
      </c>
    </row>
    <row r="8732">
      <c r="A8732" s="2">
        <v>8731.0</v>
      </c>
      <c r="B8732" s="2" t="s">
        <v>13657</v>
      </c>
      <c r="C8732" s="2" t="s">
        <v>23</v>
      </c>
      <c r="K8732" s="2">
        <v>50.0</v>
      </c>
      <c r="N8732" s="6">
        <v>45255.0</v>
      </c>
      <c r="Q8732" s="2" t="s">
        <v>12342</v>
      </c>
    </row>
    <row r="8733">
      <c r="A8733" s="2">
        <v>8732.0</v>
      </c>
      <c r="B8733" s="2" t="s">
        <v>13658</v>
      </c>
      <c r="C8733" s="2" t="s">
        <v>23</v>
      </c>
      <c r="K8733" s="2">
        <v>90.0</v>
      </c>
      <c r="N8733" s="6">
        <v>43868.0</v>
      </c>
      <c r="Q8733" s="2" t="s">
        <v>13659</v>
      </c>
    </row>
    <row r="8734">
      <c r="A8734" s="2">
        <v>8733.0</v>
      </c>
      <c r="B8734" s="2" t="s">
        <v>13660</v>
      </c>
      <c r="C8734" s="2" t="s">
        <v>23</v>
      </c>
      <c r="K8734" s="2">
        <v>20.0</v>
      </c>
      <c r="N8734" s="6">
        <v>45085.0</v>
      </c>
      <c r="Q8734" s="2" t="s">
        <v>13661</v>
      </c>
    </row>
    <row r="8735">
      <c r="A8735" s="2">
        <v>8734.0</v>
      </c>
      <c r="B8735" s="2" t="s">
        <v>13662</v>
      </c>
      <c r="C8735" s="2" t="s">
        <v>23</v>
      </c>
      <c r="K8735" s="2">
        <v>50.0</v>
      </c>
      <c r="N8735" s="6">
        <v>45766.0</v>
      </c>
      <c r="Q8735" s="2" t="s">
        <v>6335</v>
      </c>
    </row>
    <row r="8736">
      <c r="A8736" s="2">
        <v>8735.0</v>
      </c>
      <c r="B8736" s="2" t="s">
        <v>13663</v>
      </c>
      <c r="C8736" s="2" t="s">
        <v>23</v>
      </c>
      <c r="N8736" s="6">
        <v>44712.0</v>
      </c>
      <c r="Q8736" s="2" t="s">
        <v>86</v>
      </c>
    </row>
    <row r="8737">
      <c r="A8737" s="2">
        <v>8736.0</v>
      </c>
      <c r="B8737" s="2" t="s">
        <v>13664</v>
      </c>
      <c r="C8737" s="2" t="s">
        <v>23</v>
      </c>
      <c r="K8737" s="2">
        <v>50.0</v>
      </c>
      <c r="N8737" s="6">
        <v>45653.0</v>
      </c>
      <c r="Q8737" s="2" t="s">
        <v>13665</v>
      </c>
    </row>
    <row r="8738">
      <c r="A8738" s="2">
        <v>8737.0</v>
      </c>
      <c r="B8738" s="2" t="s">
        <v>13666</v>
      </c>
      <c r="C8738" s="2" t="s">
        <v>23</v>
      </c>
      <c r="K8738" s="2">
        <v>150.0</v>
      </c>
      <c r="N8738" s="6">
        <v>42270.0</v>
      </c>
      <c r="Q8738" s="2" t="s">
        <v>13667</v>
      </c>
    </row>
    <row r="8739">
      <c r="A8739" s="2">
        <v>8738.0</v>
      </c>
      <c r="B8739" s="2" t="s">
        <v>313</v>
      </c>
      <c r="C8739" s="2" t="s">
        <v>23</v>
      </c>
      <c r="N8739" s="6">
        <v>42911.0</v>
      </c>
      <c r="Q8739" s="2" t="s">
        <v>314</v>
      </c>
    </row>
    <row r="8740">
      <c r="A8740" s="2">
        <v>8739.0</v>
      </c>
      <c r="B8740" s="2" t="s">
        <v>13668</v>
      </c>
      <c r="C8740" s="2" t="s">
        <v>23</v>
      </c>
      <c r="N8740" s="6">
        <v>43936.0</v>
      </c>
      <c r="Q8740" s="2" t="s">
        <v>86</v>
      </c>
    </row>
    <row r="8741">
      <c r="A8741" s="2">
        <v>8740.0</v>
      </c>
      <c r="B8741" s="2" t="s">
        <v>13669</v>
      </c>
      <c r="C8741" s="2" t="s">
        <v>23</v>
      </c>
      <c r="N8741" s="6">
        <v>44168.0</v>
      </c>
      <c r="Q8741" s="2" t="s">
        <v>86</v>
      </c>
    </row>
    <row r="8742">
      <c r="A8742" s="2">
        <v>8741.0</v>
      </c>
      <c r="B8742" s="2" t="s">
        <v>13670</v>
      </c>
      <c r="C8742" s="2" t="s">
        <v>23</v>
      </c>
      <c r="N8742" s="6">
        <v>43690.0</v>
      </c>
      <c r="Q8742" s="2" t="s">
        <v>86</v>
      </c>
    </row>
    <row r="8743">
      <c r="A8743" s="2">
        <v>8742.0</v>
      </c>
      <c r="B8743" s="2" t="s">
        <v>13671</v>
      </c>
      <c r="C8743" s="2" t="s">
        <v>23</v>
      </c>
      <c r="K8743" s="2">
        <v>10.0</v>
      </c>
      <c r="N8743" s="6">
        <v>43021.0</v>
      </c>
      <c r="Q8743" s="2" t="s">
        <v>1070</v>
      </c>
    </row>
    <row r="8744">
      <c r="A8744" s="2">
        <v>8743.0</v>
      </c>
      <c r="B8744" s="2" t="s">
        <v>13672</v>
      </c>
      <c r="C8744" s="2" t="s">
        <v>23</v>
      </c>
      <c r="K8744" s="2">
        <v>30.0</v>
      </c>
      <c r="N8744" s="6">
        <v>45186.0</v>
      </c>
      <c r="Q8744" s="2" t="s">
        <v>9364</v>
      </c>
    </row>
    <row r="8745">
      <c r="A8745" s="2">
        <v>8744.0</v>
      </c>
      <c r="B8745" s="2" t="s">
        <v>13673</v>
      </c>
      <c r="C8745" s="2" t="s">
        <v>23</v>
      </c>
      <c r="K8745" s="2">
        <v>90.0</v>
      </c>
      <c r="N8745" s="6">
        <v>43882.0</v>
      </c>
      <c r="Q8745" s="2" t="s">
        <v>13674</v>
      </c>
    </row>
    <row r="8746">
      <c r="A8746" s="2">
        <v>8745.0</v>
      </c>
      <c r="B8746" s="2" t="s">
        <v>13675</v>
      </c>
      <c r="C8746" s="2" t="s">
        <v>23</v>
      </c>
      <c r="K8746" s="2">
        <v>200.0</v>
      </c>
      <c r="N8746" s="6">
        <v>44732.0</v>
      </c>
      <c r="Q8746" s="2" t="s">
        <v>1801</v>
      </c>
    </row>
    <row r="8747">
      <c r="A8747" s="2">
        <v>8746.0</v>
      </c>
      <c r="B8747" s="2" t="s">
        <v>13676</v>
      </c>
      <c r="C8747" s="2" t="s">
        <v>23</v>
      </c>
      <c r="N8747" s="6">
        <v>43147.0</v>
      </c>
      <c r="Q8747" s="2" t="s">
        <v>86</v>
      </c>
    </row>
    <row r="8748">
      <c r="A8748" s="2">
        <v>8747.0</v>
      </c>
      <c r="B8748" s="2" t="s">
        <v>13677</v>
      </c>
      <c r="C8748" s="2" t="s">
        <v>23</v>
      </c>
      <c r="N8748" s="6">
        <v>45562.0</v>
      </c>
      <c r="Q8748" s="2" t="s">
        <v>7502</v>
      </c>
    </row>
    <row r="8749">
      <c r="A8749" s="2">
        <v>8748.0</v>
      </c>
      <c r="B8749" s="2" t="s">
        <v>13678</v>
      </c>
      <c r="C8749" s="2" t="s">
        <v>23</v>
      </c>
      <c r="K8749" s="2">
        <v>80.0</v>
      </c>
      <c r="N8749" s="6">
        <v>45644.0</v>
      </c>
      <c r="Q8749" s="2" t="s">
        <v>13679</v>
      </c>
    </row>
    <row r="8750">
      <c r="A8750" s="2">
        <v>8749.0</v>
      </c>
      <c r="B8750" s="2" t="s">
        <v>13680</v>
      </c>
      <c r="C8750" s="2" t="s">
        <v>23</v>
      </c>
      <c r="N8750" s="6">
        <v>44591.0</v>
      </c>
      <c r="Q8750" s="2" t="s">
        <v>86</v>
      </c>
    </row>
    <row r="8751">
      <c r="A8751" s="2">
        <v>8750.0</v>
      </c>
      <c r="B8751" s="2" t="s">
        <v>13681</v>
      </c>
      <c r="C8751" s="2" t="s">
        <v>23</v>
      </c>
      <c r="N8751" s="6">
        <v>44849.0</v>
      </c>
      <c r="Q8751" s="2" t="s">
        <v>86</v>
      </c>
    </row>
    <row r="8752">
      <c r="A8752" s="2">
        <v>8751.0</v>
      </c>
      <c r="B8752" s="2" t="s">
        <v>13682</v>
      </c>
      <c r="C8752" s="2" t="s">
        <v>23</v>
      </c>
      <c r="K8752" s="2">
        <v>20.0</v>
      </c>
      <c r="N8752" s="6">
        <v>43910.0</v>
      </c>
      <c r="Q8752" s="2" t="s">
        <v>2135</v>
      </c>
    </row>
    <row r="8753">
      <c r="A8753" s="2">
        <v>8752.0</v>
      </c>
      <c r="B8753" s="2" t="s">
        <v>13683</v>
      </c>
      <c r="C8753" s="2" t="s">
        <v>23</v>
      </c>
      <c r="N8753" s="6">
        <v>44577.0</v>
      </c>
      <c r="Q8753" s="2" t="s">
        <v>86</v>
      </c>
    </row>
    <row r="8754">
      <c r="A8754" s="2">
        <v>8753.0</v>
      </c>
      <c r="B8754" s="2" t="s">
        <v>13684</v>
      </c>
      <c r="C8754" s="2" t="s">
        <v>23</v>
      </c>
      <c r="K8754" s="2">
        <v>30.0</v>
      </c>
      <c r="N8754" s="6">
        <v>45021.0</v>
      </c>
      <c r="Q8754" s="2" t="s">
        <v>139</v>
      </c>
    </row>
    <row r="8755">
      <c r="A8755" s="2">
        <v>8754.0</v>
      </c>
      <c r="B8755" s="2" t="s">
        <v>13685</v>
      </c>
      <c r="C8755" s="2" t="s">
        <v>23</v>
      </c>
      <c r="K8755" s="2">
        <v>10.0</v>
      </c>
      <c r="N8755" s="6">
        <v>44779.0</v>
      </c>
      <c r="Q8755" s="2" t="s">
        <v>13686</v>
      </c>
    </row>
    <row r="8756">
      <c r="A8756" s="2">
        <v>8755.0</v>
      </c>
      <c r="B8756" s="2" t="s">
        <v>13687</v>
      </c>
      <c r="C8756" s="2" t="s">
        <v>23</v>
      </c>
      <c r="K8756" s="2">
        <v>30.0</v>
      </c>
      <c r="N8756" s="6">
        <v>44888.0</v>
      </c>
      <c r="Q8756" s="2" t="s">
        <v>3514</v>
      </c>
    </row>
    <row r="8757">
      <c r="A8757" s="2">
        <v>8756.0</v>
      </c>
      <c r="B8757" s="2" t="s">
        <v>13688</v>
      </c>
      <c r="C8757" s="2" t="s">
        <v>23</v>
      </c>
      <c r="N8757" s="6">
        <v>45168.0</v>
      </c>
      <c r="Q8757" s="2" t="s">
        <v>86</v>
      </c>
    </row>
    <row r="8758">
      <c r="A8758" s="2">
        <v>8757.0</v>
      </c>
      <c r="B8758" s="2" t="s">
        <v>13689</v>
      </c>
      <c r="C8758" s="2" t="s">
        <v>23</v>
      </c>
      <c r="N8758" s="6">
        <v>44229.0</v>
      </c>
      <c r="Q8758" s="2" t="s">
        <v>86</v>
      </c>
    </row>
    <row r="8759">
      <c r="A8759" s="2">
        <v>8758.0</v>
      </c>
      <c r="B8759" s="2" t="s">
        <v>13690</v>
      </c>
      <c r="C8759" s="2" t="s">
        <v>23</v>
      </c>
      <c r="K8759" s="2">
        <v>10.0</v>
      </c>
      <c r="N8759" s="6">
        <v>45203.0</v>
      </c>
      <c r="Q8759" s="2" t="s">
        <v>4384</v>
      </c>
    </row>
    <row r="8760">
      <c r="A8760" s="2">
        <v>8759.0</v>
      </c>
      <c r="B8760" s="2" t="s">
        <v>13691</v>
      </c>
      <c r="C8760" s="2" t="s">
        <v>23</v>
      </c>
      <c r="N8760" s="6">
        <v>42607.0</v>
      </c>
      <c r="Q8760" s="2" t="s">
        <v>86</v>
      </c>
    </row>
    <row r="8761">
      <c r="A8761" s="2">
        <v>8760.0</v>
      </c>
      <c r="B8761" s="2" t="s">
        <v>13692</v>
      </c>
      <c r="C8761" s="2" t="s">
        <v>23</v>
      </c>
      <c r="K8761" s="2">
        <v>450.0</v>
      </c>
      <c r="N8761" s="6">
        <v>45088.0</v>
      </c>
      <c r="Q8761" s="2" t="s">
        <v>13693</v>
      </c>
    </row>
    <row r="8762">
      <c r="A8762" s="2">
        <v>8761.0</v>
      </c>
      <c r="B8762" s="2" t="s">
        <v>13694</v>
      </c>
      <c r="C8762" s="2" t="s">
        <v>23</v>
      </c>
      <c r="K8762" s="2">
        <v>40.0</v>
      </c>
      <c r="N8762" s="6">
        <v>44632.0</v>
      </c>
      <c r="Q8762" s="2" t="s">
        <v>86</v>
      </c>
    </row>
    <row r="8763">
      <c r="A8763" s="2">
        <v>8762.0</v>
      </c>
      <c r="B8763" s="2" t="s">
        <v>13695</v>
      </c>
      <c r="C8763" s="2" t="s">
        <v>23</v>
      </c>
      <c r="K8763" s="2">
        <v>150.0</v>
      </c>
      <c r="N8763" s="6">
        <v>44041.0</v>
      </c>
      <c r="Q8763" s="2" t="s">
        <v>13696</v>
      </c>
    </row>
    <row r="8764">
      <c r="A8764" s="2">
        <v>8763.0</v>
      </c>
      <c r="B8764" s="2" t="s">
        <v>13697</v>
      </c>
      <c r="C8764" s="2" t="s">
        <v>23</v>
      </c>
      <c r="N8764" s="6">
        <v>44223.0</v>
      </c>
      <c r="Q8764" s="2" t="s">
        <v>86</v>
      </c>
    </row>
    <row r="8765">
      <c r="A8765" s="2">
        <v>8764.0</v>
      </c>
      <c r="B8765" s="2" t="s">
        <v>13698</v>
      </c>
      <c r="C8765" s="2" t="s">
        <v>23</v>
      </c>
      <c r="K8765" s="2">
        <v>50.0</v>
      </c>
      <c r="N8765" s="6">
        <v>44034.0</v>
      </c>
      <c r="Q8765" s="2" t="s">
        <v>3232</v>
      </c>
    </row>
    <row r="8766">
      <c r="A8766" s="2">
        <v>8765.0</v>
      </c>
      <c r="B8766" s="2" t="s">
        <v>13699</v>
      </c>
      <c r="C8766" s="2" t="s">
        <v>23</v>
      </c>
      <c r="K8766" s="2">
        <v>40.0</v>
      </c>
      <c r="N8766" s="6">
        <v>43847.0</v>
      </c>
      <c r="Q8766" s="2" t="s">
        <v>13700</v>
      </c>
    </row>
    <row r="8767">
      <c r="A8767" s="2">
        <v>8766.0</v>
      </c>
      <c r="B8767" s="2" t="s">
        <v>13701</v>
      </c>
      <c r="C8767" s="2" t="s">
        <v>23</v>
      </c>
      <c r="N8767" s="6">
        <v>42475.0</v>
      </c>
      <c r="O8767" s="2" t="s">
        <v>35</v>
      </c>
      <c r="P8767" s="2" t="s">
        <v>36</v>
      </c>
      <c r="Q8767" s="2" t="s">
        <v>13702</v>
      </c>
      <c r="S8767" s="2" t="s">
        <v>10330</v>
      </c>
    </row>
    <row r="8768">
      <c r="A8768" s="2">
        <v>8767.0</v>
      </c>
      <c r="B8768" s="2" t="s">
        <v>13703</v>
      </c>
      <c r="C8768" s="2" t="s">
        <v>23</v>
      </c>
      <c r="K8768" s="2">
        <v>90.0</v>
      </c>
      <c r="N8768" s="6">
        <v>43151.0</v>
      </c>
      <c r="Q8768" s="2" t="s">
        <v>13704</v>
      </c>
    </row>
    <row r="8769">
      <c r="A8769" s="2">
        <v>8768.0</v>
      </c>
      <c r="B8769" s="2" t="s">
        <v>13705</v>
      </c>
      <c r="C8769" s="2" t="s">
        <v>23</v>
      </c>
      <c r="K8769" s="2">
        <v>100.0</v>
      </c>
      <c r="N8769" s="6">
        <v>45022.0</v>
      </c>
      <c r="Q8769" s="2" t="s">
        <v>13706</v>
      </c>
    </row>
    <row r="8770">
      <c r="A8770" s="2">
        <v>8769.0</v>
      </c>
      <c r="B8770" s="2" t="s">
        <v>13707</v>
      </c>
      <c r="C8770" s="2" t="s">
        <v>23</v>
      </c>
      <c r="K8770" s="2">
        <v>10.0</v>
      </c>
      <c r="N8770" s="6">
        <v>44291.0</v>
      </c>
      <c r="Q8770" s="2" t="s">
        <v>3809</v>
      </c>
    </row>
    <row r="8771">
      <c r="A8771" s="2">
        <v>8770.0</v>
      </c>
      <c r="B8771" s="2" t="s">
        <v>13708</v>
      </c>
      <c r="C8771" s="2" t="s">
        <v>23</v>
      </c>
      <c r="K8771" s="2">
        <v>40.0</v>
      </c>
      <c r="N8771" s="6">
        <v>45719.0</v>
      </c>
      <c r="Q8771" s="2" t="s">
        <v>9241</v>
      </c>
    </row>
    <row r="8772">
      <c r="A8772" s="2">
        <v>8771.0</v>
      </c>
      <c r="B8772" s="2" t="s">
        <v>13709</v>
      </c>
      <c r="C8772" s="2" t="s">
        <v>23</v>
      </c>
      <c r="K8772" s="2">
        <v>40.0</v>
      </c>
      <c r="N8772" s="6">
        <v>45164.0</v>
      </c>
      <c r="Q8772" s="2" t="s">
        <v>13710</v>
      </c>
    </row>
    <row r="8773">
      <c r="A8773" s="2">
        <v>8772.0</v>
      </c>
      <c r="B8773" s="2" t="s">
        <v>13711</v>
      </c>
      <c r="C8773" s="2" t="s">
        <v>23</v>
      </c>
      <c r="N8773" s="6">
        <v>45157.0</v>
      </c>
      <c r="Q8773" s="2" t="s">
        <v>86</v>
      </c>
    </row>
    <row r="8774">
      <c r="A8774" s="2">
        <v>8773.0</v>
      </c>
      <c r="B8774" s="2" t="s">
        <v>13712</v>
      </c>
      <c r="C8774" s="2" t="s">
        <v>23</v>
      </c>
      <c r="K8774" s="2">
        <v>20.0</v>
      </c>
      <c r="N8774" s="6">
        <v>44903.0</v>
      </c>
      <c r="Q8774" s="2" t="s">
        <v>13713</v>
      </c>
    </row>
    <row r="8775">
      <c r="A8775" s="2">
        <v>8774.0</v>
      </c>
      <c r="B8775" s="2" t="s">
        <v>13714</v>
      </c>
      <c r="C8775" s="2" t="s">
        <v>23</v>
      </c>
      <c r="N8775" s="6">
        <v>44966.0</v>
      </c>
      <c r="Q8775" s="2" t="s">
        <v>86</v>
      </c>
    </row>
    <row r="8776">
      <c r="A8776" s="2">
        <v>8775.0</v>
      </c>
      <c r="B8776" s="2" t="s">
        <v>13715</v>
      </c>
      <c r="C8776" s="2" t="s">
        <v>23</v>
      </c>
      <c r="K8776" s="2">
        <v>200.0</v>
      </c>
      <c r="N8776" s="6">
        <v>43855.0</v>
      </c>
      <c r="Q8776" s="2" t="s">
        <v>13716</v>
      </c>
    </row>
    <row r="8777">
      <c r="A8777" s="2">
        <v>8776.0</v>
      </c>
      <c r="B8777" s="2" t="s">
        <v>13717</v>
      </c>
      <c r="C8777" s="2" t="s">
        <v>23</v>
      </c>
      <c r="K8777" s="2">
        <v>20.0</v>
      </c>
      <c r="N8777" s="6">
        <v>44909.0</v>
      </c>
      <c r="Q8777" s="2" t="s">
        <v>2494</v>
      </c>
    </row>
    <row r="8778">
      <c r="A8778" s="2">
        <v>8777.0</v>
      </c>
      <c r="B8778" s="2" t="s">
        <v>13718</v>
      </c>
      <c r="C8778" s="2" t="s">
        <v>23</v>
      </c>
      <c r="K8778" s="2">
        <v>150.0</v>
      </c>
      <c r="N8778" s="6">
        <v>43865.0</v>
      </c>
      <c r="Q8778" s="2" t="s">
        <v>13719</v>
      </c>
    </row>
    <row r="8779">
      <c r="A8779" s="2">
        <v>8778.0</v>
      </c>
      <c r="B8779" s="2" t="s">
        <v>13720</v>
      </c>
      <c r="C8779" s="2" t="s">
        <v>23</v>
      </c>
      <c r="N8779" s="6">
        <v>44366.0</v>
      </c>
      <c r="Q8779" s="2" t="s">
        <v>86</v>
      </c>
    </row>
    <row r="8780">
      <c r="A8780" s="2">
        <v>8779.0</v>
      </c>
      <c r="B8780" s="2" t="s">
        <v>13721</v>
      </c>
      <c r="C8780" s="2" t="s">
        <v>23</v>
      </c>
      <c r="K8780" s="2">
        <v>50.0</v>
      </c>
      <c r="N8780" s="6">
        <v>45677.0</v>
      </c>
      <c r="Q8780" s="2" t="s">
        <v>13722</v>
      </c>
    </row>
    <row r="8781">
      <c r="A8781" s="2">
        <v>8780.0</v>
      </c>
      <c r="B8781" s="2" t="s">
        <v>13723</v>
      </c>
      <c r="C8781" s="2" t="s">
        <v>23</v>
      </c>
      <c r="K8781" s="2">
        <v>70.0</v>
      </c>
      <c r="N8781" s="6">
        <v>45682.0</v>
      </c>
      <c r="Q8781" s="2" t="s">
        <v>4395</v>
      </c>
    </row>
    <row r="8782">
      <c r="A8782" s="2">
        <v>8781.0</v>
      </c>
      <c r="B8782" s="2" t="s">
        <v>13724</v>
      </c>
      <c r="C8782" s="2" t="s">
        <v>23</v>
      </c>
      <c r="K8782" s="2">
        <v>40.0</v>
      </c>
      <c r="N8782" s="6">
        <v>43925.0</v>
      </c>
      <c r="Q8782" s="2" t="s">
        <v>13725</v>
      </c>
    </row>
    <row r="8783">
      <c r="A8783" s="2">
        <v>8782.0</v>
      </c>
      <c r="B8783" s="2" t="s">
        <v>13726</v>
      </c>
      <c r="C8783" s="2" t="s">
        <v>23</v>
      </c>
      <c r="N8783" s="6">
        <v>45559.0</v>
      </c>
      <c r="Q8783" s="2" t="s">
        <v>2541</v>
      </c>
    </row>
    <row r="8784">
      <c r="A8784" s="2">
        <v>8783.0</v>
      </c>
      <c r="B8784" s="2" t="s">
        <v>13727</v>
      </c>
      <c r="C8784" s="2" t="s">
        <v>23</v>
      </c>
      <c r="N8784" s="6">
        <v>44988.0</v>
      </c>
      <c r="Q8784" s="2" t="s">
        <v>1123</v>
      </c>
    </row>
    <row r="8785">
      <c r="A8785" s="2">
        <v>8784.0</v>
      </c>
      <c r="B8785" s="2" t="s">
        <v>13728</v>
      </c>
      <c r="C8785" s="2" t="s">
        <v>23</v>
      </c>
      <c r="K8785" s="2">
        <v>50.0</v>
      </c>
      <c r="N8785" s="6">
        <v>44721.0</v>
      </c>
      <c r="Q8785" s="2" t="s">
        <v>2701</v>
      </c>
    </row>
    <row r="8786">
      <c r="A8786" s="2">
        <v>8785.0</v>
      </c>
      <c r="B8786" s="2" t="s">
        <v>13729</v>
      </c>
      <c r="C8786" s="2" t="s">
        <v>23</v>
      </c>
      <c r="N8786" s="6">
        <v>45055.0</v>
      </c>
      <c r="Q8786" s="2" t="s">
        <v>2583</v>
      </c>
    </row>
    <row r="8787">
      <c r="A8787" s="2">
        <v>8786.0</v>
      </c>
      <c r="B8787" s="2" t="s">
        <v>13730</v>
      </c>
      <c r="C8787" s="2" t="s">
        <v>23</v>
      </c>
      <c r="K8787" s="2">
        <v>10.0</v>
      </c>
      <c r="N8787" s="6">
        <v>45203.0</v>
      </c>
      <c r="Q8787" s="2" t="s">
        <v>10686</v>
      </c>
    </row>
    <row r="8788">
      <c r="A8788" s="2">
        <v>8787.0</v>
      </c>
      <c r="B8788" s="2" t="s">
        <v>13731</v>
      </c>
      <c r="C8788" s="2" t="s">
        <v>23</v>
      </c>
      <c r="K8788" s="2">
        <v>40.0</v>
      </c>
      <c r="N8788" s="6">
        <v>44750.0</v>
      </c>
      <c r="Q8788" s="2" t="s">
        <v>10980</v>
      </c>
    </row>
    <row r="8789">
      <c r="A8789" s="2">
        <v>8788.0</v>
      </c>
      <c r="B8789" s="2" t="s">
        <v>13732</v>
      </c>
      <c r="C8789" s="2" t="s">
        <v>23</v>
      </c>
      <c r="N8789" s="6">
        <v>43956.0</v>
      </c>
      <c r="Q8789" s="2" t="s">
        <v>86</v>
      </c>
    </row>
    <row r="8790">
      <c r="A8790" s="2">
        <v>8789.0</v>
      </c>
      <c r="B8790" s="2" t="s">
        <v>13733</v>
      </c>
      <c r="C8790" s="2" t="s">
        <v>23</v>
      </c>
      <c r="K8790" s="2">
        <v>10.0</v>
      </c>
      <c r="N8790" s="6">
        <v>44380.0</v>
      </c>
      <c r="Q8790" s="2" t="s">
        <v>86</v>
      </c>
    </row>
    <row r="8791">
      <c r="A8791" s="2">
        <v>8790.0</v>
      </c>
      <c r="B8791" s="2" t="s">
        <v>13734</v>
      </c>
      <c r="C8791" s="2" t="s">
        <v>23</v>
      </c>
      <c r="K8791" s="2">
        <v>30.0</v>
      </c>
      <c r="N8791" s="6">
        <v>44695.0</v>
      </c>
      <c r="Q8791" s="2" t="s">
        <v>86</v>
      </c>
    </row>
    <row r="8792">
      <c r="A8792" s="2">
        <v>8791.0</v>
      </c>
      <c r="B8792" s="2" t="s">
        <v>13735</v>
      </c>
      <c r="C8792" s="2" t="s">
        <v>23</v>
      </c>
      <c r="N8792" s="6">
        <v>44614.0</v>
      </c>
      <c r="Q8792" s="2" t="s">
        <v>86</v>
      </c>
    </row>
    <row r="8793">
      <c r="A8793" s="2">
        <v>8792.0</v>
      </c>
      <c r="B8793" s="2" t="s">
        <v>13736</v>
      </c>
      <c r="C8793" s="2" t="s">
        <v>23</v>
      </c>
      <c r="N8793" s="6">
        <v>44328.0</v>
      </c>
      <c r="Q8793" s="2" t="s">
        <v>86</v>
      </c>
    </row>
    <row r="8794">
      <c r="A8794" s="2">
        <v>8793.0</v>
      </c>
      <c r="B8794" s="2" t="s">
        <v>13737</v>
      </c>
      <c r="C8794" s="2" t="s">
        <v>23</v>
      </c>
      <c r="N8794" s="6">
        <v>43807.0</v>
      </c>
      <c r="Q8794" s="2" t="s">
        <v>13738</v>
      </c>
    </row>
    <row r="8795">
      <c r="A8795" s="2">
        <v>8794.0</v>
      </c>
      <c r="B8795" s="2" t="s">
        <v>13739</v>
      </c>
      <c r="C8795" s="2" t="s">
        <v>23</v>
      </c>
      <c r="K8795" s="2">
        <v>60.0</v>
      </c>
      <c r="N8795" s="6">
        <v>44355.0</v>
      </c>
      <c r="Q8795" s="2" t="s">
        <v>86</v>
      </c>
    </row>
    <row r="8796">
      <c r="A8796" s="2">
        <v>8795.0</v>
      </c>
      <c r="B8796" s="2" t="s">
        <v>13740</v>
      </c>
      <c r="C8796" s="2" t="s">
        <v>23</v>
      </c>
      <c r="N8796" s="6">
        <v>44812.0</v>
      </c>
      <c r="Q8796" s="2" t="s">
        <v>3290</v>
      </c>
    </row>
    <row r="8797">
      <c r="A8797" s="2">
        <v>8796.0</v>
      </c>
      <c r="B8797" s="2" t="s">
        <v>13741</v>
      </c>
      <c r="C8797" s="2" t="s">
        <v>23</v>
      </c>
      <c r="K8797" s="2">
        <v>10.0</v>
      </c>
      <c r="N8797" s="6">
        <v>43385.0</v>
      </c>
      <c r="Q8797" s="2" t="s">
        <v>86</v>
      </c>
    </row>
    <row r="8798">
      <c r="A8798" s="2">
        <v>8797.0</v>
      </c>
      <c r="B8798" s="2" t="s">
        <v>13742</v>
      </c>
      <c r="C8798" s="2" t="s">
        <v>23</v>
      </c>
      <c r="K8798" s="2">
        <v>40.0</v>
      </c>
      <c r="N8798" s="6">
        <v>44559.0</v>
      </c>
      <c r="Q8798" s="2" t="s">
        <v>86</v>
      </c>
    </row>
    <row r="8799">
      <c r="A8799" s="2">
        <v>8798.0</v>
      </c>
      <c r="B8799" s="2" t="s">
        <v>13743</v>
      </c>
      <c r="C8799" s="2" t="s">
        <v>23</v>
      </c>
      <c r="K8799" s="2">
        <v>90.0</v>
      </c>
      <c r="N8799" s="6">
        <v>43992.0</v>
      </c>
      <c r="Q8799" s="2" t="s">
        <v>1605</v>
      </c>
    </row>
    <row r="8800">
      <c r="A8800" s="2">
        <v>8799.0</v>
      </c>
      <c r="B8800" s="2" t="s">
        <v>13744</v>
      </c>
      <c r="C8800" s="2" t="s">
        <v>23</v>
      </c>
      <c r="N8800" s="6">
        <v>44945.0</v>
      </c>
      <c r="Q8800" s="2" t="s">
        <v>86</v>
      </c>
    </row>
    <row r="8801">
      <c r="A8801" s="2">
        <v>8800.0</v>
      </c>
      <c r="B8801" s="2" t="s">
        <v>13745</v>
      </c>
      <c r="C8801" s="2" t="s">
        <v>23</v>
      </c>
      <c r="N8801" s="6">
        <v>44149.0</v>
      </c>
      <c r="Q8801" s="2" t="s">
        <v>86</v>
      </c>
    </row>
    <row r="8802">
      <c r="A8802" s="2">
        <v>8801.0</v>
      </c>
      <c r="B8802" s="2" t="s">
        <v>13746</v>
      </c>
      <c r="C8802" s="2" t="s">
        <v>23</v>
      </c>
      <c r="K8802" s="2">
        <v>30.0</v>
      </c>
      <c r="N8802" s="6">
        <v>44361.0</v>
      </c>
      <c r="Q8802" s="2" t="s">
        <v>13747</v>
      </c>
    </row>
    <row r="8803">
      <c r="A8803" s="2">
        <v>8802.0</v>
      </c>
      <c r="B8803" s="2" t="s">
        <v>13748</v>
      </c>
      <c r="C8803" s="2" t="s">
        <v>23</v>
      </c>
      <c r="K8803" s="2">
        <v>30.0</v>
      </c>
      <c r="N8803" s="6">
        <v>44110.0</v>
      </c>
      <c r="Q8803" s="2" t="s">
        <v>1116</v>
      </c>
    </row>
    <row r="8804">
      <c r="A8804" s="2">
        <v>8803.0</v>
      </c>
      <c r="B8804" s="2" t="s">
        <v>13749</v>
      </c>
      <c r="C8804" s="2" t="s">
        <v>23</v>
      </c>
      <c r="K8804" s="2">
        <v>450.0</v>
      </c>
      <c r="N8804" s="6">
        <v>43975.0</v>
      </c>
      <c r="Q8804" s="2" t="s">
        <v>13750</v>
      </c>
    </row>
    <row r="8805">
      <c r="A8805" s="2">
        <v>8804.0</v>
      </c>
      <c r="B8805" s="2" t="s">
        <v>13751</v>
      </c>
      <c r="C8805" s="2" t="s">
        <v>23</v>
      </c>
      <c r="K8805" s="2">
        <v>20.0</v>
      </c>
      <c r="N8805" s="6">
        <v>44594.0</v>
      </c>
      <c r="Q8805" s="2" t="s">
        <v>13752</v>
      </c>
    </row>
    <row r="8806">
      <c r="A8806" s="2">
        <v>8805.0</v>
      </c>
      <c r="B8806" s="2" t="s">
        <v>13753</v>
      </c>
      <c r="C8806" s="2" t="s">
        <v>23</v>
      </c>
      <c r="K8806" s="2">
        <v>300.0</v>
      </c>
      <c r="N8806" s="6">
        <v>44113.0</v>
      </c>
      <c r="Q8806" s="2" t="s">
        <v>13754</v>
      </c>
    </row>
    <row r="8807">
      <c r="A8807" s="2">
        <v>8806.0</v>
      </c>
      <c r="B8807" s="2" t="s">
        <v>13755</v>
      </c>
      <c r="C8807" s="2" t="s">
        <v>23</v>
      </c>
      <c r="K8807" s="2">
        <v>10.0</v>
      </c>
      <c r="N8807" s="6">
        <v>45078.0</v>
      </c>
      <c r="Q8807" s="2" t="s">
        <v>540</v>
      </c>
    </row>
    <row r="8808">
      <c r="A8808" s="2">
        <v>8807.0</v>
      </c>
      <c r="B8808" s="2" t="s">
        <v>13756</v>
      </c>
      <c r="C8808" s="2" t="s">
        <v>23</v>
      </c>
      <c r="K8808" s="2">
        <v>20.0</v>
      </c>
      <c r="N8808" s="6">
        <v>45745.0</v>
      </c>
      <c r="Q8808" s="2" t="s">
        <v>13757</v>
      </c>
    </row>
    <row r="8809">
      <c r="A8809" s="2">
        <v>8808.0</v>
      </c>
      <c r="B8809" s="2" t="s">
        <v>13758</v>
      </c>
      <c r="C8809" s="2" t="s">
        <v>23</v>
      </c>
      <c r="K8809" s="2">
        <v>10.0</v>
      </c>
      <c r="N8809" s="6">
        <v>44588.0</v>
      </c>
      <c r="Q8809" s="2" t="s">
        <v>86</v>
      </c>
    </row>
    <row r="8810">
      <c r="A8810" s="2">
        <v>8809.0</v>
      </c>
      <c r="B8810" s="2" t="s">
        <v>13759</v>
      </c>
      <c r="C8810" s="2" t="s">
        <v>23</v>
      </c>
      <c r="N8810" s="6">
        <v>45039.0</v>
      </c>
      <c r="Q8810" s="2" t="s">
        <v>86</v>
      </c>
    </row>
    <row r="8811">
      <c r="A8811" s="2">
        <v>8810.0</v>
      </c>
      <c r="B8811" s="2" t="s">
        <v>13760</v>
      </c>
      <c r="C8811" s="2" t="s">
        <v>23</v>
      </c>
      <c r="K8811" s="2">
        <v>50.0</v>
      </c>
      <c r="N8811" s="6">
        <v>45889.0</v>
      </c>
      <c r="Q8811" s="2" t="s">
        <v>13761</v>
      </c>
    </row>
    <row r="8812">
      <c r="A8812" s="2">
        <v>8811.0</v>
      </c>
      <c r="B8812" s="2" t="s">
        <v>13762</v>
      </c>
      <c r="C8812" s="2" t="s">
        <v>23</v>
      </c>
      <c r="K8812" s="2">
        <v>60.0</v>
      </c>
      <c r="N8812" s="6">
        <v>43970.0</v>
      </c>
      <c r="Q8812" s="2" t="s">
        <v>13763</v>
      </c>
    </row>
    <row r="8813">
      <c r="A8813" s="2">
        <v>8812.0</v>
      </c>
      <c r="B8813" s="2" t="s">
        <v>13764</v>
      </c>
      <c r="C8813" s="2" t="s">
        <v>23</v>
      </c>
      <c r="K8813" s="2">
        <v>30.0</v>
      </c>
      <c r="N8813" s="6">
        <v>44634.0</v>
      </c>
      <c r="Q8813" s="2" t="s">
        <v>2820</v>
      </c>
    </row>
    <row r="8814">
      <c r="A8814" s="2">
        <v>8813.0</v>
      </c>
      <c r="B8814" s="2" t="s">
        <v>13765</v>
      </c>
      <c r="C8814" s="2" t="s">
        <v>23</v>
      </c>
      <c r="N8814" s="6">
        <v>44171.0</v>
      </c>
      <c r="Q8814" s="2" t="s">
        <v>13766</v>
      </c>
    </row>
    <row r="8815">
      <c r="A8815" s="2">
        <v>8814.0</v>
      </c>
      <c r="B8815" s="2" t="s">
        <v>13767</v>
      </c>
      <c r="C8815" s="2" t="s">
        <v>23</v>
      </c>
      <c r="N8815" s="6">
        <v>43852.0</v>
      </c>
      <c r="Q8815" s="2" t="s">
        <v>86</v>
      </c>
    </row>
    <row r="8816">
      <c r="A8816" s="2">
        <v>8815.0</v>
      </c>
      <c r="B8816" s="2" t="s">
        <v>13768</v>
      </c>
      <c r="C8816" s="2" t="s">
        <v>23</v>
      </c>
      <c r="N8816" s="6">
        <v>44466.0</v>
      </c>
      <c r="Q8816" s="2" t="s">
        <v>13769</v>
      </c>
    </row>
    <row r="8817">
      <c r="A8817" s="2">
        <v>8816.0</v>
      </c>
      <c r="B8817" s="2" t="s">
        <v>13770</v>
      </c>
      <c r="C8817" s="2" t="s">
        <v>23</v>
      </c>
      <c r="K8817" s="2">
        <v>60.0</v>
      </c>
      <c r="N8817" s="6">
        <v>43968.0</v>
      </c>
      <c r="Q8817" s="2" t="s">
        <v>3129</v>
      </c>
    </row>
    <row r="8818">
      <c r="A8818" s="2">
        <v>8817.0</v>
      </c>
      <c r="B8818" s="2" t="s">
        <v>13771</v>
      </c>
      <c r="C8818" s="2" t="s">
        <v>23</v>
      </c>
      <c r="K8818" s="2">
        <v>20.0</v>
      </c>
      <c r="N8818" s="6">
        <v>45640.0</v>
      </c>
      <c r="Q8818" s="2" t="s">
        <v>13772</v>
      </c>
    </row>
    <row r="8819">
      <c r="A8819" s="2">
        <v>8818.0</v>
      </c>
      <c r="B8819" s="2" t="s">
        <v>13773</v>
      </c>
      <c r="C8819" s="2" t="s">
        <v>23</v>
      </c>
      <c r="N8819" s="6">
        <v>42830.0</v>
      </c>
      <c r="Q8819" s="2" t="s">
        <v>86</v>
      </c>
    </row>
    <row r="8820">
      <c r="A8820" s="2">
        <v>8819.0</v>
      </c>
      <c r="B8820" s="2" t="s">
        <v>13774</v>
      </c>
      <c r="C8820" s="2" t="s">
        <v>23</v>
      </c>
      <c r="K8820" s="2">
        <v>10.0</v>
      </c>
      <c r="N8820" s="6">
        <v>44093.0</v>
      </c>
      <c r="Q8820" s="2" t="s">
        <v>86</v>
      </c>
    </row>
    <row r="8821">
      <c r="A8821" s="2">
        <v>8820.0</v>
      </c>
      <c r="B8821" s="2" t="s">
        <v>13775</v>
      </c>
      <c r="C8821" s="2" t="s">
        <v>23</v>
      </c>
      <c r="K8821" s="2">
        <v>30.0</v>
      </c>
      <c r="N8821" s="6">
        <v>44316.0</v>
      </c>
      <c r="Q8821" s="2" t="s">
        <v>86</v>
      </c>
    </row>
    <row r="8822">
      <c r="A8822" s="2">
        <v>8821.0</v>
      </c>
      <c r="B8822" s="2" t="s">
        <v>13776</v>
      </c>
      <c r="C8822" s="2" t="s">
        <v>23</v>
      </c>
      <c r="K8822" s="2">
        <v>150.0</v>
      </c>
      <c r="N8822" s="6">
        <v>43881.0</v>
      </c>
      <c r="Q8822" s="2" t="s">
        <v>13777</v>
      </c>
    </row>
    <row r="8823">
      <c r="A8823" s="2">
        <v>8822.0</v>
      </c>
      <c r="B8823" s="2" t="s">
        <v>13778</v>
      </c>
      <c r="C8823" s="2" t="s">
        <v>23</v>
      </c>
      <c r="N8823" s="6">
        <v>44037.0</v>
      </c>
      <c r="Q8823" s="2" t="s">
        <v>1116</v>
      </c>
    </row>
    <row r="8824">
      <c r="A8824" s="2">
        <v>8823.0</v>
      </c>
      <c r="B8824" s="2" t="s">
        <v>13779</v>
      </c>
      <c r="C8824" s="2" t="s">
        <v>23</v>
      </c>
      <c r="K8824" s="2">
        <v>30.0</v>
      </c>
      <c r="N8824" s="6">
        <v>44218.0</v>
      </c>
      <c r="Q8824" s="2" t="s">
        <v>86</v>
      </c>
    </row>
    <row r="8825">
      <c r="A8825" s="2">
        <v>8824.0</v>
      </c>
      <c r="B8825" s="2" t="s">
        <v>13780</v>
      </c>
      <c r="C8825" s="2" t="s">
        <v>23</v>
      </c>
      <c r="K8825" s="2">
        <v>50.0</v>
      </c>
      <c r="N8825" s="6">
        <v>44129.0</v>
      </c>
      <c r="Q8825" s="2" t="s">
        <v>13781</v>
      </c>
    </row>
    <row r="8826">
      <c r="A8826" s="2">
        <v>8825.0</v>
      </c>
      <c r="B8826" s="2" t="s">
        <v>13782</v>
      </c>
      <c r="C8826" s="2" t="s">
        <v>23</v>
      </c>
      <c r="K8826" s="2">
        <v>150.0</v>
      </c>
      <c r="N8826" s="6">
        <v>45776.0</v>
      </c>
      <c r="Q8826" s="2" t="s">
        <v>13783</v>
      </c>
    </row>
    <row r="8827">
      <c r="A8827" s="2">
        <v>8826.0</v>
      </c>
      <c r="B8827" s="2" t="s">
        <v>13784</v>
      </c>
      <c r="C8827" s="2" t="s">
        <v>23</v>
      </c>
      <c r="K8827" s="2">
        <v>30.0</v>
      </c>
      <c r="N8827" s="6">
        <v>45681.0</v>
      </c>
      <c r="Q8827" s="2" t="s">
        <v>1521</v>
      </c>
    </row>
    <row r="8828">
      <c r="A8828" s="2">
        <v>8827.0</v>
      </c>
      <c r="B8828" s="2" t="s">
        <v>13785</v>
      </c>
      <c r="C8828" s="2" t="s">
        <v>23</v>
      </c>
      <c r="N8828" s="6">
        <v>45962.0</v>
      </c>
      <c r="Q8828" s="2" t="s">
        <v>13786</v>
      </c>
    </row>
    <row r="8829">
      <c r="A8829" s="2">
        <v>8828.0</v>
      </c>
      <c r="B8829" s="2" t="s">
        <v>13787</v>
      </c>
      <c r="C8829" s="2" t="s">
        <v>23</v>
      </c>
      <c r="K8829" s="2">
        <v>10.0</v>
      </c>
      <c r="N8829" s="6">
        <v>43256.0</v>
      </c>
      <c r="Q8829" s="2" t="s">
        <v>8560</v>
      </c>
    </row>
    <row r="8830">
      <c r="A8830" s="2">
        <v>8829.0</v>
      </c>
      <c r="B8830" s="2" t="s">
        <v>13788</v>
      </c>
      <c r="C8830" s="2" t="s">
        <v>23</v>
      </c>
      <c r="N8830" s="6">
        <v>44265.0</v>
      </c>
      <c r="Q8830" s="2" t="s">
        <v>1466</v>
      </c>
    </row>
    <row r="8831">
      <c r="A8831" s="2">
        <v>8830.0</v>
      </c>
      <c r="B8831" s="2" t="s">
        <v>13789</v>
      </c>
      <c r="C8831" s="2" t="s">
        <v>23</v>
      </c>
      <c r="K8831" s="2">
        <v>20.0</v>
      </c>
      <c r="N8831" s="6">
        <v>42744.0</v>
      </c>
      <c r="Q8831" s="2" t="s">
        <v>4326</v>
      </c>
    </row>
    <row r="8832">
      <c r="A8832" s="2">
        <v>8831.0</v>
      </c>
      <c r="B8832" s="2" t="s">
        <v>13790</v>
      </c>
      <c r="C8832" s="2" t="s">
        <v>23</v>
      </c>
      <c r="N8832" s="6">
        <v>44541.0</v>
      </c>
      <c r="Q8832" s="2" t="s">
        <v>86</v>
      </c>
    </row>
    <row r="8833">
      <c r="A8833" s="2">
        <v>8832.0</v>
      </c>
      <c r="B8833" s="2" t="s">
        <v>13791</v>
      </c>
      <c r="C8833" s="2" t="s">
        <v>23</v>
      </c>
      <c r="N8833" s="6">
        <v>43977.0</v>
      </c>
      <c r="Q8833" s="2" t="s">
        <v>86</v>
      </c>
    </row>
    <row r="8834">
      <c r="A8834" s="2">
        <v>8833.0</v>
      </c>
      <c r="B8834" s="2" t="s">
        <v>13792</v>
      </c>
      <c r="C8834" s="2" t="s">
        <v>23</v>
      </c>
      <c r="K8834" s="2">
        <v>10.0</v>
      </c>
      <c r="N8834" s="6">
        <v>45209.0</v>
      </c>
      <c r="Q8834" s="2" t="s">
        <v>13793</v>
      </c>
    </row>
    <row r="8835">
      <c r="A8835" s="2">
        <v>8834.0</v>
      </c>
      <c r="B8835" s="2" t="s">
        <v>13794</v>
      </c>
      <c r="C8835" s="2" t="s">
        <v>23</v>
      </c>
      <c r="N8835" s="6">
        <v>44177.0</v>
      </c>
      <c r="Q8835" s="2" t="s">
        <v>86</v>
      </c>
    </row>
    <row r="8836">
      <c r="A8836" s="2">
        <v>8835.0</v>
      </c>
      <c r="B8836" s="2" t="s">
        <v>13795</v>
      </c>
      <c r="C8836" s="2" t="s">
        <v>23</v>
      </c>
      <c r="K8836" s="2">
        <v>150.0</v>
      </c>
      <c r="N8836" s="6">
        <v>43881.0</v>
      </c>
      <c r="Q8836" s="2" t="s">
        <v>13796</v>
      </c>
    </row>
    <row r="8837">
      <c r="A8837" s="2">
        <v>8836.0</v>
      </c>
      <c r="B8837" s="2" t="s">
        <v>13797</v>
      </c>
      <c r="C8837" s="2" t="s">
        <v>23</v>
      </c>
      <c r="K8837" s="2">
        <v>90.0</v>
      </c>
      <c r="N8837" s="6">
        <v>45175.0</v>
      </c>
      <c r="Q8837" s="2" t="s">
        <v>3200</v>
      </c>
    </row>
    <row r="8838">
      <c r="A8838" s="2">
        <v>8837.0</v>
      </c>
      <c r="B8838" s="2" t="s">
        <v>13798</v>
      </c>
      <c r="C8838" s="2" t="s">
        <v>23</v>
      </c>
      <c r="K8838" s="2">
        <v>50.0</v>
      </c>
      <c r="N8838" s="6">
        <v>43381.0</v>
      </c>
      <c r="Q8838" s="2" t="s">
        <v>13799</v>
      </c>
    </row>
    <row r="8839">
      <c r="A8839" s="2">
        <v>8838.0</v>
      </c>
      <c r="B8839" s="2" t="s">
        <v>13800</v>
      </c>
      <c r="C8839" s="2" t="s">
        <v>23</v>
      </c>
      <c r="N8839" s="6">
        <v>43842.0</v>
      </c>
      <c r="Q8839" s="2" t="s">
        <v>86</v>
      </c>
    </row>
    <row r="8840">
      <c r="A8840" s="2">
        <v>8839.0</v>
      </c>
      <c r="B8840" s="2" t="s">
        <v>13801</v>
      </c>
      <c r="C8840" s="2" t="s">
        <v>23</v>
      </c>
      <c r="K8840" s="2">
        <v>20.0</v>
      </c>
      <c r="N8840" s="6">
        <v>43023.0</v>
      </c>
      <c r="Q8840" s="2" t="s">
        <v>13802</v>
      </c>
    </row>
    <row r="8841">
      <c r="A8841" s="2">
        <v>8840.0</v>
      </c>
      <c r="B8841" s="2" t="s">
        <v>13803</v>
      </c>
      <c r="C8841" s="2" t="s">
        <v>23</v>
      </c>
      <c r="K8841" s="2">
        <v>100.0</v>
      </c>
      <c r="N8841" s="6">
        <v>43974.0</v>
      </c>
      <c r="Q8841" s="2" t="s">
        <v>86</v>
      </c>
    </row>
    <row r="8842">
      <c r="A8842" s="2">
        <v>8841.0</v>
      </c>
      <c r="B8842" s="2" t="s">
        <v>13804</v>
      </c>
      <c r="C8842" s="2" t="s">
        <v>23</v>
      </c>
      <c r="K8842" s="2">
        <v>10.0</v>
      </c>
      <c r="N8842" s="6">
        <v>44006.0</v>
      </c>
      <c r="Q8842" s="2" t="s">
        <v>86</v>
      </c>
    </row>
    <row r="8843">
      <c r="A8843" s="2">
        <v>8842.0</v>
      </c>
      <c r="B8843" s="2" t="s">
        <v>13805</v>
      </c>
      <c r="C8843" s="2" t="s">
        <v>23</v>
      </c>
      <c r="K8843" s="2">
        <v>10.0</v>
      </c>
      <c r="N8843" s="6">
        <v>44391.0</v>
      </c>
      <c r="Q8843" s="2" t="s">
        <v>86</v>
      </c>
    </row>
    <row r="8844">
      <c r="A8844" s="2">
        <v>8843.0</v>
      </c>
      <c r="B8844" s="2" t="s">
        <v>13806</v>
      </c>
      <c r="C8844" s="2" t="s">
        <v>23</v>
      </c>
      <c r="N8844" s="6">
        <v>44613.0</v>
      </c>
      <c r="Q8844" s="2" t="s">
        <v>86</v>
      </c>
    </row>
    <row r="8845">
      <c r="A8845" s="2">
        <v>8844.0</v>
      </c>
      <c r="B8845" s="2" t="s">
        <v>13807</v>
      </c>
      <c r="C8845" s="2" t="s">
        <v>23</v>
      </c>
      <c r="N8845" s="6">
        <v>44828.0</v>
      </c>
      <c r="Q8845" s="2" t="s">
        <v>86</v>
      </c>
    </row>
    <row r="8846">
      <c r="A8846" s="2">
        <v>8845.0</v>
      </c>
      <c r="B8846" s="2" t="s">
        <v>13808</v>
      </c>
      <c r="C8846" s="2" t="s">
        <v>23</v>
      </c>
      <c r="N8846" s="6">
        <v>45584.0</v>
      </c>
      <c r="Q8846" s="2" t="s">
        <v>13809</v>
      </c>
    </row>
    <row r="8847">
      <c r="A8847" s="2">
        <v>8846.0</v>
      </c>
      <c r="B8847" s="2" t="s">
        <v>13810</v>
      </c>
      <c r="C8847" s="2" t="s">
        <v>23</v>
      </c>
      <c r="K8847" s="2">
        <v>80.0</v>
      </c>
      <c r="N8847" s="6">
        <v>44139.0</v>
      </c>
      <c r="Q8847" s="2" t="s">
        <v>13811</v>
      </c>
    </row>
    <row r="8848">
      <c r="A8848" s="2">
        <v>8847.0</v>
      </c>
      <c r="B8848" s="2" t="s">
        <v>13812</v>
      </c>
      <c r="C8848" s="2" t="s">
        <v>23</v>
      </c>
      <c r="K8848" s="2">
        <v>10.0</v>
      </c>
      <c r="N8848" s="6">
        <v>42254.0</v>
      </c>
      <c r="Q8848" s="2" t="s">
        <v>86</v>
      </c>
    </row>
    <row r="8849">
      <c r="A8849" s="2">
        <v>8848.0</v>
      </c>
      <c r="B8849" s="2" t="s">
        <v>13813</v>
      </c>
      <c r="C8849" s="2" t="s">
        <v>23</v>
      </c>
      <c r="K8849" s="2">
        <v>20.0</v>
      </c>
      <c r="N8849" s="6">
        <v>45158.0</v>
      </c>
      <c r="Q8849" s="2" t="s">
        <v>86</v>
      </c>
    </row>
    <row r="8850">
      <c r="A8850" s="2">
        <v>8849.0</v>
      </c>
      <c r="B8850" s="2" t="s">
        <v>13814</v>
      </c>
      <c r="C8850" s="2" t="s">
        <v>23</v>
      </c>
      <c r="K8850" s="2">
        <v>80.0</v>
      </c>
      <c r="N8850" s="6">
        <v>44336.0</v>
      </c>
      <c r="Q8850" s="2" t="s">
        <v>4759</v>
      </c>
    </row>
    <row r="8851">
      <c r="A8851" s="2">
        <v>8850.0</v>
      </c>
      <c r="B8851" s="2" t="s">
        <v>13815</v>
      </c>
      <c r="C8851" s="2" t="s">
        <v>23</v>
      </c>
      <c r="N8851" s="6">
        <v>44201.0</v>
      </c>
      <c r="Q8851" s="2" t="s">
        <v>86</v>
      </c>
    </row>
    <row r="8852">
      <c r="A8852" s="2">
        <v>8851.0</v>
      </c>
      <c r="B8852" s="2" t="s">
        <v>13816</v>
      </c>
      <c r="C8852" s="2" t="s">
        <v>23</v>
      </c>
      <c r="K8852" s="2">
        <v>30.0</v>
      </c>
      <c r="N8852" s="6">
        <v>43886.0</v>
      </c>
      <c r="Q8852" s="2" t="s">
        <v>1801</v>
      </c>
    </row>
    <row r="8853">
      <c r="A8853" s="2">
        <v>8852.0</v>
      </c>
      <c r="B8853" s="2" t="s">
        <v>13817</v>
      </c>
      <c r="C8853" s="2" t="s">
        <v>23</v>
      </c>
      <c r="N8853" s="6">
        <v>44444.0</v>
      </c>
      <c r="Q8853" s="2" t="s">
        <v>86</v>
      </c>
    </row>
    <row r="8854">
      <c r="A8854" s="2">
        <v>8853.0</v>
      </c>
      <c r="B8854" s="2" t="s">
        <v>13818</v>
      </c>
      <c r="C8854" s="2" t="s">
        <v>23</v>
      </c>
      <c r="K8854" s="2">
        <v>80.0</v>
      </c>
      <c r="N8854" s="6">
        <v>45614.0</v>
      </c>
      <c r="Q8854" s="2" t="s">
        <v>13819</v>
      </c>
    </row>
    <row r="8855">
      <c r="A8855" s="2">
        <v>8854.0</v>
      </c>
      <c r="B8855" s="2" t="s">
        <v>13820</v>
      </c>
      <c r="C8855" s="2" t="s">
        <v>23</v>
      </c>
      <c r="N8855" s="6">
        <v>44837.0</v>
      </c>
      <c r="Q8855" s="2" t="s">
        <v>2782</v>
      </c>
    </row>
    <row r="8856">
      <c r="A8856" s="2">
        <v>8855.0</v>
      </c>
      <c r="B8856" s="2" t="s">
        <v>13821</v>
      </c>
      <c r="C8856" s="2" t="s">
        <v>23</v>
      </c>
      <c r="N8856" s="6">
        <v>44851.0</v>
      </c>
      <c r="Q8856" s="2" t="s">
        <v>86</v>
      </c>
    </row>
    <row r="8857">
      <c r="A8857" s="2">
        <v>8856.0</v>
      </c>
      <c r="B8857" s="2" t="s">
        <v>13822</v>
      </c>
      <c r="C8857" s="2" t="s">
        <v>23</v>
      </c>
      <c r="N8857" s="6">
        <v>45389.0</v>
      </c>
      <c r="Q8857" s="2" t="s">
        <v>86</v>
      </c>
    </row>
    <row r="8858">
      <c r="A8858" s="2">
        <v>8857.0</v>
      </c>
      <c r="B8858" s="2" t="s">
        <v>13823</v>
      </c>
      <c r="C8858" s="2" t="s">
        <v>23</v>
      </c>
      <c r="K8858" s="2">
        <v>50.0</v>
      </c>
      <c r="N8858" s="6">
        <v>44047.0</v>
      </c>
      <c r="Q8858" s="2" t="s">
        <v>13824</v>
      </c>
    </row>
    <row r="8859">
      <c r="A8859" s="2">
        <v>8858.0</v>
      </c>
      <c r="B8859" s="2" t="s">
        <v>13825</v>
      </c>
      <c r="C8859" s="2" t="s">
        <v>23</v>
      </c>
      <c r="N8859" s="6">
        <v>45556.0</v>
      </c>
      <c r="Q8859" s="2" t="s">
        <v>7502</v>
      </c>
    </row>
    <row r="8860">
      <c r="A8860" s="2">
        <v>8859.0</v>
      </c>
      <c r="B8860" s="2" t="s">
        <v>13826</v>
      </c>
      <c r="C8860" s="2" t="s">
        <v>23</v>
      </c>
      <c r="N8860" s="6">
        <v>45579.0</v>
      </c>
      <c r="Q8860" s="2" t="s">
        <v>13827</v>
      </c>
    </row>
    <row r="8861">
      <c r="A8861" s="2">
        <v>8860.0</v>
      </c>
      <c r="B8861" s="2" t="s">
        <v>13828</v>
      </c>
      <c r="C8861" s="2" t="s">
        <v>23</v>
      </c>
      <c r="K8861" s="2">
        <v>10.0</v>
      </c>
      <c r="N8861" s="6">
        <v>44042.0</v>
      </c>
      <c r="Q8861" s="2" t="s">
        <v>3062</v>
      </c>
    </row>
    <row r="8862">
      <c r="A8862" s="2">
        <v>8861.0</v>
      </c>
      <c r="B8862" s="2" t="s">
        <v>13829</v>
      </c>
      <c r="C8862" s="2" t="s">
        <v>23</v>
      </c>
      <c r="K8862" s="2">
        <v>100.0</v>
      </c>
      <c r="N8862" s="6">
        <v>44513.0</v>
      </c>
      <c r="Q8862" s="2" t="s">
        <v>13830</v>
      </c>
    </row>
    <row r="8863">
      <c r="A8863" s="2">
        <v>8862.0</v>
      </c>
      <c r="B8863" s="2" t="s">
        <v>13831</v>
      </c>
      <c r="C8863" s="2" t="s">
        <v>23</v>
      </c>
      <c r="K8863" s="2">
        <v>30.0</v>
      </c>
      <c r="N8863" s="6">
        <v>43859.0</v>
      </c>
      <c r="Q8863" s="2" t="s">
        <v>3232</v>
      </c>
    </row>
    <row r="8864">
      <c r="A8864" s="2">
        <v>8863.0</v>
      </c>
      <c r="B8864" s="2" t="s">
        <v>13832</v>
      </c>
      <c r="C8864" s="2" t="s">
        <v>23</v>
      </c>
      <c r="K8864" s="2">
        <v>20.0</v>
      </c>
      <c r="N8864" s="6">
        <v>44889.0</v>
      </c>
      <c r="Q8864" s="2" t="s">
        <v>3759</v>
      </c>
    </row>
    <row r="8865">
      <c r="A8865" s="2">
        <v>8864.0</v>
      </c>
      <c r="B8865" s="2" t="s">
        <v>13833</v>
      </c>
      <c r="C8865" s="2" t="s">
        <v>23</v>
      </c>
      <c r="K8865" s="2">
        <v>900.0</v>
      </c>
      <c r="N8865" s="6">
        <v>43850.0</v>
      </c>
      <c r="Q8865" s="2" t="s">
        <v>13834</v>
      </c>
    </row>
    <row r="8866">
      <c r="A8866" s="2">
        <v>8865.0</v>
      </c>
      <c r="B8866" s="2" t="s">
        <v>13835</v>
      </c>
      <c r="C8866" s="2" t="s">
        <v>23</v>
      </c>
      <c r="N8866" s="6">
        <v>44250.0</v>
      </c>
      <c r="Q8866" s="2" t="s">
        <v>86</v>
      </c>
    </row>
    <row r="8867">
      <c r="A8867" s="2">
        <v>8866.0</v>
      </c>
      <c r="B8867" s="2" t="s">
        <v>13836</v>
      </c>
      <c r="C8867" s="2" t="s">
        <v>23</v>
      </c>
      <c r="K8867" s="2">
        <v>10.0</v>
      </c>
      <c r="N8867" s="6">
        <v>44680.0</v>
      </c>
      <c r="Q8867" s="2" t="s">
        <v>86</v>
      </c>
    </row>
    <row r="8868">
      <c r="A8868" s="2">
        <v>8867.0</v>
      </c>
      <c r="B8868" s="2" t="s">
        <v>13837</v>
      </c>
      <c r="C8868" s="2" t="s">
        <v>23</v>
      </c>
      <c r="N8868" s="6">
        <v>44535.0</v>
      </c>
      <c r="Q8868" s="2" t="s">
        <v>86</v>
      </c>
    </row>
    <row r="8869">
      <c r="A8869" s="2">
        <v>8868.0</v>
      </c>
      <c r="B8869" s="2" t="s">
        <v>13838</v>
      </c>
      <c r="C8869" s="2" t="s">
        <v>23</v>
      </c>
      <c r="N8869" s="6">
        <v>45321.0</v>
      </c>
      <c r="Q8869" s="2" t="s">
        <v>13839</v>
      </c>
    </row>
    <row r="8870">
      <c r="A8870" s="2">
        <v>8869.0</v>
      </c>
      <c r="B8870" s="2" t="s">
        <v>13840</v>
      </c>
      <c r="C8870" s="2" t="s">
        <v>23</v>
      </c>
      <c r="K8870" s="2">
        <v>150.0</v>
      </c>
      <c r="N8870" s="6">
        <v>45637.0</v>
      </c>
      <c r="Q8870" s="2" t="s">
        <v>13841</v>
      </c>
    </row>
    <row r="8871">
      <c r="A8871" s="2">
        <v>8870.0</v>
      </c>
      <c r="B8871" s="2" t="s">
        <v>13842</v>
      </c>
      <c r="C8871" s="2" t="s">
        <v>23</v>
      </c>
      <c r="K8871" s="2">
        <v>100.0</v>
      </c>
      <c r="N8871" s="6">
        <v>45732.0</v>
      </c>
      <c r="Q8871" s="2" t="s">
        <v>13843</v>
      </c>
    </row>
    <row r="8872">
      <c r="A8872" s="2">
        <v>8871.0</v>
      </c>
      <c r="B8872" s="2" t="s">
        <v>13844</v>
      </c>
      <c r="C8872" s="2" t="s">
        <v>23</v>
      </c>
      <c r="K8872" s="2">
        <v>20.0</v>
      </c>
      <c r="N8872" s="6">
        <v>45281.0</v>
      </c>
      <c r="Q8872" s="2" t="s">
        <v>2701</v>
      </c>
    </row>
    <row r="8873">
      <c r="A8873" s="2">
        <v>8872.0</v>
      </c>
      <c r="B8873" s="2" t="s">
        <v>13845</v>
      </c>
      <c r="C8873" s="2" t="s">
        <v>23</v>
      </c>
      <c r="K8873" s="2">
        <v>40.0</v>
      </c>
      <c r="N8873" s="6">
        <v>45629.0</v>
      </c>
      <c r="Q8873" s="2" t="s">
        <v>13846</v>
      </c>
    </row>
    <row r="8874">
      <c r="A8874" s="2">
        <v>8873.0</v>
      </c>
      <c r="B8874" s="2" t="s">
        <v>13847</v>
      </c>
      <c r="C8874" s="2" t="s">
        <v>23</v>
      </c>
      <c r="K8874" s="2">
        <v>30.0</v>
      </c>
      <c r="N8874" s="6">
        <v>44102.0</v>
      </c>
      <c r="Q8874" s="2" t="s">
        <v>200</v>
      </c>
    </row>
    <row r="8875">
      <c r="A8875" s="2">
        <v>8874.0</v>
      </c>
      <c r="B8875" s="2" t="s">
        <v>13848</v>
      </c>
      <c r="C8875" s="2" t="s">
        <v>23</v>
      </c>
      <c r="N8875" s="6">
        <v>44055.0</v>
      </c>
      <c r="Q8875" s="2" t="s">
        <v>86</v>
      </c>
    </row>
    <row r="8876">
      <c r="A8876" s="2">
        <v>8875.0</v>
      </c>
      <c r="B8876" s="2" t="s">
        <v>13849</v>
      </c>
      <c r="C8876" s="2" t="s">
        <v>23</v>
      </c>
      <c r="K8876" s="2">
        <v>50.0</v>
      </c>
      <c r="N8876" s="6">
        <v>43850.0</v>
      </c>
      <c r="Q8876" s="2" t="s">
        <v>86</v>
      </c>
    </row>
    <row r="8877">
      <c r="A8877" s="2">
        <v>8876.0</v>
      </c>
      <c r="B8877" s="2" t="s">
        <v>13850</v>
      </c>
      <c r="C8877" s="2" t="s">
        <v>23</v>
      </c>
      <c r="N8877" s="6">
        <v>44078.0</v>
      </c>
      <c r="Q8877" s="2" t="s">
        <v>86</v>
      </c>
    </row>
    <row r="8878">
      <c r="A8878" s="2">
        <v>8877.0</v>
      </c>
      <c r="B8878" s="2" t="s">
        <v>13851</v>
      </c>
      <c r="C8878" s="2" t="s">
        <v>23</v>
      </c>
      <c r="K8878" s="2">
        <v>40.0</v>
      </c>
      <c r="N8878" s="6">
        <v>45630.0</v>
      </c>
      <c r="Q8878" s="2" t="s">
        <v>13852</v>
      </c>
    </row>
    <row r="8879">
      <c r="A8879" s="2">
        <v>8878.0</v>
      </c>
      <c r="B8879" s="2" t="s">
        <v>13853</v>
      </c>
      <c r="C8879" s="2" t="s">
        <v>23</v>
      </c>
      <c r="N8879" s="6">
        <v>44498.0</v>
      </c>
      <c r="Q8879" s="2" t="s">
        <v>86</v>
      </c>
    </row>
    <row r="8880">
      <c r="A8880" s="2">
        <v>8879.0</v>
      </c>
      <c r="B8880" s="2" t="s">
        <v>13854</v>
      </c>
      <c r="C8880" s="2" t="s">
        <v>23</v>
      </c>
      <c r="K8880" s="2">
        <v>100.0</v>
      </c>
      <c r="N8880" s="6">
        <v>44082.0</v>
      </c>
      <c r="Q8880" s="2" t="s">
        <v>13855</v>
      </c>
    </row>
    <row r="8881">
      <c r="A8881" s="2">
        <v>8880.0</v>
      </c>
      <c r="B8881" s="2" t="s">
        <v>13856</v>
      </c>
      <c r="C8881" s="2" t="s">
        <v>23</v>
      </c>
      <c r="K8881" s="2">
        <v>50.0</v>
      </c>
      <c r="N8881" s="6">
        <v>45790.0</v>
      </c>
      <c r="Q8881" s="2" t="s">
        <v>13857</v>
      </c>
    </row>
    <row r="8882">
      <c r="A8882" s="2">
        <v>8881.0</v>
      </c>
      <c r="B8882" s="2" t="s">
        <v>13858</v>
      </c>
      <c r="C8882" s="2" t="s">
        <v>23</v>
      </c>
      <c r="N8882" s="6">
        <v>44771.0</v>
      </c>
      <c r="Q8882" s="2" t="s">
        <v>86</v>
      </c>
    </row>
    <row r="8883">
      <c r="A8883" s="2">
        <v>8882.0</v>
      </c>
      <c r="B8883" s="2" t="s">
        <v>13859</v>
      </c>
      <c r="C8883" s="2" t="s">
        <v>23</v>
      </c>
      <c r="K8883" s="2">
        <v>20.0</v>
      </c>
      <c r="N8883" s="6">
        <v>44292.0</v>
      </c>
      <c r="Q8883" s="2" t="s">
        <v>86</v>
      </c>
    </row>
    <row r="8884">
      <c r="A8884" s="2">
        <v>8883.0</v>
      </c>
      <c r="B8884" s="2" t="s">
        <v>13860</v>
      </c>
      <c r="C8884" s="2" t="s">
        <v>23</v>
      </c>
      <c r="N8884" s="6">
        <v>45015.0</v>
      </c>
      <c r="Q8884" s="2" t="s">
        <v>86</v>
      </c>
    </row>
    <row r="8885">
      <c r="A8885" s="2">
        <v>8884.0</v>
      </c>
      <c r="B8885" s="2" t="s">
        <v>13861</v>
      </c>
      <c r="C8885" s="2" t="s">
        <v>23</v>
      </c>
      <c r="N8885" s="6">
        <v>44070.0</v>
      </c>
      <c r="Q8885" s="2" t="s">
        <v>86</v>
      </c>
    </row>
    <row r="8886">
      <c r="A8886" s="2">
        <v>8885.0</v>
      </c>
      <c r="B8886" s="2" t="s">
        <v>13862</v>
      </c>
      <c r="C8886" s="2" t="s">
        <v>23</v>
      </c>
      <c r="K8886" s="2">
        <v>20.0</v>
      </c>
      <c r="N8886" s="6">
        <v>44513.0</v>
      </c>
      <c r="Q8886" s="2" t="s">
        <v>94</v>
      </c>
    </row>
    <row r="8887">
      <c r="A8887" s="2">
        <v>8886.0</v>
      </c>
      <c r="B8887" s="2" t="s">
        <v>13863</v>
      </c>
      <c r="C8887" s="2" t="s">
        <v>23</v>
      </c>
      <c r="K8887" s="2">
        <v>60.0</v>
      </c>
      <c r="N8887" s="6">
        <v>43917.0</v>
      </c>
      <c r="Q8887" s="2" t="s">
        <v>13864</v>
      </c>
    </row>
    <row r="8888">
      <c r="A8888" s="2">
        <v>8887.0</v>
      </c>
      <c r="B8888" s="2" t="s">
        <v>13865</v>
      </c>
      <c r="C8888" s="2" t="s">
        <v>23</v>
      </c>
      <c r="K8888" s="2">
        <v>10.0</v>
      </c>
      <c r="N8888" s="6">
        <v>44811.0</v>
      </c>
      <c r="Q8888" s="2" t="s">
        <v>13866</v>
      </c>
    </row>
    <row r="8889">
      <c r="A8889" s="2">
        <v>8888.0</v>
      </c>
      <c r="B8889" s="2" t="s">
        <v>13867</v>
      </c>
      <c r="C8889" s="2" t="s">
        <v>23</v>
      </c>
      <c r="N8889" s="6">
        <v>44620.0</v>
      </c>
      <c r="Q8889" s="2" t="s">
        <v>86</v>
      </c>
    </row>
    <row r="8890">
      <c r="A8890" s="2">
        <v>8889.0</v>
      </c>
      <c r="B8890" s="2" t="s">
        <v>13868</v>
      </c>
      <c r="C8890" s="2" t="s">
        <v>23</v>
      </c>
      <c r="K8890" s="2">
        <v>10.0</v>
      </c>
      <c r="N8890" s="6">
        <v>42390.0</v>
      </c>
      <c r="Q8890" s="2" t="s">
        <v>13869</v>
      </c>
    </row>
    <row r="8891">
      <c r="A8891" s="2">
        <v>8890.0</v>
      </c>
      <c r="B8891" s="2" t="s">
        <v>13870</v>
      </c>
      <c r="C8891" s="2" t="s">
        <v>23</v>
      </c>
      <c r="K8891" s="2">
        <v>10.0</v>
      </c>
      <c r="N8891" s="6">
        <v>44097.0</v>
      </c>
      <c r="Q8891" s="2" t="s">
        <v>2672</v>
      </c>
    </row>
    <row r="8892">
      <c r="A8892" s="2">
        <v>8891.0</v>
      </c>
      <c r="B8892" s="2" t="s">
        <v>13871</v>
      </c>
      <c r="C8892" s="2" t="s">
        <v>23</v>
      </c>
      <c r="K8892" s="2">
        <v>10.0</v>
      </c>
      <c r="N8892" s="6">
        <v>44384.0</v>
      </c>
      <c r="Q8892" s="2" t="s">
        <v>86</v>
      </c>
    </row>
    <row r="8893">
      <c r="A8893" s="2">
        <v>8892.0</v>
      </c>
      <c r="B8893" s="2" t="s">
        <v>13872</v>
      </c>
      <c r="C8893" s="2" t="s">
        <v>23</v>
      </c>
      <c r="K8893" s="2">
        <v>80.0</v>
      </c>
      <c r="N8893" s="6">
        <v>45717.0</v>
      </c>
      <c r="Q8893" s="2" t="s">
        <v>6467</v>
      </c>
    </row>
    <row r="8894">
      <c r="A8894" s="2">
        <v>8893.0</v>
      </c>
      <c r="B8894" s="2" t="s">
        <v>13873</v>
      </c>
      <c r="C8894" s="2" t="s">
        <v>23</v>
      </c>
      <c r="N8894" s="6">
        <v>44084.0</v>
      </c>
      <c r="Q8894" s="2" t="s">
        <v>86</v>
      </c>
    </row>
    <row r="8895">
      <c r="A8895" s="2">
        <v>8894.0</v>
      </c>
      <c r="B8895" s="2" t="s">
        <v>13874</v>
      </c>
      <c r="C8895" s="2" t="s">
        <v>23</v>
      </c>
      <c r="N8895" s="6">
        <v>45085.0</v>
      </c>
      <c r="Q8895" s="2" t="s">
        <v>86</v>
      </c>
    </row>
    <row r="8896">
      <c r="A8896" s="2">
        <v>8895.0</v>
      </c>
      <c r="B8896" s="2" t="s">
        <v>13875</v>
      </c>
      <c r="C8896" s="2" t="s">
        <v>23</v>
      </c>
      <c r="K8896" s="2">
        <v>10.0</v>
      </c>
      <c r="N8896" s="6">
        <v>45049.0</v>
      </c>
      <c r="Q8896" s="2" t="s">
        <v>2738</v>
      </c>
    </row>
    <row r="8897">
      <c r="A8897" s="2">
        <v>8896.0</v>
      </c>
      <c r="B8897" s="2" t="s">
        <v>13876</v>
      </c>
      <c r="C8897" s="2" t="s">
        <v>23</v>
      </c>
      <c r="K8897" s="2">
        <v>20.0</v>
      </c>
      <c r="N8897" s="6">
        <v>44364.0</v>
      </c>
      <c r="Q8897" s="2" t="s">
        <v>1466</v>
      </c>
    </row>
    <row r="8898">
      <c r="A8898" s="2">
        <v>8897.0</v>
      </c>
      <c r="B8898" s="2" t="s">
        <v>13877</v>
      </c>
      <c r="C8898" s="2" t="s">
        <v>23</v>
      </c>
      <c r="N8898" s="6">
        <v>44627.0</v>
      </c>
      <c r="Q8898" s="2" t="s">
        <v>86</v>
      </c>
    </row>
    <row r="8899">
      <c r="A8899" s="2">
        <v>8898.0</v>
      </c>
      <c r="B8899" s="2" t="s">
        <v>13878</v>
      </c>
      <c r="C8899" s="2" t="s">
        <v>23</v>
      </c>
      <c r="N8899" s="6">
        <v>45531.0</v>
      </c>
      <c r="Q8899" s="2" t="s">
        <v>13879</v>
      </c>
    </row>
    <row r="8900">
      <c r="A8900" s="2">
        <v>8899.0</v>
      </c>
      <c r="B8900" s="2" t="s">
        <v>13880</v>
      </c>
      <c r="C8900" s="2" t="s">
        <v>23</v>
      </c>
      <c r="K8900" s="2">
        <v>60.0</v>
      </c>
      <c r="N8900" s="6">
        <v>45626.0</v>
      </c>
      <c r="Q8900" s="2" t="s">
        <v>13881</v>
      </c>
    </row>
    <row r="8901">
      <c r="A8901" s="2">
        <v>8900.0</v>
      </c>
      <c r="B8901" s="2" t="s">
        <v>13882</v>
      </c>
      <c r="C8901" s="2" t="s">
        <v>23</v>
      </c>
      <c r="K8901" s="2">
        <v>40.0</v>
      </c>
      <c r="N8901" s="6">
        <v>45531.0</v>
      </c>
      <c r="Q8901" s="2" t="s">
        <v>4640</v>
      </c>
    </row>
    <row r="8902">
      <c r="A8902" s="2">
        <v>8901.0</v>
      </c>
      <c r="B8902" s="2" t="s">
        <v>13883</v>
      </c>
      <c r="C8902" s="2" t="s">
        <v>23</v>
      </c>
      <c r="K8902" s="2">
        <v>20.0</v>
      </c>
      <c r="N8902" s="6">
        <v>44238.0</v>
      </c>
      <c r="Q8902" s="2" t="s">
        <v>5273</v>
      </c>
    </row>
    <row r="8903">
      <c r="A8903" s="2">
        <v>8902.0</v>
      </c>
      <c r="B8903" s="2" t="s">
        <v>13884</v>
      </c>
      <c r="C8903" s="2" t="s">
        <v>23</v>
      </c>
      <c r="K8903" s="2">
        <v>40.0</v>
      </c>
      <c r="N8903" s="6">
        <v>43849.0</v>
      </c>
      <c r="Q8903" s="2" t="s">
        <v>426</v>
      </c>
    </row>
    <row r="8904">
      <c r="A8904" s="2">
        <v>8903.0</v>
      </c>
      <c r="B8904" s="2" t="s">
        <v>13885</v>
      </c>
      <c r="C8904" s="2" t="s">
        <v>23</v>
      </c>
      <c r="N8904" s="6">
        <v>45282.0</v>
      </c>
      <c r="Q8904" s="2" t="s">
        <v>13886</v>
      </c>
    </row>
    <row r="8905">
      <c r="A8905" s="2">
        <v>8904.0</v>
      </c>
      <c r="B8905" s="2" t="s">
        <v>13887</v>
      </c>
      <c r="C8905" s="2" t="s">
        <v>23</v>
      </c>
      <c r="K8905" s="2">
        <v>200.0</v>
      </c>
      <c r="N8905" s="6">
        <v>45743.0</v>
      </c>
      <c r="Q8905" s="2" t="s">
        <v>13888</v>
      </c>
    </row>
    <row r="8906">
      <c r="A8906" s="2">
        <v>8905.0</v>
      </c>
      <c r="B8906" s="2" t="s">
        <v>13889</v>
      </c>
      <c r="C8906" s="2" t="s">
        <v>23</v>
      </c>
      <c r="K8906" s="2">
        <v>80.0</v>
      </c>
      <c r="N8906" s="6">
        <v>44115.0</v>
      </c>
      <c r="Q8906" s="2" t="s">
        <v>13890</v>
      </c>
    </row>
    <row r="8907">
      <c r="A8907" s="2">
        <v>8906.0</v>
      </c>
      <c r="B8907" s="2" t="s">
        <v>13891</v>
      </c>
      <c r="C8907" s="2" t="s">
        <v>23</v>
      </c>
      <c r="N8907" s="6">
        <v>44656.0</v>
      </c>
      <c r="Q8907" s="2" t="s">
        <v>86</v>
      </c>
    </row>
    <row r="8908">
      <c r="A8908" s="2">
        <v>8907.0</v>
      </c>
      <c r="B8908" s="2" t="s">
        <v>13892</v>
      </c>
      <c r="C8908" s="2" t="s">
        <v>23</v>
      </c>
      <c r="K8908" s="2">
        <v>20.0</v>
      </c>
      <c r="N8908" s="6">
        <v>45335.0</v>
      </c>
      <c r="Q8908" s="2" t="s">
        <v>13893</v>
      </c>
    </row>
    <row r="8909">
      <c r="A8909" s="2">
        <v>8908.0</v>
      </c>
      <c r="B8909" s="2" t="s">
        <v>13894</v>
      </c>
      <c r="C8909" s="2" t="s">
        <v>23</v>
      </c>
      <c r="K8909" s="2">
        <v>250.0</v>
      </c>
      <c r="N8909" s="6">
        <v>43938.0</v>
      </c>
      <c r="Q8909" s="2" t="s">
        <v>13895</v>
      </c>
    </row>
    <row r="8910">
      <c r="A8910" s="2">
        <v>8909.0</v>
      </c>
      <c r="B8910" s="2" t="s">
        <v>536</v>
      </c>
      <c r="C8910" s="2" t="s">
        <v>23</v>
      </c>
      <c r="N8910" s="6">
        <v>44819.0</v>
      </c>
      <c r="Q8910" s="2" t="s">
        <v>540</v>
      </c>
    </row>
    <row r="8911">
      <c r="A8911" s="2">
        <v>8910.0</v>
      </c>
      <c r="B8911" s="2" t="s">
        <v>13896</v>
      </c>
      <c r="C8911" s="2" t="s">
        <v>23</v>
      </c>
      <c r="K8911" s="2">
        <v>10.0</v>
      </c>
      <c r="N8911" s="6">
        <v>45811.0</v>
      </c>
      <c r="Q8911" s="2" t="s">
        <v>13897</v>
      </c>
    </row>
    <row r="8912">
      <c r="A8912" s="2">
        <v>8911.0</v>
      </c>
      <c r="B8912" s="2" t="s">
        <v>13898</v>
      </c>
      <c r="C8912" s="2" t="s">
        <v>23</v>
      </c>
      <c r="K8912" s="2">
        <v>30.0</v>
      </c>
      <c r="N8912" s="6">
        <v>45676.0</v>
      </c>
      <c r="Q8912" s="2" t="s">
        <v>13899</v>
      </c>
    </row>
    <row r="8913">
      <c r="A8913" s="2">
        <v>8912.0</v>
      </c>
      <c r="B8913" s="2" t="s">
        <v>13900</v>
      </c>
      <c r="C8913" s="2" t="s">
        <v>23</v>
      </c>
      <c r="K8913" s="2">
        <v>250.0</v>
      </c>
      <c r="N8913" s="6">
        <v>44914.0</v>
      </c>
      <c r="Q8913" s="2" t="s">
        <v>13901</v>
      </c>
    </row>
    <row r="8914">
      <c r="A8914" s="2">
        <v>8913.0</v>
      </c>
      <c r="B8914" s="2" t="s">
        <v>13902</v>
      </c>
      <c r="C8914" s="2" t="s">
        <v>23</v>
      </c>
      <c r="K8914" s="2">
        <v>150.0</v>
      </c>
      <c r="N8914" s="6">
        <v>43962.0</v>
      </c>
      <c r="Q8914" s="2" t="s">
        <v>13903</v>
      </c>
    </row>
    <row r="8915">
      <c r="A8915" s="2">
        <v>8914.0</v>
      </c>
      <c r="B8915" s="2" t="s">
        <v>13904</v>
      </c>
      <c r="C8915" s="2" t="s">
        <v>23</v>
      </c>
      <c r="K8915" s="2">
        <v>200.0</v>
      </c>
      <c r="N8915" s="6">
        <v>44542.0</v>
      </c>
      <c r="Q8915" s="2" t="s">
        <v>1156</v>
      </c>
    </row>
    <row r="8916">
      <c r="A8916" s="2">
        <v>8915.0</v>
      </c>
      <c r="B8916" s="2" t="s">
        <v>13905</v>
      </c>
      <c r="C8916" s="2" t="s">
        <v>23</v>
      </c>
      <c r="N8916" s="6">
        <v>45136.0</v>
      </c>
      <c r="Q8916" s="2" t="s">
        <v>13906</v>
      </c>
    </row>
    <row r="8917">
      <c r="A8917" s="2">
        <v>8916.0</v>
      </c>
      <c r="B8917" s="2" t="s">
        <v>13907</v>
      </c>
      <c r="C8917" s="2" t="s">
        <v>23</v>
      </c>
      <c r="N8917" s="6">
        <v>44206.0</v>
      </c>
      <c r="Q8917" s="2" t="s">
        <v>5819</v>
      </c>
    </row>
    <row r="8918">
      <c r="A8918" s="2">
        <v>8917.0</v>
      </c>
      <c r="B8918" s="2" t="s">
        <v>13908</v>
      </c>
      <c r="C8918" s="2" t="s">
        <v>23</v>
      </c>
      <c r="K8918" s="2">
        <v>150.0</v>
      </c>
      <c r="N8918" s="6">
        <v>43878.0</v>
      </c>
      <c r="Q8918" s="2" t="s">
        <v>11178</v>
      </c>
    </row>
    <row r="8919">
      <c r="A8919" s="2">
        <v>8918.0</v>
      </c>
      <c r="B8919" s="2" t="s">
        <v>13909</v>
      </c>
      <c r="C8919" s="2" t="s">
        <v>23</v>
      </c>
      <c r="K8919" s="2">
        <v>10.0</v>
      </c>
      <c r="N8919" s="6">
        <v>42604.0</v>
      </c>
      <c r="Q8919" s="2" t="s">
        <v>86</v>
      </c>
    </row>
    <row r="8920">
      <c r="A8920" s="2">
        <v>8919.0</v>
      </c>
      <c r="B8920" s="2" t="s">
        <v>13910</v>
      </c>
      <c r="C8920" s="2" t="s">
        <v>23</v>
      </c>
      <c r="K8920" s="2">
        <v>200.0</v>
      </c>
      <c r="N8920" s="6">
        <v>43967.0</v>
      </c>
      <c r="Q8920" s="2" t="s">
        <v>13911</v>
      </c>
    </row>
    <row r="8921">
      <c r="A8921" s="2">
        <v>8920.0</v>
      </c>
      <c r="B8921" s="2" t="s">
        <v>13912</v>
      </c>
      <c r="C8921" s="2" t="s">
        <v>23</v>
      </c>
      <c r="N8921" s="6">
        <v>42409.0</v>
      </c>
      <c r="Q8921" s="2" t="s">
        <v>86</v>
      </c>
    </row>
    <row r="8922">
      <c r="A8922" s="2">
        <v>8921.0</v>
      </c>
      <c r="B8922" s="2" t="s">
        <v>13913</v>
      </c>
      <c r="C8922" s="2" t="s">
        <v>23</v>
      </c>
      <c r="K8922" s="2">
        <v>10.0</v>
      </c>
      <c r="N8922" s="6">
        <v>43947.0</v>
      </c>
      <c r="Q8922" s="2" t="s">
        <v>13914</v>
      </c>
    </row>
    <row r="8923">
      <c r="A8923" s="2">
        <v>8922.0</v>
      </c>
      <c r="B8923" s="2" t="s">
        <v>13915</v>
      </c>
      <c r="C8923" s="2" t="s">
        <v>23</v>
      </c>
      <c r="K8923" s="2">
        <v>10.0</v>
      </c>
      <c r="N8923" s="6">
        <v>44707.0</v>
      </c>
      <c r="Q8923" s="2" t="s">
        <v>86</v>
      </c>
    </row>
    <row r="8924">
      <c r="A8924" s="2">
        <v>8923.0</v>
      </c>
      <c r="B8924" s="2" t="s">
        <v>13916</v>
      </c>
      <c r="C8924" s="2" t="s">
        <v>23</v>
      </c>
      <c r="K8924" s="2">
        <v>20.0</v>
      </c>
      <c r="N8924" s="6">
        <v>44212.0</v>
      </c>
      <c r="Q8924" s="2" t="s">
        <v>86</v>
      </c>
    </row>
    <row r="8925">
      <c r="A8925" s="2">
        <v>8924.0</v>
      </c>
      <c r="B8925" s="2" t="s">
        <v>13917</v>
      </c>
      <c r="C8925" s="2" t="s">
        <v>23</v>
      </c>
      <c r="K8925" s="2">
        <v>20.0</v>
      </c>
      <c r="N8925" s="6">
        <v>45306.0</v>
      </c>
      <c r="Q8925" s="2" t="s">
        <v>86</v>
      </c>
    </row>
    <row r="8926">
      <c r="A8926" s="2">
        <v>8925.0</v>
      </c>
      <c r="B8926" s="2" t="s">
        <v>13918</v>
      </c>
      <c r="C8926" s="2" t="s">
        <v>23</v>
      </c>
      <c r="K8926" s="2">
        <v>150.0</v>
      </c>
      <c r="N8926" s="6">
        <v>43908.0</v>
      </c>
      <c r="Q8926" s="2" t="s">
        <v>13919</v>
      </c>
    </row>
    <row r="8927">
      <c r="A8927" s="2">
        <v>8926.0</v>
      </c>
      <c r="B8927" s="2" t="s">
        <v>13920</v>
      </c>
      <c r="C8927" s="2" t="s">
        <v>23</v>
      </c>
      <c r="K8927" s="2">
        <v>50.0</v>
      </c>
      <c r="N8927" s="6">
        <v>43959.0</v>
      </c>
      <c r="Q8927" s="2" t="s">
        <v>86</v>
      </c>
    </row>
    <row r="8928">
      <c r="A8928" s="2">
        <v>8927.0</v>
      </c>
      <c r="B8928" s="2" t="s">
        <v>13921</v>
      </c>
      <c r="C8928" s="2" t="s">
        <v>23</v>
      </c>
      <c r="N8928" s="6">
        <v>44041.0</v>
      </c>
      <c r="Q8928" s="2" t="s">
        <v>86</v>
      </c>
    </row>
    <row r="8929">
      <c r="A8929" s="2">
        <v>8928.0</v>
      </c>
      <c r="B8929" s="2" t="s">
        <v>13922</v>
      </c>
      <c r="C8929" s="2" t="s">
        <v>23</v>
      </c>
      <c r="N8929" s="6">
        <v>42697.0</v>
      </c>
      <c r="Q8929" s="2" t="s">
        <v>86</v>
      </c>
    </row>
    <row r="8930">
      <c r="A8930" s="2">
        <v>8929.0</v>
      </c>
      <c r="B8930" s="2" t="s">
        <v>13923</v>
      </c>
      <c r="C8930" s="2" t="s">
        <v>23</v>
      </c>
      <c r="N8930" s="6">
        <v>44543.0</v>
      </c>
      <c r="Q8930" s="2" t="s">
        <v>86</v>
      </c>
    </row>
    <row r="8931">
      <c r="A8931" s="2">
        <v>8930.0</v>
      </c>
      <c r="B8931" s="2" t="s">
        <v>13924</v>
      </c>
      <c r="C8931" s="2" t="s">
        <v>23</v>
      </c>
      <c r="K8931" s="2">
        <v>250.0</v>
      </c>
      <c r="N8931" s="6">
        <v>44256.0</v>
      </c>
      <c r="Q8931" s="2" t="s">
        <v>13925</v>
      </c>
    </row>
    <row r="8932">
      <c r="A8932" s="2">
        <v>8931.0</v>
      </c>
      <c r="B8932" s="2" t="s">
        <v>13926</v>
      </c>
      <c r="C8932" s="2" t="s">
        <v>23</v>
      </c>
      <c r="K8932" s="2">
        <v>20.0</v>
      </c>
      <c r="N8932" s="6">
        <v>44639.0</v>
      </c>
      <c r="Q8932" s="2" t="s">
        <v>86</v>
      </c>
    </row>
    <row r="8933">
      <c r="A8933" s="2">
        <v>8932.0</v>
      </c>
      <c r="B8933" s="2" t="s">
        <v>13927</v>
      </c>
      <c r="C8933" s="2" t="s">
        <v>23</v>
      </c>
      <c r="K8933" s="2">
        <v>50.0</v>
      </c>
      <c r="N8933" s="6">
        <v>43871.0</v>
      </c>
      <c r="Q8933" s="2" t="s">
        <v>1437</v>
      </c>
    </row>
    <row r="8934">
      <c r="A8934" s="2">
        <v>8933.0</v>
      </c>
      <c r="B8934" s="2" t="s">
        <v>13928</v>
      </c>
      <c r="C8934" s="2" t="s">
        <v>23</v>
      </c>
      <c r="K8934" s="2">
        <v>70.0</v>
      </c>
      <c r="N8934" s="6">
        <v>45691.0</v>
      </c>
      <c r="Q8934" s="2" t="s">
        <v>13929</v>
      </c>
    </row>
    <row r="8935">
      <c r="A8935" s="2">
        <v>8934.0</v>
      </c>
      <c r="B8935" s="2" t="s">
        <v>13930</v>
      </c>
      <c r="C8935" s="2" t="s">
        <v>23</v>
      </c>
      <c r="K8935" s="2">
        <v>40.0</v>
      </c>
      <c r="N8935" s="6">
        <v>43933.0</v>
      </c>
      <c r="Q8935" s="2" t="s">
        <v>13931</v>
      </c>
    </row>
    <row r="8936">
      <c r="A8936" s="2">
        <v>8935.0</v>
      </c>
      <c r="B8936" s="2" t="s">
        <v>13932</v>
      </c>
      <c r="C8936" s="2" t="s">
        <v>23</v>
      </c>
      <c r="K8936" s="2">
        <v>20.0</v>
      </c>
      <c r="N8936" s="6">
        <v>44123.0</v>
      </c>
      <c r="Q8936" s="2" t="s">
        <v>401</v>
      </c>
    </row>
    <row r="8937">
      <c r="A8937" s="2">
        <v>8936.0</v>
      </c>
      <c r="B8937" s="2" t="s">
        <v>13933</v>
      </c>
      <c r="C8937" s="2" t="s">
        <v>23</v>
      </c>
      <c r="K8937" s="2">
        <v>20.0</v>
      </c>
      <c r="N8937" s="6">
        <v>44428.0</v>
      </c>
      <c r="Q8937" s="2" t="s">
        <v>235</v>
      </c>
    </row>
    <row r="8938">
      <c r="A8938" s="2">
        <v>8937.0</v>
      </c>
      <c r="B8938" s="2" t="s">
        <v>13934</v>
      </c>
      <c r="C8938" s="2" t="s">
        <v>23</v>
      </c>
      <c r="K8938" s="2">
        <v>80.0</v>
      </c>
      <c r="N8938" s="6">
        <v>42622.0</v>
      </c>
      <c r="Q8938" s="2" t="s">
        <v>13935</v>
      </c>
    </row>
    <row r="8939">
      <c r="A8939" s="2">
        <v>8938.0</v>
      </c>
      <c r="B8939" s="2" t="s">
        <v>13936</v>
      </c>
      <c r="C8939" s="2" t="s">
        <v>23</v>
      </c>
      <c r="N8939" s="6">
        <v>43840.0</v>
      </c>
      <c r="Q8939" s="2" t="s">
        <v>86</v>
      </c>
    </row>
    <row r="8940">
      <c r="A8940" s="2">
        <v>8939.0</v>
      </c>
      <c r="B8940" s="2" t="s">
        <v>13937</v>
      </c>
      <c r="C8940" s="2" t="s">
        <v>23</v>
      </c>
      <c r="N8940" s="6">
        <v>43853.0</v>
      </c>
      <c r="Q8940" s="2" t="s">
        <v>86</v>
      </c>
    </row>
    <row r="8941">
      <c r="A8941" s="2">
        <v>8940.0</v>
      </c>
      <c r="B8941" s="2" t="s">
        <v>13938</v>
      </c>
      <c r="C8941" s="2" t="s">
        <v>23</v>
      </c>
      <c r="K8941" s="2">
        <v>500.0</v>
      </c>
      <c r="N8941" s="6">
        <v>43840.0</v>
      </c>
      <c r="Q8941" s="2" t="s">
        <v>13939</v>
      </c>
    </row>
    <row r="8942">
      <c r="A8942" s="2">
        <v>8941.0</v>
      </c>
      <c r="B8942" s="2" t="s">
        <v>13940</v>
      </c>
      <c r="C8942" s="2" t="s">
        <v>23</v>
      </c>
      <c r="K8942" s="2">
        <v>70.0</v>
      </c>
      <c r="N8942" s="6">
        <v>44995.0</v>
      </c>
      <c r="Q8942" s="2" t="s">
        <v>2777</v>
      </c>
    </row>
    <row r="8943">
      <c r="A8943" s="2">
        <v>8942.0</v>
      </c>
      <c r="B8943" s="2" t="s">
        <v>13941</v>
      </c>
      <c r="C8943" s="2" t="s">
        <v>23</v>
      </c>
      <c r="N8943" s="6">
        <v>44870.0</v>
      </c>
      <c r="Q8943" s="2" t="s">
        <v>86</v>
      </c>
    </row>
    <row r="8944">
      <c r="A8944" s="2">
        <v>8943.0</v>
      </c>
      <c r="B8944" s="2" t="s">
        <v>13942</v>
      </c>
      <c r="C8944" s="2" t="s">
        <v>23</v>
      </c>
      <c r="K8944" s="2">
        <v>80.0</v>
      </c>
      <c r="N8944" s="6">
        <v>43987.0</v>
      </c>
      <c r="Q8944" s="2" t="s">
        <v>13943</v>
      </c>
    </row>
    <row r="8945">
      <c r="A8945" s="2">
        <v>8944.0</v>
      </c>
      <c r="B8945" s="2" t="s">
        <v>13944</v>
      </c>
      <c r="C8945" s="2" t="s">
        <v>23</v>
      </c>
      <c r="K8945" s="2">
        <v>200.0</v>
      </c>
      <c r="N8945" s="6">
        <v>45590.0</v>
      </c>
      <c r="Q8945" s="2" t="s">
        <v>13945</v>
      </c>
    </row>
    <row r="8946">
      <c r="A8946" s="2">
        <v>8945.0</v>
      </c>
      <c r="B8946" s="2" t="s">
        <v>13946</v>
      </c>
      <c r="C8946" s="2" t="s">
        <v>23</v>
      </c>
      <c r="N8946" s="6">
        <v>44211.0</v>
      </c>
      <c r="Q8946" s="2" t="s">
        <v>86</v>
      </c>
    </row>
    <row r="8947">
      <c r="A8947" s="2">
        <v>8946.0</v>
      </c>
      <c r="B8947" s="2" t="s">
        <v>13947</v>
      </c>
      <c r="C8947" s="2" t="s">
        <v>23</v>
      </c>
      <c r="K8947" s="2">
        <v>150.0</v>
      </c>
      <c r="N8947" s="6">
        <v>44417.0</v>
      </c>
      <c r="Q8947" s="2" t="s">
        <v>13948</v>
      </c>
    </row>
    <row r="8948">
      <c r="A8948" s="2">
        <v>8947.0</v>
      </c>
      <c r="B8948" s="2" t="s">
        <v>13949</v>
      </c>
      <c r="C8948" s="2" t="s">
        <v>23</v>
      </c>
      <c r="K8948" s="2">
        <v>30.0</v>
      </c>
      <c r="N8948" s="6">
        <v>44388.0</v>
      </c>
      <c r="Q8948" s="2" t="s">
        <v>86</v>
      </c>
    </row>
    <row r="8949">
      <c r="A8949" s="2">
        <v>8948.0</v>
      </c>
      <c r="B8949" s="2" t="s">
        <v>13950</v>
      </c>
      <c r="C8949" s="2" t="s">
        <v>23</v>
      </c>
      <c r="N8949" s="6">
        <v>44671.0</v>
      </c>
      <c r="Q8949" s="2" t="s">
        <v>86</v>
      </c>
    </row>
    <row r="8950">
      <c r="A8950" s="2">
        <v>8949.0</v>
      </c>
      <c r="B8950" s="2" t="s">
        <v>13951</v>
      </c>
      <c r="C8950" s="2" t="s">
        <v>23</v>
      </c>
      <c r="K8950" s="2">
        <v>60.0</v>
      </c>
      <c r="N8950" s="6">
        <v>44101.0</v>
      </c>
      <c r="Q8950" s="2" t="s">
        <v>13952</v>
      </c>
    </row>
    <row r="8951">
      <c r="A8951" s="2">
        <v>8950.0</v>
      </c>
      <c r="B8951" s="2" t="s">
        <v>13953</v>
      </c>
      <c r="C8951" s="2" t="s">
        <v>23</v>
      </c>
      <c r="N8951" s="6">
        <v>45557.0</v>
      </c>
      <c r="Q8951" s="2" t="s">
        <v>13954</v>
      </c>
    </row>
    <row r="8952">
      <c r="A8952" s="2">
        <v>8951.0</v>
      </c>
      <c r="B8952" s="2" t="s">
        <v>13955</v>
      </c>
      <c r="C8952" s="2" t="s">
        <v>23</v>
      </c>
      <c r="K8952" s="2">
        <v>10.0</v>
      </c>
      <c r="N8952" s="6">
        <v>44021.0</v>
      </c>
      <c r="Q8952" s="2" t="s">
        <v>13956</v>
      </c>
    </row>
    <row r="8953">
      <c r="A8953" s="2">
        <v>8952.0</v>
      </c>
      <c r="B8953" s="2" t="s">
        <v>13957</v>
      </c>
      <c r="C8953" s="2" t="s">
        <v>23</v>
      </c>
      <c r="N8953" s="6">
        <v>42909.0</v>
      </c>
      <c r="Q8953" s="2" t="s">
        <v>86</v>
      </c>
    </row>
    <row r="8954">
      <c r="A8954" s="2">
        <v>8953.0</v>
      </c>
      <c r="B8954" s="2" t="s">
        <v>13958</v>
      </c>
      <c r="C8954" s="2" t="s">
        <v>23</v>
      </c>
      <c r="K8954" s="2">
        <v>20.0</v>
      </c>
      <c r="N8954" s="6">
        <v>44502.0</v>
      </c>
      <c r="Q8954" s="2" t="s">
        <v>86</v>
      </c>
    </row>
    <row r="8955">
      <c r="A8955" s="2">
        <v>8954.0</v>
      </c>
      <c r="B8955" s="2" t="s">
        <v>13959</v>
      </c>
      <c r="C8955" s="2" t="s">
        <v>23</v>
      </c>
      <c r="N8955" s="6">
        <v>45125.0</v>
      </c>
      <c r="Q8955" s="2" t="s">
        <v>5544</v>
      </c>
    </row>
    <row r="8956">
      <c r="A8956" s="2">
        <v>8955.0</v>
      </c>
      <c r="B8956" s="2" t="s">
        <v>13960</v>
      </c>
      <c r="C8956" s="2" t="s">
        <v>23</v>
      </c>
      <c r="N8956" s="6">
        <v>45980.0</v>
      </c>
      <c r="Q8956" s="2" t="s">
        <v>1135</v>
      </c>
    </row>
    <row r="8957">
      <c r="A8957" s="2">
        <v>8956.0</v>
      </c>
      <c r="B8957" s="2" t="s">
        <v>13961</v>
      </c>
      <c r="C8957" s="2" t="s">
        <v>23</v>
      </c>
      <c r="K8957" s="2">
        <v>150.0</v>
      </c>
      <c r="N8957" s="6">
        <v>45642.0</v>
      </c>
      <c r="Q8957" s="2" t="s">
        <v>5845</v>
      </c>
    </row>
    <row r="8958">
      <c r="A8958" s="2">
        <v>8957.0</v>
      </c>
      <c r="B8958" s="2" t="s">
        <v>13962</v>
      </c>
      <c r="C8958" s="2" t="s">
        <v>23</v>
      </c>
      <c r="N8958" s="6">
        <v>45980.0</v>
      </c>
      <c r="Q8958" s="2" t="s">
        <v>13963</v>
      </c>
    </row>
    <row r="8959">
      <c r="A8959" s="2">
        <v>8958.0</v>
      </c>
      <c r="B8959" s="2" t="s">
        <v>13964</v>
      </c>
      <c r="C8959" s="2" t="s">
        <v>23</v>
      </c>
      <c r="K8959" s="2">
        <v>100.0</v>
      </c>
      <c r="N8959" s="6">
        <v>44112.0</v>
      </c>
      <c r="Q8959" s="2" t="s">
        <v>89</v>
      </c>
    </row>
    <row r="8960">
      <c r="A8960" s="2">
        <v>8959.0</v>
      </c>
      <c r="B8960" s="2" t="s">
        <v>13965</v>
      </c>
      <c r="C8960" s="2" t="s">
        <v>23</v>
      </c>
      <c r="K8960" s="2">
        <v>80.0</v>
      </c>
      <c r="N8960" s="6">
        <v>44913.0</v>
      </c>
      <c r="Q8960" s="2" t="s">
        <v>1094</v>
      </c>
    </row>
    <row r="8961">
      <c r="A8961" s="2">
        <v>8960.0</v>
      </c>
      <c r="B8961" s="2" t="s">
        <v>13966</v>
      </c>
      <c r="C8961" s="2" t="s">
        <v>23</v>
      </c>
      <c r="K8961" s="2">
        <v>50.0</v>
      </c>
      <c r="N8961" s="6">
        <v>43524.0</v>
      </c>
      <c r="Q8961" s="2" t="s">
        <v>13967</v>
      </c>
    </row>
    <row r="8962">
      <c r="A8962" s="2">
        <v>8961.0</v>
      </c>
      <c r="B8962" s="2" t="s">
        <v>13968</v>
      </c>
      <c r="C8962" s="2" t="s">
        <v>23</v>
      </c>
      <c r="K8962" s="2">
        <v>30.0</v>
      </c>
      <c r="N8962" s="6">
        <v>44667.0</v>
      </c>
      <c r="Q8962" s="2" t="s">
        <v>13969</v>
      </c>
    </row>
    <row r="8963">
      <c r="A8963" s="2">
        <v>8962.0</v>
      </c>
      <c r="B8963" s="2" t="s">
        <v>13970</v>
      </c>
      <c r="C8963" s="2" t="s">
        <v>23</v>
      </c>
      <c r="K8963" s="2">
        <v>150.0</v>
      </c>
      <c r="N8963" s="6">
        <v>45058.0</v>
      </c>
      <c r="Q8963" s="2" t="s">
        <v>1801</v>
      </c>
    </row>
    <row r="8964">
      <c r="A8964" s="2">
        <v>8963.0</v>
      </c>
      <c r="B8964" s="2" t="s">
        <v>13971</v>
      </c>
      <c r="C8964" s="2" t="s">
        <v>23</v>
      </c>
      <c r="N8964" s="6">
        <v>44247.0</v>
      </c>
      <c r="Q8964" s="2" t="s">
        <v>86</v>
      </c>
    </row>
    <row r="8965">
      <c r="A8965" s="2">
        <v>8964.0</v>
      </c>
      <c r="B8965" s="2" t="s">
        <v>13972</v>
      </c>
      <c r="C8965" s="2" t="s">
        <v>23</v>
      </c>
      <c r="N8965" s="6">
        <v>43928.0</v>
      </c>
      <c r="Q8965" s="2" t="s">
        <v>4780</v>
      </c>
    </row>
    <row r="8966">
      <c r="A8966" s="2">
        <v>8965.0</v>
      </c>
      <c r="B8966" s="2" t="s">
        <v>13973</v>
      </c>
      <c r="C8966" s="2" t="s">
        <v>23</v>
      </c>
      <c r="N8966" s="6">
        <v>44138.0</v>
      </c>
      <c r="Q8966" s="2" t="s">
        <v>86</v>
      </c>
    </row>
    <row r="8967">
      <c r="A8967" s="2">
        <v>8966.0</v>
      </c>
      <c r="B8967" s="2" t="s">
        <v>13974</v>
      </c>
      <c r="C8967" s="2" t="s">
        <v>23</v>
      </c>
      <c r="N8967" s="6">
        <v>43926.0</v>
      </c>
      <c r="Q8967" s="2" t="s">
        <v>86</v>
      </c>
    </row>
    <row r="8968">
      <c r="A8968" s="2">
        <v>8967.0</v>
      </c>
      <c r="B8968" s="2" t="s">
        <v>13975</v>
      </c>
      <c r="C8968" s="2" t="s">
        <v>23</v>
      </c>
      <c r="K8968" s="2">
        <v>50.0</v>
      </c>
      <c r="N8968" s="6">
        <v>45728.0</v>
      </c>
      <c r="Q8968" s="2" t="s">
        <v>9563</v>
      </c>
    </row>
    <row r="8969">
      <c r="A8969" s="2">
        <v>8968.0</v>
      </c>
      <c r="B8969" s="2" t="s">
        <v>13976</v>
      </c>
      <c r="C8969" s="2" t="s">
        <v>23</v>
      </c>
      <c r="N8969" s="6">
        <v>45424.0</v>
      </c>
      <c r="Q8969" s="2" t="s">
        <v>13977</v>
      </c>
    </row>
    <row r="8970">
      <c r="A8970" s="2">
        <v>8969.0</v>
      </c>
      <c r="B8970" s="2" t="s">
        <v>13978</v>
      </c>
      <c r="C8970" s="2" t="s">
        <v>23</v>
      </c>
      <c r="K8970" s="2">
        <v>10.0</v>
      </c>
      <c r="N8970" s="6">
        <v>45670.0</v>
      </c>
      <c r="Q8970" s="2" t="s">
        <v>13979</v>
      </c>
    </row>
    <row r="8971">
      <c r="A8971" s="2">
        <v>8970.0</v>
      </c>
      <c r="B8971" s="2" t="s">
        <v>13980</v>
      </c>
      <c r="C8971" s="2" t="s">
        <v>23</v>
      </c>
      <c r="K8971" s="2">
        <v>150.0</v>
      </c>
      <c r="N8971" s="6">
        <v>45724.0</v>
      </c>
      <c r="Q8971" s="2" t="s">
        <v>13981</v>
      </c>
    </row>
    <row r="8972">
      <c r="A8972" s="2">
        <v>8971.0</v>
      </c>
      <c r="B8972" s="2" t="s">
        <v>13982</v>
      </c>
      <c r="C8972" s="2" t="s">
        <v>23</v>
      </c>
      <c r="N8972" s="6">
        <v>43858.0</v>
      </c>
      <c r="Q8972" s="2" t="s">
        <v>86</v>
      </c>
    </row>
    <row r="8973">
      <c r="A8973" s="2">
        <v>8972.0</v>
      </c>
      <c r="B8973" s="2" t="s">
        <v>13983</v>
      </c>
      <c r="C8973" s="2" t="s">
        <v>23</v>
      </c>
      <c r="K8973" s="2">
        <v>20.0</v>
      </c>
      <c r="N8973" s="6">
        <v>44584.0</v>
      </c>
      <c r="Q8973" s="2" t="s">
        <v>401</v>
      </c>
    </row>
    <row r="8974">
      <c r="A8974" s="2">
        <v>8973.0</v>
      </c>
      <c r="B8974" s="2" t="s">
        <v>13984</v>
      </c>
      <c r="C8974" s="2" t="s">
        <v>23</v>
      </c>
      <c r="K8974" s="2">
        <v>80.0</v>
      </c>
      <c r="N8974" s="6">
        <v>45707.0</v>
      </c>
      <c r="Q8974" s="2" t="s">
        <v>5711</v>
      </c>
    </row>
    <row r="8975">
      <c r="A8975" s="2">
        <v>8974.0</v>
      </c>
      <c r="B8975" s="2" t="s">
        <v>13985</v>
      </c>
      <c r="C8975" s="2" t="s">
        <v>23</v>
      </c>
      <c r="N8975" s="6">
        <v>44318.0</v>
      </c>
      <c r="Q8975" s="2" t="s">
        <v>86</v>
      </c>
    </row>
    <row r="8976">
      <c r="A8976" s="2">
        <v>8975.0</v>
      </c>
      <c r="B8976" s="2" t="s">
        <v>13986</v>
      </c>
      <c r="C8976" s="2" t="s">
        <v>23</v>
      </c>
      <c r="K8976" s="2">
        <v>10.0</v>
      </c>
      <c r="N8976" s="6">
        <v>44694.0</v>
      </c>
      <c r="Q8976" s="2" t="s">
        <v>3185</v>
      </c>
    </row>
    <row r="8977">
      <c r="A8977" s="2">
        <v>8976.0</v>
      </c>
      <c r="B8977" s="2" t="s">
        <v>13987</v>
      </c>
      <c r="C8977" s="2" t="s">
        <v>23</v>
      </c>
      <c r="N8977" s="6">
        <v>44512.0</v>
      </c>
      <c r="Q8977" s="2" t="s">
        <v>86</v>
      </c>
    </row>
    <row r="8978">
      <c r="A8978" s="2">
        <v>8977.0</v>
      </c>
      <c r="B8978" s="2" t="s">
        <v>13988</v>
      </c>
      <c r="C8978" s="2" t="s">
        <v>23</v>
      </c>
      <c r="K8978" s="2">
        <v>40.0</v>
      </c>
      <c r="N8978" s="6">
        <v>44236.0</v>
      </c>
      <c r="Q8978" s="2" t="s">
        <v>13989</v>
      </c>
    </row>
    <row r="8979">
      <c r="A8979" s="2">
        <v>8978.0</v>
      </c>
      <c r="B8979" s="2" t="s">
        <v>13990</v>
      </c>
      <c r="C8979" s="2" t="s">
        <v>23</v>
      </c>
      <c r="N8979" s="6">
        <v>44669.0</v>
      </c>
      <c r="Q8979" s="2" t="s">
        <v>86</v>
      </c>
    </row>
    <row r="8980">
      <c r="A8980" s="2">
        <v>8979.0</v>
      </c>
      <c r="B8980" s="2" t="s">
        <v>13991</v>
      </c>
      <c r="C8980" s="2" t="s">
        <v>23</v>
      </c>
      <c r="N8980" s="6">
        <v>45541.0</v>
      </c>
      <c r="Q8980" s="2" t="s">
        <v>13992</v>
      </c>
    </row>
    <row r="8981">
      <c r="A8981" s="2">
        <v>8980.0</v>
      </c>
      <c r="B8981" s="2" t="s">
        <v>13993</v>
      </c>
      <c r="C8981" s="2" t="s">
        <v>23</v>
      </c>
      <c r="N8981" s="6">
        <v>42485.0</v>
      </c>
      <c r="Q8981" s="2" t="s">
        <v>86</v>
      </c>
    </row>
    <row r="8982">
      <c r="A8982" s="2">
        <v>8981.0</v>
      </c>
      <c r="B8982" s="2" t="s">
        <v>13994</v>
      </c>
      <c r="C8982" s="2" t="s">
        <v>23</v>
      </c>
      <c r="N8982" s="6">
        <v>44549.0</v>
      </c>
      <c r="Q8982" s="2" t="s">
        <v>86</v>
      </c>
    </row>
    <row r="8983">
      <c r="A8983" s="2">
        <v>8982.0</v>
      </c>
      <c r="B8983" s="2" t="s">
        <v>13995</v>
      </c>
      <c r="C8983" s="2" t="s">
        <v>23</v>
      </c>
      <c r="K8983" s="2">
        <v>30.0</v>
      </c>
      <c r="N8983" s="6">
        <v>45098.0</v>
      </c>
      <c r="Q8983" s="2" t="s">
        <v>13996</v>
      </c>
    </row>
    <row r="8984">
      <c r="A8984" s="2">
        <v>8983.0</v>
      </c>
      <c r="B8984" s="2" t="s">
        <v>13997</v>
      </c>
      <c r="C8984" s="2" t="s">
        <v>23</v>
      </c>
      <c r="K8984" s="2">
        <v>10.0</v>
      </c>
      <c r="N8984" s="6">
        <v>45511.0</v>
      </c>
      <c r="Q8984" s="2" t="s">
        <v>3514</v>
      </c>
    </row>
    <row r="8985">
      <c r="A8985" s="2">
        <v>8984.0</v>
      </c>
      <c r="B8985" s="2" t="s">
        <v>13998</v>
      </c>
      <c r="C8985" s="2" t="s">
        <v>23</v>
      </c>
      <c r="N8985" s="6">
        <v>44083.0</v>
      </c>
      <c r="Q8985" s="2" t="s">
        <v>86</v>
      </c>
    </row>
    <row r="8986">
      <c r="A8986" s="2">
        <v>8985.0</v>
      </c>
      <c r="B8986" s="2" t="s">
        <v>13999</v>
      </c>
      <c r="C8986" s="2" t="s">
        <v>23</v>
      </c>
      <c r="K8986" s="2">
        <v>70.0</v>
      </c>
      <c r="N8986" s="6">
        <v>43884.0</v>
      </c>
      <c r="Q8986" s="2" t="s">
        <v>14000</v>
      </c>
    </row>
    <row r="8987">
      <c r="A8987" s="2">
        <v>8986.0</v>
      </c>
      <c r="B8987" s="2" t="s">
        <v>14001</v>
      </c>
      <c r="C8987" s="2" t="s">
        <v>23</v>
      </c>
      <c r="K8987" s="2">
        <v>10.0</v>
      </c>
      <c r="N8987" s="6">
        <v>44695.0</v>
      </c>
      <c r="Q8987" s="2" t="s">
        <v>8560</v>
      </c>
    </row>
    <row r="8988">
      <c r="A8988" s="2">
        <v>8987.0</v>
      </c>
      <c r="B8988" s="2" t="s">
        <v>14002</v>
      </c>
      <c r="C8988" s="2" t="s">
        <v>23</v>
      </c>
      <c r="K8988" s="2">
        <v>10.0</v>
      </c>
      <c r="N8988" s="6">
        <v>45096.0</v>
      </c>
      <c r="Q8988" s="2" t="s">
        <v>426</v>
      </c>
    </row>
    <row r="8989">
      <c r="A8989" s="2">
        <v>8988.0</v>
      </c>
      <c r="B8989" s="2" t="s">
        <v>14003</v>
      </c>
      <c r="C8989" s="2" t="s">
        <v>23</v>
      </c>
      <c r="K8989" s="2">
        <v>200.0</v>
      </c>
      <c r="N8989" s="6">
        <v>42613.0</v>
      </c>
      <c r="Q8989" s="2" t="s">
        <v>14004</v>
      </c>
    </row>
    <row r="8990">
      <c r="A8990" s="2">
        <v>8989.0</v>
      </c>
      <c r="B8990" s="2" t="s">
        <v>14005</v>
      </c>
      <c r="C8990" s="2" t="s">
        <v>23</v>
      </c>
      <c r="N8990" s="6">
        <v>44857.0</v>
      </c>
      <c r="Q8990" s="2" t="s">
        <v>86</v>
      </c>
    </row>
    <row r="8991">
      <c r="A8991" s="2">
        <v>8990.0</v>
      </c>
      <c r="B8991" s="2" t="s">
        <v>14006</v>
      </c>
      <c r="C8991" s="2" t="s">
        <v>23</v>
      </c>
      <c r="K8991" s="2">
        <v>20.0</v>
      </c>
      <c r="N8991" s="6">
        <v>44931.0</v>
      </c>
      <c r="Q8991" s="2" t="s">
        <v>2127</v>
      </c>
    </row>
    <row r="8992">
      <c r="A8992" s="2">
        <v>8991.0</v>
      </c>
      <c r="B8992" s="2" t="s">
        <v>14007</v>
      </c>
      <c r="C8992" s="2" t="s">
        <v>23</v>
      </c>
      <c r="N8992" s="6">
        <v>42536.0</v>
      </c>
      <c r="Q8992" s="2" t="s">
        <v>86</v>
      </c>
    </row>
    <row r="8993">
      <c r="A8993" s="2">
        <v>8992.0</v>
      </c>
      <c r="B8993" s="2" t="s">
        <v>14008</v>
      </c>
      <c r="C8993" s="2" t="s">
        <v>23</v>
      </c>
      <c r="K8993" s="2">
        <v>70.0</v>
      </c>
      <c r="N8993" s="6">
        <v>45224.0</v>
      </c>
      <c r="Q8993" s="2" t="s">
        <v>14009</v>
      </c>
    </row>
    <row r="8994">
      <c r="A8994" s="2">
        <v>8993.0</v>
      </c>
      <c r="B8994" s="2" t="s">
        <v>14010</v>
      </c>
      <c r="C8994" s="2" t="s">
        <v>23</v>
      </c>
      <c r="K8994" s="2">
        <v>200.0</v>
      </c>
      <c r="N8994" s="6">
        <v>45483.0</v>
      </c>
      <c r="Q8994" s="2" t="s">
        <v>14011</v>
      </c>
    </row>
    <row r="8995">
      <c r="A8995" s="2">
        <v>8994.0</v>
      </c>
      <c r="B8995" s="2" t="s">
        <v>14012</v>
      </c>
      <c r="C8995" s="2" t="s">
        <v>23</v>
      </c>
      <c r="N8995" s="6">
        <v>44785.0</v>
      </c>
      <c r="Q8995" s="2" t="s">
        <v>3062</v>
      </c>
    </row>
    <row r="8996">
      <c r="A8996" s="2">
        <v>8995.0</v>
      </c>
      <c r="B8996" s="2" t="s">
        <v>14013</v>
      </c>
      <c r="C8996" s="2" t="s">
        <v>23</v>
      </c>
      <c r="K8996" s="2">
        <v>20.0</v>
      </c>
      <c r="N8996" s="6">
        <v>44475.0</v>
      </c>
      <c r="Q8996" s="2" t="s">
        <v>14014</v>
      </c>
    </row>
    <row r="8997">
      <c r="A8997" s="2">
        <v>8996.0</v>
      </c>
      <c r="B8997" s="2" t="s">
        <v>14015</v>
      </c>
      <c r="C8997" s="2" t="s">
        <v>23</v>
      </c>
      <c r="K8997" s="2">
        <v>10.0</v>
      </c>
      <c r="N8997" s="6">
        <v>44837.0</v>
      </c>
      <c r="Q8997" s="2" t="s">
        <v>491</v>
      </c>
    </row>
    <row r="8998">
      <c r="A8998" s="2">
        <v>8997.0</v>
      </c>
      <c r="B8998" s="2" t="s">
        <v>14016</v>
      </c>
      <c r="C8998" s="2" t="s">
        <v>23</v>
      </c>
      <c r="N8998" s="6">
        <v>44146.0</v>
      </c>
      <c r="Q8998" s="2" t="s">
        <v>86</v>
      </c>
    </row>
    <row r="8999">
      <c r="A8999" s="2">
        <v>8998.0</v>
      </c>
      <c r="B8999" s="2" t="s">
        <v>14017</v>
      </c>
      <c r="C8999" s="2" t="s">
        <v>23</v>
      </c>
      <c r="K8999" s="2">
        <v>60.0</v>
      </c>
      <c r="N8999" s="6">
        <v>45460.0</v>
      </c>
      <c r="Q8999" s="2" t="s">
        <v>89</v>
      </c>
    </row>
    <row r="9000">
      <c r="A9000" s="2">
        <v>8999.0</v>
      </c>
      <c r="B9000" s="2" t="s">
        <v>14018</v>
      </c>
      <c r="C9000" s="2" t="s">
        <v>23</v>
      </c>
      <c r="K9000" s="2">
        <v>10.0</v>
      </c>
      <c r="N9000" s="6">
        <v>45572.0</v>
      </c>
      <c r="Q9000" s="2" t="s">
        <v>14019</v>
      </c>
    </row>
    <row r="9001">
      <c r="A9001" s="2">
        <v>9000.0</v>
      </c>
      <c r="B9001" s="2" t="s">
        <v>14020</v>
      </c>
      <c r="C9001" s="2" t="s">
        <v>23</v>
      </c>
      <c r="K9001" s="2">
        <v>150.0</v>
      </c>
      <c r="N9001" s="6">
        <v>44293.0</v>
      </c>
      <c r="Q9001" s="2" t="s">
        <v>14021</v>
      </c>
    </row>
    <row r="9002">
      <c r="A9002" s="2">
        <v>9001.0</v>
      </c>
      <c r="B9002" s="2" t="s">
        <v>14022</v>
      </c>
      <c r="C9002" s="2" t="s">
        <v>23</v>
      </c>
      <c r="N9002" s="6">
        <v>44746.0</v>
      </c>
      <c r="Q9002" s="2" t="s">
        <v>86</v>
      </c>
    </row>
    <row r="9003">
      <c r="A9003" s="2">
        <v>9002.0</v>
      </c>
      <c r="B9003" s="2" t="s">
        <v>14023</v>
      </c>
      <c r="C9003" s="2" t="s">
        <v>23</v>
      </c>
      <c r="K9003" s="2">
        <v>150.0</v>
      </c>
      <c r="N9003" s="6">
        <v>44689.0</v>
      </c>
      <c r="Q9003" s="2" t="s">
        <v>14024</v>
      </c>
    </row>
    <row r="9004">
      <c r="A9004" s="2">
        <v>9003.0</v>
      </c>
      <c r="B9004" s="2" t="s">
        <v>14025</v>
      </c>
      <c r="C9004" s="2" t="s">
        <v>23</v>
      </c>
      <c r="K9004" s="2">
        <v>10.0</v>
      </c>
      <c r="N9004" s="6">
        <v>43844.0</v>
      </c>
      <c r="Q9004" s="2" t="s">
        <v>426</v>
      </c>
    </row>
    <row r="9005">
      <c r="A9005" s="2">
        <v>9004.0</v>
      </c>
      <c r="B9005" s="2" t="s">
        <v>14026</v>
      </c>
      <c r="C9005" s="2" t="s">
        <v>23</v>
      </c>
      <c r="K9005" s="2">
        <v>60.0</v>
      </c>
      <c r="N9005" s="6">
        <v>45015.0</v>
      </c>
      <c r="Q9005" s="2" t="s">
        <v>14027</v>
      </c>
    </row>
    <row r="9006">
      <c r="A9006" s="2">
        <v>9005.0</v>
      </c>
      <c r="B9006" s="2" t="s">
        <v>14028</v>
      </c>
      <c r="C9006" s="2" t="s">
        <v>23</v>
      </c>
      <c r="N9006" s="6">
        <v>44348.0</v>
      </c>
      <c r="Q9006" s="2" t="s">
        <v>86</v>
      </c>
    </row>
    <row r="9007">
      <c r="A9007" s="2">
        <v>9006.0</v>
      </c>
      <c r="B9007" s="2" t="s">
        <v>14029</v>
      </c>
      <c r="C9007" s="2" t="s">
        <v>23</v>
      </c>
      <c r="K9007" s="2">
        <v>90.0</v>
      </c>
      <c r="N9007" s="6">
        <v>42788.0</v>
      </c>
      <c r="Q9007" s="2" t="s">
        <v>14030</v>
      </c>
    </row>
    <row r="9008">
      <c r="A9008" s="2">
        <v>9007.0</v>
      </c>
      <c r="B9008" s="2" t="s">
        <v>14031</v>
      </c>
      <c r="C9008" s="2" t="s">
        <v>23</v>
      </c>
      <c r="K9008" s="2">
        <v>10.0</v>
      </c>
      <c r="N9008" s="6">
        <v>45636.0</v>
      </c>
      <c r="Q9008" s="2" t="s">
        <v>8902</v>
      </c>
    </row>
    <row r="9009">
      <c r="A9009" s="2">
        <v>9008.0</v>
      </c>
      <c r="B9009" s="2" t="s">
        <v>14032</v>
      </c>
      <c r="C9009" s="2" t="s">
        <v>23</v>
      </c>
      <c r="K9009" s="2">
        <v>10.0</v>
      </c>
      <c r="N9009" s="6">
        <v>44689.0</v>
      </c>
      <c r="Q9009" s="2" t="s">
        <v>1466</v>
      </c>
    </row>
    <row r="9010">
      <c r="A9010" s="2">
        <v>9009.0</v>
      </c>
      <c r="B9010" s="2" t="s">
        <v>14033</v>
      </c>
      <c r="C9010" s="2" t="s">
        <v>23</v>
      </c>
      <c r="K9010" s="2">
        <v>150.0</v>
      </c>
      <c r="N9010" s="6">
        <v>44529.0</v>
      </c>
      <c r="Q9010" s="2" t="s">
        <v>12880</v>
      </c>
    </row>
    <row r="9011">
      <c r="A9011" s="2">
        <v>9010.0</v>
      </c>
      <c r="B9011" s="2" t="s">
        <v>14034</v>
      </c>
      <c r="C9011" s="2" t="s">
        <v>23</v>
      </c>
      <c r="K9011" s="2">
        <v>10.0</v>
      </c>
      <c r="N9011" s="6">
        <v>44495.0</v>
      </c>
      <c r="Q9011" s="2" t="s">
        <v>5919</v>
      </c>
    </row>
    <row r="9012">
      <c r="A9012" s="2">
        <v>9011.0</v>
      </c>
      <c r="B9012" s="2" t="s">
        <v>14035</v>
      </c>
      <c r="C9012" s="2" t="s">
        <v>23</v>
      </c>
      <c r="N9012" s="6">
        <v>44770.0</v>
      </c>
      <c r="Q9012" s="2" t="s">
        <v>86</v>
      </c>
    </row>
    <row r="9013">
      <c r="A9013" s="2">
        <v>9012.0</v>
      </c>
      <c r="B9013" s="2" t="s">
        <v>14036</v>
      </c>
      <c r="C9013" s="2" t="s">
        <v>23</v>
      </c>
      <c r="K9013" s="2">
        <v>20.0</v>
      </c>
      <c r="N9013" s="6">
        <v>45693.0</v>
      </c>
      <c r="Q9013" s="2" t="s">
        <v>9813</v>
      </c>
    </row>
    <row r="9014">
      <c r="A9014" s="2">
        <v>9013.0</v>
      </c>
      <c r="B9014" s="2" t="s">
        <v>14037</v>
      </c>
      <c r="C9014" s="2" t="s">
        <v>23</v>
      </c>
      <c r="N9014" s="6">
        <v>43942.0</v>
      </c>
      <c r="Q9014" s="2" t="s">
        <v>14038</v>
      </c>
    </row>
    <row r="9015">
      <c r="A9015" s="2">
        <v>9014.0</v>
      </c>
      <c r="B9015" s="2" t="s">
        <v>14039</v>
      </c>
      <c r="C9015" s="2" t="s">
        <v>23</v>
      </c>
      <c r="N9015" s="6">
        <v>44933.0</v>
      </c>
      <c r="Q9015" s="2" t="s">
        <v>86</v>
      </c>
    </row>
    <row r="9016">
      <c r="A9016" s="2">
        <v>9015.0</v>
      </c>
      <c r="B9016" s="2" t="s">
        <v>14040</v>
      </c>
      <c r="C9016" s="2" t="s">
        <v>23</v>
      </c>
      <c r="K9016" s="2">
        <v>100.0</v>
      </c>
      <c r="N9016" s="6">
        <v>44057.0</v>
      </c>
      <c r="Q9016" s="2" t="s">
        <v>14041</v>
      </c>
    </row>
    <row r="9017">
      <c r="A9017" s="2">
        <v>9016.0</v>
      </c>
      <c r="B9017" s="2" t="s">
        <v>14042</v>
      </c>
      <c r="C9017" s="2" t="s">
        <v>23</v>
      </c>
      <c r="N9017" s="6">
        <v>45958.0</v>
      </c>
      <c r="Q9017" s="2" t="s">
        <v>14043</v>
      </c>
    </row>
    <row r="9018">
      <c r="A9018" s="2">
        <v>9017.0</v>
      </c>
      <c r="B9018" s="2" t="s">
        <v>14044</v>
      </c>
      <c r="C9018" s="2" t="s">
        <v>23</v>
      </c>
      <c r="N9018" s="6">
        <v>42269.0</v>
      </c>
      <c r="Q9018" s="2" t="s">
        <v>14045</v>
      </c>
    </row>
    <row r="9019">
      <c r="A9019" s="2">
        <v>9018.0</v>
      </c>
      <c r="B9019" s="2" t="s">
        <v>14046</v>
      </c>
      <c r="C9019" s="2" t="s">
        <v>23</v>
      </c>
      <c r="K9019" s="2">
        <v>40.0</v>
      </c>
      <c r="N9019" s="6">
        <v>45529.0</v>
      </c>
      <c r="Q9019" s="2" t="s">
        <v>14047</v>
      </c>
    </row>
    <row r="9020">
      <c r="A9020" s="2">
        <v>9019.0</v>
      </c>
      <c r="B9020" s="2" t="s">
        <v>14048</v>
      </c>
      <c r="C9020" s="2" t="s">
        <v>23</v>
      </c>
      <c r="K9020" s="2">
        <v>40.0</v>
      </c>
      <c r="N9020" s="6">
        <v>44180.0</v>
      </c>
      <c r="Q9020" s="2" t="s">
        <v>1070</v>
      </c>
    </row>
    <row r="9021">
      <c r="A9021" s="2">
        <v>9020.0</v>
      </c>
      <c r="B9021" s="2" t="s">
        <v>14049</v>
      </c>
      <c r="C9021" s="2" t="s">
        <v>23</v>
      </c>
      <c r="N9021" s="6">
        <v>43581.0</v>
      </c>
      <c r="Q9021" s="2" t="s">
        <v>14050</v>
      </c>
    </row>
    <row r="9022">
      <c r="A9022" s="2">
        <v>9021.0</v>
      </c>
      <c r="B9022" s="2" t="s">
        <v>14051</v>
      </c>
      <c r="C9022" s="2" t="s">
        <v>23</v>
      </c>
      <c r="N9022" s="6">
        <v>44965.0</v>
      </c>
      <c r="Q9022" s="2" t="s">
        <v>86</v>
      </c>
    </row>
    <row r="9023">
      <c r="A9023" s="2">
        <v>9022.0</v>
      </c>
      <c r="B9023" s="2" t="s">
        <v>14052</v>
      </c>
      <c r="C9023" s="2" t="s">
        <v>23</v>
      </c>
      <c r="K9023" s="2">
        <v>150.0</v>
      </c>
      <c r="N9023" s="6">
        <v>43845.0</v>
      </c>
      <c r="Q9023" s="2" t="s">
        <v>491</v>
      </c>
    </row>
    <row r="9024">
      <c r="A9024" s="2">
        <v>9023.0</v>
      </c>
      <c r="B9024" s="2" t="s">
        <v>14053</v>
      </c>
      <c r="C9024" s="2" t="s">
        <v>23</v>
      </c>
      <c r="K9024" s="2">
        <v>10.0</v>
      </c>
      <c r="N9024" s="6">
        <v>43997.0</v>
      </c>
      <c r="Q9024" s="2" t="s">
        <v>86</v>
      </c>
    </row>
    <row r="9025">
      <c r="A9025" s="2">
        <v>9024.0</v>
      </c>
      <c r="B9025" s="2" t="s">
        <v>14054</v>
      </c>
      <c r="C9025" s="2" t="s">
        <v>23</v>
      </c>
      <c r="N9025" s="6">
        <v>44032.0</v>
      </c>
      <c r="Q9025" s="2" t="s">
        <v>86</v>
      </c>
    </row>
    <row r="9026">
      <c r="A9026" s="2">
        <v>9025.0</v>
      </c>
      <c r="B9026" s="2" t="s">
        <v>14055</v>
      </c>
      <c r="C9026" s="2" t="s">
        <v>23</v>
      </c>
      <c r="K9026" s="2">
        <v>150.0</v>
      </c>
      <c r="N9026" s="6">
        <v>45509.0</v>
      </c>
      <c r="Q9026" s="2" t="s">
        <v>14056</v>
      </c>
    </row>
    <row r="9027">
      <c r="A9027" s="2">
        <v>9026.0</v>
      </c>
      <c r="B9027" s="2" t="s">
        <v>14057</v>
      </c>
      <c r="C9027" s="2" t="s">
        <v>23</v>
      </c>
      <c r="K9027" s="2">
        <v>200.0</v>
      </c>
      <c r="N9027" s="6">
        <v>45122.0</v>
      </c>
      <c r="Q9027" s="2" t="s">
        <v>14058</v>
      </c>
    </row>
    <row r="9028">
      <c r="A9028" s="2">
        <v>9027.0</v>
      </c>
      <c r="B9028" s="2" t="s">
        <v>14059</v>
      </c>
      <c r="C9028" s="2" t="s">
        <v>23</v>
      </c>
      <c r="K9028" s="2">
        <v>30.0</v>
      </c>
      <c r="N9028" s="6">
        <v>43850.0</v>
      </c>
      <c r="Q9028" s="2" t="s">
        <v>86</v>
      </c>
    </row>
    <row r="9029">
      <c r="A9029" s="2">
        <v>9028.0</v>
      </c>
      <c r="B9029" s="2" t="s">
        <v>14060</v>
      </c>
      <c r="C9029" s="2" t="s">
        <v>23</v>
      </c>
      <c r="N9029" s="6">
        <v>45091.0</v>
      </c>
      <c r="Q9029" s="2" t="s">
        <v>86</v>
      </c>
    </row>
    <row r="9030">
      <c r="A9030" s="2">
        <v>9029.0</v>
      </c>
      <c r="B9030" s="2" t="s">
        <v>14061</v>
      </c>
      <c r="C9030" s="2" t="s">
        <v>23</v>
      </c>
      <c r="K9030" s="2">
        <v>60.0</v>
      </c>
      <c r="N9030" s="6">
        <v>45696.0</v>
      </c>
      <c r="Q9030" s="2" t="s">
        <v>14062</v>
      </c>
    </row>
    <row r="9031">
      <c r="A9031" s="2">
        <v>9030.0</v>
      </c>
      <c r="B9031" s="2" t="s">
        <v>14063</v>
      </c>
      <c r="C9031" s="2" t="s">
        <v>23</v>
      </c>
      <c r="N9031" s="6">
        <v>42598.0</v>
      </c>
      <c r="Q9031" s="2" t="s">
        <v>86</v>
      </c>
    </row>
    <row r="9032">
      <c r="A9032" s="2">
        <v>9031.0</v>
      </c>
      <c r="B9032" s="2" t="s">
        <v>14064</v>
      </c>
      <c r="C9032" s="2" t="s">
        <v>23</v>
      </c>
      <c r="K9032" s="2">
        <v>30.0</v>
      </c>
      <c r="N9032" s="6">
        <v>44680.0</v>
      </c>
      <c r="Q9032" s="2" t="s">
        <v>86</v>
      </c>
    </row>
    <row r="9033">
      <c r="A9033" s="2">
        <v>9032.0</v>
      </c>
      <c r="B9033" s="2" t="s">
        <v>14065</v>
      </c>
      <c r="C9033" s="2" t="s">
        <v>23</v>
      </c>
      <c r="N9033" s="6">
        <v>44071.0</v>
      </c>
      <c r="Q9033" s="2" t="s">
        <v>86</v>
      </c>
    </row>
    <row r="9034">
      <c r="A9034" s="2">
        <v>9033.0</v>
      </c>
      <c r="B9034" s="2" t="s">
        <v>14066</v>
      </c>
      <c r="C9034" s="2" t="s">
        <v>23</v>
      </c>
      <c r="N9034" s="6">
        <v>45544.0</v>
      </c>
      <c r="Q9034" s="2" t="s">
        <v>14067</v>
      </c>
    </row>
    <row r="9035">
      <c r="A9035" s="2">
        <v>9034.0</v>
      </c>
      <c r="B9035" s="2" t="s">
        <v>14068</v>
      </c>
      <c r="C9035" s="2" t="s">
        <v>23</v>
      </c>
      <c r="K9035" s="2">
        <v>10.0</v>
      </c>
      <c r="N9035" s="6">
        <v>43621.0</v>
      </c>
      <c r="Q9035" s="2" t="s">
        <v>14069</v>
      </c>
    </row>
    <row r="9036">
      <c r="A9036" s="2">
        <v>9035.0</v>
      </c>
      <c r="B9036" s="2" t="s">
        <v>14070</v>
      </c>
      <c r="C9036" s="2" t="s">
        <v>23</v>
      </c>
      <c r="N9036" s="6">
        <v>44815.0</v>
      </c>
      <c r="Q9036" s="2" t="s">
        <v>86</v>
      </c>
    </row>
    <row r="9037">
      <c r="A9037" s="2">
        <v>9036.0</v>
      </c>
      <c r="B9037" s="2" t="s">
        <v>14071</v>
      </c>
      <c r="C9037" s="2" t="s">
        <v>23</v>
      </c>
      <c r="K9037" s="2">
        <v>50.0</v>
      </c>
      <c r="N9037" s="6">
        <v>44246.0</v>
      </c>
      <c r="Q9037" s="2" t="s">
        <v>86</v>
      </c>
    </row>
    <row r="9038">
      <c r="A9038" s="2">
        <v>9037.0</v>
      </c>
      <c r="B9038" s="2" t="s">
        <v>14072</v>
      </c>
      <c r="C9038" s="2" t="s">
        <v>23</v>
      </c>
      <c r="K9038" s="2">
        <v>90.0</v>
      </c>
      <c r="N9038" s="6">
        <v>45709.0</v>
      </c>
      <c r="Q9038" s="2" t="s">
        <v>5839</v>
      </c>
    </row>
    <row r="9039">
      <c r="A9039" s="2">
        <v>9038.0</v>
      </c>
      <c r="B9039" s="2" t="s">
        <v>14073</v>
      </c>
      <c r="C9039" s="2" t="s">
        <v>23</v>
      </c>
      <c r="K9039" s="2">
        <v>30.0</v>
      </c>
      <c r="N9039" s="6">
        <v>44593.0</v>
      </c>
      <c r="Q9039" s="2" t="s">
        <v>491</v>
      </c>
    </row>
    <row r="9040">
      <c r="A9040" s="2">
        <v>9039.0</v>
      </c>
      <c r="B9040" s="2" t="s">
        <v>14074</v>
      </c>
      <c r="C9040" s="2" t="s">
        <v>23</v>
      </c>
      <c r="N9040" s="6">
        <v>45037.0</v>
      </c>
      <c r="Q9040" s="2" t="s">
        <v>86</v>
      </c>
    </row>
    <row r="9041">
      <c r="A9041" s="2">
        <v>9040.0</v>
      </c>
      <c r="B9041" s="2" t="s">
        <v>14075</v>
      </c>
      <c r="C9041" s="2" t="s">
        <v>23</v>
      </c>
      <c r="N9041" s="6">
        <v>45250.0</v>
      </c>
      <c r="Q9041" s="2" t="s">
        <v>86</v>
      </c>
    </row>
    <row r="9042">
      <c r="A9042" s="2">
        <v>9041.0</v>
      </c>
      <c r="B9042" s="2" t="s">
        <v>14076</v>
      </c>
      <c r="C9042" s="2" t="s">
        <v>23</v>
      </c>
      <c r="N9042" s="6">
        <v>43947.0</v>
      </c>
      <c r="Q9042" s="2" t="s">
        <v>1070</v>
      </c>
    </row>
    <row r="9043">
      <c r="A9043" s="2">
        <v>9042.0</v>
      </c>
      <c r="B9043" s="2" t="s">
        <v>14077</v>
      </c>
      <c r="C9043" s="2" t="s">
        <v>23</v>
      </c>
      <c r="N9043" s="6">
        <v>44175.0</v>
      </c>
      <c r="Q9043" s="2" t="s">
        <v>86</v>
      </c>
    </row>
    <row r="9044">
      <c r="A9044" s="2">
        <v>9043.0</v>
      </c>
      <c r="B9044" s="2" t="s">
        <v>14078</v>
      </c>
      <c r="C9044" s="2" t="s">
        <v>23</v>
      </c>
      <c r="N9044" s="6">
        <v>45037.0</v>
      </c>
      <c r="Q9044" s="2" t="s">
        <v>86</v>
      </c>
    </row>
    <row r="9045">
      <c r="A9045" s="2">
        <v>9044.0</v>
      </c>
      <c r="B9045" s="2" t="s">
        <v>14079</v>
      </c>
      <c r="C9045" s="2" t="s">
        <v>23</v>
      </c>
      <c r="K9045" s="2">
        <v>30.0</v>
      </c>
      <c r="N9045" s="6">
        <v>45564.0</v>
      </c>
      <c r="Q9045" s="2" t="s">
        <v>14080</v>
      </c>
    </row>
    <row r="9046">
      <c r="A9046" s="2">
        <v>9045.0</v>
      </c>
      <c r="B9046" s="2" t="s">
        <v>14081</v>
      </c>
      <c r="C9046" s="2" t="s">
        <v>23</v>
      </c>
      <c r="K9046" s="2">
        <v>10.0</v>
      </c>
      <c r="N9046" s="6">
        <v>45607.0</v>
      </c>
      <c r="Q9046" s="2" t="s">
        <v>14082</v>
      </c>
    </row>
    <row r="9047">
      <c r="A9047" s="2">
        <v>9046.0</v>
      </c>
      <c r="B9047" s="2" t="s">
        <v>14083</v>
      </c>
      <c r="C9047" s="2" t="s">
        <v>23</v>
      </c>
      <c r="K9047" s="2">
        <v>80.0</v>
      </c>
      <c r="N9047" s="6">
        <v>44042.0</v>
      </c>
      <c r="Q9047" s="2" t="s">
        <v>1437</v>
      </c>
    </row>
    <row r="9048">
      <c r="A9048" s="2">
        <v>9047.0</v>
      </c>
      <c r="B9048" s="2" t="s">
        <v>14084</v>
      </c>
      <c r="C9048" s="2" t="s">
        <v>23</v>
      </c>
      <c r="N9048" s="6">
        <v>44770.0</v>
      </c>
      <c r="Q9048" s="2" t="s">
        <v>86</v>
      </c>
    </row>
    <row r="9049">
      <c r="A9049" s="2">
        <v>9048.0</v>
      </c>
      <c r="B9049" s="2" t="s">
        <v>14085</v>
      </c>
      <c r="C9049" s="2" t="s">
        <v>23</v>
      </c>
      <c r="K9049" s="2">
        <v>10.0</v>
      </c>
      <c r="N9049" s="6">
        <v>44724.0</v>
      </c>
      <c r="Q9049" s="2" t="s">
        <v>86</v>
      </c>
    </row>
    <row r="9050">
      <c r="A9050" s="2">
        <v>9049.0</v>
      </c>
      <c r="B9050" s="2" t="s">
        <v>14086</v>
      </c>
      <c r="C9050" s="2" t="s">
        <v>23</v>
      </c>
      <c r="K9050" s="2">
        <v>10.0</v>
      </c>
      <c r="N9050" s="6">
        <v>44568.0</v>
      </c>
      <c r="Q9050" s="2" t="s">
        <v>86</v>
      </c>
    </row>
    <row r="9051">
      <c r="A9051" s="2">
        <v>9050.0</v>
      </c>
      <c r="B9051" s="2" t="s">
        <v>14087</v>
      </c>
      <c r="C9051" s="2" t="s">
        <v>23</v>
      </c>
      <c r="K9051" s="2">
        <v>40.0</v>
      </c>
      <c r="N9051" s="6">
        <v>44761.0</v>
      </c>
      <c r="Q9051" s="2" t="s">
        <v>175</v>
      </c>
    </row>
    <row r="9052">
      <c r="A9052" s="2">
        <v>9051.0</v>
      </c>
      <c r="B9052" s="2" t="s">
        <v>14088</v>
      </c>
      <c r="C9052" s="2" t="s">
        <v>23</v>
      </c>
      <c r="K9052" s="2">
        <v>30.0</v>
      </c>
      <c r="N9052" s="6">
        <v>45412.0</v>
      </c>
      <c r="Q9052" s="2" t="s">
        <v>8902</v>
      </c>
    </row>
    <row r="9053">
      <c r="A9053" s="2">
        <v>9052.0</v>
      </c>
      <c r="B9053" s="2" t="s">
        <v>14089</v>
      </c>
      <c r="C9053" s="2" t="s">
        <v>23</v>
      </c>
      <c r="K9053" s="2">
        <v>50.0</v>
      </c>
      <c r="N9053" s="6">
        <v>43874.0</v>
      </c>
      <c r="Q9053" s="2" t="s">
        <v>14090</v>
      </c>
    </row>
    <row r="9054">
      <c r="A9054" s="2">
        <v>9053.0</v>
      </c>
      <c r="B9054" s="2" t="s">
        <v>14091</v>
      </c>
      <c r="C9054" s="2" t="s">
        <v>23</v>
      </c>
      <c r="K9054" s="2">
        <v>20.0</v>
      </c>
      <c r="N9054" s="6">
        <v>44259.0</v>
      </c>
      <c r="Q9054" s="2" t="s">
        <v>5090</v>
      </c>
    </row>
    <row r="9055">
      <c r="A9055" s="2">
        <v>9054.0</v>
      </c>
      <c r="B9055" s="2" t="s">
        <v>14092</v>
      </c>
      <c r="C9055" s="2" t="s">
        <v>23</v>
      </c>
      <c r="K9055" s="2">
        <v>30.0</v>
      </c>
      <c r="N9055" s="6">
        <v>42905.0</v>
      </c>
      <c r="Q9055" s="2" t="s">
        <v>14093</v>
      </c>
    </row>
    <row r="9056">
      <c r="A9056" s="2">
        <v>9055.0</v>
      </c>
      <c r="B9056" s="2" t="s">
        <v>14094</v>
      </c>
      <c r="C9056" s="2" t="s">
        <v>23</v>
      </c>
      <c r="N9056" s="6">
        <v>44676.0</v>
      </c>
      <c r="Q9056" s="2" t="s">
        <v>86</v>
      </c>
    </row>
    <row r="9057">
      <c r="A9057" s="2">
        <v>9056.0</v>
      </c>
      <c r="B9057" s="2" t="s">
        <v>14095</v>
      </c>
      <c r="C9057" s="2" t="s">
        <v>23</v>
      </c>
      <c r="K9057" s="2">
        <v>90.0</v>
      </c>
      <c r="N9057" s="6">
        <v>44171.0</v>
      </c>
      <c r="Q9057" s="2" t="s">
        <v>1048</v>
      </c>
    </row>
    <row r="9058">
      <c r="A9058" s="2">
        <v>9057.0</v>
      </c>
      <c r="B9058" s="2" t="s">
        <v>14096</v>
      </c>
      <c r="C9058" s="2" t="s">
        <v>23</v>
      </c>
      <c r="N9058" s="6">
        <v>43932.0</v>
      </c>
      <c r="Q9058" s="2" t="s">
        <v>369</v>
      </c>
    </row>
    <row r="9059">
      <c r="A9059" s="2">
        <v>9058.0</v>
      </c>
      <c r="B9059" s="2" t="s">
        <v>14097</v>
      </c>
      <c r="C9059" s="2" t="s">
        <v>23</v>
      </c>
      <c r="N9059" s="6">
        <v>44323.0</v>
      </c>
      <c r="Q9059" s="2" t="s">
        <v>86</v>
      </c>
    </row>
    <row r="9060">
      <c r="A9060" s="2">
        <v>9059.0</v>
      </c>
      <c r="B9060" s="2" t="s">
        <v>14098</v>
      </c>
      <c r="C9060" s="2" t="s">
        <v>23</v>
      </c>
      <c r="N9060" s="6">
        <v>45700.0</v>
      </c>
      <c r="Q9060" s="2" t="s">
        <v>6594</v>
      </c>
    </row>
    <row r="9061">
      <c r="A9061" s="2">
        <v>9060.0</v>
      </c>
      <c r="B9061" s="2" t="s">
        <v>14099</v>
      </c>
      <c r="C9061" s="2" t="s">
        <v>23</v>
      </c>
      <c r="K9061" s="2">
        <v>100.0</v>
      </c>
      <c r="N9061" s="6">
        <v>44357.0</v>
      </c>
      <c r="Q9061" s="2" t="s">
        <v>14100</v>
      </c>
    </row>
    <row r="9062">
      <c r="A9062" s="2">
        <v>9061.0</v>
      </c>
      <c r="B9062" s="2" t="s">
        <v>14101</v>
      </c>
      <c r="C9062" s="2" t="s">
        <v>23</v>
      </c>
      <c r="K9062" s="2">
        <v>30.0</v>
      </c>
      <c r="N9062" s="6">
        <v>44099.0</v>
      </c>
      <c r="Q9062" s="2" t="s">
        <v>14102</v>
      </c>
    </row>
    <row r="9063">
      <c r="A9063" s="2">
        <v>9062.0</v>
      </c>
      <c r="B9063" s="2" t="s">
        <v>14103</v>
      </c>
      <c r="C9063" s="2" t="s">
        <v>23</v>
      </c>
      <c r="K9063" s="2">
        <v>150.0</v>
      </c>
      <c r="N9063" s="6">
        <v>43896.0</v>
      </c>
      <c r="Q9063" s="2" t="s">
        <v>14104</v>
      </c>
    </row>
    <row r="9064">
      <c r="A9064" s="2">
        <v>9063.0</v>
      </c>
      <c r="B9064" s="2" t="s">
        <v>14105</v>
      </c>
      <c r="C9064" s="2" t="s">
        <v>23</v>
      </c>
      <c r="K9064" s="2">
        <v>60.0</v>
      </c>
      <c r="N9064" s="6">
        <v>44287.0</v>
      </c>
      <c r="Q9064" s="2" t="s">
        <v>1381</v>
      </c>
    </row>
    <row r="9065">
      <c r="A9065" s="2">
        <v>9064.0</v>
      </c>
      <c r="B9065" s="2" t="s">
        <v>14106</v>
      </c>
      <c r="C9065" s="2" t="s">
        <v>23</v>
      </c>
      <c r="K9065" s="2">
        <v>20.0</v>
      </c>
      <c r="N9065" s="6">
        <v>44532.0</v>
      </c>
      <c r="Q9065" s="2" t="s">
        <v>1218</v>
      </c>
    </row>
    <row r="9066">
      <c r="A9066" s="2">
        <v>9065.0</v>
      </c>
      <c r="B9066" s="2" t="s">
        <v>14107</v>
      </c>
      <c r="C9066" s="2" t="s">
        <v>23</v>
      </c>
      <c r="N9066" s="6">
        <v>44497.0</v>
      </c>
      <c r="Q9066" s="2" t="s">
        <v>86</v>
      </c>
    </row>
    <row r="9067">
      <c r="A9067" s="2">
        <v>9066.0</v>
      </c>
      <c r="B9067" s="2" t="s">
        <v>14108</v>
      </c>
      <c r="C9067" s="2" t="s">
        <v>23</v>
      </c>
      <c r="N9067" s="6">
        <v>44100.0</v>
      </c>
      <c r="Q9067" s="2" t="s">
        <v>86</v>
      </c>
    </row>
    <row r="9068">
      <c r="A9068" s="2">
        <v>9067.0</v>
      </c>
      <c r="B9068" s="2" t="s">
        <v>14109</v>
      </c>
      <c r="C9068" s="2" t="s">
        <v>23</v>
      </c>
      <c r="N9068" s="6">
        <v>45534.0</v>
      </c>
      <c r="Q9068" s="2" t="s">
        <v>14110</v>
      </c>
    </row>
    <row r="9069">
      <c r="A9069" s="2">
        <v>9068.0</v>
      </c>
      <c r="B9069" s="2" t="s">
        <v>14111</v>
      </c>
      <c r="C9069" s="2" t="s">
        <v>23</v>
      </c>
      <c r="K9069" s="2">
        <v>90.0</v>
      </c>
      <c r="N9069" s="6">
        <v>43871.0</v>
      </c>
      <c r="Q9069" s="2" t="s">
        <v>2694</v>
      </c>
    </row>
    <row r="9070">
      <c r="A9070" s="2">
        <v>9069.0</v>
      </c>
      <c r="B9070" s="2" t="s">
        <v>14112</v>
      </c>
      <c r="C9070" s="2" t="s">
        <v>23</v>
      </c>
      <c r="N9070" s="6">
        <v>44086.0</v>
      </c>
      <c r="Q9070" s="2" t="s">
        <v>86</v>
      </c>
    </row>
    <row r="9071">
      <c r="A9071" s="2">
        <v>9070.0</v>
      </c>
      <c r="B9071" s="2" t="s">
        <v>14113</v>
      </c>
      <c r="C9071" s="2" t="s">
        <v>23</v>
      </c>
      <c r="K9071" s="2">
        <v>30.0</v>
      </c>
      <c r="N9071" s="6">
        <v>44163.0</v>
      </c>
      <c r="Q9071" s="2" t="s">
        <v>1437</v>
      </c>
    </row>
    <row r="9072">
      <c r="A9072" s="2">
        <v>9071.0</v>
      </c>
      <c r="B9072" s="2" t="s">
        <v>14114</v>
      </c>
      <c r="C9072" s="2" t="s">
        <v>23</v>
      </c>
      <c r="N9072" s="6">
        <v>42458.0</v>
      </c>
      <c r="Q9072" s="2" t="s">
        <v>86</v>
      </c>
    </row>
    <row r="9073">
      <c r="A9073" s="2">
        <v>9072.0</v>
      </c>
      <c r="B9073" s="2" t="s">
        <v>14115</v>
      </c>
      <c r="C9073" s="2" t="s">
        <v>23</v>
      </c>
      <c r="K9073" s="2">
        <v>200.0</v>
      </c>
      <c r="N9073" s="6">
        <v>44298.0</v>
      </c>
      <c r="Q9073" s="2" t="s">
        <v>14116</v>
      </c>
    </row>
    <row r="9074">
      <c r="A9074" s="2">
        <v>9073.0</v>
      </c>
      <c r="B9074" s="2" t="s">
        <v>14117</v>
      </c>
      <c r="C9074" s="2" t="s">
        <v>23</v>
      </c>
      <c r="N9074" s="6">
        <v>44410.0</v>
      </c>
      <c r="Q9074" s="2" t="s">
        <v>86</v>
      </c>
    </row>
    <row r="9075">
      <c r="A9075" s="2">
        <v>9074.0</v>
      </c>
      <c r="B9075" s="2" t="s">
        <v>14118</v>
      </c>
      <c r="C9075" s="2" t="s">
        <v>23</v>
      </c>
      <c r="K9075" s="2">
        <v>40.0</v>
      </c>
      <c r="N9075" s="6">
        <v>44422.0</v>
      </c>
      <c r="Q9075" s="2" t="s">
        <v>14119</v>
      </c>
    </row>
    <row r="9076">
      <c r="A9076" s="2">
        <v>9075.0</v>
      </c>
      <c r="B9076" s="2" t="s">
        <v>14120</v>
      </c>
      <c r="C9076" s="2" t="s">
        <v>23</v>
      </c>
      <c r="N9076" s="6">
        <v>44957.0</v>
      </c>
      <c r="Q9076" s="2" t="s">
        <v>86</v>
      </c>
    </row>
    <row r="9077">
      <c r="A9077" s="2">
        <v>9076.0</v>
      </c>
      <c r="B9077" s="2" t="s">
        <v>14121</v>
      </c>
      <c r="C9077" s="2" t="s">
        <v>23</v>
      </c>
      <c r="N9077" s="6">
        <v>44670.0</v>
      </c>
      <c r="Q9077" s="2" t="s">
        <v>86</v>
      </c>
    </row>
    <row r="9078">
      <c r="A9078" s="2">
        <v>9077.0</v>
      </c>
      <c r="B9078" s="2" t="s">
        <v>14122</v>
      </c>
      <c r="C9078" s="2" t="s">
        <v>23</v>
      </c>
      <c r="N9078" s="6">
        <v>42900.0</v>
      </c>
      <c r="Q9078" s="2" t="s">
        <v>86</v>
      </c>
    </row>
    <row r="9079">
      <c r="A9079" s="2">
        <v>9078.0</v>
      </c>
      <c r="B9079" s="2" t="s">
        <v>14123</v>
      </c>
      <c r="C9079" s="2" t="s">
        <v>23</v>
      </c>
      <c r="K9079" s="2">
        <v>60.0</v>
      </c>
      <c r="N9079" s="6">
        <v>45709.0</v>
      </c>
      <c r="Q9079" s="2" t="s">
        <v>14124</v>
      </c>
    </row>
    <row r="9080">
      <c r="A9080" s="2">
        <v>9079.0</v>
      </c>
      <c r="B9080" s="2" t="s">
        <v>14125</v>
      </c>
      <c r="C9080" s="2" t="s">
        <v>23</v>
      </c>
      <c r="N9080" s="6">
        <v>45020.0</v>
      </c>
      <c r="Q9080" s="2" t="s">
        <v>1466</v>
      </c>
    </row>
    <row r="9081">
      <c r="A9081" s="2">
        <v>9080.0</v>
      </c>
      <c r="B9081" s="2" t="s">
        <v>14126</v>
      </c>
      <c r="C9081" s="2" t="s">
        <v>23</v>
      </c>
      <c r="K9081" s="2">
        <v>10.0</v>
      </c>
      <c r="N9081" s="6">
        <v>45354.0</v>
      </c>
      <c r="Q9081" s="2" t="s">
        <v>14127</v>
      </c>
    </row>
    <row r="9082">
      <c r="A9082" s="2">
        <v>9081.0</v>
      </c>
      <c r="B9082" s="2" t="s">
        <v>14128</v>
      </c>
      <c r="C9082" s="2" t="s">
        <v>23</v>
      </c>
      <c r="K9082" s="2">
        <v>40.0</v>
      </c>
      <c r="N9082" s="6">
        <v>45641.0</v>
      </c>
      <c r="Q9082" s="2" t="s">
        <v>6254</v>
      </c>
    </row>
    <row r="9083">
      <c r="A9083" s="2">
        <v>9082.0</v>
      </c>
      <c r="B9083" s="2" t="s">
        <v>14129</v>
      </c>
      <c r="C9083" s="2" t="s">
        <v>23</v>
      </c>
      <c r="N9083" s="6">
        <v>44634.0</v>
      </c>
      <c r="Q9083" s="2" t="s">
        <v>86</v>
      </c>
    </row>
    <row r="9084">
      <c r="A9084" s="2">
        <v>9083.0</v>
      </c>
      <c r="B9084" s="2" t="s">
        <v>14130</v>
      </c>
      <c r="C9084" s="2" t="s">
        <v>23</v>
      </c>
      <c r="K9084" s="2">
        <v>10.0</v>
      </c>
      <c r="N9084" s="6">
        <v>44338.0</v>
      </c>
      <c r="Q9084" s="2" t="s">
        <v>3129</v>
      </c>
    </row>
    <row r="9085">
      <c r="A9085" s="2">
        <v>9084.0</v>
      </c>
      <c r="B9085" s="2" t="s">
        <v>14131</v>
      </c>
      <c r="C9085" s="2" t="s">
        <v>23</v>
      </c>
      <c r="N9085" s="6">
        <v>45257.0</v>
      </c>
      <c r="Q9085" s="2" t="s">
        <v>86</v>
      </c>
    </row>
    <row r="9086">
      <c r="A9086" s="2">
        <v>9085.0</v>
      </c>
      <c r="B9086" s="2" t="s">
        <v>14132</v>
      </c>
      <c r="C9086" s="2" t="s">
        <v>23</v>
      </c>
      <c r="N9086" s="6">
        <v>44627.0</v>
      </c>
      <c r="Q9086" s="2" t="s">
        <v>86</v>
      </c>
    </row>
    <row r="9087">
      <c r="A9087" s="2">
        <v>9086.0</v>
      </c>
      <c r="B9087" s="2" t="s">
        <v>14133</v>
      </c>
      <c r="C9087" s="2" t="s">
        <v>23</v>
      </c>
      <c r="K9087" s="2">
        <v>150.0</v>
      </c>
      <c r="N9087" s="6">
        <v>44334.0</v>
      </c>
      <c r="Q9087" s="2" t="s">
        <v>86</v>
      </c>
    </row>
    <row r="9088">
      <c r="A9088" s="2">
        <v>9087.0</v>
      </c>
      <c r="B9088" s="2" t="s">
        <v>14134</v>
      </c>
      <c r="C9088" s="2" t="s">
        <v>23</v>
      </c>
      <c r="K9088" s="2">
        <v>40.0</v>
      </c>
      <c r="N9088" s="6">
        <v>44348.0</v>
      </c>
      <c r="Q9088" s="2" t="s">
        <v>9693</v>
      </c>
    </row>
    <row r="9089">
      <c r="A9089" s="2">
        <v>9088.0</v>
      </c>
      <c r="B9089" s="2" t="s">
        <v>14135</v>
      </c>
      <c r="C9089" s="2" t="s">
        <v>23</v>
      </c>
      <c r="K9089" s="2">
        <v>10.0</v>
      </c>
      <c r="N9089" s="6">
        <v>44082.0</v>
      </c>
      <c r="Q9089" s="2" t="s">
        <v>3062</v>
      </c>
    </row>
    <row r="9090">
      <c r="A9090" s="2">
        <v>9089.0</v>
      </c>
      <c r="B9090" s="2" t="s">
        <v>14136</v>
      </c>
      <c r="C9090" s="2" t="s">
        <v>23</v>
      </c>
      <c r="K9090" s="2">
        <v>100.0</v>
      </c>
      <c r="N9090" s="6">
        <v>43885.0</v>
      </c>
      <c r="Q9090" s="2" t="s">
        <v>14137</v>
      </c>
    </row>
    <row r="9091">
      <c r="A9091" s="2">
        <v>9090.0</v>
      </c>
      <c r="B9091" s="2" t="s">
        <v>14138</v>
      </c>
      <c r="C9091" s="2" t="s">
        <v>23</v>
      </c>
      <c r="K9091" s="2">
        <v>250.0</v>
      </c>
      <c r="N9091" s="6">
        <v>44082.0</v>
      </c>
      <c r="Q9091" s="2" t="s">
        <v>14139</v>
      </c>
    </row>
    <row r="9092">
      <c r="A9092" s="2">
        <v>9091.0</v>
      </c>
      <c r="B9092" s="2" t="s">
        <v>14140</v>
      </c>
      <c r="C9092" s="2" t="s">
        <v>23</v>
      </c>
      <c r="N9092" s="6">
        <v>45090.0</v>
      </c>
      <c r="Q9092" s="2" t="s">
        <v>86</v>
      </c>
    </row>
    <row r="9093">
      <c r="A9093" s="2">
        <v>9092.0</v>
      </c>
      <c r="B9093" s="2" t="s">
        <v>14141</v>
      </c>
      <c r="C9093" s="2" t="s">
        <v>23</v>
      </c>
      <c r="K9093" s="2">
        <v>40.0</v>
      </c>
      <c r="N9093" s="6">
        <v>44367.0</v>
      </c>
      <c r="Q9093" s="2" t="s">
        <v>86</v>
      </c>
    </row>
    <row r="9094">
      <c r="A9094" s="2">
        <v>9093.0</v>
      </c>
      <c r="B9094" s="2" t="s">
        <v>14142</v>
      </c>
      <c r="C9094" s="2" t="s">
        <v>23</v>
      </c>
      <c r="N9094" s="6">
        <v>42752.0</v>
      </c>
      <c r="Q9094" s="2" t="s">
        <v>86</v>
      </c>
    </row>
    <row r="9095">
      <c r="A9095" s="2">
        <v>9094.0</v>
      </c>
      <c r="B9095" s="2" t="s">
        <v>14143</v>
      </c>
      <c r="C9095" s="2" t="s">
        <v>23</v>
      </c>
      <c r="N9095" s="6">
        <v>45406.0</v>
      </c>
      <c r="Q9095" s="2" t="s">
        <v>1116</v>
      </c>
    </row>
    <row r="9096">
      <c r="A9096" s="2">
        <v>9095.0</v>
      </c>
      <c r="B9096" s="2" t="s">
        <v>14144</v>
      </c>
      <c r="C9096" s="2" t="s">
        <v>23</v>
      </c>
      <c r="K9096" s="2">
        <v>100.0</v>
      </c>
      <c r="N9096" s="6">
        <v>44353.0</v>
      </c>
      <c r="Q9096" s="2" t="s">
        <v>4589</v>
      </c>
    </row>
    <row r="9097">
      <c r="A9097" s="2">
        <v>9096.0</v>
      </c>
      <c r="B9097" s="2" t="s">
        <v>14145</v>
      </c>
      <c r="C9097" s="2" t="s">
        <v>23</v>
      </c>
      <c r="K9097" s="2">
        <v>250.0</v>
      </c>
      <c r="N9097" s="6">
        <v>45272.0</v>
      </c>
      <c r="Q9097" s="2" t="s">
        <v>14146</v>
      </c>
    </row>
    <row r="9098">
      <c r="A9098" s="2">
        <v>9097.0</v>
      </c>
      <c r="B9098" s="2" t="s">
        <v>14147</v>
      </c>
      <c r="C9098" s="2" t="s">
        <v>23</v>
      </c>
      <c r="N9098" s="6">
        <v>43904.0</v>
      </c>
      <c r="Q9098" s="2" t="s">
        <v>86</v>
      </c>
    </row>
    <row r="9099">
      <c r="A9099" s="2">
        <v>9098.0</v>
      </c>
      <c r="B9099" s="2" t="s">
        <v>14148</v>
      </c>
      <c r="C9099" s="2" t="s">
        <v>23</v>
      </c>
      <c r="N9099" s="6">
        <v>44315.0</v>
      </c>
      <c r="Q9099" s="2" t="s">
        <v>86</v>
      </c>
    </row>
    <row r="9100">
      <c r="A9100" s="2">
        <v>9099.0</v>
      </c>
      <c r="B9100" s="2" t="s">
        <v>14149</v>
      </c>
      <c r="C9100" s="2" t="s">
        <v>23</v>
      </c>
      <c r="K9100" s="2">
        <v>150.0</v>
      </c>
      <c r="N9100" s="6">
        <v>44116.0</v>
      </c>
      <c r="Q9100" s="2" t="s">
        <v>14150</v>
      </c>
    </row>
    <row r="9101">
      <c r="A9101" s="2">
        <v>9100.0</v>
      </c>
      <c r="B9101" s="2" t="s">
        <v>14151</v>
      </c>
      <c r="C9101" s="2" t="s">
        <v>23</v>
      </c>
      <c r="N9101" s="6">
        <v>45096.0</v>
      </c>
      <c r="Q9101" s="2" t="s">
        <v>86</v>
      </c>
    </row>
    <row r="9102">
      <c r="A9102" s="2">
        <v>9101.0</v>
      </c>
      <c r="B9102" s="2" t="s">
        <v>14152</v>
      </c>
      <c r="C9102" s="2" t="s">
        <v>23</v>
      </c>
      <c r="K9102" s="2">
        <v>10.0</v>
      </c>
      <c r="N9102" s="6">
        <v>44021.0</v>
      </c>
      <c r="Q9102" s="2" t="s">
        <v>14153</v>
      </c>
    </row>
    <row r="9103">
      <c r="A9103" s="2">
        <v>9102.0</v>
      </c>
      <c r="B9103" s="2" t="s">
        <v>14154</v>
      </c>
      <c r="C9103" s="2" t="s">
        <v>23</v>
      </c>
      <c r="K9103" s="2">
        <v>60.0</v>
      </c>
      <c r="N9103" s="6">
        <v>45720.0</v>
      </c>
      <c r="Q9103" s="2" t="s">
        <v>14155</v>
      </c>
    </row>
    <row r="9104">
      <c r="A9104" s="2">
        <v>9103.0</v>
      </c>
      <c r="B9104" s="2" t="s">
        <v>14156</v>
      </c>
      <c r="C9104" s="2" t="s">
        <v>23</v>
      </c>
      <c r="K9104" s="2">
        <v>30.0</v>
      </c>
      <c r="N9104" s="6">
        <v>43915.0</v>
      </c>
      <c r="Q9104" s="2" t="s">
        <v>60</v>
      </c>
    </row>
    <row r="9105">
      <c r="A9105" s="2">
        <v>9104.0</v>
      </c>
      <c r="B9105" s="2" t="s">
        <v>14157</v>
      </c>
      <c r="C9105" s="2" t="s">
        <v>23</v>
      </c>
      <c r="N9105" s="6">
        <v>44725.0</v>
      </c>
      <c r="Q9105" s="2" t="s">
        <v>86</v>
      </c>
    </row>
    <row r="9106">
      <c r="A9106" s="2">
        <v>9105.0</v>
      </c>
      <c r="B9106" s="2" t="s">
        <v>14158</v>
      </c>
      <c r="C9106" s="2" t="s">
        <v>23</v>
      </c>
      <c r="N9106" s="6">
        <v>44120.0</v>
      </c>
      <c r="Q9106" s="2" t="s">
        <v>1466</v>
      </c>
    </row>
    <row r="9107">
      <c r="A9107" s="2">
        <v>9106.0</v>
      </c>
      <c r="B9107" s="2" t="s">
        <v>14159</v>
      </c>
      <c r="C9107" s="2" t="s">
        <v>23</v>
      </c>
      <c r="N9107" s="6">
        <v>45799.0</v>
      </c>
      <c r="Q9107" s="2" t="s">
        <v>14160</v>
      </c>
    </row>
    <row r="9108">
      <c r="A9108" s="2">
        <v>9107.0</v>
      </c>
      <c r="B9108" s="2" t="s">
        <v>14161</v>
      </c>
      <c r="C9108" s="2" t="s">
        <v>23</v>
      </c>
      <c r="K9108" s="2">
        <v>20.0</v>
      </c>
      <c r="N9108" s="6">
        <v>44037.0</v>
      </c>
      <c r="Q9108" s="2" t="s">
        <v>86</v>
      </c>
    </row>
    <row r="9109">
      <c r="A9109" s="2">
        <v>9108.0</v>
      </c>
      <c r="B9109" s="2" t="s">
        <v>14162</v>
      </c>
      <c r="C9109" s="2" t="s">
        <v>23</v>
      </c>
      <c r="K9109" s="2">
        <v>80.0</v>
      </c>
      <c r="N9109" s="6">
        <v>45398.0</v>
      </c>
      <c r="Q9109" s="2" t="s">
        <v>14163</v>
      </c>
    </row>
    <row r="9110">
      <c r="A9110" s="2">
        <v>9109.0</v>
      </c>
      <c r="B9110" s="2" t="s">
        <v>14164</v>
      </c>
      <c r="C9110" s="2" t="s">
        <v>23</v>
      </c>
      <c r="K9110" s="2">
        <v>150.0</v>
      </c>
      <c r="N9110" s="6">
        <v>44373.0</v>
      </c>
      <c r="Q9110" s="2" t="s">
        <v>3282</v>
      </c>
    </row>
    <row r="9111">
      <c r="A9111" s="2">
        <v>9110.0</v>
      </c>
      <c r="B9111" s="2" t="s">
        <v>14165</v>
      </c>
      <c r="C9111" s="2" t="s">
        <v>23</v>
      </c>
      <c r="N9111" s="6">
        <v>45570.0</v>
      </c>
      <c r="Q9111" s="2" t="s">
        <v>1131</v>
      </c>
    </row>
    <row r="9112">
      <c r="A9112" s="2">
        <v>9111.0</v>
      </c>
      <c r="B9112" s="2" t="s">
        <v>14166</v>
      </c>
      <c r="C9112" s="2" t="s">
        <v>23</v>
      </c>
      <c r="K9112" s="2">
        <v>90.0</v>
      </c>
      <c r="N9112" s="6">
        <v>43994.0</v>
      </c>
      <c r="Q9112" s="2" t="s">
        <v>14167</v>
      </c>
    </row>
    <row r="9113">
      <c r="A9113" s="2">
        <v>9112.0</v>
      </c>
      <c r="B9113" s="2" t="s">
        <v>14168</v>
      </c>
      <c r="C9113" s="2" t="s">
        <v>23</v>
      </c>
      <c r="N9113" s="6">
        <v>45628.0</v>
      </c>
      <c r="Q9113" s="2" t="s">
        <v>1711</v>
      </c>
    </row>
    <row r="9114">
      <c r="A9114" s="2">
        <v>9113.0</v>
      </c>
      <c r="B9114" s="2" t="s">
        <v>14169</v>
      </c>
      <c r="C9114" s="2" t="s">
        <v>23</v>
      </c>
      <c r="N9114" s="6">
        <v>44445.0</v>
      </c>
      <c r="Q9114" s="2" t="s">
        <v>1156</v>
      </c>
    </row>
    <row r="9115">
      <c r="A9115" s="2">
        <v>9114.0</v>
      </c>
      <c r="B9115" s="2" t="s">
        <v>14170</v>
      </c>
      <c r="C9115" s="2" t="s">
        <v>23</v>
      </c>
      <c r="K9115" s="2">
        <v>150.0</v>
      </c>
      <c r="N9115" s="6">
        <v>43848.0</v>
      </c>
      <c r="Q9115" s="2" t="s">
        <v>14171</v>
      </c>
    </row>
    <row r="9116">
      <c r="A9116" s="2">
        <v>9115.0</v>
      </c>
      <c r="B9116" s="2" t="s">
        <v>14172</v>
      </c>
      <c r="C9116" s="2" t="s">
        <v>23</v>
      </c>
      <c r="N9116" s="6">
        <v>44209.0</v>
      </c>
      <c r="Q9116" s="2" t="s">
        <v>139</v>
      </c>
    </row>
    <row r="9117">
      <c r="A9117" s="2">
        <v>9116.0</v>
      </c>
      <c r="B9117" s="2" t="s">
        <v>327</v>
      </c>
      <c r="C9117" s="2" t="s">
        <v>23</v>
      </c>
      <c r="K9117" s="2">
        <v>150.0</v>
      </c>
      <c r="N9117" s="6">
        <v>43872.0</v>
      </c>
      <c r="Q9117" s="2" t="s">
        <v>330</v>
      </c>
    </row>
    <row r="9118">
      <c r="A9118" s="2">
        <v>9117.0</v>
      </c>
      <c r="B9118" s="2" t="s">
        <v>14173</v>
      </c>
      <c r="C9118" s="2" t="s">
        <v>23</v>
      </c>
      <c r="K9118" s="2">
        <v>30.0</v>
      </c>
      <c r="N9118" s="6">
        <v>45712.0</v>
      </c>
      <c r="Q9118" s="2" t="s">
        <v>14174</v>
      </c>
    </row>
    <row r="9119">
      <c r="A9119" s="2">
        <v>9118.0</v>
      </c>
      <c r="B9119" s="2" t="s">
        <v>14175</v>
      </c>
      <c r="C9119" s="2" t="s">
        <v>23</v>
      </c>
      <c r="K9119" s="2">
        <v>10.0</v>
      </c>
      <c r="N9119" s="6">
        <v>45609.0</v>
      </c>
      <c r="Q9119" s="2" t="s">
        <v>14176</v>
      </c>
    </row>
    <row r="9120">
      <c r="A9120" s="2">
        <v>9119.0</v>
      </c>
      <c r="B9120" s="2" t="s">
        <v>14177</v>
      </c>
      <c r="C9120" s="2" t="s">
        <v>23</v>
      </c>
      <c r="N9120" s="6">
        <v>45546.0</v>
      </c>
      <c r="Q9120" s="2" t="s">
        <v>2614</v>
      </c>
    </row>
    <row r="9121">
      <c r="A9121" s="2">
        <v>9120.0</v>
      </c>
      <c r="B9121" s="2" t="s">
        <v>14178</v>
      </c>
      <c r="C9121" s="2" t="s">
        <v>23</v>
      </c>
      <c r="N9121" s="6">
        <v>43864.0</v>
      </c>
      <c r="Q9121" s="2" t="s">
        <v>86</v>
      </c>
    </row>
    <row r="9122">
      <c r="A9122" s="2">
        <v>9121.0</v>
      </c>
      <c r="B9122" s="2" t="s">
        <v>14179</v>
      </c>
      <c r="C9122" s="2" t="s">
        <v>23</v>
      </c>
      <c r="K9122" s="2">
        <v>30.0</v>
      </c>
      <c r="N9122" s="6">
        <v>44363.0</v>
      </c>
      <c r="Q9122" s="2" t="s">
        <v>14180</v>
      </c>
    </row>
    <row r="9123">
      <c r="A9123" s="2">
        <v>9122.0</v>
      </c>
      <c r="B9123" s="2" t="s">
        <v>14181</v>
      </c>
      <c r="C9123" s="2" t="s">
        <v>23</v>
      </c>
      <c r="N9123" s="6">
        <v>44620.0</v>
      </c>
      <c r="Q9123" s="2" t="s">
        <v>86</v>
      </c>
    </row>
    <row r="9124">
      <c r="A9124" s="2">
        <v>9123.0</v>
      </c>
      <c r="B9124" s="2" t="s">
        <v>14182</v>
      </c>
      <c r="C9124" s="2" t="s">
        <v>23</v>
      </c>
      <c r="N9124" s="6">
        <v>42283.0</v>
      </c>
      <c r="Q9124" s="2" t="s">
        <v>86</v>
      </c>
    </row>
    <row r="9125">
      <c r="A9125" s="2">
        <v>9124.0</v>
      </c>
      <c r="B9125" s="2" t="s">
        <v>14183</v>
      </c>
      <c r="C9125" s="2" t="s">
        <v>23</v>
      </c>
      <c r="K9125" s="2">
        <v>20.0</v>
      </c>
      <c r="N9125" s="6">
        <v>43900.0</v>
      </c>
      <c r="Q9125" s="2" t="s">
        <v>14184</v>
      </c>
    </row>
    <row r="9126">
      <c r="A9126" s="2">
        <v>9125.0</v>
      </c>
      <c r="B9126" s="2" t="s">
        <v>14185</v>
      </c>
      <c r="C9126" s="2" t="s">
        <v>23</v>
      </c>
      <c r="N9126" s="6">
        <v>42703.0</v>
      </c>
      <c r="Q9126" s="2" t="s">
        <v>86</v>
      </c>
    </row>
    <row r="9127">
      <c r="A9127" s="2">
        <v>9126.0</v>
      </c>
      <c r="B9127" s="2" t="s">
        <v>14186</v>
      </c>
      <c r="C9127" s="2" t="s">
        <v>23</v>
      </c>
      <c r="K9127" s="2">
        <v>150.0</v>
      </c>
      <c r="N9127" s="6">
        <v>44048.0</v>
      </c>
      <c r="Q9127" s="2" t="s">
        <v>14187</v>
      </c>
    </row>
    <row r="9128">
      <c r="A9128" s="2">
        <v>9127.0</v>
      </c>
      <c r="B9128" s="2" t="s">
        <v>14188</v>
      </c>
      <c r="C9128" s="2" t="s">
        <v>23</v>
      </c>
      <c r="K9128" s="2">
        <v>50.0</v>
      </c>
      <c r="N9128" s="6">
        <v>45556.0</v>
      </c>
      <c r="Q9128" s="2" t="s">
        <v>14189</v>
      </c>
    </row>
    <row r="9129">
      <c r="A9129" s="2">
        <v>9128.0</v>
      </c>
      <c r="B9129" s="2" t="s">
        <v>14190</v>
      </c>
      <c r="C9129" s="2" t="s">
        <v>23</v>
      </c>
      <c r="K9129" s="2">
        <v>50.0</v>
      </c>
      <c r="N9129" s="6">
        <v>45765.0</v>
      </c>
      <c r="Q9129" s="2" t="s">
        <v>14191</v>
      </c>
    </row>
    <row r="9130">
      <c r="A9130" s="2">
        <v>9129.0</v>
      </c>
      <c r="B9130" s="2" t="s">
        <v>14192</v>
      </c>
      <c r="C9130" s="2" t="s">
        <v>23</v>
      </c>
      <c r="N9130" s="6">
        <v>45606.0</v>
      </c>
      <c r="Q9130" s="2" t="s">
        <v>11584</v>
      </c>
    </row>
    <row r="9131">
      <c r="A9131" s="2">
        <v>9130.0</v>
      </c>
      <c r="B9131" s="2" t="s">
        <v>14193</v>
      </c>
      <c r="C9131" s="2" t="s">
        <v>23</v>
      </c>
      <c r="K9131" s="2">
        <v>10.0</v>
      </c>
      <c r="N9131" s="6">
        <v>45752.0</v>
      </c>
      <c r="Q9131" s="2" t="s">
        <v>14194</v>
      </c>
    </row>
    <row r="9132">
      <c r="A9132" s="2">
        <v>9131.0</v>
      </c>
      <c r="B9132" s="2" t="s">
        <v>14195</v>
      </c>
      <c r="C9132" s="2" t="s">
        <v>23</v>
      </c>
      <c r="K9132" s="2">
        <v>150.0</v>
      </c>
      <c r="N9132" s="6">
        <v>44082.0</v>
      </c>
      <c r="Q9132" s="2" t="s">
        <v>89</v>
      </c>
    </row>
    <row r="9133">
      <c r="A9133" s="2">
        <v>9132.0</v>
      </c>
      <c r="B9133" s="2" t="s">
        <v>14196</v>
      </c>
      <c r="C9133" s="2" t="s">
        <v>23</v>
      </c>
      <c r="N9133" s="6">
        <v>45730.0</v>
      </c>
      <c r="Q9133" s="2" t="s">
        <v>12882</v>
      </c>
    </row>
    <row r="9134">
      <c r="A9134" s="2">
        <v>9133.0</v>
      </c>
      <c r="B9134" s="2" t="s">
        <v>14197</v>
      </c>
      <c r="C9134" s="2" t="s">
        <v>23</v>
      </c>
      <c r="N9134" s="6">
        <v>44718.0</v>
      </c>
      <c r="Q9134" s="2" t="s">
        <v>1466</v>
      </c>
    </row>
    <row r="9135">
      <c r="A9135" s="2">
        <v>9134.0</v>
      </c>
      <c r="B9135" s="2" t="s">
        <v>14198</v>
      </c>
      <c r="C9135" s="2" t="s">
        <v>23</v>
      </c>
      <c r="K9135" s="2">
        <v>150.0</v>
      </c>
      <c r="N9135" s="6">
        <v>44131.0</v>
      </c>
      <c r="Q9135" s="2" t="s">
        <v>14199</v>
      </c>
    </row>
    <row r="9136">
      <c r="A9136" s="2">
        <v>9135.0</v>
      </c>
      <c r="B9136" s="2" t="s">
        <v>14200</v>
      </c>
      <c r="C9136" s="2" t="s">
        <v>23</v>
      </c>
      <c r="K9136" s="2">
        <v>20.0</v>
      </c>
      <c r="N9136" s="6">
        <v>44323.0</v>
      </c>
      <c r="Q9136" s="2" t="s">
        <v>14201</v>
      </c>
    </row>
    <row r="9137">
      <c r="A9137" s="2">
        <v>9136.0</v>
      </c>
      <c r="B9137" s="2" t="s">
        <v>14202</v>
      </c>
      <c r="C9137" s="2" t="s">
        <v>23</v>
      </c>
      <c r="K9137" s="2">
        <v>100.0</v>
      </c>
      <c r="N9137" s="6">
        <v>44991.0</v>
      </c>
      <c r="Q9137" s="2" t="s">
        <v>14203</v>
      </c>
    </row>
    <row r="9138">
      <c r="A9138" s="2">
        <v>9137.0</v>
      </c>
      <c r="B9138" s="2" t="s">
        <v>14204</v>
      </c>
      <c r="C9138" s="2" t="s">
        <v>23</v>
      </c>
      <c r="K9138" s="2">
        <v>10.0</v>
      </c>
      <c r="N9138" s="6">
        <v>44182.0</v>
      </c>
      <c r="Q9138" s="2" t="s">
        <v>86</v>
      </c>
    </row>
    <row r="9139">
      <c r="A9139" s="2">
        <v>9138.0</v>
      </c>
      <c r="B9139" s="2" t="s">
        <v>14205</v>
      </c>
      <c r="C9139" s="2" t="s">
        <v>23</v>
      </c>
      <c r="K9139" s="2">
        <v>100.0</v>
      </c>
      <c r="N9139" s="6">
        <v>43949.0</v>
      </c>
      <c r="Q9139" s="2" t="s">
        <v>7918</v>
      </c>
    </row>
    <row r="9140">
      <c r="A9140" s="2">
        <v>9139.0</v>
      </c>
      <c r="B9140" s="2" t="s">
        <v>14206</v>
      </c>
      <c r="C9140" s="2" t="s">
        <v>23</v>
      </c>
      <c r="K9140" s="2">
        <v>10.0</v>
      </c>
      <c r="N9140" s="6">
        <v>45634.0</v>
      </c>
      <c r="Q9140" s="2" t="s">
        <v>14207</v>
      </c>
    </row>
    <row r="9141">
      <c r="A9141" s="2">
        <v>9140.0</v>
      </c>
      <c r="B9141" s="2" t="s">
        <v>14208</v>
      </c>
      <c r="C9141" s="2" t="s">
        <v>23</v>
      </c>
      <c r="K9141" s="2">
        <v>40.0</v>
      </c>
      <c r="N9141" s="6">
        <v>44186.0</v>
      </c>
      <c r="Q9141" s="2" t="s">
        <v>14209</v>
      </c>
    </row>
    <row r="9142">
      <c r="A9142" s="2">
        <v>9141.0</v>
      </c>
      <c r="B9142" s="2" t="s">
        <v>14210</v>
      </c>
      <c r="C9142" s="2" t="s">
        <v>23</v>
      </c>
      <c r="N9142" s="6">
        <v>44048.0</v>
      </c>
      <c r="Q9142" s="2" t="s">
        <v>86</v>
      </c>
    </row>
    <row r="9143">
      <c r="A9143" s="2">
        <v>9142.0</v>
      </c>
      <c r="B9143" s="2" t="s">
        <v>14211</v>
      </c>
      <c r="C9143" s="2" t="s">
        <v>23</v>
      </c>
      <c r="K9143" s="2">
        <v>70.0</v>
      </c>
      <c r="N9143" s="6">
        <v>43921.0</v>
      </c>
      <c r="Q9143" s="2" t="s">
        <v>401</v>
      </c>
    </row>
    <row r="9144">
      <c r="A9144" s="2">
        <v>9143.0</v>
      </c>
      <c r="B9144" s="2" t="s">
        <v>14212</v>
      </c>
      <c r="C9144" s="2" t="s">
        <v>23</v>
      </c>
      <c r="K9144" s="2">
        <v>40.0</v>
      </c>
      <c r="N9144" s="6">
        <v>44375.0</v>
      </c>
      <c r="Q9144" s="2" t="s">
        <v>14213</v>
      </c>
    </row>
    <row r="9145">
      <c r="A9145" s="2">
        <v>9144.0</v>
      </c>
      <c r="B9145" s="2" t="s">
        <v>14214</v>
      </c>
      <c r="C9145" s="2" t="s">
        <v>23</v>
      </c>
      <c r="K9145" s="2">
        <v>100.0</v>
      </c>
      <c r="N9145" s="6">
        <v>43932.0</v>
      </c>
      <c r="Q9145" s="2" t="s">
        <v>1249</v>
      </c>
    </row>
    <row r="9146">
      <c r="A9146" s="2">
        <v>9145.0</v>
      </c>
      <c r="B9146" s="2" t="s">
        <v>14215</v>
      </c>
      <c r="C9146" s="2" t="s">
        <v>23</v>
      </c>
      <c r="N9146" s="6">
        <v>42523.0</v>
      </c>
      <c r="Q9146" s="2" t="s">
        <v>1070</v>
      </c>
    </row>
    <row r="9147">
      <c r="A9147" s="2">
        <v>9146.0</v>
      </c>
      <c r="B9147" s="2" t="s">
        <v>14216</v>
      </c>
      <c r="C9147" s="2" t="s">
        <v>23</v>
      </c>
      <c r="K9147" s="2">
        <v>10.0</v>
      </c>
      <c r="N9147" s="6">
        <v>44824.0</v>
      </c>
      <c r="Q9147" s="2" t="s">
        <v>5976</v>
      </c>
    </row>
    <row r="9148">
      <c r="A9148" s="2">
        <v>9147.0</v>
      </c>
      <c r="B9148" s="2" t="s">
        <v>14217</v>
      </c>
      <c r="C9148" s="2" t="s">
        <v>23</v>
      </c>
      <c r="N9148" s="6">
        <v>44775.0</v>
      </c>
      <c r="Q9148" s="2" t="s">
        <v>86</v>
      </c>
    </row>
    <row r="9149">
      <c r="A9149" s="2">
        <v>9148.0</v>
      </c>
      <c r="B9149" s="2" t="s">
        <v>14218</v>
      </c>
      <c r="C9149" s="2" t="s">
        <v>23</v>
      </c>
      <c r="K9149" s="2">
        <v>10.0</v>
      </c>
      <c r="N9149" s="6">
        <v>44352.0</v>
      </c>
      <c r="Q9149" s="2" t="s">
        <v>86</v>
      </c>
    </row>
    <row r="9150">
      <c r="A9150" s="2">
        <v>9149.0</v>
      </c>
      <c r="B9150" s="2" t="s">
        <v>14219</v>
      </c>
      <c r="C9150" s="2" t="s">
        <v>23</v>
      </c>
      <c r="N9150" s="6">
        <v>43946.0</v>
      </c>
      <c r="Q9150" s="2" t="s">
        <v>86</v>
      </c>
    </row>
    <row r="9151">
      <c r="A9151" s="2">
        <v>9150.0</v>
      </c>
      <c r="B9151" s="2" t="s">
        <v>14220</v>
      </c>
      <c r="C9151" s="2" t="s">
        <v>23</v>
      </c>
      <c r="K9151" s="2">
        <v>40.0</v>
      </c>
      <c r="N9151" s="6">
        <v>45077.0</v>
      </c>
      <c r="Q9151" s="2" t="s">
        <v>14221</v>
      </c>
    </row>
    <row r="9152">
      <c r="A9152" s="2">
        <v>9151.0</v>
      </c>
      <c r="B9152" s="2" t="s">
        <v>14222</v>
      </c>
      <c r="C9152" s="2" t="s">
        <v>23</v>
      </c>
      <c r="K9152" s="2">
        <v>10.0</v>
      </c>
      <c r="N9152" s="6">
        <v>44869.0</v>
      </c>
      <c r="Q9152" s="2" t="s">
        <v>86</v>
      </c>
    </row>
    <row r="9153">
      <c r="A9153" s="2">
        <v>9152.0</v>
      </c>
      <c r="B9153" s="2" t="s">
        <v>14223</v>
      </c>
      <c r="C9153" s="2" t="s">
        <v>23</v>
      </c>
      <c r="K9153" s="2">
        <v>30.0</v>
      </c>
      <c r="N9153" s="6">
        <v>44578.0</v>
      </c>
      <c r="Q9153" s="2" t="s">
        <v>86</v>
      </c>
    </row>
    <row r="9154">
      <c r="A9154" s="2">
        <v>9153.0</v>
      </c>
      <c r="B9154" s="2" t="s">
        <v>14224</v>
      </c>
      <c r="C9154" s="2" t="s">
        <v>23</v>
      </c>
      <c r="K9154" s="2">
        <v>10.0</v>
      </c>
      <c r="N9154" s="6">
        <v>45065.0</v>
      </c>
      <c r="Q9154" s="2" t="s">
        <v>3770</v>
      </c>
    </row>
    <row r="9155">
      <c r="A9155" s="2">
        <v>9154.0</v>
      </c>
      <c r="B9155" s="2" t="s">
        <v>14225</v>
      </c>
      <c r="C9155" s="2" t="s">
        <v>23</v>
      </c>
      <c r="K9155" s="2">
        <v>400.0</v>
      </c>
      <c r="N9155" s="6">
        <v>43853.0</v>
      </c>
      <c r="Q9155" s="2" t="s">
        <v>14226</v>
      </c>
    </row>
    <row r="9156">
      <c r="A9156" s="2">
        <v>9155.0</v>
      </c>
      <c r="B9156" s="2" t="s">
        <v>14227</v>
      </c>
      <c r="C9156" s="2" t="s">
        <v>23</v>
      </c>
      <c r="N9156" s="6">
        <v>44559.0</v>
      </c>
      <c r="Q9156" s="2" t="s">
        <v>86</v>
      </c>
    </row>
    <row r="9157">
      <c r="A9157" s="2">
        <v>9156.0</v>
      </c>
      <c r="B9157" s="2" t="s">
        <v>14228</v>
      </c>
      <c r="C9157" s="2" t="s">
        <v>23</v>
      </c>
      <c r="K9157" s="2">
        <v>40.0</v>
      </c>
      <c r="N9157" s="6">
        <v>45755.0</v>
      </c>
      <c r="Q9157" s="2" t="s">
        <v>14229</v>
      </c>
    </row>
    <row r="9158">
      <c r="A9158" s="2">
        <v>9157.0</v>
      </c>
      <c r="B9158" s="2" t="s">
        <v>14230</v>
      </c>
      <c r="C9158" s="2" t="s">
        <v>23</v>
      </c>
      <c r="N9158" s="6">
        <v>44074.0</v>
      </c>
      <c r="Q9158" s="2" t="s">
        <v>86</v>
      </c>
    </row>
    <row r="9159">
      <c r="A9159" s="2">
        <v>9158.0</v>
      </c>
      <c r="B9159" s="2" t="s">
        <v>14231</v>
      </c>
      <c r="C9159" s="2" t="s">
        <v>23</v>
      </c>
      <c r="K9159" s="2">
        <v>250.0</v>
      </c>
      <c r="N9159" s="6">
        <v>43934.0</v>
      </c>
      <c r="Q9159" s="2" t="s">
        <v>14232</v>
      </c>
    </row>
    <row r="9160">
      <c r="A9160" s="2">
        <v>9159.0</v>
      </c>
      <c r="B9160" s="2" t="s">
        <v>14233</v>
      </c>
      <c r="C9160" s="2" t="s">
        <v>23</v>
      </c>
      <c r="N9160" s="6">
        <v>44126.0</v>
      </c>
      <c r="Q9160" s="2" t="s">
        <v>12780</v>
      </c>
    </row>
    <row r="9161">
      <c r="A9161" s="2">
        <v>9160.0</v>
      </c>
      <c r="B9161" s="2" t="s">
        <v>332</v>
      </c>
      <c r="C9161" s="2" t="s">
        <v>23</v>
      </c>
      <c r="K9161" s="2">
        <v>200.0</v>
      </c>
      <c r="N9161" s="6">
        <v>43942.0</v>
      </c>
      <c r="Q9161" s="2" t="s">
        <v>334</v>
      </c>
    </row>
    <row r="9162">
      <c r="A9162" s="2">
        <v>9161.0</v>
      </c>
      <c r="B9162" s="2" t="s">
        <v>14234</v>
      </c>
      <c r="C9162" s="2" t="s">
        <v>23</v>
      </c>
      <c r="K9162" s="2">
        <v>10.0</v>
      </c>
      <c r="N9162" s="6">
        <v>45738.0</v>
      </c>
      <c r="Q9162" s="2" t="s">
        <v>8346</v>
      </c>
    </row>
    <row r="9163">
      <c r="A9163" s="2">
        <v>9162.0</v>
      </c>
      <c r="B9163" s="2" t="s">
        <v>14235</v>
      </c>
      <c r="C9163" s="2" t="s">
        <v>23</v>
      </c>
      <c r="N9163" s="6">
        <v>44692.0</v>
      </c>
      <c r="Q9163" s="2" t="s">
        <v>86</v>
      </c>
    </row>
    <row r="9164">
      <c r="A9164" s="2">
        <v>9163.0</v>
      </c>
      <c r="B9164" s="2" t="s">
        <v>14236</v>
      </c>
      <c r="C9164" s="2" t="s">
        <v>23</v>
      </c>
      <c r="N9164" s="6">
        <v>44115.0</v>
      </c>
      <c r="Q9164" s="2" t="s">
        <v>86</v>
      </c>
    </row>
    <row r="9165">
      <c r="A9165" s="2">
        <v>9164.0</v>
      </c>
      <c r="B9165" s="2" t="s">
        <v>14237</v>
      </c>
      <c r="C9165" s="2" t="s">
        <v>23</v>
      </c>
      <c r="K9165" s="2">
        <v>40.0</v>
      </c>
      <c r="N9165" s="6">
        <v>44686.0</v>
      </c>
      <c r="Q9165" s="2" t="s">
        <v>60</v>
      </c>
    </row>
    <row r="9166">
      <c r="A9166" s="2">
        <v>9165.0</v>
      </c>
      <c r="B9166" s="2" t="s">
        <v>14238</v>
      </c>
      <c r="C9166" s="2" t="s">
        <v>23</v>
      </c>
      <c r="N9166" s="6">
        <v>43134.0</v>
      </c>
      <c r="Q9166" s="2" t="s">
        <v>14239</v>
      </c>
    </row>
    <row r="9167">
      <c r="A9167" s="2">
        <v>9166.0</v>
      </c>
      <c r="B9167" s="2" t="s">
        <v>14240</v>
      </c>
      <c r="C9167" s="2" t="s">
        <v>23</v>
      </c>
      <c r="K9167" s="2">
        <v>200.0</v>
      </c>
      <c r="N9167" s="6">
        <v>44418.0</v>
      </c>
      <c r="Q9167" s="2" t="s">
        <v>14241</v>
      </c>
    </row>
    <row r="9168">
      <c r="A9168" s="2">
        <v>9167.0</v>
      </c>
      <c r="B9168" s="2" t="s">
        <v>14242</v>
      </c>
      <c r="C9168" s="2" t="s">
        <v>23</v>
      </c>
      <c r="N9168" s="6">
        <v>44133.0</v>
      </c>
      <c r="Q9168" s="2" t="s">
        <v>86</v>
      </c>
    </row>
    <row r="9169">
      <c r="A9169" s="2">
        <v>9168.0</v>
      </c>
      <c r="B9169" s="2" t="s">
        <v>14243</v>
      </c>
      <c r="C9169" s="2" t="s">
        <v>23</v>
      </c>
      <c r="K9169" s="2">
        <v>90.0</v>
      </c>
      <c r="N9169" s="6">
        <v>44483.0</v>
      </c>
      <c r="Q9169" s="2" t="s">
        <v>60</v>
      </c>
    </row>
    <row r="9170">
      <c r="A9170" s="2">
        <v>9169.0</v>
      </c>
      <c r="B9170" s="2" t="s">
        <v>14244</v>
      </c>
      <c r="C9170" s="2" t="s">
        <v>23</v>
      </c>
      <c r="N9170" s="6">
        <v>44630.0</v>
      </c>
      <c r="Q9170" s="2" t="s">
        <v>86</v>
      </c>
    </row>
    <row r="9171">
      <c r="A9171" s="2">
        <v>9170.0</v>
      </c>
      <c r="B9171" s="2" t="s">
        <v>14245</v>
      </c>
      <c r="C9171" s="2" t="s">
        <v>23</v>
      </c>
      <c r="N9171" s="6">
        <v>43956.0</v>
      </c>
      <c r="Q9171" s="2" t="s">
        <v>4326</v>
      </c>
    </row>
    <row r="9172">
      <c r="A9172" s="2">
        <v>9171.0</v>
      </c>
      <c r="B9172" s="2" t="s">
        <v>14246</v>
      </c>
      <c r="C9172" s="2" t="s">
        <v>23</v>
      </c>
      <c r="K9172" s="2">
        <v>40.0</v>
      </c>
      <c r="N9172" s="6">
        <v>45648.0</v>
      </c>
      <c r="Q9172" s="2" t="s">
        <v>5515</v>
      </c>
    </row>
    <row r="9173">
      <c r="A9173" s="2">
        <v>9172.0</v>
      </c>
      <c r="B9173" s="2" t="s">
        <v>14247</v>
      </c>
      <c r="C9173" s="2" t="s">
        <v>23</v>
      </c>
      <c r="N9173" s="6">
        <v>44330.0</v>
      </c>
      <c r="Q9173" s="2" t="s">
        <v>86</v>
      </c>
    </row>
    <row r="9174">
      <c r="A9174" s="2">
        <v>9173.0</v>
      </c>
      <c r="B9174" s="2" t="s">
        <v>14248</v>
      </c>
      <c r="C9174" s="2" t="s">
        <v>23</v>
      </c>
      <c r="K9174" s="2">
        <v>80.0</v>
      </c>
      <c r="N9174" s="6">
        <v>44154.0</v>
      </c>
      <c r="Q9174" s="2" t="s">
        <v>14249</v>
      </c>
    </row>
    <row r="9175">
      <c r="A9175" s="2">
        <v>9174.0</v>
      </c>
      <c r="B9175" s="2" t="s">
        <v>14250</v>
      </c>
      <c r="C9175" s="2" t="s">
        <v>23</v>
      </c>
      <c r="K9175" s="2">
        <v>30.0</v>
      </c>
      <c r="N9175" s="6">
        <v>45601.0</v>
      </c>
      <c r="Q9175" s="2" t="s">
        <v>14251</v>
      </c>
    </row>
    <row r="9176">
      <c r="A9176" s="2">
        <v>9175.0</v>
      </c>
      <c r="B9176" s="2" t="s">
        <v>14252</v>
      </c>
      <c r="C9176" s="2" t="s">
        <v>23</v>
      </c>
      <c r="K9176" s="2">
        <v>40.0</v>
      </c>
      <c r="N9176" s="6">
        <v>45167.0</v>
      </c>
      <c r="Q9176" s="2" t="s">
        <v>14253</v>
      </c>
    </row>
    <row r="9177">
      <c r="A9177" s="2">
        <v>9176.0</v>
      </c>
      <c r="B9177" s="2" t="s">
        <v>14254</v>
      </c>
      <c r="C9177" s="2" t="s">
        <v>23</v>
      </c>
      <c r="K9177" s="2">
        <v>10.0</v>
      </c>
      <c r="N9177" s="6">
        <v>44217.0</v>
      </c>
      <c r="Q9177" s="2" t="s">
        <v>11234</v>
      </c>
    </row>
    <row r="9178">
      <c r="A9178" s="2">
        <v>9177.0</v>
      </c>
      <c r="B9178" s="2" t="s">
        <v>14255</v>
      </c>
      <c r="C9178" s="2" t="s">
        <v>23</v>
      </c>
      <c r="K9178" s="2">
        <v>30.0</v>
      </c>
      <c r="N9178" s="6">
        <v>43971.0</v>
      </c>
      <c r="Q9178" s="2" t="s">
        <v>86</v>
      </c>
    </row>
    <row r="9179">
      <c r="A9179" s="2">
        <v>9178.0</v>
      </c>
      <c r="B9179" s="2" t="s">
        <v>14256</v>
      </c>
      <c r="C9179" s="2" t="s">
        <v>23</v>
      </c>
      <c r="N9179" s="6">
        <v>45484.0</v>
      </c>
      <c r="Q9179" s="2" t="s">
        <v>3934</v>
      </c>
    </row>
    <row r="9180">
      <c r="A9180" s="2">
        <v>9179.0</v>
      </c>
      <c r="B9180" s="2" t="s">
        <v>542</v>
      </c>
      <c r="C9180" s="2" t="s">
        <v>23</v>
      </c>
      <c r="N9180" s="6">
        <v>44884.0</v>
      </c>
      <c r="Q9180" s="2" t="s">
        <v>546</v>
      </c>
    </row>
    <row r="9181">
      <c r="A9181" s="2">
        <v>9180.0</v>
      </c>
      <c r="B9181" s="2" t="s">
        <v>14257</v>
      </c>
      <c r="C9181" s="2" t="s">
        <v>23</v>
      </c>
      <c r="N9181" s="6">
        <v>44144.0</v>
      </c>
      <c r="Q9181" s="2" t="s">
        <v>86</v>
      </c>
    </row>
    <row r="9182">
      <c r="A9182" s="2">
        <v>9181.0</v>
      </c>
      <c r="B9182" s="2" t="s">
        <v>14258</v>
      </c>
      <c r="C9182" s="2" t="s">
        <v>23</v>
      </c>
      <c r="N9182" s="6">
        <v>44018.0</v>
      </c>
      <c r="Q9182" s="2" t="s">
        <v>86</v>
      </c>
    </row>
    <row r="9183">
      <c r="A9183" s="2">
        <v>9182.0</v>
      </c>
      <c r="B9183" s="2" t="s">
        <v>14259</v>
      </c>
      <c r="C9183" s="2" t="s">
        <v>23</v>
      </c>
      <c r="N9183" s="6">
        <v>44015.0</v>
      </c>
      <c r="Q9183" s="2" t="s">
        <v>235</v>
      </c>
    </row>
    <row r="9184">
      <c r="A9184" s="2">
        <v>9183.0</v>
      </c>
      <c r="B9184" s="2" t="s">
        <v>14260</v>
      </c>
      <c r="C9184" s="2" t="s">
        <v>23</v>
      </c>
      <c r="K9184" s="2">
        <v>40.0</v>
      </c>
      <c r="N9184" s="6">
        <v>45771.0</v>
      </c>
      <c r="Q9184" s="2" t="s">
        <v>2827</v>
      </c>
    </row>
    <row r="9185">
      <c r="A9185" s="2">
        <v>9184.0</v>
      </c>
      <c r="B9185" s="2" t="s">
        <v>14261</v>
      </c>
      <c r="C9185" s="2" t="s">
        <v>23</v>
      </c>
      <c r="K9185" s="2">
        <v>70.0</v>
      </c>
      <c r="N9185" s="6">
        <v>45551.0</v>
      </c>
      <c r="Q9185" s="2" t="s">
        <v>14262</v>
      </c>
    </row>
    <row r="9186">
      <c r="A9186" s="2">
        <v>9185.0</v>
      </c>
      <c r="B9186" s="2" t="s">
        <v>14263</v>
      </c>
      <c r="C9186" s="2" t="s">
        <v>23</v>
      </c>
      <c r="K9186" s="2">
        <v>30.0</v>
      </c>
      <c r="N9186" s="6">
        <v>44516.0</v>
      </c>
      <c r="Q9186" s="2" t="s">
        <v>60</v>
      </c>
    </row>
    <row r="9187">
      <c r="A9187" s="2">
        <v>9186.0</v>
      </c>
      <c r="B9187" s="2" t="s">
        <v>14264</v>
      </c>
      <c r="C9187" s="2" t="s">
        <v>23</v>
      </c>
      <c r="N9187" s="6">
        <v>44905.0</v>
      </c>
      <c r="Q9187" s="2" t="s">
        <v>86</v>
      </c>
    </row>
    <row r="9188">
      <c r="A9188" s="2">
        <v>9187.0</v>
      </c>
      <c r="B9188" s="2" t="s">
        <v>14265</v>
      </c>
      <c r="C9188" s="2" t="s">
        <v>23</v>
      </c>
      <c r="N9188" s="6">
        <v>44681.0</v>
      </c>
      <c r="Q9188" s="2" t="s">
        <v>86</v>
      </c>
    </row>
    <row r="9189">
      <c r="A9189" s="2">
        <v>9188.0</v>
      </c>
      <c r="B9189" s="2" t="s">
        <v>14266</v>
      </c>
      <c r="C9189" s="2" t="s">
        <v>23</v>
      </c>
      <c r="K9189" s="2">
        <v>10.0</v>
      </c>
      <c r="N9189" s="6">
        <v>44543.0</v>
      </c>
      <c r="Q9189" s="2" t="s">
        <v>1123</v>
      </c>
    </row>
    <row r="9190">
      <c r="A9190" s="2">
        <v>9189.0</v>
      </c>
      <c r="B9190" s="2" t="s">
        <v>14267</v>
      </c>
      <c r="C9190" s="2" t="s">
        <v>23</v>
      </c>
      <c r="K9190" s="2">
        <v>10.0</v>
      </c>
      <c r="N9190" s="6">
        <v>42599.0</v>
      </c>
      <c r="Q9190" s="2" t="s">
        <v>14268</v>
      </c>
    </row>
    <row r="9191">
      <c r="A9191" s="2">
        <v>9190.0</v>
      </c>
      <c r="B9191" s="2" t="s">
        <v>14269</v>
      </c>
      <c r="C9191" s="2" t="s">
        <v>23</v>
      </c>
      <c r="K9191" s="2">
        <v>10.0</v>
      </c>
      <c r="N9191" s="6">
        <v>44257.0</v>
      </c>
      <c r="Q9191" s="2" t="s">
        <v>491</v>
      </c>
    </row>
    <row r="9192">
      <c r="A9192" s="2">
        <v>9191.0</v>
      </c>
      <c r="B9192" s="2" t="s">
        <v>14270</v>
      </c>
      <c r="C9192" s="2" t="s">
        <v>23</v>
      </c>
      <c r="K9192" s="2">
        <v>40.0</v>
      </c>
      <c r="N9192" s="6">
        <v>45106.0</v>
      </c>
      <c r="Q9192" s="2" t="s">
        <v>5589</v>
      </c>
    </row>
    <row r="9193">
      <c r="A9193" s="2">
        <v>9192.0</v>
      </c>
      <c r="B9193" s="2" t="s">
        <v>14271</v>
      </c>
      <c r="C9193" s="2" t="s">
        <v>23</v>
      </c>
      <c r="N9193" s="6">
        <v>44283.0</v>
      </c>
      <c r="Q9193" s="2" t="s">
        <v>86</v>
      </c>
    </row>
    <row r="9194">
      <c r="A9194" s="2">
        <v>9193.0</v>
      </c>
      <c r="B9194" s="2" t="s">
        <v>14272</v>
      </c>
      <c r="C9194" s="2" t="s">
        <v>23</v>
      </c>
      <c r="N9194" s="6">
        <v>44575.0</v>
      </c>
      <c r="Q9194" s="2" t="s">
        <v>86</v>
      </c>
    </row>
    <row r="9195">
      <c r="A9195" s="2">
        <v>9194.0</v>
      </c>
      <c r="B9195" s="2" t="s">
        <v>14273</v>
      </c>
      <c r="C9195" s="2" t="s">
        <v>23</v>
      </c>
      <c r="K9195" s="2">
        <v>10.0</v>
      </c>
      <c r="N9195" s="6">
        <v>42628.0</v>
      </c>
      <c r="Q9195" s="2" t="s">
        <v>14274</v>
      </c>
    </row>
    <row r="9196">
      <c r="A9196" s="2">
        <v>9195.0</v>
      </c>
      <c r="B9196" s="2" t="s">
        <v>14275</v>
      </c>
      <c r="C9196" s="2" t="s">
        <v>23</v>
      </c>
      <c r="K9196" s="2">
        <v>150.0</v>
      </c>
      <c r="N9196" s="6">
        <v>43990.0</v>
      </c>
      <c r="Q9196" s="2" t="s">
        <v>14276</v>
      </c>
    </row>
    <row r="9197">
      <c r="A9197" s="2">
        <v>9196.0</v>
      </c>
      <c r="B9197" s="2" t="s">
        <v>14277</v>
      </c>
      <c r="C9197" s="2" t="s">
        <v>23</v>
      </c>
      <c r="N9197" s="6">
        <v>43925.0</v>
      </c>
      <c r="Q9197" s="2" t="s">
        <v>86</v>
      </c>
    </row>
    <row r="9198">
      <c r="A9198" s="2">
        <v>9197.0</v>
      </c>
      <c r="B9198" s="2" t="s">
        <v>14278</v>
      </c>
      <c r="C9198" s="2" t="s">
        <v>23</v>
      </c>
      <c r="K9198" s="2">
        <v>150.0</v>
      </c>
      <c r="N9198" s="6">
        <v>44814.0</v>
      </c>
      <c r="Q9198" s="2" t="s">
        <v>5839</v>
      </c>
    </row>
    <row r="9199">
      <c r="A9199" s="2">
        <v>9198.0</v>
      </c>
      <c r="B9199" s="2" t="s">
        <v>14279</v>
      </c>
      <c r="C9199" s="2" t="s">
        <v>23</v>
      </c>
      <c r="N9199" s="6">
        <v>42570.0</v>
      </c>
      <c r="Q9199" s="2" t="s">
        <v>86</v>
      </c>
    </row>
    <row r="9200">
      <c r="A9200" s="2">
        <v>9199.0</v>
      </c>
      <c r="B9200" s="2" t="s">
        <v>14280</v>
      </c>
      <c r="C9200" s="2" t="s">
        <v>23</v>
      </c>
      <c r="K9200" s="2">
        <v>30.0</v>
      </c>
      <c r="N9200" s="6">
        <v>44249.0</v>
      </c>
      <c r="Q9200" s="2" t="s">
        <v>14281</v>
      </c>
    </row>
    <row r="9201">
      <c r="A9201" s="2">
        <v>9200.0</v>
      </c>
      <c r="B9201" s="2" t="s">
        <v>14282</v>
      </c>
      <c r="C9201" s="2" t="s">
        <v>23</v>
      </c>
      <c r="K9201" s="2">
        <v>60.0</v>
      </c>
      <c r="N9201" s="6">
        <v>43998.0</v>
      </c>
      <c r="Q9201" s="2" t="s">
        <v>14283</v>
      </c>
    </row>
    <row r="9202">
      <c r="A9202" s="2">
        <v>9201.0</v>
      </c>
      <c r="B9202" s="2" t="s">
        <v>14284</v>
      </c>
      <c r="C9202" s="2" t="s">
        <v>23</v>
      </c>
      <c r="K9202" s="2">
        <v>40.0</v>
      </c>
      <c r="N9202" s="6">
        <v>45630.0</v>
      </c>
      <c r="Q9202" s="2" t="s">
        <v>14285</v>
      </c>
    </row>
    <row r="9203">
      <c r="A9203" s="2">
        <v>9202.0</v>
      </c>
      <c r="B9203" s="2" t="s">
        <v>14286</v>
      </c>
      <c r="C9203" s="2" t="s">
        <v>23</v>
      </c>
      <c r="N9203" s="6">
        <v>45239.0</v>
      </c>
      <c r="Q9203" s="2" t="s">
        <v>86</v>
      </c>
    </row>
    <row r="9204">
      <c r="A9204" s="2">
        <v>9203.0</v>
      </c>
      <c r="B9204" s="2" t="s">
        <v>14287</v>
      </c>
      <c r="C9204" s="2" t="s">
        <v>23</v>
      </c>
      <c r="N9204" s="6">
        <v>42466.0</v>
      </c>
      <c r="Q9204" s="2" t="s">
        <v>86</v>
      </c>
    </row>
    <row r="9205">
      <c r="A9205" s="2">
        <v>9204.0</v>
      </c>
      <c r="B9205" s="2" t="s">
        <v>14288</v>
      </c>
      <c r="C9205" s="2" t="s">
        <v>23</v>
      </c>
      <c r="K9205" s="2">
        <v>20.0</v>
      </c>
      <c r="N9205" s="6">
        <v>45649.0</v>
      </c>
      <c r="Q9205" s="2" t="s">
        <v>13648</v>
      </c>
    </row>
    <row r="9206">
      <c r="A9206" s="2">
        <v>9205.0</v>
      </c>
      <c r="B9206" s="2" t="s">
        <v>14289</v>
      </c>
      <c r="C9206" s="2" t="s">
        <v>23</v>
      </c>
      <c r="K9206" s="2">
        <v>10.0</v>
      </c>
      <c r="N9206" s="6">
        <v>42931.0</v>
      </c>
      <c r="Q9206" s="2" t="s">
        <v>14290</v>
      </c>
    </row>
    <row r="9207">
      <c r="A9207" s="2">
        <v>9206.0</v>
      </c>
      <c r="B9207" s="2" t="s">
        <v>14291</v>
      </c>
      <c r="C9207" s="2" t="s">
        <v>23</v>
      </c>
      <c r="K9207" s="2">
        <v>10.0</v>
      </c>
      <c r="N9207" s="6">
        <v>44026.0</v>
      </c>
      <c r="Q9207" s="2" t="s">
        <v>14292</v>
      </c>
    </row>
    <row r="9208">
      <c r="A9208" s="2">
        <v>9207.0</v>
      </c>
      <c r="B9208" s="2" t="s">
        <v>14293</v>
      </c>
      <c r="C9208" s="2" t="s">
        <v>23</v>
      </c>
      <c r="K9208" s="2">
        <v>80.0</v>
      </c>
      <c r="N9208" s="6">
        <v>44472.0</v>
      </c>
      <c r="Q9208" s="2" t="s">
        <v>60</v>
      </c>
    </row>
    <row r="9209">
      <c r="A9209" s="2">
        <v>9208.0</v>
      </c>
      <c r="B9209" s="2" t="s">
        <v>14294</v>
      </c>
      <c r="C9209" s="2" t="s">
        <v>23</v>
      </c>
      <c r="K9209" s="2">
        <v>70.0</v>
      </c>
      <c r="N9209" s="6">
        <v>44493.0</v>
      </c>
      <c r="Q9209" s="2" t="s">
        <v>2910</v>
      </c>
    </row>
    <row r="9210">
      <c r="A9210" s="2">
        <v>9209.0</v>
      </c>
      <c r="B9210" s="2" t="s">
        <v>14295</v>
      </c>
      <c r="C9210" s="2" t="s">
        <v>23</v>
      </c>
      <c r="N9210" s="6">
        <v>44487.0</v>
      </c>
      <c r="Q9210" s="2" t="s">
        <v>86</v>
      </c>
    </row>
    <row r="9211">
      <c r="A9211" s="2">
        <v>9210.0</v>
      </c>
      <c r="B9211" s="2" t="s">
        <v>14296</v>
      </c>
      <c r="C9211" s="2" t="s">
        <v>23</v>
      </c>
      <c r="K9211" s="2">
        <v>80.0</v>
      </c>
      <c r="N9211" s="6">
        <v>43764.0</v>
      </c>
      <c r="Q9211" s="2" t="s">
        <v>14297</v>
      </c>
    </row>
    <row r="9212">
      <c r="A9212" s="2">
        <v>9211.0</v>
      </c>
      <c r="B9212" s="2" t="s">
        <v>14298</v>
      </c>
      <c r="C9212" s="2" t="s">
        <v>23</v>
      </c>
      <c r="K9212" s="2">
        <v>30.0</v>
      </c>
      <c r="N9212" s="6">
        <v>45342.0</v>
      </c>
      <c r="Q9212" s="2" t="s">
        <v>3770</v>
      </c>
    </row>
    <row r="9213">
      <c r="A9213" s="2">
        <v>9212.0</v>
      </c>
      <c r="B9213" s="2" t="s">
        <v>14299</v>
      </c>
      <c r="C9213" s="2" t="s">
        <v>23</v>
      </c>
      <c r="N9213" s="6">
        <v>44395.0</v>
      </c>
      <c r="Q9213" s="2" t="s">
        <v>86</v>
      </c>
    </row>
    <row r="9214">
      <c r="A9214" s="2">
        <v>9213.0</v>
      </c>
      <c r="B9214" s="2" t="s">
        <v>14300</v>
      </c>
      <c r="C9214" s="2" t="s">
        <v>23</v>
      </c>
      <c r="K9214" s="2">
        <v>100.0</v>
      </c>
      <c r="N9214" s="6">
        <v>44841.0</v>
      </c>
      <c r="Q9214" s="2" t="s">
        <v>14301</v>
      </c>
    </row>
    <row r="9215">
      <c r="A9215" s="2">
        <v>9214.0</v>
      </c>
      <c r="B9215" s="2" t="s">
        <v>14302</v>
      </c>
      <c r="C9215" s="2" t="s">
        <v>23</v>
      </c>
      <c r="N9215" s="6">
        <v>44683.0</v>
      </c>
      <c r="Q9215" s="2" t="s">
        <v>60</v>
      </c>
    </row>
    <row r="9216">
      <c r="A9216" s="2">
        <v>9215.0</v>
      </c>
      <c r="B9216" s="2" t="s">
        <v>14303</v>
      </c>
      <c r="C9216" s="2" t="s">
        <v>23</v>
      </c>
      <c r="K9216" s="2">
        <v>10.0</v>
      </c>
      <c r="N9216" s="6">
        <v>45588.0</v>
      </c>
      <c r="Q9216" s="2" t="s">
        <v>540</v>
      </c>
    </row>
    <row r="9217">
      <c r="A9217" s="2">
        <v>9216.0</v>
      </c>
      <c r="B9217" s="2" t="s">
        <v>14304</v>
      </c>
      <c r="C9217" s="2" t="s">
        <v>23</v>
      </c>
      <c r="K9217" s="2">
        <v>50.0</v>
      </c>
      <c r="N9217" s="6">
        <v>44306.0</v>
      </c>
      <c r="Q9217" s="2" t="s">
        <v>14305</v>
      </c>
    </row>
    <row r="9218">
      <c r="A9218" s="2">
        <v>9217.0</v>
      </c>
      <c r="B9218" s="2" t="s">
        <v>14306</v>
      </c>
      <c r="C9218" s="2" t="s">
        <v>23</v>
      </c>
      <c r="N9218" s="6">
        <v>45307.0</v>
      </c>
      <c r="Q9218" s="2" t="s">
        <v>3724</v>
      </c>
    </row>
    <row r="9219">
      <c r="A9219" s="2">
        <v>9218.0</v>
      </c>
      <c r="B9219" s="2" t="s">
        <v>14307</v>
      </c>
      <c r="C9219" s="2" t="s">
        <v>23</v>
      </c>
      <c r="N9219" s="6">
        <v>44341.0</v>
      </c>
      <c r="Q9219" s="2" t="s">
        <v>1249</v>
      </c>
    </row>
    <row r="9220">
      <c r="A9220" s="2">
        <v>9219.0</v>
      </c>
      <c r="B9220" s="2" t="s">
        <v>14308</v>
      </c>
      <c r="C9220" s="2" t="s">
        <v>23</v>
      </c>
      <c r="K9220" s="2">
        <v>10.0</v>
      </c>
      <c r="N9220" s="6">
        <v>44793.0</v>
      </c>
      <c r="Q9220" s="2" t="s">
        <v>126</v>
      </c>
    </row>
    <row r="9221">
      <c r="A9221" s="2">
        <v>9220.0</v>
      </c>
      <c r="B9221" s="2" t="s">
        <v>14309</v>
      </c>
      <c r="C9221" s="2" t="s">
        <v>23</v>
      </c>
      <c r="K9221" s="2">
        <v>80.0</v>
      </c>
      <c r="N9221" s="6">
        <v>45712.0</v>
      </c>
      <c r="Q9221" s="2" t="s">
        <v>14310</v>
      </c>
    </row>
    <row r="9222">
      <c r="A9222" s="2">
        <v>9221.0</v>
      </c>
      <c r="B9222" s="2" t="s">
        <v>14311</v>
      </c>
      <c r="C9222" s="2" t="s">
        <v>23</v>
      </c>
      <c r="K9222" s="2">
        <v>80.0</v>
      </c>
      <c r="N9222" s="6">
        <v>45557.0</v>
      </c>
      <c r="Q9222" s="2" t="s">
        <v>14312</v>
      </c>
    </row>
    <row r="9223">
      <c r="A9223" s="2">
        <v>9222.0</v>
      </c>
      <c r="B9223" s="2" t="s">
        <v>14313</v>
      </c>
      <c r="C9223" s="2" t="s">
        <v>23</v>
      </c>
      <c r="N9223" s="6">
        <v>44105.0</v>
      </c>
      <c r="Q9223" s="2" t="s">
        <v>86</v>
      </c>
    </row>
    <row r="9224">
      <c r="A9224" s="2">
        <v>9223.0</v>
      </c>
      <c r="B9224" s="2" t="s">
        <v>14314</v>
      </c>
      <c r="C9224" s="2" t="s">
        <v>23</v>
      </c>
      <c r="K9224" s="2">
        <v>50.0</v>
      </c>
      <c r="N9224" s="6">
        <v>44250.0</v>
      </c>
      <c r="Q9224" s="2" t="s">
        <v>89</v>
      </c>
    </row>
    <row r="9225">
      <c r="A9225" s="2">
        <v>9224.0</v>
      </c>
      <c r="B9225" s="2" t="s">
        <v>14315</v>
      </c>
      <c r="C9225" s="2" t="s">
        <v>23</v>
      </c>
      <c r="N9225" s="6">
        <v>44799.0</v>
      </c>
      <c r="Q9225" s="2" t="s">
        <v>86</v>
      </c>
    </row>
    <row r="9226">
      <c r="A9226" s="2">
        <v>9225.0</v>
      </c>
      <c r="B9226" s="2" t="s">
        <v>14316</v>
      </c>
      <c r="C9226" s="2" t="s">
        <v>23</v>
      </c>
      <c r="K9226" s="2">
        <v>70.0</v>
      </c>
      <c r="N9226" s="6">
        <v>44376.0</v>
      </c>
      <c r="Q9226" s="2" t="s">
        <v>14317</v>
      </c>
    </row>
    <row r="9227">
      <c r="A9227" s="2">
        <v>9226.0</v>
      </c>
      <c r="B9227" s="2" t="s">
        <v>14318</v>
      </c>
      <c r="C9227" s="2" t="s">
        <v>23</v>
      </c>
      <c r="K9227" s="2">
        <v>30.0</v>
      </c>
      <c r="N9227" s="6">
        <v>43863.0</v>
      </c>
      <c r="Q9227" s="2" t="s">
        <v>3129</v>
      </c>
    </row>
    <row r="9228">
      <c r="A9228" s="2">
        <v>9227.0</v>
      </c>
      <c r="B9228" s="2" t="s">
        <v>14319</v>
      </c>
      <c r="C9228" s="2" t="s">
        <v>23</v>
      </c>
      <c r="N9228" s="6">
        <v>43272.0</v>
      </c>
      <c r="Q9228" s="2" t="s">
        <v>86</v>
      </c>
    </row>
    <row r="9229">
      <c r="A9229" s="2">
        <v>9228.0</v>
      </c>
      <c r="B9229" s="2" t="s">
        <v>14320</v>
      </c>
      <c r="C9229" s="2" t="s">
        <v>23</v>
      </c>
      <c r="K9229" s="2">
        <v>20.0</v>
      </c>
      <c r="N9229" s="6">
        <v>42382.0</v>
      </c>
      <c r="Q9229" s="2" t="s">
        <v>2948</v>
      </c>
    </row>
    <row r="9230">
      <c r="A9230" s="2">
        <v>9229.0</v>
      </c>
      <c r="B9230" s="2" t="s">
        <v>14321</v>
      </c>
      <c r="C9230" s="2" t="s">
        <v>23</v>
      </c>
      <c r="K9230" s="2">
        <v>200.0</v>
      </c>
      <c r="N9230" s="6">
        <v>43947.0</v>
      </c>
      <c r="Q9230" s="2" t="s">
        <v>14322</v>
      </c>
    </row>
    <row r="9231">
      <c r="A9231" s="2">
        <v>9230.0</v>
      </c>
      <c r="B9231" s="2" t="s">
        <v>14323</v>
      </c>
      <c r="C9231" s="2" t="s">
        <v>23</v>
      </c>
      <c r="N9231" s="6">
        <v>45348.0</v>
      </c>
      <c r="Q9231" s="2" t="s">
        <v>3122</v>
      </c>
    </row>
    <row r="9232">
      <c r="A9232" s="2">
        <v>9231.0</v>
      </c>
      <c r="B9232" s="2" t="s">
        <v>14324</v>
      </c>
      <c r="C9232" s="2" t="s">
        <v>23</v>
      </c>
      <c r="K9232" s="2">
        <v>350.0</v>
      </c>
      <c r="N9232" s="6">
        <v>43926.0</v>
      </c>
      <c r="Q9232" s="2" t="s">
        <v>14325</v>
      </c>
    </row>
    <row r="9233">
      <c r="A9233" s="2">
        <v>9232.0</v>
      </c>
      <c r="B9233" s="2" t="s">
        <v>14326</v>
      </c>
      <c r="C9233" s="2" t="s">
        <v>23</v>
      </c>
      <c r="K9233" s="2">
        <v>40.0</v>
      </c>
      <c r="N9233" s="6">
        <v>44581.0</v>
      </c>
      <c r="Q9233" s="2" t="s">
        <v>295</v>
      </c>
    </row>
    <row r="9234">
      <c r="A9234" s="2">
        <v>9233.0</v>
      </c>
      <c r="B9234" s="2" t="s">
        <v>14327</v>
      </c>
      <c r="C9234" s="2" t="s">
        <v>23</v>
      </c>
      <c r="K9234" s="2">
        <v>200.0</v>
      </c>
      <c r="N9234" s="6">
        <v>45272.0</v>
      </c>
      <c r="Q9234" s="2" t="s">
        <v>14328</v>
      </c>
    </row>
    <row r="9235">
      <c r="A9235" s="2">
        <v>9234.0</v>
      </c>
      <c r="B9235" s="2" t="s">
        <v>14329</v>
      </c>
      <c r="C9235" s="2" t="s">
        <v>23</v>
      </c>
      <c r="K9235" s="2">
        <v>70.0</v>
      </c>
      <c r="N9235" s="6">
        <v>45698.0</v>
      </c>
      <c r="Q9235" s="2" t="s">
        <v>14330</v>
      </c>
    </row>
    <row r="9236">
      <c r="A9236" s="2">
        <v>9235.0</v>
      </c>
      <c r="B9236" s="2" t="s">
        <v>14331</v>
      </c>
      <c r="C9236" s="2" t="s">
        <v>23</v>
      </c>
      <c r="K9236" s="2">
        <v>10.0</v>
      </c>
      <c r="N9236" s="6">
        <v>44457.0</v>
      </c>
      <c r="Q9236" s="2" t="s">
        <v>60</v>
      </c>
    </row>
    <row r="9237">
      <c r="A9237" s="2">
        <v>9236.0</v>
      </c>
      <c r="B9237" s="2" t="s">
        <v>14332</v>
      </c>
      <c r="C9237" s="2" t="s">
        <v>23</v>
      </c>
      <c r="K9237" s="2">
        <v>50.0</v>
      </c>
      <c r="N9237" s="6">
        <v>44342.0</v>
      </c>
      <c r="Q9237" s="2" t="s">
        <v>3075</v>
      </c>
    </row>
    <row r="9238">
      <c r="A9238" s="2">
        <v>9237.0</v>
      </c>
      <c r="B9238" s="2" t="s">
        <v>14333</v>
      </c>
      <c r="C9238" s="2" t="s">
        <v>23</v>
      </c>
      <c r="N9238" s="6">
        <v>44370.0</v>
      </c>
      <c r="Q9238" s="2" t="s">
        <v>86</v>
      </c>
    </row>
    <row r="9239">
      <c r="A9239" s="2">
        <v>9238.0</v>
      </c>
      <c r="B9239" s="2" t="s">
        <v>14334</v>
      </c>
      <c r="C9239" s="2" t="s">
        <v>23</v>
      </c>
      <c r="N9239" s="6">
        <v>44627.0</v>
      </c>
      <c r="Q9239" s="2" t="s">
        <v>86</v>
      </c>
    </row>
    <row r="9240">
      <c r="A9240" s="2">
        <v>9239.0</v>
      </c>
      <c r="B9240" s="2" t="s">
        <v>14335</v>
      </c>
      <c r="C9240" s="2" t="s">
        <v>23</v>
      </c>
      <c r="K9240" s="2">
        <v>50.0</v>
      </c>
      <c r="N9240" s="6">
        <v>45628.0</v>
      </c>
      <c r="Q9240" s="2" t="s">
        <v>14336</v>
      </c>
    </row>
    <row r="9241">
      <c r="A9241" s="2">
        <v>9240.0</v>
      </c>
      <c r="B9241" s="2" t="s">
        <v>14337</v>
      </c>
      <c r="C9241" s="2" t="s">
        <v>23</v>
      </c>
      <c r="K9241" s="2">
        <v>20.0</v>
      </c>
      <c r="N9241" s="6">
        <v>44665.0</v>
      </c>
      <c r="Q9241" s="2" t="s">
        <v>86</v>
      </c>
    </row>
    <row r="9242">
      <c r="A9242" s="2">
        <v>9241.0</v>
      </c>
      <c r="B9242" s="2" t="s">
        <v>14338</v>
      </c>
      <c r="C9242" s="2" t="s">
        <v>23</v>
      </c>
      <c r="N9242" s="6">
        <v>43740.0</v>
      </c>
      <c r="Q9242" s="2" t="s">
        <v>86</v>
      </c>
    </row>
    <row r="9243">
      <c r="A9243" s="2">
        <v>9242.0</v>
      </c>
      <c r="B9243" s="2" t="s">
        <v>14339</v>
      </c>
      <c r="C9243" s="2" t="s">
        <v>23</v>
      </c>
      <c r="K9243" s="2">
        <v>40.0</v>
      </c>
      <c r="N9243" s="6">
        <v>44490.0</v>
      </c>
      <c r="Q9243" s="2" t="s">
        <v>14340</v>
      </c>
    </row>
    <row r="9244">
      <c r="A9244" s="2">
        <v>9243.0</v>
      </c>
      <c r="B9244" s="2" t="s">
        <v>14341</v>
      </c>
      <c r="C9244" s="2" t="s">
        <v>23</v>
      </c>
      <c r="K9244" s="2">
        <v>40.0</v>
      </c>
      <c r="N9244" s="6">
        <v>45611.0</v>
      </c>
      <c r="Q9244" s="2" t="s">
        <v>14342</v>
      </c>
    </row>
    <row r="9245">
      <c r="A9245" s="2">
        <v>9244.0</v>
      </c>
      <c r="B9245" s="2" t="s">
        <v>14343</v>
      </c>
      <c r="C9245" s="2" t="s">
        <v>23</v>
      </c>
      <c r="K9245" s="2">
        <v>70.0</v>
      </c>
      <c r="N9245" s="6">
        <v>44045.0</v>
      </c>
      <c r="Q9245" s="2" t="s">
        <v>2746</v>
      </c>
    </row>
    <row r="9246">
      <c r="A9246" s="2">
        <v>9245.0</v>
      </c>
      <c r="B9246" s="2" t="s">
        <v>14344</v>
      </c>
      <c r="C9246" s="2" t="s">
        <v>23</v>
      </c>
      <c r="K9246" s="2">
        <v>30.0</v>
      </c>
      <c r="N9246" s="6">
        <v>45353.0</v>
      </c>
      <c r="Q9246" s="2" t="s">
        <v>14345</v>
      </c>
    </row>
    <row r="9247">
      <c r="A9247" s="2">
        <v>9246.0</v>
      </c>
      <c r="B9247" s="2" t="s">
        <v>14346</v>
      </c>
      <c r="C9247" s="2" t="s">
        <v>23</v>
      </c>
      <c r="N9247" s="6">
        <v>45358.0</v>
      </c>
      <c r="Q9247" s="2" t="s">
        <v>86</v>
      </c>
    </row>
    <row r="9248">
      <c r="A9248" s="2">
        <v>9247.0</v>
      </c>
      <c r="B9248" s="2" t="s">
        <v>14347</v>
      </c>
      <c r="C9248" s="2" t="s">
        <v>23</v>
      </c>
      <c r="N9248" s="6">
        <v>43890.0</v>
      </c>
      <c r="Q9248" s="2" t="s">
        <v>86</v>
      </c>
    </row>
    <row r="9249">
      <c r="A9249" s="2">
        <v>9248.0</v>
      </c>
      <c r="B9249" s="2" t="s">
        <v>14348</v>
      </c>
      <c r="C9249" s="2" t="s">
        <v>23</v>
      </c>
      <c r="N9249" s="6">
        <v>44132.0</v>
      </c>
      <c r="Q9249" s="2" t="s">
        <v>86</v>
      </c>
    </row>
    <row r="9250">
      <c r="A9250" s="2">
        <v>9249.0</v>
      </c>
      <c r="B9250" s="2" t="s">
        <v>14349</v>
      </c>
      <c r="C9250" s="2" t="s">
        <v>23</v>
      </c>
      <c r="N9250" s="6">
        <v>46009.0</v>
      </c>
      <c r="Q9250" s="2" t="s">
        <v>14350</v>
      </c>
    </row>
    <row r="9251">
      <c r="A9251" s="2">
        <v>9250.0</v>
      </c>
      <c r="B9251" s="2" t="s">
        <v>14351</v>
      </c>
      <c r="C9251" s="2" t="s">
        <v>23</v>
      </c>
      <c r="N9251" s="6">
        <v>43855.0</v>
      </c>
      <c r="Q9251" s="2" t="s">
        <v>86</v>
      </c>
    </row>
    <row r="9252">
      <c r="A9252" s="2">
        <v>9251.0</v>
      </c>
      <c r="B9252" s="2" t="s">
        <v>14352</v>
      </c>
      <c r="C9252" s="2" t="s">
        <v>23</v>
      </c>
      <c r="N9252" s="6">
        <v>43264.0</v>
      </c>
      <c r="Q9252" s="2" t="s">
        <v>14353</v>
      </c>
    </row>
    <row r="9253">
      <c r="A9253" s="2">
        <v>9252.0</v>
      </c>
      <c r="B9253" s="2" t="s">
        <v>14354</v>
      </c>
      <c r="C9253" s="2" t="s">
        <v>23</v>
      </c>
      <c r="K9253" s="2">
        <v>30.0</v>
      </c>
      <c r="N9253" s="6">
        <v>45609.0</v>
      </c>
      <c r="Q9253" s="2" t="s">
        <v>14355</v>
      </c>
    </row>
    <row r="9254">
      <c r="A9254" s="2">
        <v>9253.0</v>
      </c>
      <c r="B9254" s="2" t="s">
        <v>14356</v>
      </c>
      <c r="C9254" s="2" t="s">
        <v>23</v>
      </c>
      <c r="N9254" s="6">
        <v>44141.0</v>
      </c>
      <c r="Q9254" s="2" t="s">
        <v>86</v>
      </c>
    </row>
    <row r="9255">
      <c r="A9255" s="2">
        <v>9254.0</v>
      </c>
      <c r="B9255" s="2" t="s">
        <v>14357</v>
      </c>
      <c r="C9255" s="2" t="s">
        <v>23</v>
      </c>
      <c r="N9255" s="6">
        <v>43943.0</v>
      </c>
      <c r="Q9255" s="2" t="s">
        <v>86</v>
      </c>
    </row>
    <row r="9256">
      <c r="A9256" s="2">
        <v>9255.0</v>
      </c>
      <c r="B9256" s="2" t="s">
        <v>14358</v>
      </c>
      <c r="C9256" s="2" t="s">
        <v>23</v>
      </c>
      <c r="K9256" s="2">
        <v>30.0</v>
      </c>
      <c r="N9256" s="6">
        <v>44358.0</v>
      </c>
      <c r="Q9256" s="2" t="s">
        <v>2977</v>
      </c>
    </row>
    <row r="9257">
      <c r="A9257" s="2">
        <v>9256.0</v>
      </c>
      <c r="B9257" s="2" t="s">
        <v>14359</v>
      </c>
      <c r="C9257" s="2" t="s">
        <v>23</v>
      </c>
      <c r="K9257" s="2">
        <v>20.0</v>
      </c>
      <c r="N9257" s="6">
        <v>45535.0</v>
      </c>
      <c r="Q9257" s="2" t="s">
        <v>14360</v>
      </c>
    </row>
    <row r="9258">
      <c r="A9258" s="2">
        <v>9257.0</v>
      </c>
      <c r="B9258" s="2" t="s">
        <v>14361</v>
      </c>
      <c r="C9258" s="2" t="s">
        <v>23</v>
      </c>
      <c r="K9258" s="2">
        <v>200.0</v>
      </c>
      <c r="N9258" s="6">
        <v>44395.0</v>
      </c>
      <c r="Q9258" s="2" t="s">
        <v>14362</v>
      </c>
    </row>
    <row r="9259">
      <c r="A9259" s="2">
        <v>9258.0</v>
      </c>
      <c r="B9259" s="2" t="s">
        <v>14363</v>
      </c>
      <c r="C9259" s="2" t="s">
        <v>23</v>
      </c>
      <c r="K9259" s="2">
        <v>10.0</v>
      </c>
      <c r="N9259" s="6">
        <v>43860.0</v>
      </c>
      <c r="Q9259" s="2" t="s">
        <v>86</v>
      </c>
    </row>
    <row r="9260">
      <c r="A9260" s="2">
        <v>9259.0</v>
      </c>
      <c r="B9260" s="2" t="s">
        <v>14364</v>
      </c>
      <c r="C9260" s="2" t="s">
        <v>23</v>
      </c>
      <c r="K9260" s="2">
        <v>30.0</v>
      </c>
      <c r="N9260" s="6">
        <v>45314.0</v>
      </c>
      <c r="Q9260" s="2" t="s">
        <v>12767</v>
      </c>
    </row>
    <row r="9261">
      <c r="A9261" s="2">
        <v>9260.0</v>
      </c>
      <c r="B9261" s="2" t="s">
        <v>14365</v>
      </c>
      <c r="C9261" s="2" t="s">
        <v>23</v>
      </c>
      <c r="K9261" s="2">
        <v>10.0</v>
      </c>
      <c r="N9261" s="6">
        <v>44049.0</v>
      </c>
      <c r="Q9261" s="2" t="s">
        <v>3062</v>
      </c>
    </row>
    <row r="9262">
      <c r="A9262" s="2">
        <v>9261.0</v>
      </c>
      <c r="B9262" s="2" t="s">
        <v>14366</v>
      </c>
      <c r="C9262" s="2" t="s">
        <v>23</v>
      </c>
      <c r="K9262" s="2">
        <v>40.0</v>
      </c>
      <c r="N9262" s="6">
        <v>45629.0</v>
      </c>
      <c r="Q9262" s="2" t="s">
        <v>14367</v>
      </c>
    </row>
    <row r="9263">
      <c r="A9263" s="2">
        <v>9262.0</v>
      </c>
      <c r="B9263" s="2" t="s">
        <v>14368</v>
      </c>
      <c r="C9263" s="2" t="s">
        <v>23</v>
      </c>
      <c r="K9263" s="2">
        <v>20.0</v>
      </c>
      <c r="N9263" s="6">
        <v>44066.0</v>
      </c>
      <c r="Q9263" s="2" t="s">
        <v>86</v>
      </c>
    </row>
    <row r="9264">
      <c r="A9264" s="2">
        <v>9263.0</v>
      </c>
      <c r="B9264" s="2" t="s">
        <v>14369</v>
      </c>
      <c r="C9264" s="2" t="s">
        <v>23</v>
      </c>
      <c r="K9264" s="2">
        <v>150.0</v>
      </c>
      <c r="N9264" s="6">
        <v>44022.0</v>
      </c>
      <c r="Q9264" s="2" t="s">
        <v>14370</v>
      </c>
    </row>
    <row r="9265">
      <c r="A9265" s="2">
        <v>9264.0</v>
      </c>
      <c r="B9265" s="2" t="s">
        <v>14371</v>
      </c>
      <c r="C9265" s="2" t="s">
        <v>23</v>
      </c>
      <c r="N9265" s="6">
        <v>44606.0</v>
      </c>
      <c r="Q9265" s="2" t="s">
        <v>86</v>
      </c>
    </row>
    <row r="9266">
      <c r="A9266" s="2">
        <v>9265.0</v>
      </c>
      <c r="B9266" s="2" t="s">
        <v>14372</v>
      </c>
      <c r="C9266" s="2" t="s">
        <v>23</v>
      </c>
      <c r="N9266" s="6">
        <v>45118.0</v>
      </c>
      <c r="Q9266" s="2" t="s">
        <v>1711</v>
      </c>
    </row>
    <row r="9267">
      <c r="A9267" s="2">
        <v>9266.0</v>
      </c>
      <c r="B9267" s="2" t="s">
        <v>14373</v>
      </c>
      <c r="C9267" s="2" t="s">
        <v>23</v>
      </c>
      <c r="N9267" s="6">
        <v>44573.0</v>
      </c>
      <c r="Q9267" s="2" t="s">
        <v>86</v>
      </c>
    </row>
    <row r="9268">
      <c r="A9268" s="2">
        <v>9267.0</v>
      </c>
      <c r="B9268" s="2" t="s">
        <v>14374</v>
      </c>
      <c r="C9268" s="2" t="s">
        <v>23</v>
      </c>
      <c r="K9268" s="2">
        <v>50.0</v>
      </c>
      <c r="N9268" s="6">
        <v>45142.0</v>
      </c>
      <c r="Q9268" s="2" t="s">
        <v>14375</v>
      </c>
    </row>
    <row r="9269">
      <c r="A9269" s="2">
        <v>9268.0</v>
      </c>
      <c r="B9269" s="2" t="s">
        <v>14376</v>
      </c>
      <c r="C9269" s="2" t="s">
        <v>23</v>
      </c>
      <c r="K9269" s="2">
        <v>60.0</v>
      </c>
      <c r="N9269" s="6">
        <v>45607.0</v>
      </c>
      <c r="Q9269" s="2" t="s">
        <v>14377</v>
      </c>
    </row>
    <row r="9270">
      <c r="A9270" s="2">
        <v>9269.0</v>
      </c>
      <c r="B9270" s="2" t="s">
        <v>14378</v>
      </c>
      <c r="C9270" s="2" t="s">
        <v>23</v>
      </c>
      <c r="K9270" s="2">
        <v>50.0</v>
      </c>
      <c r="N9270" s="6">
        <v>44023.0</v>
      </c>
      <c r="Q9270" s="2" t="s">
        <v>14379</v>
      </c>
    </row>
    <row r="9271">
      <c r="A9271" s="2">
        <v>9270.0</v>
      </c>
      <c r="B9271" s="2" t="s">
        <v>14380</v>
      </c>
      <c r="C9271" s="2" t="s">
        <v>23</v>
      </c>
      <c r="K9271" s="2">
        <v>40.0</v>
      </c>
      <c r="N9271" s="6">
        <v>43250.0</v>
      </c>
      <c r="Q9271" s="2" t="s">
        <v>14381</v>
      </c>
    </row>
    <row r="9272">
      <c r="A9272" s="2">
        <v>9271.0</v>
      </c>
      <c r="B9272" s="2" t="s">
        <v>14382</v>
      </c>
      <c r="C9272" s="2" t="s">
        <v>23</v>
      </c>
      <c r="N9272" s="6">
        <v>42402.0</v>
      </c>
      <c r="Q9272" s="2" t="s">
        <v>86</v>
      </c>
    </row>
    <row r="9273">
      <c r="A9273" s="2">
        <v>9272.0</v>
      </c>
      <c r="B9273" s="2" t="s">
        <v>14383</v>
      </c>
      <c r="C9273" s="2" t="s">
        <v>23</v>
      </c>
      <c r="N9273" s="6">
        <v>44383.0</v>
      </c>
      <c r="Q9273" s="2" t="s">
        <v>14384</v>
      </c>
    </row>
    <row r="9274">
      <c r="A9274" s="2">
        <v>9273.0</v>
      </c>
      <c r="B9274" s="2" t="s">
        <v>14385</v>
      </c>
      <c r="C9274" s="2" t="s">
        <v>23</v>
      </c>
      <c r="K9274" s="2">
        <v>10.0</v>
      </c>
      <c r="N9274" s="6">
        <v>43979.0</v>
      </c>
      <c r="Q9274" s="2" t="s">
        <v>14386</v>
      </c>
    </row>
    <row r="9275">
      <c r="A9275" s="2">
        <v>9274.0</v>
      </c>
      <c r="B9275" s="2" t="s">
        <v>547</v>
      </c>
      <c r="C9275" s="2" t="s">
        <v>23</v>
      </c>
      <c r="N9275" s="6">
        <v>45377.0</v>
      </c>
      <c r="Q9275" s="2" t="s">
        <v>86</v>
      </c>
    </row>
    <row r="9276">
      <c r="A9276" s="2">
        <v>9275.0</v>
      </c>
      <c r="B9276" s="2" t="s">
        <v>14387</v>
      </c>
      <c r="C9276" s="2" t="s">
        <v>23</v>
      </c>
      <c r="K9276" s="2">
        <v>70.0</v>
      </c>
      <c r="N9276" s="6">
        <v>44034.0</v>
      </c>
      <c r="Q9276" s="2" t="s">
        <v>14388</v>
      </c>
    </row>
    <row r="9277">
      <c r="A9277" s="2">
        <v>9276.0</v>
      </c>
      <c r="B9277" s="2" t="s">
        <v>14389</v>
      </c>
      <c r="C9277" s="2" t="s">
        <v>23</v>
      </c>
      <c r="K9277" s="2">
        <v>60.0</v>
      </c>
      <c r="N9277" s="6">
        <v>43913.0</v>
      </c>
      <c r="Q9277" s="2" t="s">
        <v>14390</v>
      </c>
    </row>
    <row r="9278">
      <c r="A9278" s="2">
        <v>9277.0</v>
      </c>
      <c r="B9278" s="2" t="s">
        <v>14391</v>
      </c>
      <c r="C9278" s="2" t="s">
        <v>23</v>
      </c>
      <c r="K9278" s="2">
        <v>40.0</v>
      </c>
      <c r="N9278" s="6">
        <v>44454.0</v>
      </c>
      <c r="Q9278" s="2" t="s">
        <v>8516</v>
      </c>
    </row>
    <row r="9279">
      <c r="A9279" s="2">
        <v>9278.0</v>
      </c>
      <c r="B9279" s="2" t="s">
        <v>14392</v>
      </c>
      <c r="C9279" s="2" t="s">
        <v>23</v>
      </c>
      <c r="K9279" s="2">
        <v>40.0</v>
      </c>
      <c r="N9279" s="6">
        <v>44804.0</v>
      </c>
      <c r="Q9279" s="2" t="s">
        <v>4273</v>
      </c>
    </row>
    <row r="9280">
      <c r="A9280" s="2">
        <v>9279.0</v>
      </c>
      <c r="B9280" s="2" t="s">
        <v>14393</v>
      </c>
      <c r="C9280" s="2" t="s">
        <v>23</v>
      </c>
      <c r="K9280" s="2">
        <v>30.0</v>
      </c>
      <c r="N9280" s="6">
        <v>43886.0</v>
      </c>
      <c r="Q9280" s="2" t="s">
        <v>14394</v>
      </c>
    </row>
    <row r="9281">
      <c r="A9281" s="2">
        <v>9280.0</v>
      </c>
      <c r="B9281" s="2" t="s">
        <v>14395</v>
      </c>
      <c r="C9281" s="2" t="s">
        <v>23</v>
      </c>
      <c r="K9281" s="2">
        <v>20.0</v>
      </c>
      <c r="N9281" s="6">
        <v>45244.0</v>
      </c>
      <c r="Q9281" s="2" t="s">
        <v>86</v>
      </c>
    </row>
    <row r="9282">
      <c r="A9282" s="2">
        <v>9281.0</v>
      </c>
      <c r="B9282" s="2" t="s">
        <v>14396</v>
      </c>
      <c r="C9282" s="2" t="s">
        <v>23</v>
      </c>
      <c r="N9282" s="6">
        <v>43902.0</v>
      </c>
      <c r="Q9282" s="2" t="s">
        <v>86</v>
      </c>
    </row>
    <row r="9283">
      <c r="A9283" s="2">
        <v>9282.0</v>
      </c>
      <c r="B9283" s="2" t="s">
        <v>14397</v>
      </c>
      <c r="C9283" s="2" t="s">
        <v>23</v>
      </c>
      <c r="N9283" s="6">
        <v>44116.0</v>
      </c>
      <c r="Q9283" s="2" t="s">
        <v>86</v>
      </c>
    </row>
    <row r="9284">
      <c r="A9284" s="2">
        <v>9283.0</v>
      </c>
      <c r="B9284" s="2" t="s">
        <v>14398</v>
      </c>
      <c r="C9284" s="2" t="s">
        <v>23</v>
      </c>
      <c r="K9284" s="2">
        <v>200.0</v>
      </c>
      <c r="N9284" s="6">
        <v>44564.0</v>
      </c>
      <c r="Q9284" s="2" t="s">
        <v>14399</v>
      </c>
    </row>
    <row r="9285">
      <c r="A9285" s="2">
        <v>9284.0</v>
      </c>
      <c r="B9285" s="2" t="s">
        <v>14400</v>
      </c>
      <c r="C9285" s="2" t="s">
        <v>23</v>
      </c>
      <c r="K9285" s="2">
        <v>20.0</v>
      </c>
      <c r="N9285" s="6">
        <v>44844.0</v>
      </c>
      <c r="Q9285" s="2" t="s">
        <v>1466</v>
      </c>
    </row>
    <row r="9286">
      <c r="A9286" s="2">
        <v>9285.0</v>
      </c>
      <c r="B9286" s="2" t="s">
        <v>14401</v>
      </c>
      <c r="C9286" s="2" t="s">
        <v>23</v>
      </c>
      <c r="N9286" s="6">
        <v>42423.0</v>
      </c>
      <c r="Q9286" s="2" t="s">
        <v>86</v>
      </c>
    </row>
    <row r="9287">
      <c r="A9287" s="2">
        <v>9286.0</v>
      </c>
      <c r="B9287" s="2" t="s">
        <v>14402</v>
      </c>
      <c r="C9287" s="2" t="s">
        <v>23</v>
      </c>
      <c r="K9287" s="2">
        <v>100.0</v>
      </c>
      <c r="N9287" s="6">
        <v>44166.0</v>
      </c>
      <c r="Q9287" s="2" t="s">
        <v>14403</v>
      </c>
    </row>
    <row r="9288">
      <c r="A9288" s="2">
        <v>9287.0</v>
      </c>
      <c r="B9288" s="2" t="s">
        <v>14404</v>
      </c>
      <c r="C9288" s="2" t="s">
        <v>23</v>
      </c>
      <c r="K9288" s="2">
        <v>30.0</v>
      </c>
      <c r="N9288" s="6">
        <v>44453.0</v>
      </c>
      <c r="Q9288" s="2" t="s">
        <v>2794</v>
      </c>
    </row>
    <row r="9289">
      <c r="A9289" s="2">
        <v>9288.0</v>
      </c>
      <c r="B9289" s="2" t="s">
        <v>14405</v>
      </c>
      <c r="C9289" s="2" t="s">
        <v>23</v>
      </c>
      <c r="N9289" s="6">
        <v>44465.0</v>
      </c>
      <c r="Q9289" s="2" t="s">
        <v>86</v>
      </c>
    </row>
    <row r="9290">
      <c r="A9290" s="2">
        <v>9289.0</v>
      </c>
      <c r="B9290" s="2" t="s">
        <v>14406</v>
      </c>
      <c r="C9290" s="2" t="s">
        <v>23</v>
      </c>
      <c r="N9290" s="6">
        <v>44318.0</v>
      </c>
      <c r="Q9290" s="2" t="s">
        <v>86</v>
      </c>
    </row>
    <row r="9291">
      <c r="A9291" s="2">
        <v>9290.0</v>
      </c>
      <c r="B9291" s="2" t="s">
        <v>14407</v>
      </c>
      <c r="C9291" s="2" t="s">
        <v>23</v>
      </c>
      <c r="K9291" s="2">
        <v>80.0</v>
      </c>
      <c r="N9291" s="6">
        <v>43944.0</v>
      </c>
      <c r="Q9291" s="2" t="s">
        <v>14408</v>
      </c>
    </row>
    <row r="9292">
      <c r="A9292" s="2">
        <v>9291.0</v>
      </c>
      <c r="B9292" s="2" t="s">
        <v>14409</v>
      </c>
      <c r="C9292" s="2" t="s">
        <v>23</v>
      </c>
      <c r="N9292" s="6">
        <v>44497.0</v>
      </c>
      <c r="Q9292" s="2" t="s">
        <v>86</v>
      </c>
    </row>
    <row r="9293">
      <c r="A9293" s="2">
        <v>9292.0</v>
      </c>
      <c r="B9293" s="2" t="s">
        <v>14410</v>
      </c>
      <c r="C9293" s="2" t="s">
        <v>23</v>
      </c>
      <c r="N9293" s="6">
        <v>44536.0</v>
      </c>
      <c r="Q9293" s="2" t="s">
        <v>86</v>
      </c>
    </row>
    <row r="9294">
      <c r="A9294" s="2">
        <v>9293.0</v>
      </c>
      <c r="B9294" s="2" t="s">
        <v>14411</v>
      </c>
      <c r="C9294" s="2" t="s">
        <v>23</v>
      </c>
      <c r="N9294" s="6">
        <v>45509.0</v>
      </c>
      <c r="Q9294" s="2" t="s">
        <v>14412</v>
      </c>
    </row>
    <row r="9295">
      <c r="A9295" s="2">
        <v>9294.0</v>
      </c>
      <c r="B9295" s="2" t="s">
        <v>14413</v>
      </c>
      <c r="C9295" s="2" t="s">
        <v>23</v>
      </c>
      <c r="N9295" s="6">
        <v>44564.0</v>
      </c>
      <c r="Q9295" s="2" t="s">
        <v>86</v>
      </c>
    </row>
    <row r="9296">
      <c r="A9296" s="2">
        <v>9295.0</v>
      </c>
      <c r="B9296" s="2" t="s">
        <v>14414</v>
      </c>
      <c r="C9296" s="2" t="s">
        <v>23</v>
      </c>
      <c r="K9296" s="2">
        <v>10.0</v>
      </c>
      <c r="N9296" s="6">
        <v>44731.0</v>
      </c>
      <c r="Q9296" s="2" t="s">
        <v>86</v>
      </c>
    </row>
    <row r="9297">
      <c r="A9297" s="2">
        <v>9296.0</v>
      </c>
      <c r="B9297" s="2" t="s">
        <v>14415</v>
      </c>
      <c r="C9297" s="2" t="s">
        <v>23</v>
      </c>
      <c r="K9297" s="2">
        <v>50.0</v>
      </c>
      <c r="N9297" s="6">
        <v>42930.0</v>
      </c>
      <c r="Q9297" s="2" t="s">
        <v>14416</v>
      </c>
    </row>
    <row r="9298">
      <c r="A9298" s="2">
        <v>9297.0</v>
      </c>
      <c r="B9298" s="2" t="s">
        <v>14417</v>
      </c>
      <c r="C9298" s="2" t="s">
        <v>23</v>
      </c>
      <c r="K9298" s="2">
        <v>10.0</v>
      </c>
      <c r="N9298" s="6">
        <v>43939.0</v>
      </c>
      <c r="Q9298" s="2" t="s">
        <v>14418</v>
      </c>
    </row>
    <row r="9299">
      <c r="A9299" s="2">
        <v>9298.0</v>
      </c>
      <c r="B9299" s="2" t="s">
        <v>14419</v>
      </c>
      <c r="C9299" s="2" t="s">
        <v>23</v>
      </c>
      <c r="K9299" s="2">
        <v>20.0</v>
      </c>
      <c r="N9299" s="6">
        <v>44306.0</v>
      </c>
      <c r="Q9299" s="2" t="s">
        <v>14420</v>
      </c>
    </row>
    <row r="9300">
      <c r="A9300" s="2">
        <v>9299.0</v>
      </c>
      <c r="B9300" s="2" t="s">
        <v>14421</v>
      </c>
      <c r="C9300" s="2" t="s">
        <v>23</v>
      </c>
      <c r="K9300" s="2">
        <v>80.0</v>
      </c>
      <c r="N9300" s="6">
        <v>44833.0</v>
      </c>
      <c r="Q9300" s="2" t="s">
        <v>14422</v>
      </c>
    </row>
    <row r="9301">
      <c r="A9301" s="2">
        <v>9300.0</v>
      </c>
      <c r="B9301" s="2" t="s">
        <v>14423</v>
      </c>
      <c r="C9301" s="2" t="s">
        <v>23</v>
      </c>
      <c r="K9301" s="2">
        <v>20.0</v>
      </c>
      <c r="N9301" s="6">
        <v>43857.0</v>
      </c>
      <c r="Q9301" s="2" t="s">
        <v>86</v>
      </c>
    </row>
    <row r="9302">
      <c r="A9302" s="2">
        <v>9301.0</v>
      </c>
      <c r="B9302" s="2" t="s">
        <v>14424</v>
      </c>
      <c r="C9302" s="2" t="s">
        <v>23</v>
      </c>
      <c r="K9302" s="2">
        <v>100.0</v>
      </c>
      <c r="N9302" s="6">
        <v>44633.0</v>
      </c>
      <c r="Q9302" s="2" t="s">
        <v>14425</v>
      </c>
    </row>
    <row r="9303">
      <c r="A9303" s="2">
        <v>9302.0</v>
      </c>
      <c r="B9303" s="2" t="s">
        <v>14426</v>
      </c>
      <c r="C9303" s="2" t="s">
        <v>23</v>
      </c>
      <c r="K9303" s="2">
        <v>20.0</v>
      </c>
      <c r="N9303" s="6">
        <v>45189.0</v>
      </c>
      <c r="Q9303" s="2" t="s">
        <v>426</v>
      </c>
    </row>
    <row r="9304">
      <c r="A9304" s="2">
        <v>9303.0</v>
      </c>
      <c r="B9304" s="2" t="s">
        <v>14427</v>
      </c>
      <c r="C9304" s="2" t="s">
        <v>23</v>
      </c>
      <c r="K9304" s="2">
        <v>30.0</v>
      </c>
      <c r="N9304" s="6">
        <v>45522.0</v>
      </c>
      <c r="Q9304" s="2" t="s">
        <v>14428</v>
      </c>
    </row>
    <row r="9305">
      <c r="A9305" s="2">
        <v>9304.0</v>
      </c>
      <c r="B9305" s="2" t="s">
        <v>14429</v>
      </c>
      <c r="C9305" s="2" t="s">
        <v>23</v>
      </c>
      <c r="K9305" s="2">
        <v>30.0</v>
      </c>
      <c r="N9305" s="6">
        <v>44497.0</v>
      </c>
      <c r="Q9305" s="2" t="s">
        <v>86</v>
      </c>
    </row>
    <row r="9306">
      <c r="A9306" s="2">
        <v>9305.0</v>
      </c>
      <c r="B9306" s="2" t="s">
        <v>14430</v>
      </c>
      <c r="C9306" s="2" t="s">
        <v>23</v>
      </c>
      <c r="N9306" s="6">
        <v>45261.0</v>
      </c>
      <c r="Q9306" s="2" t="s">
        <v>5722</v>
      </c>
    </row>
    <row r="9307">
      <c r="A9307" s="2">
        <v>9306.0</v>
      </c>
      <c r="B9307" s="2" t="s">
        <v>14431</v>
      </c>
      <c r="C9307" s="2" t="s">
        <v>23</v>
      </c>
      <c r="K9307" s="2">
        <v>10.0</v>
      </c>
      <c r="N9307" s="6">
        <v>44752.0</v>
      </c>
      <c r="Q9307" s="2" t="s">
        <v>86</v>
      </c>
    </row>
    <row r="9308">
      <c r="A9308" s="2">
        <v>9307.0</v>
      </c>
      <c r="B9308" s="2" t="s">
        <v>14432</v>
      </c>
      <c r="C9308" s="2" t="s">
        <v>23</v>
      </c>
      <c r="K9308" s="2">
        <v>100.0</v>
      </c>
      <c r="N9308" s="6">
        <v>44570.0</v>
      </c>
      <c r="Q9308" s="2" t="s">
        <v>3682</v>
      </c>
    </row>
    <row r="9309">
      <c r="A9309" s="2">
        <v>9308.0</v>
      </c>
      <c r="B9309" s="2" t="s">
        <v>14433</v>
      </c>
      <c r="C9309" s="2" t="s">
        <v>23</v>
      </c>
      <c r="K9309" s="2">
        <v>150.0</v>
      </c>
      <c r="N9309" s="6">
        <v>43970.0</v>
      </c>
      <c r="Q9309" s="2" t="s">
        <v>9935</v>
      </c>
    </row>
    <row r="9310">
      <c r="A9310" s="2">
        <v>9309.0</v>
      </c>
      <c r="B9310" s="2" t="s">
        <v>14434</v>
      </c>
      <c r="C9310" s="2" t="s">
        <v>23</v>
      </c>
      <c r="K9310" s="2">
        <v>90.0</v>
      </c>
      <c r="N9310" s="6">
        <v>44069.0</v>
      </c>
      <c r="Q9310" s="2" t="s">
        <v>14435</v>
      </c>
    </row>
    <row r="9311">
      <c r="A9311" s="2">
        <v>9310.0</v>
      </c>
      <c r="B9311" s="2" t="s">
        <v>14436</v>
      </c>
      <c r="C9311" s="2" t="s">
        <v>23</v>
      </c>
      <c r="N9311" s="6">
        <v>43979.0</v>
      </c>
      <c r="Q9311" s="2" t="s">
        <v>86</v>
      </c>
    </row>
    <row r="9312">
      <c r="A9312" s="2">
        <v>9311.0</v>
      </c>
      <c r="B9312" s="2" t="s">
        <v>14437</v>
      </c>
      <c r="C9312" s="2" t="s">
        <v>23</v>
      </c>
      <c r="K9312" s="2">
        <v>60.0</v>
      </c>
      <c r="N9312" s="6">
        <v>44420.0</v>
      </c>
      <c r="Q9312" s="2" t="s">
        <v>2818</v>
      </c>
    </row>
    <row r="9313">
      <c r="A9313" s="2">
        <v>9312.0</v>
      </c>
      <c r="B9313" s="2" t="s">
        <v>14438</v>
      </c>
      <c r="C9313" s="2" t="s">
        <v>23</v>
      </c>
      <c r="N9313" s="6">
        <v>45479.0</v>
      </c>
      <c r="Q9313" s="2" t="s">
        <v>546</v>
      </c>
    </row>
    <row r="9314">
      <c r="A9314" s="2">
        <v>9313.0</v>
      </c>
      <c r="B9314" s="2" t="s">
        <v>14439</v>
      </c>
      <c r="C9314" s="2" t="s">
        <v>23</v>
      </c>
      <c r="K9314" s="2">
        <v>10.0</v>
      </c>
      <c r="N9314" s="6">
        <v>44684.0</v>
      </c>
      <c r="Q9314" s="2" t="s">
        <v>86</v>
      </c>
    </row>
    <row r="9315">
      <c r="A9315" s="2">
        <v>9314.0</v>
      </c>
      <c r="B9315" s="2" t="s">
        <v>14440</v>
      </c>
      <c r="C9315" s="2" t="s">
        <v>23</v>
      </c>
      <c r="K9315" s="2">
        <v>20.0</v>
      </c>
      <c r="N9315" s="6">
        <v>44738.0</v>
      </c>
      <c r="Q9315" s="2" t="s">
        <v>1466</v>
      </c>
    </row>
    <row r="9316">
      <c r="A9316" s="2">
        <v>9315.0</v>
      </c>
      <c r="B9316" s="2" t="s">
        <v>14441</v>
      </c>
      <c r="C9316" s="2" t="s">
        <v>23</v>
      </c>
      <c r="N9316" s="6">
        <v>44086.0</v>
      </c>
      <c r="Q9316" s="2" t="s">
        <v>1437</v>
      </c>
    </row>
    <row r="9317">
      <c r="A9317" s="2">
        <v>9316.0</v>
      </c>
      <c r="B9317" s="2" t="s">
        <v>14442</v>
      </c>
      <c r="C9317" s="2" t="s">
        <v>23</v>
      </c>
      <c r="N9317" s="6">
        <v>43858.0</v>
      </c>
      <c r="Q9317" s="2" t="s">
        <v>86</v>
      </c>
    </row>
    <row r="9318">
      <c r="A9318" s="2">
        <v>9317.0</v>
      </c>
      <c r="B9318" s="2" t="s">
        <v>14443</v>
      </c>
      <c r="C9318" s="2" t="s">
        <v>23</v>
      </c>
      <c r="K9318" s="2">
        <v>500.0</v>
      </c>
      <c r="N9318" s="6">
        <v>43973.0</v>
      </c>
      <c r="Q9318" s="2" t="s">
        <v>14444</v>
      </c>
    </row>
    <row r="9319">
      <c r="A9319" s="2">
        <v>9318.0</v>
      </c>
      <c r="B9319" s="2" t="s">
        <v>14445</v>
      </c>
      <c r="C9319" s="2" t="s">
        <v>23</v>
      </c>
      <c r="K9319" s="2">
        <v>10.0</v>
      </c>
      <c r="N9319" s="6">
        <v>44364.0</v>
      </c>
      <c r="Q9319" s="2" t="s">
        <v>14446</v>
      </c>
    </row>
    <row r="9320">
      <c r="A9320" s="2">
        <v>9319.0</v>
      </c>
      <c r="B9320" s="2" t="s">
        <v>14447</v>
      </c>
      <c r="C9320" s="2" t="s">
        <v>23</v>
      </c>
      <c r="N9320" s="6">
        <v>42354.0</v>
      </c>
      <c r="Q9320" s="2" t="s">
        <v>86</v>
      </c>
    </row>
    <row r="9321">
      <c r="A9321" s="2">
        <v>9320.0</v>
      </c>
      <c r="B9321" s="2" t="s">
        <v>14448</v>
      </c>
      <c r="C9321" s="2" t="s">
        <v>23</v>
      </c>
      <c r="N9321" s="6">
        <v>44623.0</v>
      </c>
      <c r="Q9321" s="2" t="s">
        <v>86</v>
      </c>
    </row>
    <row r="9322">
      <c r="A9322" s="2">
        <v>9321.0</v>
      </c>
      <c r="B9322" s="2" t="s">
        <v>14449</v>
      </c>
      <c r="C9322" s="2" t="s">
        <v>23</v>
      </c>
      <c r="K9322" s="2">
        <v>50.0</v>
      </c>
      <c r="N9322" s="6">
        <v>45601.0</v>
      </c>
      <c r="Q9322" s="2" t="s">
        <v>14450</v>
      </c>
    </row>
    <row r="9323">
      <c r="A9323" s="2">
        <v>9322.0</v>
      </c>
      <c r="B9323" s="2" t="s">
        <v>14451</v>
      </c>
      <c r="C9323" s="2" t="s">
        <v>23</v>
      </c>
      <c r="K9323" s="2">
        <v>10.0</v>
      </c>
      <c r="N9323" s="6">
        <v>45751.0</v>
      </c>
      <c r="Q9323" s="2" t="s">
        <v>6731</v>
      </c>
    </row>
    <row r="9324">
      <c r="A9324" s="2">
        <v>9323.0</v>
      </c>
      <c r="B9324" s="2" t="s">
        <v>14452</v>
      </c>
      <c r="C9324" s="2" t="s">
        <v>23</v>
      </c>
      <c r="K9324" s="2">
        <v>20.0</v>
      </c>
      <c r="N9324" s="6">
        <v>44594.0</v>
      </c>
      <c r="Q9324" s="2" t="s">
        <v>3866</v>
      </c>
    </row>
    <row r="9325">
      <c r="A9325" s="2">
        <v>9324.0</v>
      </c>
      <c r="B9325" s="2" t="s">
        <v>14453</v>
      </c>
      <c r="C9325" s="2" t="s">
        <v>23</v>
      </c>
      <c r="K9325" s="2">
        <v>30.0</v>
      </c>
      <c r="N9325" s="6">
        <v>45032.0</v>
      </c>
      <c r="Q9325" s="2" t="s">
        <v>86</v>
      </c>
    </row>
    <row r="9326">
      <c r="A9326" s="2">
        <v>9325.0</v>
      </c>
      <c r="B9326" s="2" t="s">
        <v>14454</v>
      </c>
      <c r="C9326" s="2" t="s">
        <v>23</v>
      </c>
      <c r="K9326" s="2">
        <v>150.0</v>
      </c>
      <c r="N9326" s="6">
        <v>44436.0</v>
      </c>
      <c r="Q9326" s="2" t="s">
        <v>14455</v>
      </c>
    </row>
    <row r="9327">
      <c r="A9327" s="2">
        <v>9326.0</v>
      </c>
      <c r="B9327" s="2" t="s">
        <v>14456</v>
      </c>
      <c r="C9327" s="2" t="s">
        <v>23</v>
      </c>
      <c r="K9327" s="2">
        <v>30.0</v>
      </c>
      <c r="N9327" s="6">
        <v>46092.0</v>
      </c>
      <c r="Q9327" s="2" t="s">
        <v>14457</v>
      </c>
    </row>
    <row r="9328">
      <c r="A9328" s="2">
        <v>9327.0</v>
      </c>
      <c r="B9328" s="2" t="s">
        <v>14458</v>
      </c>
      <c r="C9328" s="2" t="s">
        <v>23</v>
      </c>
      <c r="N9328" s="6">
        <v>44223.0</v>
      </c>
      <c r="Q9328" s="2" t="s">
        <v>86</v>
      </c>
    </row>
    <row r="9329">
      <c r="A9329" s="2">
        <v>9328.0</v>
      </c>
      <c r="B9329" s="2" t="s">
        <v>14459</v>
      </c>
      <c r="C9329" s="2" t="s">
        <v>23</v>
      </c>
      <c r="N9329" s="6">
        <v>43926.0</v>
      </c>
      <c r="Q9329" s="2" t="s">
        <v>86</v>
      </c>
    </row>
    <row r="9330">
      <c r="A9330" s="2">
        <v>9329.0</v>
      </c>
      <c r="B9330" s="2" t="s">
        <v>14460</v>
      </c>
      <c r="C9330" s="2" t="s">
        <v>23</v>
      </c>
      <c r="N9330" s="6">
        <v>43947.0</v>
      </c>
      <c r="Q9330" s="2" t="s">
        <v>8899</v>
      </c>
    </row>
    <row r="9331">
      <c r="A9331" s="2">
        <v>9330.0</v>
      </c>
      <c r="B9331" s="2" t="s">
        <v>14461</v>
      </c>
      <c r="C9331" s="2" t="s">
        <v>23</v>
      </c>
      <c r="K9331" s="2">
        <v>90.0</v>
      </c>
      <c r="N9331" s="6">
        <v>44026.0</v>
      </c>
      <c r="Q9331" s="2" t="s">
        <v>14462</v>
      </c>
    </row>
    <row r="9332">
      <c r="A9332" s="2">
        <v>9331.0</v>
      </c>
      <c r="B9332" s="2" t="s">
        <v>14463</v>
      </c>
      <c r="C9332" s="2" t="s">
        <v>23</v>
      </c>
      <c r="N9332" s="6">
        <v>42516.0</v>
      </c>
      <c r="Q9332" s="2" t="s">
        <v>14464</v>
      </c>
    </row>
    <row r="9333">
      <c r="A9333" s="2">
        <v>9332.0</v>
      </c>
      <c r="B9333" s="2" t="s">
        <v>14465</v>
      </c>
      <c r="C9333" s="2" t="s">
        <v>23</v>
      </c>
      <c r="K9333" s="2">
        <v>10.0</v>
      </c>
      <c r="N9333" s="6">
        <v>45283.0</v>
      </c>
      <c r="Q9333" s="2" t="s">
        <v>86</v>
      </c>
    </row>
    <row r="9334">
      <c r="A9334" s="2">
        <v>9333.0</v>
      </c>
      <c r="B9334" s="2" t="s">
        <v>14466</v>
      </c>
      <c r="C9334" s="2" t="s">
        <v>23</v>
      </c>
      <c r="K9334" s="2">
        <v>80.0</v>
      </c>
      <c r="N9334" s="6">
        <v>45409.0</v>
      </c>
      <c r="Q9334" s="2" t="s">
        <v>1279</v>
      </c>
    </row>
    <row r="9335">
      <c r="A9335" s="2">
        <v>9334.0</v>
      </c>
      <c r="B9335" s="2" t="s">
        <v>14467</v>
      </c>
      <c r="C9335" s="2" t="s">
        <v>23</v>
      </c>
      <c r="N9335" s="6">
        <v>45993.0</v>
      </c>
      <c r="Q9335" s="2" t="s">
        <v>2531</v>
      </c>
    </row>
    <row r="9336">
      <c r="A9336" s="2">
        <v>9335.0</v>
      </c>
      <c r="B9336" s="2" t="s">
        <v>14468</v>
      </c>
      <c r="C9336" s="2" t="s">
        <v>23</v>
      </c>
      <c r="N9336" s="6">
        <v>44049.0</v>
      </c>
      <c r="Q9336" s="2" t="s">
        <v>86</v>
      </c>
    </row>
    <row r="9337">
      <c r="A9337" s="2">
        <v>9336.0</v>
      </c>
      <c r="B9337" s="2" t="s">
        <v>14469</v>
      </c>
      <c r="C9337" s="2" t="s">
        <v>23</v>
      </c>
      <c r="K9337" s="2">
        <v>70.0</v>
      </c>
      <c r="N9337" s="6">
        <v>45669.0</v>
      </c>
      <c r="Q9337" s="2" t="s">
        <v>14470</v>
      </c>
    </row>
    <row r="9338">
      <c r="A9338" s="2">
        <v>9337.0</v>
      </c>
      <c r="B9338" s="2" t="s">
        <v>14471</v>
      </c>
      <c r="C9338" s="2" t="s">
        <v>23</v>
      </c>
      <c r="K9338" s="2">
        <v>50.0</v>
      </c>
      <c r="N9338" s="6">
        <v>45745.0</v>
      </c>
      <c r="Q9338" s="2" t="s">
        <v>14472</v>
      </c>
    </row>
    <row r="9339">
      <c r="A9339" s="2">
        <v>9338.0</v>
      </c>
      <c r="B9339" s="2" t="s">
        <v>14473</v>
      </c>
      <c r="C9339" s="2" t="s">
        <v>23</v>
      </c>
      <c r="N9339" s="6">
        <v>45174.0</v>
      </c>
      <c r="Q9339" s="2" t="s">
        <v>86</v>
      </c>
    </row>
    <row r="9340">
      <c r="A9340" s="2">
        <v>9339.0</v>
      </c>
      <c r="B9340" s="2" t="s">
        <v>14474</v>
      </c>
      <c r="C9340" s="2" t="s">
        <v>23</v>
      </c>
      <c r="K9340" s="2">
        <v>100.0</v>
      </c>
      <c r="N9340" s="6">
        <v>44295.0</v>
      </c>
      <c r="Q9340" s="2" t="s">
        <v>14475</v>
      </c>
    </row>
    <row r="9341">
      <c r="A9341" s="2">
        <v>9340.0</v>
      </c>
      <c r="B9341" s="2" t="s">
        <v>14476</v>
      </c>
      <c r="C9341" s="2" t="s">
        <v>23</v>
      </c>
      <c r="N9341" s="6">
        <v>43976.0</v>
      </c>
      <c r="Q9341" s="2" t="s">
        <v>86</v>
      </c>
    </row>
    <row r="9342">
      <c r="A9342" s="2">
        <v>9341.0</v>
      </c>
      <c r="B9342" s="2" t="s">
        <v>14477</v>
      </c>
      <c r="C9342" s="2" t="s">
        <v>23</v>
      </c>
      <c r="K9342" s="2">
        <v>20.0</v>
      </c>
      <c r="N9342" s="6">
        <v>45241.0</v>
      </c>
      <c r="Q9342" s="2" t="s">
        <v>86</v>
      </c>
    </row>
    <row r="9343">
      <c r="A9343" s="2">
        <v>9342.0</v>
      </c>
      <c r="B9343" s="2" t="s">
        <v>14478</v>
      </c>
      <c r="C9343" s="2" t="s">
        <v>23</v>
      </c>
      <c r="K9343" s="2">
        <v>10.0</v>
      </c>
      <c r="N9343" s="6">
        <v>42773.0</v>
      </c>
      <c r="Q9343" s="2" t="s">
        <v>1549</v>
      </c>
    </row>
    <row r="9344">
      <c r="A9344" s="2">
        <v>9343.0</v>
      </c>
      <c r="B9344" s="2" t="s">
        <v>14479</v>
      </c>
      <c r="C9344" s="2" t="s">
        <v>23</v>
      </c>
      <c r="N9344" s="6">
        <v>44522.0</v>
      </c>
      <c r="Q9344" s="2" t="s">
        <v>86</v>
      </c>
    </row>
    <row r="9345">
      <c r="A9345" s="2">
        <v>9344.0</v>
      </c>
      <c r="B9345" s="2" t="s">
        <v>14480</v>
      </c>
      <c r="C9345" s="2" t="s">
        <v>23</v>
      </c>
      <c r="K9345" s="2">
        <v>90.0</v>
      </c>
      <c r="N9345" s="6">
        <v>44758.0</v>
      </c>
      <c r="Q9345" s="2" t="s">
        <v>1277</v>
      </c>
    </row>
    <row r="9346">
      <c r="A9346" s="2">
        <v>9345.0</v>
      </c>
      <c r="B9346" s="2" t="s">
        <v>14481</v>
      </c>
      <c r="C9346" s="2" t="s">
        <v>23</v>
      </c>
      <c r="K9346" s="2">
        <v>150.0</v>
      </c>
      <c r="N9346" s="6">
        <v>44026.0</v>
      </c>
      <c r="Q9346" s="2" t="s">
        <v>14482</v>
      </c>
    </row>
    <row r="9347">
      <c r="A9347" s="2">
        <v>9346.0</v>
      </c>
      <c r="B9347" s="2" t="s">
        <v>14483</v>
      </c>
      <c r="C9347" s="2" t="s">
        <v>23</v>
      </c>
      <c r="K9347" s="2">
        <v>30.0</v>
      </c>
      <c r="N9347" s="6">
        <v>44107.0</v>
      </c>
      <c r="Q9347" s="2" t="s">
        <v>14484</v>
      </c>
    </row>
    <row r="9348">
      <c r="A9348" s="2">
        <v>9347.0</v>
      </c>
      <c r="B9348" s="2" t="s">
        <v>14485</v>
      </c>
      <c r="C9348" s="2" t="s">
        <v>23</v>
      </c>
      <c r="K9348" s="2">
        <v>150.0</v>
      </c>
      <c r="N9348" s="6">
        <v>42388.0</v>
      </c>
      <c r="Q9348" s="2" t="s">
        <v>14486</v>
      </c>
    </row>
    <row r="9349">
      <c r="A9349" s="2">
        <v>9348.0</v>
      </c>
      <c r="B9349" s="2" t="s">
        <v>14487</v>
      </c>
      <c r="C9349" s="2" t="s">
        <v>23</v>
      </c>
      <c r="K9349" s="2">
        <v>40.0</v>
      </c>
      <c r="N9349" s="6">
        <v>45829.0</v>
      </c>
      <c r="Q9349" s="2" t="s">
        <v>14488</v>
      </c>
    </row>
    <row r="9350">
      <c r="A9350" s="2">
        <v>9349.0</v>
      </c>
      <c r="B9350" s="2" t="s">
        <v>14489</v>
      </c>
      <c r="C9350" s="2" t="s">
        <v>23</v>
      </c>
      <c r="N9350" s="6">
        <v>45520.0</v>
      </c>
      <c r="Q9350" s="2" t="s">
        <v>14490</v>
      </c>
    </row>
    <row r="9351">
      <c r="A9351" s="2">
        <v>9350.0</v>
      </c>
      <c r="B9351" s="2" t="s">
        <v>14491</v>
      </c>
      <c r="C9351" s="2" t="s">
        <v>23</v>
      </c>
      <c r="N9351" s="6">
        <v>44318.0</v>
      </c>
      <c r="Q9351" s="2" t="s">
        <v>86</v>
      </c>
    </row>
    <row r="9352">
      <c r="A9352" s="2">
        <v>9351.0</v>
      </c>
      <c r="B9352" s="2" t="s">
        <v>14492</v>
      </c>
      <c r="C9352" s="2" t="s">
        <v>23</v>
      </c>
      <c r="K9352" s="2">
        <v>20.0</v>
      </c>
      <c r="N9352" s="6">
        <v>45131.0</v>
      </c>
      <c r="Q9352" s="2" t="s">
        <v>86</v>
      </c>
    </row>
    <row r="9353">
      <c r="A9353" s="2">
        <v>9352.0</v>
      </c>
      <c r="B9353" s="2" t="s">
        <v>14493</v>
      </c>
      <c r="C9353" s="2" t="s">
        <v>23</v>
      </c>
      <c r="K9353" s="2">
        <v>60.0</v>
      </c>
      <c r="N9353" s="6">
        <v>44152.0</v>
      </c>
      <c r="Q9353" s="2" t="s">
        <v>14494</v>
      </c>
    </row>
    <row r="9354">
      <c r="A9354" s="2">
        <v>9353.0</v>
      </c>
      <c r="B9354" s="2" t="s">
        <v>14495</v>
      </c>
      <c r="C9354" s="2" t="s">
        <v>23</v>
      </c>
      <c r="K9354" s="2">
        <v>100.0</v>
      </c>
      <c r="N9354" s="6">
        <v>45595.0</v>
      </c>
      <c r="Q9354" s="2" t="s">
        <v>14496</v>
      </c>
    </row>
    <row r="9355">
      <c r="A9355" s="2">
        <v>9354.0</v>
      </c>
      <c r="B9355" s="2" t="s">
        <v>14497</v>
      </c>
      <c r="C9355" s="2" t="s">
        <v>23</v>
      </c>
      <c r="K9355" s="2">
        <v>20.0</v>
      </c>
      <c r="N9355" s="6">
        <v>44567.0</v>
      </c>
      <c r="Q9355" s="2" t="s">
        <v>401</v>
      </c>
    </row>
    <row r="9356">
      <c r="A9356" s="2">
        <v>9355.0</v>
      </c>
      <c r="B9356" s="2" t="s">
        <v>14498</v>
      </c>
      <c r="C9356" s="2" t="s">
        <v>23</v>
      </c>
      <c r="N9356" s="6">
        <v>44102.0</v>
      </c>
      <c r="Q9356" s="2" t="s">
        <v>86</v>
      </c>
    </row>
    <row r="9357">
      <c r="A9357" s="2">
        <v>9356.0</v>
      </c>
      <c r="B9357" s="2" t="s">
        <v>14499</v>
      </c>
      <c r="C9357" s="2" t="s">
        <v>23</v>
      </c>
      <c r="K9357" s="2">
        <v>50.0</v>
      </c>
      <c r="N9357" s="6">
        <v>44272.0</v>
      </c>
      <c r="Q9357" s="2" t="s">
        <v>2794</v>
      </c>
    </row>
    <row r="9358">
      <c r="A9358" s="2">
        <v>9357.0</v>
      </c>
      <c r="B9358" s="2" t="s">
        <v>14500</v>
      </c>
      <c r="C9358" s="2" t="s">
        <v>23</v>
      </c>
      <c r="K9358" s="2">
        <v>40.0</v>
      </c>
      <c r="N9358" s="6">
        <v>44016.0</v>
      </c>
      <c r="Q9358" s="2" t="s">
        <v>14501</v>
      </c>
    </row>
    <row r="9359">
      <c r="A9359" s="2">
        <v>9358.0</v>
      </c>
      <c r="B9359" s="2" t="s">
        <v>14502</v>
      </c>
      <c r="C9359" s="2" t="s">
        <v>23</v>
      </c>
      <c r="K9359" s="2">
        <v>20.0</v>
      </c>
      <c r="N9359" s="6">
        <v>45691.0</v>
      </c>
      <c r="Q9359" s="2" t="s">
        <v>14330</v>
      </c>
    </row>
    <row r="9360">
      <c r="A9360" s="2">
        <v>9359.0</v>
      </c>
      <c r="B9360" s="2" t="s">
        <v>14503</v>
      </c>
      <c r="C9360" s="2" t="s">
        <v>23</v>
      </c>
      <c r="K9360" s="2">
        <v>30.0</v>
      </c>
      <c r="N9360" s="6">
        <v>44609.0</v>
      </c>
      <c r="Q9360" s="2" t="s">
        <v>86</v>
      </c>
    </row>
    <row r="9361">
      <c r="A9361" s="2">
        <v>9360.0</v>
      </c>
      <c r="B9361" s="2" t="s">
        <v>14504</v>
      </c>
      <c r="C9361" s="2" t="s">
        <v>23</v>
      </c>
      <c r="K9361" s="2">
        <v>40.0</v>
      </c>
      <c r="N9361" s="6">
        <v>45453.0</v>
      </c>
      <c r="Q9361" s="2" t="s">
        <v>6714</v>
      </c>
    </row>
    <row r="9362">
      <c r="A9362" s="2">
        <v>9361.0</v>
      </c>
      <c r="B9362" s="2" t="s">
        <v>14505</v>
      </c>
      <c r="C9362" s="2" t="s">
        <v>23</v>
      </c>
      <c r="K9362" s="2">
        <v>10.0</v>
      </c>
      <c r="N9362" s="6">
        <v>45459.0</v>
      </c>
      <c r="Q9362" s="2" t="s">
        <v>14506</v>
      </c>
    </row>
    <row r="9363">
      <c r="A9363" s="2">
        <v>9362.0</v>
      </c>
      <c r="B9363" s="2" t="s">
        <v>14507</v>
      </c>
      <c r="C9363" s="2" t="s">
        <v>23</v>
      </c>
      <c r="K9363" s="2">
        <v>10.0</v>
      </c>
      <c r="N9363" s="6">
        <v>43970.0</v>
      </c>
      <c r="Q9363" s="2" t="s">
        <v>86</v>
      </c>
    </row>
    <row r="9364">
      <c r="A9364" s="2">
        <v>9363.0</v>
      </c>
      <c r="B9364" s="2" t="s">
        <v>14508</v>
      </c>
      <c r="C9364" s="2" t="s">
        <v>23</v>
      </c>
      <c r="K9364" s="2">
        <v>20.0</v>
      </c>
      <c r="N9364" s="6">
        <v>45564.0</v>
      </c>
      <c r="Q9364" s="2" t="s">
        <v>8940</v>
      </c>
    </row>
    <row r="9365">
      <c r="A9365" s="2">
        <v>9364.0</v>
      </c>
      <c r="B9365" s="2" t="s">
        <v>14509</v>
      </c>
      <c r="C9365" s="2" t="s">
        <v>23</v>
      </c>
      <c r="N9365" s="6">
        <v>43991.0</v>
      </c>
      <c r="Q9365" s="2" t="s">
        <v>86</v>
      </c>
    </row>
    <row r="9366">
      <c r="A9366" s="2">
        <v>9365.0</v>
      </c>
      <c r="B9366" s="2" t="s">
        <v>14510</v>
      </c>
      <c r="C9366" s="2" t="s">
        <v>23</v>
      </c>
      <c r="K9366" s="2">
        <v>40.0</v>
      </c>
      <c r="N9366" s="6">
        <v>44298.0</v>
      </c>
      <c r="Q9366" s="2" t="s">
        <v>86</v>
      </c>
    </row>
    <row r="9367">
      <c r="A9367" s="2">
        <v>9366.0</v>
      </c>
      <c r="B9367" s="2" t="s">
        <v>14511</v>
      </c>
      <c r="C9367" s="2" t="s">
        <v>23</v>
      </c>
      <c r="N9367" s="6">
        <v>44459.0</v>
      </c>
      <c r="Q9367" s="2" t="s">
        <v>86</v>
      </c>
    </row>
    <row r="9368">
      <c r="A9368" s="2">
        <v>9367.0</v>
      </c>
      <c r="B9368" s="2" t="s">
        <v>14512</v>
      </c>
      <c r="C9368" s="2" t="s">
        <v>23</v>
      </c>
      <c r="K9368" s="2">
        <v>150.0</v>
      </c>
      <c r="N9368" s="6">
        <v>45143.0</v>
      </c>
      <c r="Q9368" s="2" t="s">
        <v>14513</v>
      </c>
    </row>
    <row r="9369">
      <c r="A9369" s="2">
        <v>9368.0</v>
      </c>
      <c r="B9369" s="2" t="s">
        <v>14514</v>
      </c>
      <c r="C9369" s="2" t="s">
        <v>23</v>
      </c>
      <c r="N9369" s="6">
        <v>44571.0</v>
      </c>
      <c r="Q9369" s="2" t="s">
        <v>86</v>
      </c>
    </row>
    <row r="9370">
      <c r="A9370" s="2">
        <v>9369.0</v>
      </c>
      <c r="B9370" s="2" t="s">
        <v>14515</v>
      </c>
      <c r="C9370" s="2" t="s">
        <v>23</v>
      </c>
      <c r="K9370" s="2">
        <v>50.0</v>
      </c>
      <c r="N9370" s="6">
        <v>44649.0</v>
      </c>
      <c r="Q9370" s="2" t="s">
        <v>14516</v>
      </c>
    </row>
    <row r="9371">
      <c r="A9371" s="2">
        <v>9370.0</v>
      </c>
      <c r="B9371" s="2" t="s">
        <v>14517</v>
      </c>
      <c r="C9371" s="2" t="s">
        <v>23</v>
      </c>
      <c r="K9371" s="2">
        <v>40.0</v>
      </c>
      <c r="N9371" s="6">
        <v>44479.0</v>
      </c>
      <c r="Q9371" s="2" t="s">
        <v>86</v>
      </c>
    </row>
    <row r="9372">
      <c r="A9372" s="2">
        <v>9371.0</v>
      </c>
      <c r="B9372" s="2" t="s">
        <v>14518</v>
      </c>
      <c r="C9372" s="2" t="s">
        <v>23</v>
      </c>
      <c r="K9372" s="2">
        <v>10.0</v>
      </c>
      <c r="N9372" s="6">
        <v>44414.0</v>
      </c>
      <c r="Q9372" s="2" t="s">
        <v>1466</v>
      </c>
    </row>
    <row r="9373">
      <c r="A9373" s="2">
        <v>9372.0</v>
      </c>
      <c r="B9373" s="2" t="s">
        <v>14519</v>
      </c>
      <c r="C9373" s="2" t="s">
        <v>23</v>
      </c>
      <c r="N9373" s="6">
        <v>44455.0</v>
      </c>
      <c r="Q9373" s="2" t="s">
        <v>86</v>
      </c>
    </row>
    <row r="9374">
      <c r="A9374" s="2">
        <v>9373.0</v>
      </c>
      <c r="B9374" s="2" t="s">
        <v>14520</v>
      </c>
      <c r="C9374" s="2" t="s">
        <v>23</v>
      </c>
      <c r="N9374" s="6">
        <v>44039.0</v>
      </c>
      <c r="Q9374" s="2" t="s">
        <v>14521</v>
      </c>
    </row>
    <row r="9375">
      <c r="A9375" s="2">
        <v>9374.0</v>
      </c>
      <c r="B9375" s="2" t="s">
        <v>14522</v>
      </c>
      <c r="C9375" s="2" t="s">
        <v>23</v>
      </c>
      <c r="K9375" s="2">
        <v>10.0</v>
      </c>
      <c r="N9375" s="6">
        <v>45028.0</v>
      </c>
      <c r="Q9375" s="2" t="s">
        <v>1249</v>
      </c>
    </row>
    <row r="9376">
      <c r="A9376" s="2">
        <v>9375.0</v>
      </c>
      <c r="B9376" s="2" t="s">
        <v>14523</v>
      </c>
      <c r="C9376" s="2" t="s">
        <v>23</v>
      </c>
      <c r="K9376" s="2">
        <v>40.0</v>
      </c>
      <c r="N9376" s="6">
        <v>45001.0</v>
      </c>
      <c r="Q9376" s="2" t="s">
        <v>3804</v>
      </c>
    </row>
    <row r="9377">
      <c r="A9377" s="2">
        <v>9376.0</v>
      </c>
      <c r="B9377" s="2" t="s">
        <v>14524</v>
      </c>
      <c r="C9377" s="2" t="s">
        <v>23</v>
      </c>
      <c r="K9377" s="2">
        <v>40.0</v>
      </c>
      <c r="N9377" s="6">
        <v>43901.0</v>
      </c>
      <c r="Q9377" s="2" t="s">
        <v>14525</v>
      </c>
    </row>
    <row r="9378">
      <c r="A9378" s="2">
        <v>9377.0</v>
      </c>
      <c r="B9378" s="2" t="s">
        <v>14526</v>
      </c>
      <c r="C9378" s="2" t="s">
        <v>23</v>
      </c>
      <c r="N9378" s="6">
        <v>43948.0</v>
      </c>
      <c r="Q9378" s="2" t="s">
        <v>1116</v>
      </c>
    </row>
    <row r="9379">
      <c r="A9379" s="2">
        <v>9378.0</v>
      </c>
      <c r="B9379" s="2" t="s">
        <v>14527</v>
      </c>
      <c r="C9379" s="2" t="s">
        <v>23</v>
      </c>
      <c r="K9379" s="2">
        <v>60.0</v>
      </c>
      <c r="N9379" s="6">
        <v>44100.0</v>
      </c>
      <c r="Q9379" s="2" t="s">
        <v>86</v>
      </c>
    </row>
    <row r="9380">
      <c r="A9380" s="2">
        <v>9379.0</v>
      </c>
      <c r="B9380" s="2" t="s">
        <v>14528</v>
      </c>
      <c r="C9380" s="2" t="s">
        <v>23</v>
      </c>
      <c r="K9380" s="2">
        <v>30.0</v>
      </c>
      <c r="N9380" s="6">
        <v>44724.0</v>
      </c>
      <c r="Q9380" s="2" t="s">
        <v>86</v>
      </c>
    </row>
    <row r="9381">
      <c r="A9381" s="2">
        <v>9380.0</v>
      </c>
      <c r="B9381" s="2" t="s">
        <v>14529</v>
      </c>
      <c r="C9381" s="2" t="s">
        <v>23</v>
      </c>
      <c r="N9381" s="6">
        <v>44092.0</v>
      </c>
      <c r="Q9381" s="2" t="s">
        <v>86</v>
      </c>
    </row>
    <row r="9382">
      <c r="A9382" s="2">
        <v>9381.0</v>
      </c>
      <c r="B9382" s="2" t="s">
        <v>14530</v>
      </c>
      <c r="C9382" s="2" t="s">
        <v>23</v>
      </c>
      <c r="K9382" s="2">
        <v>150.0</v>
      </c>
      <c r="N9382" s="6">
        <v>44058.0</v>
      </c>
      <c r="Q9382" s="2" t="s">
        <v>2409</v>
      </c>
    </row>
    <row r="9383">
      <c r="A9383" s="2">
        <v>9382.0</v>
      </c>
      <c r="B9383" s="2" t="s">
        <v>14531</v>
      </c>
      <c r="C9383" s="2" t="s">
        <v>23</v>
      </c>
      <c r="N9383" s="6">
        <v>44073.0</v>
      </c>
      <c r="Q9383" s="2" t="s">
        <v>86</v>
      </c>
    </row>
    <row r="9384">
      <c r="A9384" s="2">
        <v>9383.0</v>
      </c>
      <c r="B9384" s="2" t="s">
        <v>14532</v>
      </c>
      <c r="C9384" s="2" t="s">
        <v>23</v>
      </c>
      <c r="K9384" s="2">
        <v>50.0</v>
      </c>
      <c r="N9384" s="6">
        <v>43184.0</v>
      </c>
      <c r="Q9384" s="2" t="s">
        <v>5054</v>
      </c>
    </row>
    <row r="9385">
      <c r="A9385" s="2">
        <v>9384.0</v>
      </c>
      <c r="B9385" s="2" t="s">
        <v>14533</v>
      </c>
      <c r="C9385" s="2" t="s">
        <v>23</v>
      </c>
      <c r="K9385" s="2">
        <v>10.0</v>
      </c>
      <c r="N9385" s="6">
        <v>43122.0</v>
      </c>
      <c r="Q9385" s="2" t="s">
        <v>86</v>
      </c>
    </row>
    <row r="9386">
      <c r="A9386" s="2">
        <v>9385.0</v>
      </c>
      <c r="B9386" s="2" t="s">
        <v>14534</v>
      </c>
      <c r="C9386" s="2" t="s">
        <v>23</v>
      </c>
      <c r="K9386" s="2">
        <v>10.0</v>
      </c>
      <c r="N9386" s="6">
        <v>44529.0</v>
      </c>
      <c r="Q9386" s="2" t="s">
        <v>14535</v>
      </c>
    </row>
    <row r="9387">
      <c r="A9387" s="2">
        <v>9386.0</v>
      </c>
      <c r="B9387" s="2" t="s">
        <v>14536</v>
      </c>
      <c r="C9387" s="2" t="s">
        <v>23</v>
      </c>
      <c r="N9387" s="6">
        <v>44595.0</v>
      </c>
      <c r="Q9387" s="2" t="s">
        <v>1404</v>
      </c>
    </row>
    <row r="9388">
      <c r="A9388" s="2">
        <v>9387.0</v>
      </c>
      <c r="B9388" s="2" t="s">
        <v>14537</v>
      </c>
      <c r="C9388" s="2" t="s">
        <v>23</v>
      </c>
      <c r="N9388" s="6">
        <v>44736.0</v>
      </c>
      <c r="Q9388" s="2" t="s">
        <v>86</v>
      </c>
    </row>
    <row r="9389">
      <c r="A9389" s="2">
        <v>9388.0</v>
      </c>
      <c r="B9389" s="2" t="s">
        <v>14538</v>
      </c>
      <c r="C9389" s="2" t="s">
        <v>23</v>
      </c>
      <c r="K9389" s="2">
        <v>20.0</v>
      </c>
      <c r="N9389" s="6">
        <v>43873.0</v>
      </c>
      <c r="Q9389" s="2" t="s">
        <v>86</v>
      </c>
    </row>
    <row r="9390">
      <c r="A9390" s="2">
        <v>9389.0</v>
      </c>
      <c r="B9390" s="2" t="s">
        <v>14539</v>
      </c>
      <c r="C9390" s="2" t="s">
        <v>23</v>
      </c>
      <c r="N9390" s="6">
        <v>45651.0</v>
      </c>
      <c r="Q9390" s="2" t="s">
        <v>5919</v>
      </c>
    </row>
    <row r="9391">
      <c r="A9391" s="2">
        <v>9390.0</v>
      </c>
      <c r="B9391" s="2" t="s">
        <v>14540</v>
      </c>
      <c r="C9391" s="2" t="s">
        <v>23</v>
      </c>
      <c r="K9391" s="2">
        <v>50.0</v>
      </c>
      <c r="N9391" s="6">
        <v>44103.0</v>
      </c>
      <c r="Q9391" s="2" t="s">
        <v>2362</v>
      </c>
    </row>
    <row r="9392">
      <c r="A9392" s="2">
        <v>9391.0</v>
      </c>
      <c r="B9392" s="2" t="s">
        <v>14541</v>
      </c>
      <c r="C9392" s="2" t="s">
        <v>23</v>
      </c>
      <c r="K9392" s="2">
        <v>200.0</v>
      </c>
      <c r="N9392" s="6">
        <v>43863.0</v>
      </c>
      <c r="Q9392" s="2" t="s">
        <v>14542</v>
      </c>
    </row>
    <row r="9393">
      <c r="A9393" s="2">
        <v>9392.0</v>
      </c>
      <c r="B9393" s="2" t="s">
        <v>14543</v>
      </c>
      <c r="C9393" s="2" t="s">
        <v>23</v>
      </c>
      <c r="K9393" s="2">
        <v>40.0</v>
      </c>
      <c r="N9393" s="6">
        <v>44985.0</v>
      </c>
      <c r="Q9393" s="2" t="s">
        <v>2583</v>
      </c>
    </row>
    <row r="9394">
      <c r="A9394" s="2">
        <v>9393.0</v>
      </c>
      <c r="B9394" s="2" t="s">
        <v>14544</v>
      </c>
      <c r="C9394" s="2" t="s">
        <v>23</v>
      </c>
      <c r="N9394" s="6">
        <v>43891.0</v>
      </c>
      <c r="Q9394" s="2" t="s">
        <v>86</v>
      </c>
    </row>
    <row r="9395">
      <c r="A9395" s="2">
        <v>9394.0</v>
      </c>
      <c r="B9395" s="2" t="s">
        <v>14545</v>
      </c>
      <c r="C9395" s="2" t="s">
        <v>23</v>
      </c>
      <c r="N9395" s="6">
        <v>45600.0</v>
      </c>
      <c r="Q9395" s="2" t="s">
        <v>3353</v>
      </c>
    </row>
    <row r="9396">
      <c r="A9396" s="2">
        <v>9395.0</v>
      </c>
      <c r="B9396" s="2" t="s">
        <v>14546</v>
      </c>
      <c r="C9396" s="2" t="s">
        <v>23</v>
      </c>
      <c r="K9396" s="2">
        <v>50.0</v>
      </c>
      <c r="N9396" s="6">
        <v>43859.0</v>
      </c>
      <c r="Q9396" s="2" t="s">
        <v>86</v>
      </c>
    </row>
    <row r="9397">
      <c r="A9397" s="2">
        <v>9396.0</v>
      </c>
      <c r="B9397" s="2" t="s">
        <v>14547</v>
      </c>
      <c r="C9397" s="2" t="s">
        <v>23</v>
      </c>
      <c r="K9397" s="2">
        <v>30.0</v>
      </c>
      <c r="N9397" s="6">
        <v>43953.0</v>
      </c>
      <c r="Q9397" s="2" t="s">
        <v>14548</v>
      </c>
    </row>
    <row r="9398">
      <c r="A9398" s="2">
        <v>9397.0</v>
      </c>
      <c r="B9398" s="2" t="s">
        <v>14549</v>
      </c>
      <c r="C9398" s="2" t="s">
        <v>23</v>
      </c>
      <c r="K9398" s="2">
        <v>10.0</v>
      </c>
      <c r="N9398" s="6">
        <v>44344.0</v>
      </c>
      <c r="Q9398" s="2" t="s">
        <v>1466</v>
      </c>
    </row>
    <row r="9399">
      <c r="A9399" s="2">
        <v>9398.0</v>
      </c>
      <c r="B9399" s="2" t="s">
        <v>14550</v>
      </c>
      <c r="C9399" s="2" t="s">
        <v>23</v>
      </c>
      <c r="K9399" s="2">
        <v>80.0</v>
      </c>
      <c r="N9399" s="6">
        <v>44319.0</v>
      </c>
      <c r="Q9399" s="2" t="s">
        <v>60</v>
      </c>
    </row>
    <row r="9400">
      <c r="A9400" s="2">
        <v>9399.0</v>
      </c>
      <c r="B9400" s="2" t="s">
        <v>14551</v>
      </c>
      <c r="C9400" s="2" t="s">
        <v>23</v>
      </c>
      <c r="K9400" s="2">
        <v>150.0</v>
      </c>
      <c r="N9400" s="6">
        <v>44089.0</v>
      </c>
      <c r="Q9400" s="2" t="s">
        <v>14552</v>
      </c>
    </row>
    <row r="9401">
      <c r="A9401" s="2">
        <v>9400.0</v>
      </c>
      <c r="B9401" s="2" t="s">
        <v>14553</v>
      </c>
      <c r="C9401" s="2" t="s">
        <v>23</v>
      </c>
      <c r="K9401" s="2">
        <v>20.0</v>
      </c>
      <c r="N9401" s="6">
        <v>43850.0</v>
      </c>
      <c r="Q9401" s="2" t="s">
        <v>86</v>
      </c>
    </row>
    <row r="9402">
      <c r="A9402" s="2">
        <v>9401.0</v>
      </c>
      <c r="B9402" s="2" t="s">
        <v>14554</v>
      </c>
      <c r="C9402" s="2" t="s">
        <v>23</v>
      </c>
      <c r="K9402" s="2">
        <v>300.0</v>
      </c>
      <c r="N9402" s="6">
        <v>44026.0</v>
      </c>
      <c r="Q9402" s="2" t="s">
        <v>14555</v>
      </c>
    </row>
    <row r="9403">
      <c r="A9403" s="2">
        <v>9402.0</v>
      </c>
      <c r="B9403" s="2" t="s">
        <v>14556</v>
      </c>
      <c r="C9403" s="2" t="s">
        <v>23</v>
      </c>
      <c r="K9403" s="2">
        <v>20.0</v>
      </c>
      <c r="N9403" s="6">
        <v>44089.0</v>
      </c>
      <c r="Q9403" s="2" t="s">
        <v>86</v>
      </c>
    </row>
    <row r="9404">
      <c r="A9404" s="2">
        <v>9403.0</v>
      </c>
      <c r="B9404" s="2" t="s">
        <v>14557</v>
      </c>
      <c r="C9404" s="2" t="s">
        <v>23</v>
      </c>
      <c r="N9404" s="6">
        <v>44864.0</v>
      </c>
      <c r="Q9404" s="2" t="s">
        <v>86</v>
      </c>
    </row>
    <row r="9405">
      <c r="A9405" s="2">
        <v>9404.0</v>
      </c>
      <c r="B9405" s="2" t="s">
        <v>14558</v>
      </c>
      <c r="C9405" s="2" t="s">
        <v>23</v>
      </c>
      <c r="K9405" s="2">
        <v>30.0</v>
      </c>
      <c r="N9405" s="6">
        <v>44095.0</v>
      </c>
      <c r="Q9405" s="2" t="s">
        <v>1437</v>
      </c>
    </row>
    <row r="9406">
      <c r="A9406" s="2">
        <v>9405.0</v>
      </c>
      <c r="B9406" s="2" t="s">
        <v>14559</v>
      </c>
      <c r="C9406" s="2" t="s">
        <v>23</v>
      </c>
      <c r="K9406" s="2">
        <v>20.0</v>
      </c>
      <c r="N9406" s="6">
        <v>43927.0</v>
      </c>
      <c r="Q9406" s="2" t="s">
        <v>86</v>
      </c>
    </row>
    <row r="9407">
      <c r="A9407" s="2">
        <v>9406.0</v>
      </c>
      <c r="B9407" s="2" t="s">
        <v>14560</v>
      </c>
      <c r="C9407" s="2" t="s">
        <v>23</v>
      </c>
      <c r="K9407" s="2">
        <v>50.0</v>
      </c>
      <c r="N9407" s="6">
        <v>44663.0</v>
      </c>
      <c r="Q9407" s="2" t="s">
        <v>1156</v>
      </c>
    </row>
    <row r="9408">
      <c r="A9408" s="2">
        <v>9407.0</v>
      </c>
      <c r="B9408" s="2" t="s">
        <v>14561</v>
      </c>
      <c r="C9408" s="2" t="s">
        <v>23</v>
      </c>
      <c r="K9408" s="2">
        <v>20.0</v>
      </c>
      <c r="N9408" s="6">
        <v>44632.0</v>
      </c>
      <c r="Q9408" s="2" t="s">
        <v>14562</v>
      </c>
    </row>
    <row r="9409">
      <c r="A9409" s="2">
        <v>9408.0</v>
      </c>
      <c r="B9409" s="2" t="s">
        <v>14563</v>
      </c>
      <c r="C9409" s="2" t="s">
        <v>23</v>
      </c>
      <c r="K9409" s="2">
        <v>250.0</v>
      </c>
      <c r="N9409" s="6">
        <v>43918.0</v>
      </c>
      <c r="Q9409" s="2" t="s">
        <v>14564</v>
      </c>
    </row>
    <row r="9410">
      <c r="A9410" s="2">
        <v>9409.0</v>
      </c>
      <c r="B9410" s="2" t="s">
        <v>14565</v>
      </c>
      <c r="C9410" s="2" t="s">
        <v>23</v>
      </c>
      <c r="K9410" s="2">
        <v>800.0</v>
      </c>
      <c r="N9410" s="6">
        <v>44051.0</v>
      </c>
      <c r="Q9410" s="2" t="s">
        <v>14566</v>
      </c>
    </row>
    <row r="9411">
      <c r="A9411" s="2">
        <v>9410.0</v>
      </c>
      <c r="B9411" s="2" t="s">
        <v>14567</v>
      </c>
      <c r="C9411" s="2" t="s">
        <v>23</v>
      </c>
      <c r="K9411" s="2">
        <v>30.0</v>
      </c>
      <c r="N9411" s="6">
        <v>44239.0</v>
      </c>
      <c r="Q9411" s="2" t="s">
        <v>86</v>
      </c>
    </row>
    <row r="9412">
      <c r="A9412" s="2">
        <v>9411.0</v>
      </c>
      <c r="B9412" s="2" t="s">
        <v>14568</v>
      </c>
      <c r="C9412" s="2" t="s">
        <v>23</v>
      </c>
      <c r="N9412" s="6">
        <v>44481.0</v>
      </c>
      <c r="Q9412" s="2" t="s">
        <v>86</v>
      </c>
    </row>
    <row r="9413">
      <c r="A9413" s="2">
        <v>9412.0</v>
      </c>
      <c r="B9413" s="2" t="s">
        <v>14569</v>
      </c>
      <c r="C9413" s="2" t="s">
        <v>23</v>
      </c>
      <c r="N9413" s="6">
        <v>45315.0</v>
      </c>
      <c r="Q9413" s="2" t="s">
        <v>86</v>
      </c>
    </row>
    <row r="9414">
      <c r="A9414" s="2">
        <v>9413.0</v>
      </c>
      <c r="B9414" s="2" t="s">
        <v>14570</v>
      </c>
      <c r="C9414" s="2" t="s">
        <v>23</v>
      </c>
      <c r="K9414" s="2">
        <v>20.0</v>
      </c>
      <c r="N9414" s="6">
        <v>44816.0</v>
      </c>
      <c r="Q9414" s="2" t="s">
        <v>86</v>
      </c>
    </row>
    <row r="9415">
      <c r="A9415" s="2">
        <v>9414.0</v>
      </c>
      <c r="B9415" s="2" t="s">
        <v>14571</v>
      </c>
      <c r="C9415" s="2" t="s">
        <v>23</v>
      </c>
      <c r="N9415" s="6">
        <v>43866.0</v>
      </c>
      <c r="Q9415" s="2" t="s">
        <v>86</v>
      </c>
    </row>
    <row r="9416">
      <c r="A9416" s="2">
        <v>9415.0</v>
      </c>
      <c r="B9416" s="2" t="s">
        <v>14572</v>
      </c>
      <c r="C9416" s="2" t="s">
        <v>23</v>
      </c>
      <c r="K9416" s="2">
        <v>50.0</v>
      </c>
      <c r="N9416" s="6">
        <v>45737.0</v>
      </c>
      <c r="Q9416" s="2" t="s">
        <v>1580</v>
      </c>
    </row>
    <row r="9417">
      <c r="A9417" s="2">
        <v>9416.0</v>
      </c>
      <c r="B9417" s="2" t="s">
        <v>14573</v>
      </c>
      <c r="C9417" s="2" t="s">
        <v>23</v>
      </c>
      <c r="K9417" s="2">
        <v>150.0</v>
      </c>
      <c r="N9417" s="6">
        <v>43886.0</v>
      </c>
      <c r="Q9417" s="2" t="s">
        <v>14574</v>
      </c>
    </row>
    <row r="9418">
      <c r="A9418" s="2">
        <v>9417.0</v>
      </c>
      <c r="B9418" s="2" t="s">
        <v>14575</v>
      </c>
      <c r="C9418" s="2" t="s">
        <v>23</v>
      </c>
      <c r="K9418" s="2">
        <v>10.0</v>
      </c>
      <c r="N9418" s="6">
        <v>44155.0</v>
      </c>
      <c r="Q9418" s="2" t="s">
        <v>14576</v>
      </c>
    </row>
    <row r="9419">
      <c r="A9419" s="2">
        <v>9418.0</v>
      </c>
      <c r="B9419" s="2" t="s">
        <v>14577</v>
      </c>
      <c r="C9419" s="2" t="s">
        <v>23</v>
      </c>
      <c r="K9419" s="2">
        <v>30.0</v>
      </c>
      <c r="N9419" s="6">
        <v>43870.0</v>
      </c>
      <c r="Q9419" s="2" t="s">
        <v>14578</v>
      </c>
    </row>
    <row r="9420">
      <c r="A9420" s="2">
        <v>9419.0</v>
      </c>
      <c r="B9420" s="2" t="s">
        <v>14579</v>
      </c>
      <c r="C9420" s="2" t="s">
        <v>23</v>
      </c>
      <c r="K9420" s="2">
        <v>600.0</v>
      </c>
      <c r="N9420" s="6">
        <v>44636.0</v>
      </c>
      <c r="Q9420" s="2" t="s">
        <v>14580</v>
      </c>
    </row>
    <row r="9421">
      <c r="A9421" s="2">
        <v>9420.0</v>
      </c>
      <c r="B9421" s="2" t="s">
        <v>14581</v>
      </c>
      <c r="C9421" s="2" t="s">
        <v>23</v>
      </c>
      <c r="K9421" s="2">
        <v>90.0</v>
      </c>
      <c r="N9421" s="6">
        <v>42610.0</v>
      </c>
      <c r="Q9421" s="2" t="s">
        <v>14582</v>
      </c>
    </row>
    <row r="9422">
      <c r="A9422" s="2">
        <v>9421.0</v>
      </c>
      <c r="B9422" s="2" t="s">
        <v>14583</v>
      </c>
      <c r="C9422" s="2" t="s">
        <v>23</v>
      </c>
      <c r="N9422" s="6">
        <v>44599.0</v>
      </c>
      <c r="Q9422" s="2" t="s">
        <v>86</v>
      </c>
    </row>
    <row r="9423">
      <c r="A9423" s="2">
        <v>9422.0</v>
      </c>
      <c r="B9423" s="2" t="s">
        <v>14584</v>
      </c>
      <c r="C9423" s="2" t="s">
        <v>23</v>
      </c>
      <c r="K9423" s="2">
        <v>20.0</v>
      </c>
      <c r="N9423" s="6">
        <v>44390.0</v>
      </c>
      <c r="Q9423" s="2" t="s">
        <v>540</v>
      </c>
    </row>
    <row r="9424">
      <c r="A9424" s="2">
        <v>9423.0</v>
      </c>
      <c r="B9424" s="2" t="s">
        <v>14585</v>
      </c>
      <c r="C9424" s="2" t="s">
        <v>23</v>
      </c>
      <c r="K9424" s="2">
        <v>60.0</v>
      </c>
      <c r="N9424" s="6">
        <v>45661.0</v>
      </c>
      <c r="Q9424" s="2" t="s">
        <v>14586</v>
      </c>
    </row>
    <row r="9425">
      <c r="A9425" s="2">
        <v>9424.0</v>
      </c>
      <c r="B9425" s="2" t="s">
        <v>14587</v>
      </c>
      <c r="C9425" s="2" t="s">
        <v>23</v>
      </c>
      <c r="K9425" s="2">
        <v>150.0</v>
      </c>
      <c r="N9425" s="6">
        <v>44049.0</v>
      </c>
      <c r="Q9425" s="2" t="s">
        <v>14588</v>
      </c>
    </row>
    <row r="9426">
      <c r="A9426" s="2">
        <v>9425.0</v>
      </c>
      <c r="B9426" s="2" t="s">
        <v>14589</v>
      </c>
      <c r="C9426" s="2" t="s">
        <v>23</v>
      </c>
      <c r="K9426" s="2">
        <v>10.0</v>
      </c>
      <c r="N9426" s="6">
        <v>43856.0</v>
      </c>
      <c r="Q9426" s="2" t="s">
        <v>1437</v>
      </c>
    </row>
    <row r="9427">
      <c r="A9427" s="2">
        <v>9426.0</v>
      </c>
      <c r="B9427" s="2" t="s">
        <v>14590</v>
      </c>
      <c r="C9427" s="2" t="s">
        <v>23</v>
      </c>
      <c r="K9427" s="2">
        <v>400.0</v>
      </c>
      <c r="N9427" s="6">
        <v>44267.0</v>
      </c>
      <c r="Q9427" s="2" t="s">
        <v>14591</v>
      </c>
    </row>
    <row r="9428">
      <c r="A9428" s="2">
        <v>9427.0</v>
      </c>
      <c r="B9428" s="2" t="s">
        <v>14592</v>
      </c>
      <c r="C9428" s="2" t="s">
        <v>23</v>
      </c>
      <c r="K9428" s="2">
        <v>60.0</v>
      </c>
      <c r="N9428" s="6">
        <v>45704.0</v>
      </c>
      <c r="Q9428" s="2" t="s">
        <v>14593</v>
      </c>
    </row>
    <row r="9429">
      <c r="A9429" s="2">
        <v>9428.0</v>
      </c>
      <c r="B9429" s="2" t="s">
        <v>14594</v>
      </c>
      <c r="C9429" s="2" t="s">
        <v>23</v>
      </c>
      <c r="K9429" s="2">
        <v>10.0</v>
      </c>
      <c r="N9429" s="6">
        <v>43893.0</v>
      </c>
      <c r="Q9429" s="2" t="s">
        <v>426</v>
      </c>
    </row>
    <row r="9430">
      <c r="A9430" s="2">
        <v>9429.0</v>
      </c>
      <c r="B9430" s="2" t="s">
        <v>14595</v>
      </c>
      <c r="C9430" s="2" t="s">
        <v>23</v>
      </c>
      <c r="K9430" s="2">
        <v>10.0</v>
      </c>
      <c r="N9430" s="6">
        <v>44045.0</v>
      </c>
      <c r="Q9430" s="2" t="s">
        <v>2583</v>
      </c>
    </row>
    <row r="9431">
      <c r="A9431" s="2">
        <v>9430.0</v>
      </c>
      <c r="B9431" s="2" t="s">
        <v>14596</v>
      </c>
      <c r="C9431" s="2" t="s">
        <v>23</v>
      </c>
      <c r="K9431" s="2">
        <v>30.0</v>
      </c>
      <c r="N9431" s="6">
        <v>43863.0</v>
      </c>
      <c r="Q9431" s="2" t="s">
        <v>14597</v>
      </c>
    </row>
    <row r="9432">
      <c r="A9432" s="2">
        <v>9431.0</v>
      </c>
      <c r="B9432" s="2" t="s">
        <v>14598</v>
      </c>
      <c r="C9432" s="2" t="s">
        <v>23</v>
      </c>
      <c r="K9432" s="2">
        <v>100.0</v>
      </c>
      <c r="N9432" s="6">
        <v>44425.0</v>
      </c>
      <c r="Q9432" s="2" t="s">
        <v>14599</v>
      </c>
    </row>
    <row r="9433">
      <c r="A9433" s="2">
        <v>9432.0</v>
      </c>
      <c r="B9433" s="2" t="s">
        <v>14600</v>
      </c>
      <c r="C9433" s="2" t="s">
        <v>23</v>
      </c>
      <c r="N9433" s="6">
        <v>44512.0</v>
      </c>
      <c r="Q9433" s="2" t="s">
        <v>86</v>
      </c>
    </row>
    <row r="9434">
      <c r="A9434" s="2">
        <v>9433.0</v>
      </c>
      <c r="B9434" s="2" t="s">
        <v>14601</v>
      </c>
      <c r="C9434" s="2" t="s">
        <v>23</v>
      </c>
      <c r="N9434" s="6">
        <v>43859.0</v>
      </c>
      <c r="Q9434" s="2" t="s">
        <v>86</v>
      </c>
    </row>
    <row r="9435">
      <c r="A9435" s="2">
        <v>9434.0</v>
      </c>
      <c r="B9435" s="2" t="s">
        <v>14602</v>
      </c>
      <c r="C9435" s="2" t="s">
        <v>23</v>
      </c>
      <c r="N9435" s="6">
        <v>44085.0</v>
      </c>
      <c r="Q9435" s="2" t="s">
        <v>86</v>
      </c>
    </row>
    <row r="9436">
      <c r="A9436" s="2">
        <v>9435.0</v>
      </c>
      <c r="B9436" s="2" t="s">
        <v>14603</v>
      </c>
      <c r="C9436" s="2" t="s">
        <v>23</v>
      </c>
      <c r="K9436" s="2">
        <v>20.0</v>
      </c>
      <c r="N9436" s="6">
        <v>43931.0</v>
      </c>
      <c r="Q9436" s="2" t="s">
        <v>3185</v>
      </c>
    </row>
    <row r="9437">
      <c r="A9437" s="2">
        <v>9436.0</v>
      </c>
      <c r="B9437" s="2" t="s">
        <v>14604</v>
      </c>
      <c r="C9437" s="2" t="s">
        <v>23</v>
      </c>
      <c r="N9437" s="6">
        <v>44465.0</v>
      </c>
      <c r="Q9437" s="2" t="s">
        <v>86</v>
      </c>
    </row>
    <row r="9438">
      <c r="A9438" s="2">
        <v>9437.0</v>
      </c>
      <c r="B9438" s="2" t="s">
        <v>14605</v>
      </c>
      <c r="C9438" s="2" t="s">
        <v>23</v>
      </c>
      <c r="N9438" s="6">
        <v>44555.0</v>
      </c>
      <c r="Q9438" s="2" t="s">
        <v>14606</v>
      </c>
    </row>
    <row r="9439">
      <c r="A9439" s="2">
        <v>9438.0</v>
      </c>
      <c r="B9439" s="2" t="s">
        <v>14607</v>
      </c>
      <c r="C9439" s="2" t="s">
        <v>23</v>
      </c>
      <c r="K9439" s="2">
        <v>40.0</v>
      </c>
      <c r="N9439" s="6">
        <v>45691.0</v>
      </c>
      <c r="Q9439" s="2" t="s">
        <v>5045</v>
      </c>
    </row>
    <row r="9440">
      <c r="A9440" s="2">
        <v>9439.0</v>
      </c>
      <c r="B9440" s="2" t="s">
        <v>14608</v>
      </c>
      <c r="C9440" s="2" t="s">
        <v>23</v>
      </c>
      <c r="K9440" s="2">
        <v>10.0</v>
      </c>
      <c r="N9440" s="6">
        <v>45520.0</v>
      </c>
      <c r="Q9440" s="2" t="s">
        <v>14609</v>
      </c>
    </row>
    <row r="9441">
      <c r="A9441" s="2">
        <v>9440.0</v>
      </c>
      <c r="B9441" s="2" t="s">
        <v>14610</v>
      </c>
      <c r="C9441" s="2" t="s">
        <v>23</v>
      </c>
      <c r="K9441" s="2">
        <v>70.0</v>
      </c>
      <c r="N9441" s="6">
        <v>43927.0</v>
      </c>
      <c r="Q9441" s="2" t="s">
        <v>14611</v>
      </c>
    </row>
    <row r="9442">
      <c r="A9442" s="2">
        <v>9441.0</v>
      </c>
      <c r="B9442" s="2" t="s">
        <v>14612</v>
      </c>
      <c r="C9442" s="2" t="s">
        <v>23</v>
      </c>
      <c r="K9442" s="2">
        <v>10.0</v>
      </c>
      <c r="N9442" s="6">
        <v>44072.0</v>
      </c>
      <c r="Q9442" s="2" t="s">
        <v>14613</v>
      </c>
    </row>
    <row r="9443">
      <c r="A9443" s="2">
        <v>9442.0</v>
      </c>
      <c r="B9443" s="2" t="s">
        <v>14614</v>
      </c>
      <c r="C9443" s="2" t="s">
        <v>23</v>
      </c>
      <c r="K9443" s="2">
        <v>50.0</v>
      </c>
      <c r="N9443" s="6">
        <v>44284.0</v>
      </c>
      <c r="Q9443" s="2" t="s">
        <v>14615</v>
      </c>
    </row>
    <row r="9444">
      <c r="A9444" s="2">
        <v>9443.0</v>
      </c>
      <c r="B9444" s="2" t="s">
        <v>14616</v>
      </c>
      <c r="C9444" s="2" t="s">
        <v>23</v>
      </c>
      <c r="N9444" s="6">
        <v>44763.0</v>
      </c>
      <c r="Q9444" s="2" t="s">
        <v>86</v>
      </c>
    </row>
    <row r="9445">
      <c r="A9445" s="2">
        <v>9444.0</v>
      </c>
      <c r="B9445" s="2" t="s">
        <v>14617</v>
      </c>
      <c r="C9445" s="2" t="s">
        <v>23</v>
      </c>
      <c r="N9445" s="6">
        <v>43892.0</v>
      </c>
      <c r="Q9445" s="2" t="s">
        <v>86</v>
      </c>
    </row>
    <row r="9446">
      <c r="A9446" s="2">
        <v>9445.0</v>
      </c>
      <c r="B9446" s="2" t="s">
        <v>14618</v>
      </c>
      <c r="C9446" s="2" t="s">
        <v>23</v>
      </c>
      <c r="K9446" s="2">
        <v>10.0</v>
      </c>
      <c r="N9446" s="6">
        <v>45028.0</v>
      </c>
      <c r="Q9446" s="2" t="s">
        <v>426</v>
      </c>
    </row>
    <row r="9447">
      <c r="A9447" s="2">
        <v>9446.0</v>
      </c>
      <c r="B9447" s="2" t="s">
        <v>14619</v>
      </c>
      <c r="C9447" s="2" t="s">
        <v>23</v>
      </c>
      <c r="K9447" s="2">
        <v>70.0</v>
      </c>
      <c r="N9447" s="6">
        <v>44217.0</v>
      </c>
      <c r="Q9447" s="2" t="s">
        <v>14620</v>
      </c>
    </row>
    <row r="9448">
      <c r="A9448" s="2">
        <v>9447.0</v>
      </c>
      <c r="B9448" s="2" t="s">
        <v>14621</v>
      </c>
      <c r="C9448" s="2" t="s">
        <v>23</v>
      </c>
      <c r="N9448" s="6">
        <v>43098.0</v>
      </c>
      <c r="Q9448" s="2" t="s">
        <v>14622</v>
      </c>
    </row>
    <row r="9449">
      <c r="A9449" s="2">
        <v>9448.0</v>
      </c>
      <c r="B9449" s="2" t="s">
        <v>14623</v>
      </c>
      <c r="C9449" s="2" t="s">
        <v>23</v>
      </c>
      <c r="K9449" s="2">
        <v>40.0</v>
      </c>
      <c r="N9449" s="6">
        <v>43866.0</v>
      </c>
      <c r="Q9449" s="2" t="s">
        <v>14624</v>
      </c>
    </row>
    <row r="9450">
      <c r="A9450" s="2">
        <v>9449.0</v>
      </c>
      <c r="B9450" s="2" t="s">
        <v>14625</v>
      </c>
      <c r="C9450" s="2" t="s">
        <v>23</v>
      </c>
      <c r="N9450" s="6">
        <v>44189.0</v>
      </c>
      <c r="Q9450" s="2" t="s">
        <v>1070</v>
      </c>
    </row>
    <row r="9451">
      <c r="A9451" s="2">
        <v>9450.0</v>
      </c>
      <c r="B9451" s="2" t="s">
        <v>14626</v>
      </c>
      <c r="C9451" s="2" t="s">
        <v>23</v>
      </c>
      <c r="N9451" s="6">
        <v>44501.0</v>
      </c>
      <c r="Q9451" s="2" t="s">
        <v>86</v>
      </c>
    </row>
    <row r="9452">
      <c r="A9452" s="2">
        <v>9451.0</v>
      </c>
      <c r="B9452" s="2" t="s">
        <v>14627</v>
      </c>
      <c r="C9452" s="2" t="s">
        <v>23</v>
      </c>
      <c r="K9452" s="2">
        <v>150.0</v>
      </c>
      <c r="N9452" s="6">
        <v>42298.0</v>
      </c>
      <c r="Q9452" s="2" t="s">
        <v>14628</v>
      </c>
    </row>
    <row r="9453">
      <c r="A9453" s="2">
        <v>9452.0</v>
      </c>
      <c r="B9453" s="2" t="s">
        <v>14629</v>
      </c>
      <c r="C9453" s="2" t="s">
        <v>23</v>
      </c>
      <c r="K9453" s="2">
        <v>40.0</v>
      </c>
      <c r="N9453" s="6">
        <v>45088.0</v>
      </c>
      <c r="Q9453" s="2" t="s">
        <v>12247</v>
      </c>
    </row>
    <row r="9454">
      <c r="A9454" s="2">
        <v>9453.0</v>
      </c>
      <c r="B9454" s="2" t="s">
        <v>14630</v>
      </c>
      <c r="C9454" s="2" t="s">
        <v>23</v>
      </c>
      <c r="N9454" s="6">
        <v>45062.0</v>
      </c>
      <c r="Q9454" s="2" t="s">
        <v>2409</v>
      </c>
    </row>
    <row r="9455">
      <c r="A9455" s="2">
        <v>9454.0</v>
      </c>
      <c r="B9455" s="2" t="s">
        <v>14631</v>
      </c>
      <c r="C9455" s="2" t="s">
        <v>23</v>
      </c>
      <c r="N9455" s="6">
        <v>43926.0</v>
      </c>
      <c r="Q9455" s="2" t="s">
        <v>86</v>
      </c>
    </row>
    <row r="9456">
      <c r="A9456" s="2">
        <v>9455.0</v>
      </c>
      <c r="B9456" s="2" t="s">
        <v>14632</v>
      </c>
      <c r="C9456" s="2" t="s">
        <v>23</v>
      </c>
      <c r="K9456" s="2">
        <v>60.0</v>
      </c>
      <c r="N9456" s="6">
        <v>45796.0</v>
      </c>
      <c r="Q9456" s="2" t="s">
        <v>1635</v>
      </c>
    </row>
    <row r="9457">
      <c r="A9457" s="2">
        <v>9456.0</v>
      </c>
      <c r="B9457" s="2" t="s">
        <v>14633</v>
      </c>
      <c r="C9457" s="2" t="s">
        <v>23</v>
      </c>
      <c r="K9457" s="2">
        <v>200.0</v>
      </c>
      <c r="N9457" s="6">
        <v>45566.0</v>
      </c>
      <c r="Q9457" s="2" t="s">
        <v>14634</v>
      </c>
    </row>
    <row r="9458">
      <c r="A9458" s="2">
        <v>9457.0</v>
      </c>
      <c r="B9458" s="2" t="s">
        <v>14635</v>
      </c>
      <c r="C9458" s="2" t="s">
        <v>23</v>
      </c>
      <c r="N9458" s="6">
        <v>44063.0</v>
      </c>
      <c r="Q9458" s="2" t="s">
        <v>86</v>
      </c>
    </row>
    <row r="9459">
      <c r="A9459" s="2">
        <v>9458.0</v>
      </c>
      <c r="B9459" s="2" t="s">
        <v>14636</v>
      </c>
      <c r="C9459" s="2" t="s">
        <v>23</v>
      </c>
      <c r="N9459" s="6">
        <v>43899.0</v>
      </c>
      <c r="Q9459" s="2" t="s">
        <v>86</v>
      </c>
    </row>
    <row r="9460">
      <c r="A9460" s="2">
        <v>9459.0</v>
      </c>
      <c r="B9460" s="2" t="s">
        <v>14637</v>
      </c>
      <c r="C9460" s="2" t="s">
        <v>23</v>
      </c>
      <c r="N9460" s="6">
        <v>44634.0</v>
      </c>
      <c r="Q9460" s="2" t="s">
        <v>86</v>
      </c>
    </row>
    <row r="9461">
      <c r="A9461" s="2">
        <v>9460.0</v>
      </c>
      <c r="B9461" s="2" t="s">
        <v>14638</v>
      </c>
      <c r="C9461" s="2" t="s">
        <v>23</v>
      </c>
      <c r="K9461" s="2">
        <v>60.0</v>
      </c>
      <c r="N9461" s="6">
        <v>45594.0</v>
      </c>
      <c r="Q9461" s="2" t="s">
        <v>14639</v>
      </c>
    </row>
    <row r="9462">
      <c r="A9462" s="2">
        <v>9461.0</v>
      </c>
      <c r="B9462" s="2" t="s">
        <v>14640</v>
      </c>
      <c r="C9462" s="2" t="s">
        <v>23</v>
      </c>
      <c r="K9462" s="2">
        <v>10.0</v>
      </c>
      <c r="N9462" s="6">
        <v>44619.0</v>
      </c>
      <c r="Q9462" s="2" t="s">
        <v>86</v>
      </c>
    </row>
    <row r="9463">
      <c r="A9463" s="2">
        <v>9462.0</v>
      </c>
      <c r="B9463" s="2" t="s">
        <v>14641</v>
      </c>
      <c r="C9463" s="2" t="s">
        <v>23</v>
      </c>
      <c r="N9463" s="6">
        <v>44444.0</v>
      </c>
      <c r="Q9463" s="2" t="s">
        <v>86</v>
      </c>
    </row>
    <row r="9464">
      <c r="A9464" s="2">
        <v>9463.0</v>
      </c>
      <c r="B9464" s="2" t="s">
        <v>14642</v>
      </c>
      <c r="C9464" s="2" t="s">
        <v>23</v>
      </c>
      <c r="K9464" s="2">
        <v>50.0</v>
      </c>
      <c r="N9464" s="6">
        <v>44022.0</v>
      </c>
      <c r="Q9464" s="2" t="s">
        <v>14643</v>
      </c>
    </row>
    <row r="9465">
      <c r="A9465" s="2">
        <v>9464.0</v>
      </c>
      <c r="B9465" s="2" t="s">
        <v>14644</v>
      </c>
      <c r="C9465" s="2" t="s">
        <v>23</v>
      </c>
      <c r="K9465" s="2">
        <v>50.0</v>
      </c>
      <c r="N9465" s="6">
        <v>44813.0</v>
      </c>
      <c r="Q9465" s="2" t="s">
        <v>14645</v>
      </c>
    </row>
    <row r="9466">
      <c r="A9466" s="2">
        <v>9465.0</v>
      </c>
      <c r="B9466" s="2" t="s">
        <v>14646</v>
      </c>
      <c r="C9466" s="2" t="s">
        <v>23</v>
      </c>
      <c r="K9466" s="2">
        <v>10.0</v>
      </c>
      <c r="N9466" s="6">
        <v>44983.0</v>
      </c>
      <c r="Q9466" s="2" t="s">
        <v>86</v>
      </c>
    </row>
    <row r="9467">
      <c r="A9467" s="2">
        <v>9466.0</v>
      </c>
      <c r="B9467" s="2" t="s">
        <v>14647</v>
      </c>
      <c r="C9467" s="2" t="s">
        <v>23</v>
      </c>
      <c r="K9467" s="2">
        <v>40.0</v>
      </c>
      <c r="N9467" s="6">
        <v>42844.0</v>
      </c>
      <c r="Q9467" s="2" t="s">
        <v>2782</v>
      </c>
    </row>
    <row r="9468">
      <c r="A9468" s="2">
        <v>9467.0</v>
      </c>
      <c r="B9468" s="2" t="s">
        <v>14648</v>
      </c>
      <c r="C9468" s="2" t="s">
        <v>23</v>
      </c>
      <c r="K9468" s="2">
        <v>300.0</v>
      </c>
      <c r="N9468" s="6">
        <v>44264.0</v>
      </c>
      <c r="Q9468" s="2" t="s">
        <v>14649</v>
      </c>
    </row>
    <row r="9469">
      <c r="A9469" s="2">
        <v>9468.0</v>
      </c>
      <c r="B9469" s="2" t="s">
        <v>14650</v>
      </c>
      <c r="C9469" s="2" t="s">
        <v>23</v>
      </c>
      <c r="K9469" s="2">
        <v>10.0</v>
      </c>
      <c r="N9469" s="6">
        <v>44256.0</v>
      </c>
      <c r="Q9469" s="2" t="s">
        <v>86</v>
      </c>
    </row>
    <row r="9470">
      <c r="A9470" s="2">
        <v>9469.0</v>
      </c>
      <c r="B9470" s="2" t="s">
        <v>14651</v>
      </c>
      <c r="C9470" s="2" t="s">
        <v>23</v>
      </c>
      <c r="K9470" s="2">
        <v>80.0</v>
      </c>
      <c r="N9470" s="6">
        <v>45212.0</v>
      </c>
      <c r="Q9470" s="2" t="s">
        <v>14652</v>
      </c>
    </row>
    <row r="9471">
      <c r="A9471" s="2">
        <v>9470.0</v>
      </c>
      <c r="B9471" s="2" t="s">
        <v>14653</v>
      </c>
      <c r="C9471" s="2" t="s">
        <v>23</v>
      </c>
      <c r="K9471" s="2">
        <v>30.0</v>
      </c>
      <c r="N9471" s="6">
        <v>44872.0</v>
      </c>
      <c r="Q9471" s="2" t="s">
        <v>14654</v>
      </c>
    </row>
    <row r="9472">
      <c r="A9472" s="2">
        <v>9471.0</v>
      </c>
      <c r="B9472" s="2" t="s">
        <v>14655</v>
      </c>
      <c r="C9472" s="2" t="s">
        <v>23</v>
      </c>
      <c r="N9472" s="6">
        <v>44105.0</v>
      </c>
      <c r="Q9472" s="2" t="s">
        <v>86</v>
      </c>
    </row>
    <row r="9473">
      <c r="A9473" s="2">
        <v>9472.0</v>
      </c>
      <c r="B9473" s="2" t="s">
        <v>14656</v>
      </c>
      <c r="C9473" s="2" t="s">
        <v>23</v>
      </c>
      <c r="N9473" s="6">
        <v>44712.0</v>
      </c>
      <c r="Q9473" s="2" t="s">
        <v>86</v>
      </c>
    </row>
    <row r="9474">
      <c r="A9474" s="2">
        <v>9473.0</v>
      </c>
      <c r="B9474" s="2" t="s">
        <v>14657</v>
      </c>
      <c r="C9474" s="2" t="s">
        <v>23</v>
      </c>
      <c r="N9474" s="6">
        <v>45572.0</v>
      </c>
      <c r="Q9474" s="2" t="s">
        <v>14658</v>
      </c>
    </row>
    <row r="9475">
      <c r="A9475" s="2">
        <v>9474.0</v>
      </c>
      <c r="B9475" s="2" t="s">
        <v>14659</v>
      </c>
      <c r="C9475" s="2" t="s">
        <v>23</v>
      </c>
      <c r="N9475" s="6">
        <v>43926.0</v>
      </c>
      <c r="Q9475" s="2" t="s">
        <v>1466</v>
      </c>
    </row>
    <row r="9476">
      <c r="A9476" s="2">
        <v>9475.0</v>
      </c>
      <c r="B9476" s="2" t="s">
        <v>14660</v>
      </c>
      <c r="C9476" s="2" t="s">
        <v>23</v>
      </c>
      <c r="K9476" s="2">
        <v>10.0</v>
      </c>
      <c r="N9476" s="6">
        <v>45538.0</v>
      </c>
      <c r="Q9476" s="2" t="s">
        <v>14661</v>
      </c>
    </row>
    <row r="9477">
      <c r="A9477" s="2">
        <v>9476.0</v>
      </c>
      <c r="B9477" s="2" t="s">
        <v>14662</v>
      </c>
      <c r="C9477" s="2" t="s">
        <v>23</v>
      </c>
      <c r="D9477" s="2">
        <v>0.0</v>
      </c>
      <c r="F9477" s="2">
        <v>0.15</v>
      </c>
      <c r="H9477" s="2" t="s">
        <v>396</v>
      </c>
      <c r="I9477" s="4">
        <v>46231.215474537035</v>
      </c>
      <c r="J9477" s="2" t="s">
        <v>766</v>
      </c>
      <c r="L9477" s="2">
        <v>10.0</v>
      </c>
      <c r="M9477" s="2">
        <v>10.0</v>
      </c>
      <c r="N9477" s="6">
        <v>44436.0</v>
      </c>
      <c r="O9477" s="2" t="s">
        <v>102</v>
      </c>
      <c r="P9477" s="2" t="s">
        <v>36</v>
      </c>
      <c r="Q9477" s="2" t="s">
        <v>86</v>
      </c>
      <c r="S9477" s="2" t="s">
        <v>14663</v>
      </c>
    </row>
    <row r="9478">
      <c r="A9478" s="2">
        <v>9477.0</v>
      </c>
      <c r="B9478" s="2" t="s">
        <v>14664</v>
      </c>
      <c r="C9478" s="2" t="s">
        <v>23</v>
      </c>
      <c r="K9478" s="2">
        <v>30.0</v>
      </c>
      <c r="N9478" s="6">
        <v>44224.0</v>
      </c>
      <c r="Q9478" s="2" t="s">
        <v>14665</v>
      </c>
    </row>
    <row r="9479">
      <c r="A9479" s="2">
        <v>9478.0</v>
      </c>
      <c r="B9479" s="2" t="s">
        <v>14666</v>
      </c>
      <c r="C9479" s="2" t="s">
        <v>23</v>
      </c>
      <c r="K9479" s="2">
        <v>100.0</v>
      </c>
      <c r="N9479" s="6">
        <v>43846.0</v>
      </c>
      <c r="Q9479" s="2" t="s">
        <v>14667</v>
      </c>
    </row>
    <row r="9480">
      <c r="A9480" s="2">
        <v>9479.0</v>
      </c>
      <c r="B9480" s="2" t="s">
        <v>14668</v>
      </c>
      <c r="C9480" s="2" t="s">
        <v>23</v>
      </c>
      <c r="K9480" s="2">
        <v>20.0</v>
      </c>
      <c r="N9480" s="6">
        <v>44332.0</v>
      </c>
      <c r="Q9480" s="2" t="s">
        <v>1466</v>
      </c>
    </row>
    <row r="9481">
      <c r="A9481" s="2">
        <v>9480.0</v>
      </c>
      <c r="B9481" s="2" t="s">
        <v>14669</v>
      </c>
      <c r="C9481" s="2" t="s">
        <v>23</v>
      </c>
      <c r="N9481" s="6">
        <v>43954.0</v>
      </c>
      <c r="Q9481" s="2" t="s">
        <v>14670</v>
      </c>
    </row>
    <row r="9482">
      <c r="A9482" s="2">
        <v>9481.0</v>
      </c>
      <c r="B9482" s="2" t="s">
        <v>14671</v>
      </c>
      <c r="C9482" s="2" t="s">
        <v>23</v>
      </c>
      <c r="N9482" s="6">
        <v>44037.0</v>
      </c>
      <c r="Q9482" s="2" t="s">
        <v>14672</v>
      </c>
    </row>
    <row r="9483">
      <c r="A9483" s="2">
        <v>9482.0</v>
      </c>
      <c r="B9483" s="2" t="s">
        <v>14673</v>
      </c>
      <c r="C9483" s="2" t="s">
        <v>23</v>
      </c>
      <c r="N9483" s="6">
        <v>44582.0</v>
      </c>
      <c r="Q9483" s="2" t="s">
        <v>86</v>
      </c>
    </row>
    <row r="9484">
      <c r="A9484" s="2">
        <v>9483.0</v>
      </c>
      <c r="B9484" s="2" t="s">
        <v>14674</v>
      </c>
      <c r="C9484" s="2" t="s">
        <v>23</v>
      </c>
      <c r="K9484" s="2">
        <v>150.0</v>
      </c>
      <c r="N9484" s="6">
        <v>44027.0</v>
      </c>
      <c r="Q9484" s="2" t="s">
        <v>14675</v>
      </c>
    </row>
    <row r="9485">
      <c r="A9485" s="2">
        <v>9484.0</v>
      </c>
      <c r="B9485" s="2" t="s">
        <v>14676</v>
      </c>
      <c r="C9485" s="2" t="s">
        <v>23</v>
      </c>
      <c r="K9485" s="2">
        <v>20.0</v>
      </c>
      <c r="N9485" s="6">
        <v>44188.0</v>
      </c>
      <c r="Q9485" s="2" t="s">
        <v>1048</v>
      </c>
    </row>
    <row r="9486">
      <c r="A9486" s="2">
        <v>9485.0</v>
      </c>
      <c r="B9486" s="2" t="s">
        <v>14677</v>
      </c>
      <c r="C9486" s="2" t="s">
        <v>23</v>
      </c>
      <c r="N9486" s="6">
        <v>42558.0</v>
      </c>
      <c r="O9486" s="2" t="s">
        <v>560</v>
      </c>
      <c r="P9486" s="2" t="s">
        <v>36</v>
      </c>
      <c r="Q9486" s="2" t="s">
        <v>86</v>
      </c>
      <c r="S9486" s="2" t="s">
        <v>159</v>
      </c>
    </row>
    <row r="9487">
      <c r="A9487" s="2">
        <v>9486.0</v>
      </c>
      <c r="B9487" s="2" t="s">
        <v>14678</v>
      </c>
      <c r="C9487" s="2" t="s">
        <v>23</v>
      </c>
      <c r="K9487" s="2">
        <v>20.0</v>
      </c>
      <c r="N9487" s="6">
        <v>44486.0</v>
      </c>
      <c r="Q9487" s="2" t="s">
        <v>14679</v>
      </c>
    </row>
    <row r="9488">
      <c r="A9488" s="2">
        <v>9487.0</v>
      </c>
      <c r="B9488" s="2" t="s">
        <v>14680</v>
      </c>
      <c r="C9488" s="2" t="s">
        <v>23</v>
      </c>
      <c r="K9488" s="2">
        <v>20.0</v>
      </c>
      <c r="N9488" s="6">
        <v>44248.0</v>
      </c>
      <c r="Q9488" s="2" t="s">
        <v>86</v>
      </c>
    </row>
    <row r="9489">
      <c r="A9489" s="2">
        <v>9488.0</v>
      </c>
      <c r="B9489" s="2" t="s">
        <v>14681</v>
      </c>
      <c r="C9489" s="2" t="s">
        <v>23</v>
      </c>
      <c r="K9489" s="2">
        <v>50.0</v>
      </c>
      <c r="N9489" s="6">
        <v>44471.0</v>
      </c>
      <c r="Q9489" s="2" t="s">
        <v>86</v>
      </c>
    </row>
    <row r="9490">
      <c r="A9490" s="2">
        <v>9489.0</v>
      </c>
      <c r="B9490" s="2" t="s">
        <v>14682</v>
      </c>
      <c r="C9490" s="2" t="s">
        <v>23</v>
      </c>
      <c r="K9490" s="2">
        <v>30.0</v>
      </c>
      <c r="N9490" s="6">
        <v>45474.0</v>
      </c>
      <c r="Q9490" s="2" t="s">
        <v>14683</v>
      </c>
    </row>
    <row r="9491">
      <c r="A9491" s="2">
        <v>9490.0</v>
      </c>
      <c r="B9491" s="2" t="s">
        <v>14684</v>
      </c>
      <c r="C9491" s="2" t="s">
        <v>23</v>
      </c>
      <c r="N9491" s="6">
        <v>44104.0</v>
      </c>
      <c r="Q9491" s="2" t="s">
        <v>200</v>
      </c>
    </row>
    <row r="9492">
      <c r="A9492" s="2">
        <v>9491.0</v>
      </c>
      <c r="B9492" s="2" t="s">
        <v>14685</v>
      </c>
      <c r="C9492" s="2" t="s">
        <v>23</v>
      </c>
      <c r="N9492" s="6">
        <v>45544.0</v>
      </c>
      <c r="Q9492" s="2" t="s">
        <v>14686</v>
      </c>
    </row>
    <row r="9493">
      <c r="A9493" s="2">
        <v>9492.0</v>
      </c>
      <c r="B9493" s="2" t="s">
        <v>14687</v>
      </c>
      <c r="C9493" s="2" t="s">
        <v>23</v>
      </c>
      <c r="K9493" s="2">
        <v>50.0</v>
      </c>
      <c r="N9493" s="6">
        <v>45713.0</v>
      </c>
      <c r="Q9493" s="2" t="s">
        <v>1505</v>
      </c>
    </row>
    <row r="9494">
      <c r="A9494" s="2">
        <v>9493.0</v>
      </c>
      <c r="B9494" s="2" t="s">
        <v>14688</v>
      </c>
      <c r="C9494" s="2" t="s">
        <v>23</v>
      </c>
      <c r="K9494" s="2">
        <v>150.0</v>
      </c>
      <c r="N9494" s="6">
        <v>44579.0</v>
      </c>
      <c r="Q9494" s="2" t="s">
        <v>3629</v>
      </c>
    </row>
    <row r="9495">
      <c r="A9495" s="2">
        <v>9494.0</v>
      </c>
      <c r="B9495" s="2" t="s">
        <v>14689</v>
      </c>
      <c r="C9495" s="2" t="s">
        <v>23</v>
      </c>
      <c r="K9495" s="2">
        <v>1600.0</v>
      </c>
      <c r="N9495" s="6">
        <v>43045.0</v>
      </c>
      <c r="Q9495" s="2" t="s">
        <v>14690</v>
      </c>
    </row>
    <row r="9496">
      <c r="A9496" s="2">
        <v>9495.0</v>
      </c>
      <c r="B9496" s="2" t="s">
        <v>14691</v>
      </c>
      <c r="C9496" s="2" t="s">
        <v>23</v>
      </c>
      <c r="N9496" s="6">
        <v>44054.0</v>
      </c>
      <c r="Q9496" s="2" t="s">
        <v>86</v>
      </c>
    </row>
    <row r="9497">
      <c r="A9497" s="2">
        <v>9496.0</v>
      </c>
      <c r="B9497" s="2" t="s">
        <v>14692</v>
      </c>
      <c r="C9497" s="2" t="s">
        <v>23</v>
      </c>
      <c r="K9497" s="2">
        <v>10.0</v>
      </c>
      <c r="N9497" s="6">
        <v>44100.0</v>
      </c>
      <c r="Q9497" s="2" t="s">
        <v>2379</v>
      </c>
    </row>
    <row r="9498">
      <c r="A9498" s="2">
        <v>9497.0</v>
      </c>
      <c r="B9498" s="2" t="s">
        <v>14693</v>
      </c>
      <c r="C9498" s="2" t="s">
        <v>23</v>
      </c>
      <c r="K9498" s="2">
        <v>40.0</v>
      </c>
      <c r="N9498" s="6">
        <v>45245.0</v>
      </c>
      <c r="Q9498" s="2" t="s">
        <v>2886</v>
      </c>
    </row>
    <row r="9499">
      <c r="A9499" s="2">
        <v>9498.0</v>
      </c>
      <c r="B9499" s="2" t="s">
        <v>14694</v>
      </c>
      <c r="C9499" s="2" t="s">
        <v>23</v>
      </c>
      <c r="K9499" s="2">
        <v>30.0</v>
      </c>
      <c r="N9499" s="6">
        <v>45235.0</v>
      </c>
      <c r="Q9499" s="2" t="s">
        <v>4958</v>
      </c>
    </row>
    <row r="9500">
      <c r="A9500" s="2">
        <v>9499.0</v>
      </c>
      <c r="B9500" s="2" t="s">
        <v>14695</v>
      </c>
      <c r="C9500" s="2" t="s">
        <v>23</v>
      </c>
      <c r="K9500" s="2">
        <v>40.0</v>
      </c>
      <c r="N9500" s="6">
        <v>45650.0</v>
      </c>
      <c r="Q9500" s="2" t="s">
        <v>14696</v>
      </c>
    </row>
    <row r="9501">
      <c r="A9501" s="2">
        <v>9500.0</v>
      </c>
      <c r="B9501" s="2" t="s">
        <v>14697</v>
      </c>
      <c r="C9501" s="2" t="s">
        <v>23</v>
      </c>
      <c r="N9501" s="6">
        <v>44391.0</v>
      </c>
      <c r="Q9501" s="2" t="s">
        <v>86</v>
      </c>
    </row>
    <row r="9502">
      <c r="A9502" s="2">
        <v>9501.0</v>
      </c>
      <c r="B9502" s="2" t="s">
        <v>14698</v>
      </c>
      <c r="C9502" s="2" t="s">
        <v>23</v>
      </c>
      <c r="K9502" s="2">
        <v>50.0</v>
      </c>
      <c r="N9502" s="6">
        <v>44027.0</v>
      </c>
      <c r="Q9502" s="2" t="s">
        <v>14699</v>
      </c>
    </row>
    <row r="9503">
      <c r="A9503" s="2">
        <v>9502.0</v>
      </c>
      <c r="B9503" s="2" t="s">
        <v>14700</v>
      </c>
      <c r="C9503" s="2" t="s">
        <v>23</v>
      </c>
      <c r="K9503" s="2">
        <v>10.0</v>
      </c>
      <c r="N9503" s="6">
        <v>43918.0</v>
      </c>
      <c r="Q9503" s="2" t="s">
        <v>86</v>
      </c>
    </row>
    <row r="9504">
      <c r="A9504" s="2">
        <v>9503.0</v>
      </c>
      <c r="B9504" s="2" t="s">
        <v>14701</v>
      </c>
      <c r="C9504" s="2" t="s">
        <v>23</v>
      </c>
      <c r="K9504" s="2">
        <v>70.0</v>
      </c>
      <c r="N9504" s="6">
        <v>45373.0</v>
      </c>
      <c r="Q9504" s="2" t="s">
        <v>14702</v>
      </c>
    </row>
    <row r="9505">
      <c r="A9505" s="2">
        <v>9504.0</v>
      </c>
      <c r="B9505" s="2" t="s">
        <v>14703</v>
      </c>
      <c r="C9505" s="2" t="s">
        <v>23</v>
      </c>
      <c r="N9505" s="6">
        <v>44698.0</v>
      </c>
      <c r="Q9505" s="2" t="s">
        <v>86</v>
      </c>
    </row>
    <row r="9506">
      <c r="A9506" s="2">
        <v>9505.0</v>
      </c>
      <c r="B9506" s="2" t="s">
        <v>551</v>
      </c>
      <c r="C9506" s="2" t="s">
        <v>23</v>
      </c>
      <c r="N9506" s="6">
        <v>44021.0</v>
      </c>
      <c r="Q9506" s="2" t="s">
        <v>86</v>
      </c>
    </row>
    <row r="9507">
      <c r="A9507" s="2">
        <v>9506.0</v>
      </c>
      <c r="B9507" s="2" t="s">
        <v>14704</v>
      </c>
      <c r="C9507" s="2" t="s">
        <v>23</v>
      </c>
      <c r="K9507" s="2">
        <v>200.0</v>
      </c>
      <c r="N9507" s="6">
        <v>44348.0</v>
      </c>
      <c r="Q9507" s="2" t="s">
        <v>14705</v>
      </c>
    </row>
    <row r="9508">
      <c r="A9508" s="2">
        <v>9507.0</v>
      </c>
      <c r="B9508" s="2" t="s">
        <v>14706</v>
      </c>
      <c r="C9508" s="2" t="s">
        <v>23</v>
      </c>
      <c r="N9508" s="6">
        <v>45400.0</v>
      </c>
      <c r="Q9508" s="2" t="s">
        <v>14707</v>
      </c>
    </row>
    <row r="9509">
      <c r="A9509" s="2">
        <v>9508.0</v>
      </c>
      <c r="B9509" s="2" t="s">
        <v>14708</v>
      </c>
      <c r="C9509" s="2" t="s">
        <v>23</v>
      </c>
      <c r="K9509" s="2">
        <v>40.0</v>
      </c>
      <c r="N9509" s="6">
        <v>45339.0</v>
      </c>
      <c r="Q9509" s="2" t="s">
        <v>14709</v>
      </c>
    </row>
    <row r="9510">
      <c r="A9510" s="2">
        <v>9509.0</v>
      </c>
      <c r="B9510" s="2" t="s">
        <v>14710</v>
      </c>
      <c r="C9510" s="2" t="s">
        <v>23</v>
      </c>
      <c r="N9510" s="6">
        <v>45564.0</v>
      </c>
      <c r="Q9510" s="2" t="s">
        <v>3225</v>
      </c>
    </row>
    <row r="9511">
      <c r="A9511" s="2">
        <v>9510.0</v>
      </c>
      <c r="B9511" s="2" t="s">
        <v>14711</v>
      </c>
      <c r="C9511" s="2" t="s">
        <v>23</v>
      </c>
      <c r="K9511" s="2">
        <v>150.0</v>
      </c>
      <c r="N9511" s="6">
        <v>44632.0</v>
      </c>
      <c r="Q9511" s="2" t="s">
        <v>14712</v>
      </c>
    </row>
    <row r="9512">
      <c r="A9512" s="2">
        <v>9511.0</v>
      </c>
      <c r="B9512" s="2" t="s">
        <v>14713</v>
      </c>
      <c r="C9512" s="2" t="s">
        <v>23</v>
      </c>
      <c r="N9512" s="6">
        <v>44680.0</v>
      </c>
      <c r="Q9512" s="2" t="s">
        <v>86</v>
      </c>
    </row>
    <row r="9513">
      <c r="A9513" s="2">
        <v>9512.0</v>
      </c>
      <c r="B9513" s="2" t="s">
        <v>14714</v>
      </c>
      <c r="C9513" s="2" t="s">
        <v>23</v>
      </c>
      <c r="K9513" s="2">
        <v>150.0</v>
      </c>
      <c r="N9513" s="6">
        <v>44451.0</v>
      </c>
      <c r="Q9513" s="2" t="s">
        <v>14715</v>
      </c>
    </row>
    <row r="9514">
      <c r="A9514" s="2">
        <v>9513.0</v>
      </c>
      <c r="B9514" s="2" t="s">
        <v>14716</v>
      </c>
      <c r="C9514" s="2" t="s">
        <v>23</v>
      </c>
      <c r="N9514" s="6">
        <v>44027.0</v>
      </c>
      <c r="Q9514" s="2" t="s">
        <v>86</v>
      </c>
    </row>
    <row r="9515">
      <c r="A9515" s="2">
        <v>9514.0</v>
      </c>
      <c r="B9515" s="2" t="s">
        <v>14717</v>
      </c>
      <c r="C9515" s="2" t="s">
        <v>23</v>
      </c>
      <c r="N9515" s="6">
        <v>44118.0</v>
      </c>
      <c r="Q9515" s="2" t="s">
        <v>86</v>
      </c>
    </row>
    <row r="9516">
      <c r="A9516" s="2">
        <v>9515.0</v>
      </c>
      <c r="B9516" s="2" t="s">
        <v>14718</v>
      </c>
      <c r="C9516" s="2" t="s">
        <v>23</v>
      </c>
      <c r="K9516" s="2">
        <v>1600.0</v>
      </c>
      <c r="N9516" s="6">
        <v>42890.0</v>
      </c>
      <c r="Q9516" s="2" t="s">
        <v>14719</v>
      </c>
    </row>
    <row r="9517">
      <c r="A9517" s="2">
        <v>9516.0</v>
      </c>
      <c r="B9517" s="2" t="s">
        <v>14720</v>
      </c>
      <c r="C9517" s="2" t="s">
        <v>23</v>
      </c>
      <c r="K9517" s="2">
        <v>30.0</v>
      </c>
      <c r="N9517" s="6">
        <v>44116.0</v>
      </c>
      <c r="Q9517" s="2" t="s">
        <v>14721</v>
      </c>
    </row>
    <row r="9518">
      <c r="A9518" s="2">
        <v>9517.0</v>
      </c>
      <c r="B9518" s="2" t="s">
        <v>14722</v>
      </c>
      <c r="C9518" s="2" t="s">
        <v>23</v>
      </c>
      <c r="K9518" s="2">
        <v>100.0</v>
      </c>
      <c r="N9518" s="6">
        <v>44463.0</v>
      </c>
      <c r="Q9518" s="2" t="s">
        <v>14723</v>
      </c>
    </row>
    <row r="9519">
      <c r="A9519" s="2">
        <v>9518.0</v>
      </c>
      <c r="B9519" s="2" t="s">
        <v>14724</v>
      </c>
      <c r="C9519" s="2" t="s">
        <v>23</v>
      </c>
      <c r="K9519" s="2">
        <v>50.0</v>
      </c>
      <c r="N9519" s="6">
        <v>44126.0</v>
      </c>
      <c r="Q9519" s="2" t="s">
        <v>86</v>
      </c>
    </row>
    <row r="9520">
      <c r="A9520" s="2">
        <v>9519.0</v>
      </c>
      <c r="B9520" s="2" t="s">
        <v>14725</v>
      </c>
      <c r="C9520" s="2" t="s">
        <v>23</v>
      </c>
      <c r="K9520" s="2">
        <v>20.0</v>
      </c>
      <c r="N9520" s="6">
        <v>45754.0</v>
      </c>
      <c r="Q9520" s="2" t="s">
        <v>5017</v>
      </c>
    </row>
    <row r="9521">
      <c r="A9521" s="2">
        <v>9520.0</v>
      </c>
      <c r="B9521" s="2" t="s">
        <v>14726</v>
      </c>
      <c r="C9521" s="2" t="s">
        <v>23</v>
      </c>
      <c r="N9521" s="6">
        <v>45185.0</v>
      </c>
      <c r="Q9521" s="2" t="s">
        <v>1727</v>
      </c>
    </row>
    <row r="9522">
      <c r="A9522" s="2">
        <v>9521.0</v>
      </c>
      <c r="B9522" s="2" t="s">
        <v>14727</v>
      </c>
      <c r="C9522" s="2" t="s">
        <v>23</v>
      </c>
      <c r="N9522" s="6">
        <v>43913.0</v>
      </c>
      <c r="Q9522" s="2" t="s">
        <v>86</v>
      </c>
    </row>
    <row r="9523">
      <c r="A9523" s="2">
        <v>9522.0</v>
      </c>
      <c r="B9523" s="2" t="s">
        <v>14728</v>
      </c>
      <c r="C9523" s="2" t="s">
        <v>23</v>
      </c>
      <c r="K9523" s="2">
        <v>80.0</v>
      </c>
      <c r="N9523" s="6">
        <v>44733.0</v>
      </c>
      <c r="Q9523" s="2" t="s">
        <v>86</v>
      </c>
    </row>
    <row r="9524">
      <c r="A9524" s="2">
        <v>9523.0</v>
      </c>
      <c r="B9524" s="2" t="s">
        <v>14729</v>
      </c>
      <c r="C9524" s="2" t="s">
        <v>23</v>
      </c>
      <c r="N9524" s="6">
        <v>44848.0</v>
      </c>
      <c r="Q9524" s="2" t="s">
        <v>86</v>
      </c>
    </row>
    <row r="9525">
      <c r="A9525" s="2">
        <v>9524.0</v>
      </c>
      <c r="B9525" s="2" t="s">
        <v>14730</v>
      </c>
      <c r="C9525" s="2" t="s">
        <v>23</v>
      </c>
      <c r="K9525" s="2">
        <v>20.0</v>
      </c>
      <c r="N9525" s="6">
        <v>44700.0</v>
      </c>
      <c r="Q9525" s="2" t="s">
        <v>86</v>
      </c>
    </row>
    <row r="9526">
      <c r="A9526" s="2">
        <v>9525.0</v>
      </c>
      <c r="B9526" s="2" t="s">
        <v>14731</v>
      </c>
      <c r="C9526" s="2" t="s">
        <v>23</v>
      </c>
      <c r="N9526" s="6">
        <v>44723.0</v>
      </c>
      <c r="Q9526" s="2" t="s">
        <v>86</v>
      </c>
    </row>
    <row r="9527">
      <c r="A9527" s="2">
        <v>9526.0</v>
      </c>
      <c r="B9527" s="2" t="s">
        <v>14732</v>
      </c>
      <c r="C9527" s="2" t="s">
        <v>23</v>
      </c>
      <c r="K9527" s="2">
        <v>20.0</v>
      </c>
      <c r="N9527" s="6">
        <v>44568.0</v>
      </c>
      <c r="Q9527" s="2" t="s">
        <v>86</v>
      </c>
    </row>
    <row r="9528">
      <c r="A9528" s="2">
        <v>9527.0</v>
      </c>
      <c r="B9528" s="2" t="s">
        <v>14733</v>
      </c>
      <c r="C9528" s="2" t="s">
        <v>23</v>
      </c>
      <c r="N9528" s="6">
        <v>44655.0</v>
      </c>
      <c r="Q9528" s="2" t="s">
        <v>86</v>
      </c>
    </row>
    <row r="9529">
      <c r="A9529" s="2">
        <v>9528.0</v>
      </c>
      <c r="B9529" s="2" t="s">
        <v>14734</v>
      </c>
      <c r="C9529" s="2" t="s">
        <v>23</v>
      </c>
      <c r="N9529" s="6">
        <v>44198.0</v>
      </c>
      <c r="Q9529" s="2" t="s">
        <v>86</v>
      </c>
    </row>
    <row r="9530">
      <c r="A9530" s="2">
        <v>9529.0</v>
      </c>
      <c r="B9530" s="2" t="s">
        <v>14735</v>
      </c>
      <c r="C9530" s="2" t="s">
        <v>23</v>
      </c>
      <c r="N9530" s="6">
        <v>45649.0</v>
      </c>
      <c r="Q9530" s="2" t="s">
        <v>14736</v>
      </c>
    </row>
    <row r="9531">
      <c r="A9531" s="2">
        <v>9530.0</v>
      </c>
      <c r="B9531" s="2" t="s">
        <v>14737</v>
      </c>
      <c r="C9531" s="2" t="s">
        <v>23</v>
      </c>
      <c r="N9531" s="6">
        <v>45150.0</v>
      </c>
      <c r="Q9531" s="2" t="s">
        <v>1116</v>
      </c>
    </row>
    <row r="9532">
      <c r="A9532" s="2">
        <v>9531.0</v>
      </c>
      <c r="B9532" s="2" t="s">
        <v>14738</v>
      </c>
      <c r="C9532" s="2" t="s">
        <v>23</v>
      </c>
      <c r="K9532" s="2">
        <v>30.0</v>
      </c>
      <c r="N9532" s="6">
        <v>44087.0</v>
      </c>
      <c r="Q9532" s="2" t="s">
        <v>86</v>
      </c>
    </row>
    <row r="9533">
      <c r="A9533" s="2">
        <v>9532.0</v>
      </c>
      <c r="B9533" s="2" t="s">
        <v>14739</v>
      </c>
      <c r="C9533" s="2" t="s">
        <v>23</v>
      </c>
      <c r="K9533" s="2">
        <v>40.0</v>
      </c>
      <c r="N9533" s="6">
        <v>44434.0</v>
      </c>
      <c r="Q9533" s="2" t="s">
        <v>5202</v>
      </c>
    </row>
    <row r="9534">
      <c r="A9534" s="2">
        <v>9533.0</v>
      </c>
      <c r="B9534" s="2" t="s">
        <v>14740</v>
      </c>
      <c r="C9534" s="2" t="s">
        <v>23</v>
      </c>
      <c r="K9534" s="2">
        <v>80.0</v>
      </c>
      <c r="N9534" s="6">
        <v>44666.0</v>
      </c>
      <c r="Q9534" s="2" t="s">
        <v>14741</v>
      </c>
    </row>
    <row r="9535">
      <c r="A9535" s="2">
        <v>9534.0</v>
      </c>
      <c r="B9535" s="2" t="s">
        <v>14742</v>
      </c>
      <c r="C9535" s="2" t="s">
        <v>23</v>
      </c>
      <c r="N9535" s="6">
        <v>44774.0</v>
      </c>
      <c r="Q9535" s="2" t="s">
        <v>86</v>
      </c>
    </row>
    <row r="9536">
      <c r="A9536" s="2">
        <v>9535.0</v>
      </c>
      <c r="B9536" s="2" t="s">
        <v>14743</v>
      </c>
      <c r="C9536" s="2" t="s">
        <v>23</v>
      </c>
      <c r="K9536" s="2">
        <v>200.0</v>
      </c>
      <c r="N9536" s="6">
        <v>45707.0</v>
      </c>
      <c r="Q9536" s="2" t="s">
        <v>14744</v>
      </c>
    </row>
    <row r="9537">
      <c r="A9537" s="2">
        <v>9536.0</v>
      </c>
      <c r="B9537" s="2" t="s">
        <v>14745</v>
      </c>
      <c r="C9537" s="2" t="s">
        <v>23</v>
      </c>
      <c r="N9537" s="6">
        <v>45146.0</v>
      </c>
      <c r="Q9537" s="2" t="s">
        <v>86</v>
      </c>
    </row>
    <row r="9538">
      <c r="A9538" s="2">
        <v>9537.0</v>
      </c>
      <c r="B9538" s="2" t="s">
        <v>14746</v>
      </c>
      <c r="C9538" s="2" t="s">
        <v>23</v>
      </c>
      <c r="N9538" s="6">
        <v>43922.0</v>
      </c>
      <c r="Q9538" s="2" t="s">
        <v>1790</v>
      </c>
    </row>
    <row r="9539">
      <c r="A9539" s="2">
        <v>9538.0</v>
      </c>
      <c r="B9539" s="2" t="s">
        <v>14747</v>
      </c>
      <c r="C9539" s="2" t="s">
        <v>23</v>
      </c>
      <c r="K9539" s="2">
        <v>40.0</v>
      </c>
      <c r="N9539" s="6">
        <v>43843.0</v>
      </c>
      <c r="Q9539" s="2" t="s">
        <v>14748</v>
      </c>
    </row>
    <row r="9540">
      <c r="A9540" s="2">
        <v>9539.0</v>
      </c>
      <c r="B9540" s="2" t="s">
        <v>14749</v>
      </c>
      <c r="C9540" s="2" t="s">
        <v>23</v>
      </c>
      <c r="N9540" s="6">
        <v>44272.0</v>
      </c>
      <c r="Q9540" s="2" t="s">
        <v>86</v>
      </c>
    </row>
    <row r="9541">
      <c r="A9541" s="2">
        <v>9540.0</v>
      </c>
      <c r="B9541" s="2" t="s">
        <v>14750</v>
      </c>
      <c r="C9541" s="2" t="s">
        <v>23</v>
      </c>
      <c r="K9541" s="2">
        <v>700.0</v>
      </c>
      <c r="N9541" s="6">
        <v>43861.0</v>
      </c>
      <c r="Q9541" s="2" t="s">
        <v>14751</v>
      </c>
    </row>
    <row r="9542">
      <c r="A9542" s="2">
        <v>9541.0</v>
      </c>
      <c r="B9542" s="2" t="s">
        <v>14752</v>
      </c>
      <c r="C9542" s="2" t="s">
        <v>23</v>
      </c>
      <c r="K9542" s="2">
        <v>150.0</v>
      </c>
      <c r="N9542" s="6">
        <v>44332.0</v>
      </c>
      <c r="Q9542" s="2" t="s">
        <v>14753</v>
      </c>
    </row>
    <row r="9543">
      <c r="A9543" s="2">
        <v>9542.0</v>
      </c>
      <c r="B9543" s="2" t="s">
        <v>14754</v>
      </c>
      <c r="C9543" s="2" t="s">
        <v>23</v>
      </c>
      <c r="K9543" s="2">
        <v>40.0</v>
      </c>
      <c r="N9543" s="6">
        <v>45750.0</v>
      </c>
      <c r="Q9543" s="2" t="s">
        <v>2424</v>
      </c>
    </row>
    <row r="9544">
      <c r="A9544" s="2">
        <v>9543.0</v>
      </c>
      <c r="B9544" s="2" t="s">
        <v>14755</v>
      </c>
      <c r="C9544" s="2" t="s">
        <v>23</v>
      </c>
      <c r="K9544" s="2">
        <v>150.0</v>
      </c>
      <c r="N9544" s="6">
        <v>44463.0</v>
      </c>
      <c r="Q9544" s="2" t="s">
        <v>86</v>
      </c>
    </row>
    <row r="9545">
      <c r="A9545" s="2">
        <v>9544.0</v>
      </c>
      <c r="B9545" s="2" t="s">
        <v>14756</v>
      </c>
      <c r="C9545" s="2" t="s">
        <v>23</v>
      </c>
      <c r="N9545" s="6">
        <v>44228.0</v>
      </c>
      <c r="Q9545" s="2" t="s">
        <v>86</v>
      </c>
    </row>
    <row r="9546">
      <c r="A9546" s="2">
        <v>9545.0</v>
      </c>
      <c r="B9546" s="2" t="s">
        <v>14757</v>
      </c>
      <c r="C9546" s="2" t="s">
        <v>23</v>
      </c>
      <c r="K9546" s="2">
        <v>60.0</v>
      </c>
      <c r="N9546" s="6">
        <v>45137.0</v>
      </c>
      <c r="Q9546" s="2" t="s">
        <v>14758</v>
      </c>
    </row>
    <row r="9547">
      <c r="A9547" s="2">
        <v>9546.0</v>
      </c>
      <c r="B9547" s="2" t="s">
        <v>14759</v>
      </c>
      <c r="C9547" s="2" t="s">
        <v>23</v>
      </c>
      <c r="N9547" s="6">
        <v>43933.0</v>
      </c>
      <c r="Q9547" s="2" t="s">
        <v>86</v>
      </c>
    </row>
    <row r="9548">
      <c r="A9548" s="2">
        <v>9547.0</v>
      </c>
      <c r="B9548" s="2" t="s">
        <v>14760</v>
      </c>
      <c r="C9548" s="2" t="s">
        <v>23</v>
      </c>
      <c r="K9548" s="2">
        <v>10.0</v>
      </c>
      <c r="N9548" s="6">
        <v>42751.0</v>
      </c>
      <c r="Q9548" s="2" t="s">
        <v>86</v>
      </c>
    </row>
    <row r="9549">
      <c r="A9549" s="2">
        <v>9548.0</v>
      </c>
      <c r="B9549" s="2" t="s">
        <v>14761</v>
      </c>
      <c r="C9549" s="2" t="s">
        <v>23</v>
      </c>
      <c r="K9549" s="2">
        <v>150.0</v>
      </c>
      <c r="N9549" s="6">
        <v>43988.0</v>
      </c>
      <c r="Q9549" s="2" t="s">
        <v>14762</v>
      </c>
    </row>
    <row r="9550">
      <c r="A9550" s="2">
        <v>9549.0</v>
      </c>
      <c r="B9550" s="2" t="s">
        <v>14763</v>
      </c>
      <c r="C9550" s="2" t="s">
        <v>23</v>
      </c>
      <c r="N9550" s="6">
        <v>44844.0</v>
      </c>
      <c r="Q9550" s="2" t="s">
        <v>86</v>
      </c>
    </row>
    <row r="9551">
      <c r="A9551" s="2">
        <v>9550.0</v>
      </c>
      <c r="B9551" s="2" t="s">
        <v>14764</v>
      </c>
      <c r="C9551" s="2" t="s">
        <v>23</v>
      </c>
      <c r="N9551" s="6">
        <v>45568.0</v>
      </c>
      <c r="Q9551" s="2" t="s">
        <v>540</v>
      </c>
    </row>
    <row r="9552">
      <c r="A9552" s="2">
        <v>9551.0</v>
      </c>
      <c r="B9552" s="2" t="s">
        <v>14765</v>
      </c>
      <c r="C9552" s="2" t="s">
        <v>23</v>
      </c>
      <c r="K9552" s="2">
        <v>30.0</v>
      </c>
      <c r="N9552" s="6">
        <v>42506.0</v>
      </c>
      <c r="Q9552" s="2" t="s">
        <v>283</v>
      </c>
    </row>
    <row r="9553">
      <c r="A9553" s="2">
        <v>9552.0</v>
      </c>
      <c r="B9553" s="2" t="s">
        <v>14766</v>
      </c>
      <c r="C9553" s="2" t="s">
        <v>23</v>
      </c>
      <c r="K9553" s="2">
        <v>10.0</v>
      </c>
      <c r="N9553" s="6">
        <v>44824.0</v>
      </c>
      <c r="Q9553" s="2" t="s">
        <v>14767</v>
      </c>
    </row>
    <row r="9554">
      <c r="A9554" s="2">
        <v>9553.0</v>
      </c>
      <c r="B9554" s="2" t="s">
        <v>14768</v>
      </c>
      <c r="C9554" s="2" t="s">
        <v>23</v>
      </c>
      <c r="N9554" s="6">
        <v>43933.0</v>
      </c>
      <c r="Q9554" s="2" t="s">
        <v>1156</v>
      </c>
    </row>
    <row r="9555">
      <c r="A9555" s="2">
        <v>9554.0</v>
      </c>
      <c r="B9555" s="2" t="s">
        <v>14769</v>
      </c>
      <c r="C9555" s="2" t="s">
        <v>23</v>
      </c>
      <c r="N9555" s="6">
        <v>44124.0</v>
      </c>
      <c r="Q9555" s="2" t="s">
        <v>86</v>
      </c>
    </row>
    <row r="9556">
      <c r="A9556" s="2">
        <v>9555.0</v>
      </c>
      <c r="B9556" s="2" t="s">
        <v>14770</v>
      </c>
      <c r="C9556" s="2" t="s">
        <v>23</v>
      </c>
      <c r="N9556" s="6">
        <v>44782.0</v>
      </c>
      <c r="Q9556" s="2" t="s">
        <v>86</v>
      </c>
    </row>
    <row r="9557">
      <c r="A9557" s="2">
        <v>9556.0</v>
      </c>
      <c r="B9557" s="2" t="s">
        <v>14771</v>
      </c>
      <c r="C9557" s="2" t="s">
        <v>23</v>
      </c>
      <c r="K9557" s="2">
        <v>30.0</v>
      </c>
      <c r="N9557" s="6">
        <v>43985.0</v>
      </c>
      <c r="Q9557" s="2" t="s">
        <v>86</v>
      </c>
    </row>
    <row r="9558">
      <c r="A9558" s="2">
        <v>9557.0</v>
      </c>
      <c r="B9558" s="2" t="s">
        <v>14772</v>
      </c>
      <c r="C9558" s="2" t="s">
        <v>23</v>
      </c>
      <c r="K9558" s="2">
        <v>150.0</v>
      </c>
      <c r="N9558" s="6">
        <v>44332.0</v>
      </c>
      <c r="Q9558" s="2" t="s">
        <v>86</v>
      </c>
    </row>
    <row r="9559">
      <c r="A9559" s="2">
        <v>9558.0</v>
      </c>
      <c r="B9559" s="2" t="s">
        <v>14773</v>
      </c>
      <c r="C9559" s="2" t="s">
        <v>23</v>
      </c>
      <c r="K9559" s="2">
        <v>40.0</v>
      </c>
      <c r="N9559" s="6">
        <v>44045.0</v>
      </c>
      <c r="Q9559" s="2" t="s">
        <v>86</v>
      </c>
    </row>
    <row r="9560">
      <c r="A9560" s="2">
        <v>9559.0</v>
      </c>
      <c r="B9560" s="2" t="s">
        <v>14774</v>
      </c>
      <c r="C9560" s="2" t="s">
        <v>23</v>
      </c>
      <c r="K9560" s="2">
        <v>10.0</v>
      </c>
      <c r="N9560" s="6">
        <v>45487.0</v>
      </c>
      <c r="Q9560" s="2" t="s">
        <v>491</v>
      </c>
    </row>
    <row r="9561">
      <c r="A9561" s="2">
        <v>9560.0</v>
      </c>
      <c r="B9561" s="2" t="s">
        <v>14775</v>
      </c>
      <c r="C9561" s="2" t="s">
        <v>23</v>
      </c>
      <c r="K9561" s="2">
        <v>90.0</v>
      </c>
      <c r="N9561" s="6">
        <v>45663.0</v>
      </c>
      <c r="Q9561" s="2" t="s">
        <v>6889</v>
      </c>
    </row>
    <row r="9562">
      <c r="A9562" s="2">
        <v>9561.0</v>
      </c>
      <c r="B9562" s="2" t="s">
        <v>14776</v>
      </c>
      <c r="C9562" s="2" t="s">
        <v>23</v>
      </c>
      <c r="K9562" s="2">
        <v>350.0</v>
      </c>
      <c r="N9562" s="6">
        <v>43934.0</v>
      </c>
      <c r="Q9562" s="2" t="s">
        <v>14777</v>
      </c>
    </row>
    <row r="9563">
      <c r="A9563" s="2">
        <v>9562.0</v>
      </c>
      <c r="B9563" s="2" t="s">
        <v>14778</v>
      </c>
      <c r="C9563" s="2" t="s">
        <v>23</v>
      </c>
      <c r="K9563" s="2">
        <v>40.0</v>
      </c>
      <c r="N9563" s="6">
        <v>45722.0</v>
      </c>
      <c r="Q9563" s="2" t="s">
        <v>3355</v>
      </c>
    </row>
    <row r="9564">
      <c r="A9564" s="2">
        <v>9563.0</v>
      </c>
      <c r="B9564" s="2" t="s">
        <v>14779</v>
      </c>
      <c r="C9564" s="2" t="s">
        <v>23</v>
      </c>
      <c r="K9564" s="2">
        <v>20.0</v>
      </c>
      <c r="N9564" s="6">
        <v>44319.0</v>
      </c>
      <c r="Q9564" s="2" t="s">
        <v>86</v>
      </c>
    </row>
    <row r="9565">
      <c r="A9565" s="2">
        <v>9564.0</v>
      </c>
      <c r="B9565" s="2" t="s">
        <v>14780</v>
      </c>
      <c r="C9565" s="2" t="s">
        <v>23</v>
      </c>
      <c r="N9565" s="6">
        <v>45600.0</v>
      </c>
      <c r="Q9565" s="2" t="s">
        <v>14781</v>
      </c>
    </row>
    <row r="9566">
      <c r="A9566" s="2">
        <v>9565.0</v>
      </c>
      <c r="B9566" s="2" t="s">
        <v>14782</v>
      </c>
      <c r="C9566" s="2" t="s">
        <v>23</v>
      </c>
      <c r="K9566" s="2">
        <v>60.0</v>
      </c>
      <c r="N9566" s="6">
        <v>44014.0</v>
      </c>
      <c r="Q9566" s="2" t="s">
        <v>14783</v>
      </c>
    </row>
    <row r="9567">
      <c r="A9567" s="2">
        <v>9566.0</v>
      </c>
      <c r="B9567" s="2" t="s">
        <v>14784</v>
      </c>
      <c r="C9567" s="2" t="s">
        <v>23</v>
      </c>
      <c r="K9567" s="2">
        <v>40.0</v>
      </c>
      <c r="N9567" s="6">
        <v>44667.0</v>
      </c>
      <c r="Q9567" s="2" t="s">
        <v>14785</v>
      </c>
    </row>
    <row r="9568">
      <c r="A9568" s="2">
        <v>9567.0</v>
      </c>
      <c r="B9568" s="2" t="s">
        <v>14786</v>
      </c>
      <c r="C9568" s="2" t="s">
        <v>23</v>
      </c>
      <c r="K9568" s="2">
        <v>20.0</v>
      </c>
      <c r="N9568" s="6">
        <v>45359.0</v>
      </c>
      <c r="Q9568" s="2" t="s">
        <v>1070</v>
      </c>
    </row>
    <row r="9569">
      <c r="A9569" s="2">
        <v>9568.0</v>
      </c>
      <c r="B9569" s="2" t="s">
        <v>14787</v>
      </c>
      <c r="C9569" s="2" t="s">
        <v>23</v>
      </c>
      <c r="N9569" s="6">
        <v>44306.0</v>
      </c>
      <c r="Q9569" s="2" t="s">
        <v>86</v>
      </c>
    </row>
    <row r="9570">
      <c r="A9570" s="2">
        <v>9569.0</v>
      </c>
      <c r="B9570" s="2" t="s">
        <v>14788</v>
      </c>
      <c r="C9570" s="2" t="s">
        <v>23</v>
      </c>
      <c r="K9570" s="2">
        <v>250.0</v>
      </c>
      <c r="N9570" s="6">
        <v>45662.0</v>
      </c>
      <c r="Q9570" s="2" t="s">
        <v>14789</v>
      </c>
    </row>
    <row r="9571">
      <c r="A9571" s="2">
        <v>9570.0</v>
      </c>
      <c r="B9571" s="2" t="s">
        <v>14790</v>
      </c>
      <c r="C9571" s="2" t="s">
        <v>23</v>
      </c>
      <c r="K9571" s="2">
        <v>150.0</v>
      </c>
      <c r="N9571" s="6">
        <v>43873.0</v>
      </c>
      <c r="Q9571" s="2" t="s">
        <v>14791</v>
      </c>
    </row>
    <row r="9572">
      <c r="A9572" s="2">
        <v>9571.0</v>
      </c>
      <c r="B9572" s="2" t="s">
        <v>14792</v>
      </c>
      <c r="C9572" s="2" t="s">
        <v>23</v>
      </c>
      <c r="K9572" s="2">
        <v>50.0</v>
      </c>
      <c r="N9572" s="6">
        <v>44869.0</v>
      </c>
      <c r="Q9572" s="2" t="s">
        <v>401</v>
      </c>
    </row>
    <row r="9573">
      <c r="A9573" s="2">
        <v>9572.0</v>
      </c>
      <c r="B9573" s="2" t="s">
        <v>14793</v>
      </c>
      <c r="C9573" s="2" t="s">
        <v>23</v>
      </c>
      <c r="K9573" s="2">
        <v>50.0</v>
      </c>
      <c r="N9573" s="6">
        <v>45750.0</v>
      </c>
      <c r="Q9573" s="2" t="s">
        <v>14794</v>
      </c>
    </row>
    <row r="9574">
      <c r="A9574" s="2">
        <v>9573.0</v>
      </c>
      <c r="B9574" s="2" t="s">
        <v>14795</v>
      </c>
      <c r="C9574" s="2" t="s">
        <v>23</v>
      </c>
      <c r="K9574" s="2">
        <v>20.0</v>
      </c>
      <c r="N9574" s="6">
        <v>44490.0</v>
      </c>
      <c r="Q9574" s="2" t="s">
        <v>1116</v>
      </c>
    </row>
    <row r="9575">
      <c r="A9575" s="2">
        <v>9574.0</v>
      </c>
      <c r="B9575" s="2" t="s">
        <v>14796</v>
      </c>
      <c r="C9575" s="2" t="s">
        <v>23</v>
      </c>
      <c r="K9575" s="2">
        <v>150.0</v>
      </c>
      <c r="N9575" s="6">
        <v>45490.0</v>
      </c>
      <c r="Q9575" s="2" t="s">
        <v>14797</v>
      </c>
    </row>
    <row r="9576">
      <c r="A9576" s="2">
        <v>9575.0</v>
      </c>
      <c r="B9576" s="2" t="s">
        <v>14798</v>
      </c>
      <c r="C9576" s="2" t="s">
        <v>23</v>
      </c>
      <c r="K9576" s="2">
        <v>10.0</v>
      </c>
      <c r="N9576" s="6">
        <v>43985.0</v>
      </c>
      <c r="Q9576" s="2" t="s">
        <v>491</v>
      </c>
    </row>
    <row r="9577">
      <c r="A9577" s="2">
        <v>9576.0</v>
      </c>
      <c r="B9577" s="2" t="s">
        <v>14799</v>
      </c>
      <c r="C9577" s="2" t="s">
        <v>23</v>
      </c>
      <c r="N9577" s="6">
        <v>43944.0</v>
      </c>
      <c r="Q9577" s="2" t="s">
        <v>86</v>
      </c>
    </row>
    <row r="9578">
      <c r="A9578" s="2">
        <v>9577.0</v>
      </c>
      <c r="B9578" s="2" t="s">
        <v>14800</v>
      </c>
      <c r="C9578" s="2" t="s">
        <v>23</v>
      </c>
      <c r="K9578" s="2">
        <v>100.0</v>
      </c>
      <c r="N9578" s="6">
        <v>45559.0</v>
      </c>
      <c r="Q9578" s="2" t="s">
        <v>14801</v>
      </c>
    </row>
    <row r="9579">
      <c r="A9579" s="2">
        <v>9578.0</v>
      </c>
      <c r="B9579" s="2" t="s">
        <v>14802</v>
      </c>
      <c r="C9579" s="2" t="s">
        <v>23</v>
      </c>
      <c r="N9579" s="6">
        <v>43846.0</v>
      </c>
      <c r="Q9579" s="2" t="s">
        <v>86</v>
      </c>
    </row>
    <row r="9580">
      <c r="A9580" s="2">
        <v>9579.0</v>
      </c>
      <c r="B9580" s="2" t="s">
        <v>14803</v>
      </c>
      <c r="C9580" s="2" t="s">
        <v>23</v>
      </c>
      <c r="K9580" s="2">
        <v>100.0</v>
      </c>
      <c r="N9580" s="6">
        <v>45239.0</v>
      </c>
      <c r="Q9580" s="2" t="s">
        <v>14804</v>
      </c>
    </row>
    <row r="9581">
      <c r="A9581" s="2">
        <v>9580.0</v>
      </c>
      <c r="B9581" s="2" t="s">
        <v>14805</v>
      </c>
      <c r="C9581" s="2" t="s">
        <v>23</v>
      </c>
      <c r="K9581" s="2">
        <v>10.0</v>
      </c>
      <c r="N9581" s="6">
        <v>44250.0</v>
      </c>
      <c r="Q9581" s="2" t="s">
        <v>14806</v>
      </c>
    </row>
    <row r="9582">
      <c r="A9582" s="2">
        <v>9581.0</v>
      </c>
      <c r="B9582" s="2" t="s">
        <v>14807</v>
      </c>
      <c r="C9582" s="2" t="s">
        <v>23</v>
      </c>
      <c r="K9582" s="2">
        <v>90.0</v>
      </c>
      <c r="N9582" s="6">
        <v>45029.0</v>
      </c>
      <c r="Q9582" s="2" t="s">
        <v>2731</v>
      </c>
    </row>
    <row r="9583">
      <c r="A9583" s="2">
        <v>9582.0</v>
      </c>
      <c r="B9583" s="2" t="s">
        <v>14808</v>
      </c>
      <c r="C9583" s="2" t="s">
        <v>23</v>
      </c>
      <c r="N9583" s="6">
        <v>44662.0</v>
      </c>
      <c r="Q9583" s="2" t="s">
        <v>86</v>
      </c>
    </row>
    <row r="9584">
      <c r="A9584" s="2">
        <v>9583.0</v>
      </c>
      <c r="B9584" s="2" t="s">
        <v>14809</v>
      </c>
      <c r="C9584" s="2" t="s">
        <v>23</v>
      </c>
      <c r="K9584" s="2">
        <v>40.0</v>
      </c>
      <c r="N9584" s="6">
        <v>43846.0</v>
      </c>
      <c r="Q9584" s="2" t="s">
        <v>14810</v>
      </c>
    </row>
    <row r="9585">
      <c r="A9585" s="2">
        <v>9584.0</v>
      </c>
      <c r="B9585" s="2" t="s">
        <v>14811</v>
      </c>
      <c r="C9585" s="2" t="s">
        <v>23</v>
      </c>
      <c r="N9585" s="6">
        <v>44683.0</v>
      </c>
      <c r="Q9585" s="2" t="s">
        <v>86</v>
      </c>
    </row>
    <row r="9586">
      <c r="A9586" s="2">
        <v>9585.0</v>
      </c>
      <c r="B9586" s="2" t="s">
        <v>14812</v>
      </c>
      <c r="C9586" s="2" t="s">
        <v>23</v>
      </c>
      <c r="N9586" s="6">
        <v>44536.0</v>
      </c>
      <c r="Q9586" s="2" t="s">
        <v>86</v>
      </c>
    </row>
    <row r="9587">
      <c r="A9587" s="2">
        <v>9586.0</v>
      </c>
      <c r="B9587" s="2" t="s">
        <v>14813</v>
      </c>
      <c r="C9587" s="2" t="s">
        <v>23</v>
      </c>
      <c r="K9587" s="2">
        <v>10.0</v>
      </c>
      <c r="N9587" s="6">
        <v>44379.0</v>
      </c>
      <c r="Q9587" s="2" t="s">
        <v>14814</v>
      </c>
    </row>
    <row r="9588">
      <c r="A9588" s="2">
        <v>9587.0</v>
      </c>
      <c r="B9588" s="2" t="s">
        <v>14815</v>
      </c>
      <c r="C9588" s="2" t="s">
        <v>23</v>
      </c>
      <c r="K9588" s="2">
        <v>10.0</v>
      </c>
      <c r="N9588" s="6">
        <v>45690.0</v>
      </c>
      <c r="Q9588" s="2" t="s">
        <v>14816</v>
      </c>
    </row>
    <row r="9589">
      <c r="A9589" s="2">
        <v>9588.0</v>
      </c>
      <c r="B9589" s="2" t="s">
        <v>14817</v>
      </c>
      <c r="C9589" s="2" t="s">
        <v>23</v>
      </c>
      <c r="N9589" s="6">
        <v>44847.0</v>
      </c>
      <c r="Q9589" s="2" t="s">
        <v>86</v>
      </c>
    </row>
    <row r="9590">
      <c r="A9590" s="2">
        <v>9589.0</v>
      </c>
      <c r="B9590" s="2" t="s">
        <v>14818</v>
      </c>
      <c r="C9590" s="2" t="s">
        <v>23</v>
      </c>
      <c r="N9590" s="6">
        <v>45509.0</v>
      </c>
      <c r="Q9590" s="2" t="s">
        <v>14819</v>
      </c>
    </row>
    <row r="9591">
      <c r="A9591" s="2">
        <v>9590.0</v>
      </c>
      <c r="B9591" s="2" t="s">
        <v>14820</v>
      </c>
      <c r="C9591" s="2" t="s">
        <v>23</v>
      </c>
      <c r="K9591" s="2">
        <v>70.0</v>
      </c>
      <c r="N9591" s="6">
        <v>43846.0</v>
      </c>
      <c r="Q9591" s="2" t="s">
        <v>5417</v>
      </c>
    </row>
    <row r="9592">
      <c r="A9592" s="2">
        <v>9591.0</v>
      </c>
      <c r="B9592" s="2" t="s">
        <v>14821</v>
      </c>
      <c r="C9592" s="2" t="s">
        <v>23</v>
      </c>
      <c r="K9592" s="2">
        <v>70.0</v>
      </c>
      <c r="N9592" s="6">
        <v>44590.0</v>
      </c>
      <c r="Q9592" s="2" t="s">
        <v>1156</v>
      </c>
    </row>
    <row r="9593">
      <c r="A9593" s="2">
        <v>9592.0</v>
      </c>
      <c r="B9593" s="2" t="s">
        <v>14822</v>
      </c>
      <c r="C9593" s="2" t="s">
        <v>23</v>
      </c>
      <c r="N9593" s="6">
        <v>43312.0</v>
      </c>
      <c r="Q9593" s="2" t="s">
        <v>14823</v>
      </c>
    </row>
    <row r="9594">
      <c r="A9594" s="2">
        <v>9593.0</v>
      </c>
      <c r="B9594" s="2" t="s">
        <v>14824</v>
      </c>
      <c r="C9594" s="2" t="s">
        <v>23</v>
      </c>
      <c r="N9594" s="6">
        <v>45190.0</v>
      </c>
      <c r="Q9594" s="2" t="s">
        <v>1562</v>
      </c>
    </row>
    <row r="9595">
      <c r="A9595" s="2">
        <v>9594.0</v>
      </c>
      <c r="B9595" s="2" t="s">
        <v>14825</v>
      </c>
      <c r="C9595" s="2" t="s">
        <v>23</v>
      </c>
      <c r="N9595" s="6">
        <v>44804.0</v>
      </c>
      <c r="Q9595" s="2" t="s">
        <v>86</v>
      </c>
    </row>
    <row r="9596">
      <c r="A9596" s="2">
        <v>9595.0</v>
      </c>
      <c r="B9596" s="2" t="s">
        <v>14826</v>
      </c>
      <c r="C9596" s="2" t="s">
        <v>23</v>
      </c>
      <c r="K9596" s="2">
        <v>30.0</v>
      </c>
      <c r="N9596" s="6">
        <v>43433.0</v>
      </c>
      <c r="Q9596" s="2" t="s">
        <v>14827</v>
      </c>
    </row>
    <row r="9597">
      <c r="A9597" s="2">
        <v>9596.0</v>
      </c>
      <c r="B9597" s="2" t="s">
        <v>14828</v>
      </c>
      <c r="C9597" s="2" t="s">
        <v>23</v>
      </c>
      <c r="K9597" s="2">
        <v>10.0</v>
      </c>
      <c r="N9597" s="6">
        <v>42817.0</v>
      </c>
      <c r="Q9597" s="2" t="s">
        <v>14829</v>
      </c>
    </row>
    <row r="9598">
      <c r="A9598" s="2">
        <v>9597.0</v>
      </c>
      <c r="B9598" s="2" t="s">
        <v>14830</v>
      </c>
      <c r="C9598" s="2" t="s">
        <v>23</v>
      </c>
      <c r="N9598" s="6">
        <v>45274.0</v>
      </c>
      <c r="Q9598" s="2" t="s">
        <v>2686</v>
      </c>
    </row>
    <row r="9599">
      <c r="A9599" s="2">
        <v>9598.0</v>
      </c>
      <c r="B9599" s="2" t="s">
        <v>14831</v>
      </c>
      <c r="C9599" s="2" t="s">
        <v>23</v>
      </c>
      <c r="K9599" s="2">
        <v>10.0</v>
      </c>
      <c r="N9599" s="6">
        <v>45126.0</v>
      </c>
      <c r="Q9599" s="2" t="s">
        <v>12092</v>
      </c>
    </row>
    <row r="9600">
      <c r="A9600" s="2">
        <v>9599.0</v>
      </c>
      <c r="B9600" s="2" t="s">
        <v>14832</v>
      </c>
      <c r="C9600" s="2" t="s">
        <v>23</v>
      </c>
      <c r="K9600" s="2">
        <v>150.0</v>
      </c>
      <c r="N9600" s="6">
        <v>44003.0</v>
      </c>
      <c r="Q9600" s="2" t="s">
        <v>14833</v>
      </c>
    </row>
    <row r="9601">
      <c r="A9601" s="2">
        <v>9600.0</v>
      </c>
      <c r="B9601" s="2" t="s">
        <v>14834</v>
      </c>
      <c r="C9601" s="2" t="s">
        <v>23</v>
      </c>
      <c r="N9601" s="6">
        <v>44465.0</v>
      </c>
      <c r="Q9601" s="2" t="s">
        <v>86</v>
      </c>
    </row>
    <row r="9602">
      <c r="A9602" s="2">
        <v>9601.0</v>
      </c>
      <c r="B9602" s="2" t="s">
        <v>14835</v>
      </c>
      <c r="C9602" s="2" t="s">
        <v>23</v>
      </c>
      <c r="K9602" s="2">
        <v>20.0</v>
      </c>
      <c r="N9602" s="6">
        <v>43889.0</v>
      </c>
      <c r="Q9602" s="2" t="s">
        <v>235</v>
      </c>
    </row>
    <row r="9603">
      <c r="A9603" s="2">
        <v>9602.0</v>
      </c>
      <c r="B9603" s="2" t="s">
        <v>14836</v>
      </c>
      <c r="C9603" s="2" t="s">
        <v>23</v>
      </c>
      <c r="K9603" s="2">
        <v>10.0</v>
      </c>
      <c r="N9603" s="6">
        <v>45292.0</v>
      </c>
      <c r="Q9603" s="2" t="s">
        <v>3548</v>
      </c>
    </row>
    <row r="9604">
      <c r="A9604" s="2">
        <v>9603.0</v>
      </c>
      <c r="B9604" s="2" t="s">
        <v>14837</v>
      </c>
      <c r="C9604" s="2" t="s">
        <v>23</v>
      </c>
      <c r="K9604" s="2">
        <v>30.0</v>
      </c>
      <c r="N9604" s="6">
        <v>44977.0</v>
      </c>
      <c r="Q9604" s="2" t="s">
        <v>3690</v>
      </c>
    </row>
    <row r="9605">
      <c r="A9605" s="2">
        <v>9604.0</v>
      </c>
      <c r="B9605" s="2" t="s">
        <v>14838</v>
      </c>
      <c r="C9605" s="2" t="s">
        <v>23</v>
      </c>
      <c r="K9605" s="2">
        <v>20.0</v>
      </c>
      <c r="N9605" s="6">
        <v>44672.0</v>
      </c>
      <c r="Q9605" s="2" t="s">
        <v>1466</v>
      </c>
    </row>
    <row r="9606">
      <c r="A9606" s="2">
        <v>9605.0</v>
      </c>
      <c r="B9606" s="2" t="s">
        <v>14839</v>
      </c>
      <c r="C9606" s="2" t="s">
        <v>23</v>
      </c>
      <c r="N9606" s="6">
        <v>45554.0</v>
      </c>
      <c r="Q9606" s="2" t="s">
        <v>1131</v>
      </c>
    </row>
    <row r="9607">
      <c r="A9607" s="2">
        <v>9606.0</v>
      </c>
      <c r="B9607" s="2" t="s">
        <v>14840</v>
      </c>
      <c r="C9607" s="2" t="s">
        <v>23</v>
      </c>
      <c r="K9607" s="2">
        <v>10.0</v>
      </c>
      <c r="N9607" s="6">
        <v>44098.0</v>
      </c>
      <c r="Q9607" s="2" t="s">
        <v>86</v>
      </c>
    </row>
    <row r="9608">
      <c r="A9608" s="2">
        <v>9607.0</v>
      </c>
      <c r="B9608" s="2" t="s">
        <v>14841</v>
      </c>
      <c r="C9608" s="2" t="s">
        <v>23</v>
      </c>
      <c r="K9608" s="2">
        <v>40.0</v>
      </c>
      <c r="N9608" s="6">
        <v>43869.0</v>
      </c>
      <c r="Q9608" s="2" t="s">
        <v>86</v>
      </c>
    </row>
    <row r="9609">
      <c r="A9609" s="2">
        <v>9608.0</v>
      </c>
      <c r="B9609" s="2" t="s">
        <v>14842</v>
      </c>
      <c r="C9609" s="2" t="s">
        <v>23</v>
      </c>
      <c r="K9609" s="2">
        <v>300.0</v>
      </c>
      <c r="N9609" s="6">
        <v>43941.0</v>
      </c>
      <c r="Q9609" s="2" t="s">
        <v>14843</v>
      </c>
    </row>
    <row r="9610">
      <c r="A9610" s="2">
        <v>9609.0</v>
      </c>
      <c r="B9610" s="2" t="s">
        <v>14844</v>
      </c>
      <c r="C9610" s="2" t="s">
        <v>23</v>
      </c>
      <c r="K9610" s="2">
        <v>20.0</v>
      </c>
      <c r="N9610" s="6">
        <v>44046.0</v>
      </c>
      <c r="Q9610" s="2" t="s">
        <v>1790</v>
      </c>
    </row>
    <row r="9611">
      <c r="A9611" s="2">
        <v>9610.0</v>
      </c>
      <c r="B9611" s="2" t="s">
        <v>14845</v>
      </c>
      <c r="C9611" s="2" t="s">
        <v>23</v>
      </c>
      <c r="K9611" s="2">
        <v>30.0</v>
      </c>
      <c r="N9611" s="6">
        <v>44477.0</v>
      </c>
      <c r="Q9611" s="2" t="s">
        <v>11178</v>
      </c>
    </row>
    <row r="9612">
      <c r="A9612" s="2">
        <v>9611.0</v>
      </c>
      <c r="B9612" s="2" t="s">
        <v>14846</v>
      </c>
      <c r="C9612" s="2" t="s">
        <v>23</v>
      </c>
      <c r="N9612" s="6">
        <v>44037.0</v>
      </c>
      <c r="Q9612" s="2" t="s">
        <v>86</v>
      </c>
    </row>
    <row r="9613">
      <c r="A9613" s="2">
        <v>9612.0</v>
      </c>
      <c r="B9613" s="2" t="s">
        <v>14847</v>
      </c>
      <c r="C9613" s="2" t="s">
        <v>23</v>
      </c>
      <c r="N9613" s="6">
        <v>44252.0</v>
      </c>
      <c r="Q9613" s="2" t="s">
        <v>86</v>
      </c>
    </row>
    <row r="9614">
      <c r="A9614" s="2">
        <v>9613.0</v>
      </c>
      <c r="B9614" s="2" t="s">
        <v>14848</v>
      </c>
      <c r="C9614" s="2" t="s">
        <v>23</v>
      </c>
      <c r="K9614" s="2">
        <v>40.0</v>
      </c>
      <c r="N9614" s="6">
        <v>43842.0</v>
      </c>
      <c r="Q9614" s="2" t="s">
        <v>14849</v>
      </c>
    </row>
    <row r="9615">
      <c r="A9615" s="2">
        <v>9614.0</v>
      </c>
      <c r="B9615" s="2" t="s">
        <v>14850</v>
      </c>
      <c r="C9615" s="2" t="s">
        <v>23</v>
      </c>
      <c r="K9615" s="2">
        <v>10.0</v>
      </c>
      <c r="N9615" s="6">
        <v>44545.0</v>
      </c>
      <c r="Q9615" s="2" t="s">
        <v>86</v>
      </c>
    </row>
    <row r="9616">
      <c r="A9616" s="2">
        <v>9615.0</v>
      </c>
      <c r="B9616" s="2" t="s">
        <v>14851</v>
      </c>
      <c r="C9616" s="2" t="s">
        <v>23</v>
      </c>
      <c r="N9616" s="6">
        <v>46007.0</v>
      </c>
      <c r="Q9616" s="2" t="s">
        <v>14852</v>
      </c>
    </row>
    <row r="9617">
      <c r="A9617" s="2">
        <v>9616.0</v>
      </c>
      <c r="B9617" s="2" t="s">
        <v>14853</v>
      </c>
      <c r="C9617" s="2" t="s">
        <v>23</v>
      </c>
      <c r="K9617" s="2">
        <v>40.0</v>
      </c>
      <c r="N9617" s="6">
        <v>44610.0</v>
      </c>
      <c r="Q9617" s="2" t="s">
        <v>3122</v>
      </c>
    </row>
    <row r="9618">
      <c r="A9618" s="2">
        <v>9617.0</v>
      </c>
      <c r="B9618" s="2" t="s">
        <v>14854</v>
      </c>
      <c r="C9618" s="2" t="s">
        <v>23</v>
      </c>
      <c r="K9618" s="2">
        <v>10.0</v>
      </c>
      <c r="N9618" s="6">
        <v>44979.0</v>
      </c>
      <c r="Q9618" s="2" t="s">
        <v>14855</v>
      </c>
    </row>
    <row r="9619">
      <c r="A9619" s="2">
        <v>9618.0</v>
      </c>
      <c r="B9619" s="2" t="s">
        <v>14856</v>
      </c>
      <c r="C9619" s="2" t="s">
        <v>23</v>
      </c>
      <c r="K9619" s="2">
        <v>20.0</v>
      </c>
      <c r="N9619" s="6">
        <v>43859.0</v>
      </c>
      <c r="Q9619" s="2" t="s">
        <v>86</v>
      </c>
    </row>
    <row r="9620">
      <c r="A9620" s="2">
        <v>9619.0</v>
      </c>
      <c r="B9620" s="2" t="s">
        <v>14857</v>
      </c>
      <c r="C9620" s="2" t="s">
        <v>23</v>
      </c>
      <c r="K9620" s="2">
        <v>20.0</v>
      </c>
      <c r="N9620" s="6">
        <v>44792.0</v>
      </c>
      <c r="Q9620" s="2" t="s">
        <v>14858</v>
      </c>
    </row>
    <row r="9621">
      <c r="A9621" s="2">
        <v>9620.0</v>
      </c>
      <c r="B9621" s="2" t="s">
        <v>14859</v>
      </c>
      <c r="C9621" s="2" t="s">
        <v>23</v>
      </c>
      <c r="K9621" s="2">
        <v>10.0</v>
      </c>
      <c r="N9621" s="6">
        <v>44788.0</v>
      </c>
      <c r="Q9621" s="2" t="s">
        <v>86</v>
      </c>
    </row>
    <row r="9622">
      <c r="A9622" s="2">
        <v>9621.0</v>
      </c>
      <c r="B9622" s="2" t="s">
        <v>554</v>
      </c>
      <c r="C9622" s="2" t="s">
        <v>23</v>
      </c>
      <c r="N9622" s="6">
        <v>45440.0</v>
      </c>
      <c r="Q9622" s="2" t="s">
        <v>557</v>
      </c>
    </row>
    <row r="9623">
      <c r="A9623" s="2">
        <v>9622.0</v>
      </c>
      <c r="B9623" s="2" t="s">
        <v>14860</v>
      </c>
      <c r="C9623" s="2" t="s">
        <v>23</v>
      </c>
      <c r="N9623" s="6">
        <v>44406.0</v>
      </c>
      <c r="Q9623" s="2" t="s">
        <v>86</v>
      </c>
    </row>
    <row r="9624">
      <c r="A9624" s="2">
        <v>9623.0</v>
      </c>
      <c r="B9624" s="2" t="s">
        <v>14861</v>
      </c>
      <c r="C9624" s="2" t="s">
        <v>23</v>
      </c>
      <c r="K9624" s="2">
        <v>200.0</v>
      </c>
      <c r="N9624" s="6">
        <v>43875.0</v>
      </c>
      <c r="Q9624" s="2" t="s">
        <v>14862</v>
      </c>
    </row>
    <row r="9625">
      <c r="A9625" s="2">
        <v>9624.0</v>
      </c>
      <c r="B9625" s="2" t="s">
        <v>14863</v>
      </c>
      <c r="C9625" s="2" t="s">
        <v>23</v>
      </c>
      <c r="K9625" s="2">
        <v>50.0</v>
      </c>
      <c r="N9625" s="6">
        <v>43997.0</v>
      </c>
      <c r="Q9625" s="2" t="s">
        <v>14864</v>
      </c>
    </row>
    <row r="9626">
      <c r="A9626" s="2">
        <v>9625.0</v>
      </c>
      <c r="B9626" s="2" t="s">
        <v>14865</v>
      </c>
      <c r="C9626" s="2" t="s">
        <v>23</v>
      </c>
      <c r="N9626" s="6">
        <v>42291.0</v>
      </c>
      <c r="Q9626" s="2" t="s">
        <v>14866</v>
      </c>
    </row>
    <row r="9627">
      <c r="A9627" s="2">
        <v>9626.0</v>
      </c>
      <c r="B9627" s="2" t="s">
        <v>14867</v>
      </c>
      <c r="C9627" s="2" t="s">
        <v>23</v>
      </c>
      <c r="K9627" s="2">
        <v>60.0</v>
      </c>
      <c r="N9627" s="6">
        <v>42349.0</v>
      </c>
      <c r="Q9627" s="2" t="s">
        <v>14868</v>
      </c>
    </row>
    <row r="9628">
      <c r="A9628" s="2">
        <v>9627.0</v>
      </c>
      <c r="B9628" s="2" t="s">
        <v>14869</v>
      </c>
      <c r="C9628" s="2" t="s">
        <v>23</v>
      </c>
      <c r="K9628" s="2">
        <v>40.0</v>
      </c>
      <c r="N9628" s="6">
        <v>45669.0</v>
      </c>
      <c r="Q9628" s="2" t="s">
        <v>6366</v>
      </c>
    </row>
    <row r="9629">
      <c r="A9629" s="2">
        <v>9628.0</v>
      </c>
      <c r="B9629" s="2" t="s">
        <v>14870</v>
      </c>
      <c r="C9629" s="2" t="s">
        <v>23</v>
      </c>
      <c r="N9629" s="6">
        <v>45603.0</v>
      </c>
      <c r="Q9629" s="2" t="s">
        <v>13809</v>
      </c>
    </row>
    <row r="9630">
      <c r="A9630" s="2">
        <v>9629.0</v>
      </c>
      <c r="B9630" s="2" t="s">
        <v>14871</v>
      </c>
      <c r="C9630" s="2" t="s">
        <v>23</v>
      </c>
      <c r="K9630" s="2">
        <v>30.0</v>
      </c>
      <c r="N9630" s="6">
        <v>43878.0</v>
      </c>
      <c r="Q9630" s="2" t="s">
        <v>86</v>
      </c>
    </row>
    <row r="9631">
      <c r="A9631" s="2">
        <v>9630.0</v>
      </c>
      <c r="B9631" s="2" t="s">
        <v>14872</v>
      </c>
      <c r="C9631" s="2" t="s">
        <v>23</v>
      </c>
      <c r="K9631" s="2">
        <v>20.0</v>
      </c>
      <c r="N9631" s="6">
        <v>43868.0</v>
      </c>
      <c r="Q9631" s="2" t="s">
        <v>86</v>
      </c>
    </row>
    <row r="9632">
      <c r="A9632" s="2">
        <v>9631.0</v>
      </c>
      <c r="B9632" s="2" t="s">
        <v>14873</v>
      </c>
      <c r="C9632" s="2" t="s">
        <v>23</v>
      </c>
      <c r="K9632" s="2">
        <v>150.0</v>
      </c>
      <c r="N9632" s="6">
        <v>44174.0</v>
      </c>
      <c r="Q9632" s="2" t="s">
        <v>14874</v>
      </c>
    </row>
    <row r="9633">
      <c r="A9633" s="2">
        <v>9632.0</v>
      </c>
      <c r="B9633" s="2" t="s">
        <v>14875</v>
      </c>
      <c r="C9633" s="2" t="s">
        <v>23</v>
      </c>
      <c r="K9633" s="2">
        <v>30.0</v>
      </c>
      <c r="N9633" s="6">
        <v>44244.0</v>
      </c>
      <c r="Q9633" s="2" t="s">
        <v>14876</v>
      </c>
    </row>
    <row r="9634">
      <c r="A9634" s="2">
        <v>9633.0</v>
      </c>
      <c r="B9634" s="2" t="s">
        <v>14877</v>
      </c>
      <c r="C9634" s="2" t="s">
        <v>23</v>
      </c>
      <c r="K9634" s="2">
        <v>20.0</v>
      </c>
      <c r="N9634" s="6">
        <v>44530.0</v>
      </c>
      <c r="Q9634" s="2" t="s">
        <v>3328</v>
      </c>
    </row>
    <row r="9635">
      <c r="A9635" s="2">
        <v>9634.0</v>
      </c>
      <c r="B9635" s="2" t="s">
        <v>14878</v>
      </c>
      <c r="C9635" s="2" t="s">
        <v>23</v>
      </c>
      <c r="K9635" s="2">
        <v>70.0</v>
      </c>
      <c r="N9635" s="6">
        <v>45406.0</v>
      </c>
      <c r="Q9635" s="2" t="s">
        <v>4227</v>
      </c>
    </row>
    <row r="9636">
      <c r="A9636" s="2">
        <v>9635.0</v>
      </c>
      <c r="B9636" s="2" t="s">
        <v>14879</v>
      </c>
      <c r="C9636" s="2" t="s">
        <v>23</v>
      </c>
      <c r="N9636" s="6">
        <v>44511.0</v>
      </c>
      <c r="Q9636" s="2" t="s">
        <v>86</v>
      </c>
    </row>
    <row r="9637">
      <c r="A9637" s="2">
        <v>9636.0</v>
      </c>
      <c r="B9637" s="2" t="s">
        <v>14880</v>
      </c>
      <c r="C9637" s="2" t="s">
        <v>23</v>
      </c>
      <c r="K9637" s="2">
        <v>150.0</v>
      </c>
      <c r="N9637" s="6">
        <v>44425.0</v>
      </c>
      <c r="Q9637" s="2" t="s">
        <v>14881</v>
      </c>
    </row>
    <row r="9638">
      <c r="A9638" s="2">
        <v>9637.0</v>
      </c>
      <c r="B9638" s="2" t="s">
        <v>14882</v>
      </c>
      <c r="C9638" s="2" t="s">
        <v>23</v>
      </c>
      <c r="K9638" s="2">
        <v>40.0</v>
      </c>
      <c r="N9638" s="6">
        <v>43845.0</v>
      </c>
      <c r="Q9638" s="2" t="s">
        <v>14883</v>
      </c>
    </row>
    <row r="9639">
      <c r="A9639" s="2">
        <v>9638.0</v>
      </c>
      <c r="B9639" s="2" t="s">
        <v>14884</v>
      </c>
      <c r="C9639" s="2" t="s">
        <v>23</v>
      </c>
      <c r="K9639" s="2">
        <v>40.0</v>
      </c>
      <c r="N9639" s="6">
        <v>44330.0</v>
      </c>
      <c r="Q9639" s="2" t="s">
        <v>86</v>
      </c>
    </row>
    <row r="9640">
      <c r="A9640" s="2">
        <v>9639.0</v>
      </c>
      <c r="B9640" s="2" t="s">
        <v>14885</v>
      </c>
      <c r="C9640" s="2" t="s">
        <v>23</v>
      </c>
      <c r="K9640" s="2">
        <v>20.0</v>
      </c>
      <c r="N9640" s="6">
        <v>44296.0</v>
      </c>
      <c r="Q9640" s="2" t="s">
        <v>60</v>
      </c>
    </row>
    <row r="9641">
      <c r="A9641" s="2">
        <v>9640.0</v>
      </c>
      <c r="B9641" s="2" t="s">
        <v>14886</v>
      </c>
      <c r="C9641" s="2" t="s">
        <v>23</v>
      </c>
      <c r="N9641" s="6">
        <v>46009.0</v>
      </c>
      <c r="Q9641" s="2" t="s">
        <v>3117</v>
      </c>
    </row>
    <row r="9642">
      <c r="A9642" s="2">
        <v>9641.0</v>
      </c>
      <c r="B9642" s="2" t="s">
        <v>14887</v>
      </c>
      <c r="C9642" s="2" t="s">
        <v>23</v>
      </c>
      <c r="K9642" s="2">
        <v>90.0</v>
      </c>
      <c r="N9642" s="6">
        <v>44441.0</v>
      </c>
      <c r="Q9642" s="2" t="s">
        <v>86</v>
      </c>
    </row>
    <row r="9643">
      <c r="A9643" s="2">
        <v>9642.0</v>
      </c>
      <c r="B9643" s="2" t="s">
        <v>14888</v>
      </c>
      <c r="C9643" s="2" t="s">
        <v>23</v>
      </c>
      <c r="N9643" s="6">
        <v>46172.0</v>
      </c>
      <c r="Q9643" s="2" t="s">
        <v>14889</v>
      </c>
    </row>
    <row r="9644">
      <c r="A9644" s="2">
        <v>9643.0</v>
      </c>
      <c r="B9644" s="2" t="s">
        <v>14890</v>
      </c>
      <c r="C9644" s="2" t="s">
        <v>23</v>
      </c>
      <c r="N9644" s="6">
        <v>44180.0</v>
      </c>
      <c r="Q9644" s="2" t="s">
        <v>86</v>
      </c>
    </row>
    <row r="9645">
      <c r="A9645" s="2">
        <v>9644.0</v>
      </c>
      <c r="B9645" s="2" t="s">
        <v>14891</v>
      </c>
      <c r="C9645" s="2" t="s">
        <v>23</v>
      </c>
      <c r="N9645" s="6">
        <v>45150.0</v>
      </c>
      <c r="Q9645" s="2" t="s">
        <v>14892</v>
      </c>
    </row>
    <row r="9646">
      <c r="A9646" s="2">
        <v>9645.0</v>
      </c>
      <c r="B9646" s="2" t="s">
        <v>14893</v>
      </c>
      <c r="C9646" s="2" t="s">
        <v>23</v>
      </c>
      <c r="K9646" s="2">
        <v>10.0</v>
      </c>
      <c r="N9646" s="6">
        <v>45065.0</v>
      </c>
      <c r="Q9646" s="2" t="s">
        <v>426</v>
      </c>
    </row>
    <row r="9647">
      <c r="A9647" s="2">
        <v>9646.0</v>
      </c>
      <c r="B9647" s="2" t="s">
        <v>14894</v>
      </c>
      <c r="C9647" s="2" t="s">
        <v>23</v>
      </c>
      <c r="K9647" s="2">
        <v>30.0</v>
      </c>
      <c r="N9647" s="6">
        <v>44874.0</v>
      </c>
      <c r="Q9647" s="2" t="s">
        <v>14895</v>
      </c>
    </row>
    <row r="9648">
      <c r="A9648" s="2">
        <v>9647.0</v>
      </c>
      <c r="B9648" s="2" t="s">
        <v>14896</v>
      </c>
      <c r="C9648" s="2" t="s">
        <v>23</v>
      </c>
      <c r="N9648" s="6">
        <v>43853.0</v>
      </c>
      <c r="Q9648" s="2" t="s">
        <v>86</v>
      </c>
    </row>
    <row r="9649">
      <c r="A9649" s="2">
        <v>9648.0</v>
      </c>
      <c r="B9649" s="2" t="s">
        <v>14897</v>
      </c>
      <c r="C9649" s="2" t="s">
        <v>23</v>
      </c>
      <c r="N9649" s="6">
        <v>45634.0</v>
      </c>
      <c r="Q9649" s="2" t="s">
        <v>9908</v>
      </c>
    </row>
    <row r="9650">
      <c r="A9650" s="2">
        <v>9649.0</v>
      </c>
      <c r="B9650" s="2" t="s">
        <v>14898</v>
      </c>
      <c r="C9650" s="2" t="s">
        <v>23</v>
      </c>
      <c r="K9650" s="2">
        <v>20.0</v>
      </c>
      <c r="N9650" s="6">
        <v>45573.0</v>
      </c>
      <c r="Q9650" s="2" t="s">
        <v>7765</v>
      </c>
    </row>
    <row r="9651">
      <c r="A9651" s="2">
        <v>9650.0</v>
      </c>
      <c r="B9651" s="2" t="s">
        <v>14899</v>
      </c>
      <c r="C9651" s="2" t="s">
        <v>23</v>
      </c>
      <c r="K9651" s="2">
        <v>250.0</v>
      </c>
      <c r="N9651" s="6">
        <v>44872.0</v>
      </c>
      <c r="Q9651" s="2" t="s">
        <v>14900</v>
      </c>
    </row>
    <row r="9652">
      <c r="A9652" s="2">
        <v>9651.0</v>
      </c>
      <c r="B9652" s="2" t="s">
        <v>14901</v>
      </c>
      <c r="C9652" s="2" t="s">
        <v>23</v>
      </c>
      <c r="N9652" s="6">
        <v>44304.0</v>
      </c>
      <c r="Q9652" s="2" t="s">
        <v>86</v>
      </c>
    </row>
    <row r="9653">
      <c r="A9653" s="2">
        <v>9652.0</v>
      </c>
      <c r="B9653" s="2" t="s">
        <v>14902</v>
      </c>
      <c r="C9653" s="2" t="s">
        <v>23</v>
      </c>
      <c r="K9653" s="2">
        <v>200.0</v>
      </c>
      <c r="N9653" s="6">
        <v>43948.0</v>
      </c>
      <c r="Q9653" s="2" t="s">
        <v>14903</v>
      </c>
    </row>
    <row r="9654">
      <c r="A9654" s="2">
        <v>9653.0</v>
      </c>
      <c r="B9654" s="2" t="s">
        <v>14904</v>
      </c>
      <c r="C9654" s="2" t="s">
        <v>23</v>
      </c>
      <c r="K9654" s="2">
        <v>250.0</v>
      </c>
      <c r="N9654" s="6">
        <v>43984.0</v>
      </c>
      <c r="Q9654" s="2" t="s">
        <v>14905</v>
      </c>
    </row>
    <row r="9655">
      <c r="A9655" s="2">
        <v>9654.0</v>
      </c>
      <c r="B9655" s="2" t="s">
        <v>14906</v>
      </c>
      <c r="C9655" s="2" t="s">
        <v>23</v>
      </c>
      <c r="N9655" s="6">
        <v>44321.0</v>
      </c>
      <c r="Q9655" s="2" t="s">
        <v>4958</v>
      </c>
    </row>
    <row r="9656">
      <c r="A9656" s="2">
        <v>9655.0</v>
      </c>
      <c r="B9656" s="2" t="s">
        <v>14907</v>
      </c>
      <c r="C9656" s="2" t="s">
        <v>23</v>
      </c>
      <c r="K9656" s="2">
        <v>40.0</v>
      </c>
      <c r="N9656" s="6">
        <v>44566.0</v>
      </c>
      <c r="Q9656" s="2" t="s">
        <v>86</v>
      </c>
    </row>
    <row r="9657">
      <c r="A9657" s="2">
        <v>9656.0</v>
      </c>
      <c r="B9657" s="2" t="s">
        <v>14908</v>
      </c>
      <c r="C9657" s="2" t="s">
        <v>23</v>
      </c>
      <c r="N9657" s="6">
        <v>44971.0</v>
      </c>
      <c r="Q9657" s="2" t="s">
        <v>86</v>
      </c>
    </row>
    <row r="9658">
      <c r="A9658" s="2">
        <v>9657.0</v>
      </c>
      <c r="B9658" s="2" t="s">
        <v>14909</v>
      </c>
      <c r="C9658" s="2" t="s">
        <v>23</v>
      </c>
      <c r="K9658" s="2">
        <v>60.0</v>
      </c>
      <c r="N9658" s="6">
        <v>43950.0</v>
      </c>
      <c r="Q9658" s="2" t="s">
        <v>14910</v>
      </c>
    </row>
    <row r="9659">
      <c r="A9659" s="2">
        <v>9658.0</v>
      </c>
      <c r="B9659" s="2" t="s">
        <v>14911</v>
      </c>
      <c r="C9659" s="2" t="s">
        <v>23</v>
      </c>
      <c r="N9659" s="6">
        <v>44981.0</v>
      </c>
      <c r="Q9659" s="2" t="s">
        <v>86</v>
      </c>
    </row>
    <row r="9660">
      <c r="A9660" s="2">
        <v>9659.0</v>
      </c>
      <c r="B9660" s="2" t="s">
        <v>14912</v>
      </c>
      <c r="C9660" s="2" t="s">
        <v>23</v>
      </c>
      <c r="K9660" s="2">
        <v>10.0</v>
      </c>
      <c r="N9660" s="6">
        <v>44763.0</v>
      </c>
      <c r="Q9660" s="2" t="s">
        <v>14913</v>
      </c>
    </row>
    <row r="9661">
      <c r="A9661" s="2">
        <v>9660.0</v>
      </c>
      <c r="B9661" s="2" t="s">
        <v>559</v>
      </c>
      <c r="C9661" s="2" t="s">
        <v>23</v>
      </c>
      <c r="N9661" s="6">
        <v>44841.0</v>
      </c>
      <c r="Q9661" s="2" t="s">
        <v>86</v>
      </c>
    </row>
    <row r="9662">
      <c r="A9662" s="2">
        <v>9661.0</v>
      </c>
      <c r="B9662" s="2" t="s">
        <v>14914</v>
      </c>
      <c r="C9662" s="2" t="s">
        <v>23</v>
      </c>
      <c r="K9662" s="2">
        <v>30.0</v>
      </c>
      <c r="N9662" s="6">
        <v>44607.0</v>
      </c>
      <c r="Q9662" s="2" t="s">
        <v>60</v>
      </c>
    </row>
    <row r="9663">
      <c r="A9663" s="2">
        <v>9662.0</v>
      </c>
      <c r="B9663" s="2" t="s">
        <v>14915</v>
      </c>
      <c r="C9663" s="2" t="s">
        <v>23</v>
      </c>
      <c r="K9663" s="2">
        <v>30.0</v>
      </c>
      <c r="N9663" s="6">
        <v>45305.0</v>
      </c>
      <c r="Q9663" s="2" t="s">
        <v>1070</v>
      </c>
    </row>
    <row r="9664">
      <c r="A9664" s="2">
        <v>9663.0</v>
      </c>
      <c r="B9664" s="2" t="s">
        <v>14916</v>
      </c>
      <c r="C9664" s="2" t="s">
        <v>23</v>
      </c>
      <c r="N9664" s="6">
        <v>44176.0</v>
      </c>
      <c r="Q9664" s="2" t="s">
        <v>86</v>
      </c>
    </row>
    <row r="9665">
      <c r="A9665" s="2">
        <v>9664.0</v>
      </c>
      <c r="B9665" s="2" t="s">
        <v>14917</v>
      </c>
      <c r="C9665" s="2" t="s">
        <v>23</v>
      </c>
      <c r="K9665" s="2">
        <v>20.0</v>
      </c>
      <c r="N9665" s="6">
        <v>43847.0</v>
      </c>
      <c r="Q9665" s="2" t="s">
        <v>4898</v>
      </c>
    </row>
    <row r="9666">
      <c r="A9666" s="2">
        <v>9665.0</v>
      </c>
      <c r="B9666" s="2" t="s">
        <v>14918</v>
      </c>
      <c r="C9666" s="2" t="s">
        <v>23</v>
      </c>
      <c r="K9666" s="2">
        <v>300.0</v>
      </c>
      <c r="N9666" s="6">
        <v>44397.0</v>
      </c>
      <c r="Q9666" s="2" t="s">
        <v>14919</v>
      </c>
    </row>
    <row r="9667">
      <c r="A9667" s="2">
        <v>9666.0</v>
      </c>
      <c r="B9667" s="2" t="s">
        <v>14920</v>
      </c>
      <c r="C9667" s="2" t="s">
        <v>23</v>
      </c>
      <c r="K9667" s="2">
        <v>50.0</v>
      </c>
      <c r="N9667" s="6">
        <v>43920.0</v>
      </c>
      <c r="Q9667" s="2" t="s">
        <v>14921</v>
      </c>
    </row>
    <row r="9668">
      <c r="A9668" s="2">
        <v>9667.0</v>
      </c>
      <c r="B9668" s="2" t="s">
        <v>14922</v>
      </c>
      <c r="C9668" s="2" t="s">
        <v>23</v>
      </c>
      <c r="K9668" s="2">
        <v>90.0</v>
      </c>
      <c r="N9668" s="6">
        <v>44182.0</v>
      </c>
      <c r="Q9668" s="2" t="s">
        <v>14923</v>
      </c>
    </row>
    <row r="9669">
      <c r="A9669" s="2">
        <v>9668.0</v>
      </c>
      <c r="B9669" s="2" t="s">
        <v>14924</v>
      </c>
      <c r="C9669" s="2" t="s">
        <v>23</v>
      </c>
      <c r="K9669" s="2">
        <v>30.0</v>
      </c>
      <c r="N9669" s="6">
        <v>44052.0</v>
      </c>
      <c r="Q9669" s="2" t="s">
        <v>14925</v>
      </c>
    </row>
    <row r="9670">
      <c r="A9670" s="2">
        <v>9669.0</v>
      </c>
      <c r="B9670" s="2" t="s">
        <v>14926</v>
      </c>
      <c r="C9670" s="2" t="s">
        <v>23</v>
      </c>
      <c r="N9670" s="6">
        <v>45108.0</v>
      </c>
      <c r="Q9670" s="2" t="s">
        <v>1437</v>
      </c>
    </row>
    <row r="9671">
      <c r="A9671" s="2">
        <v>9670.0</v>
      </c>
      <c r="B9671" s="2" t="s">
        <v>14927</v>
      </c>
      <c r="C9671" s="2" t="s">
        <v>23</v>
      </c>
      <c r="K9671" s="2">
        <v>10.0</v>
      </c>
      <c r="N9671" s="6">
        <v>45054.0</v>
      </c>
      <c r="Q9671" s="2" t="s">
        <v>86</v>
      </c>
    </row>
    <row r="9672">
      <c r="A9672" s="2">
        <v>9671.0</v>
      </c>
      <c r="B9672" s="2" t="s">
        <v>14928</v>
      </c>
      <c r="C9672" s="2" t="s">
        <v>23</v>
      </c>
      <c r="K9672" s="2">
        <v>10.0</v>
      </c>
      <c r="N9672" s="6">
        <v>44602.0</v>
      </c>
      <c r="Q9672" s="2" t="s">
        <v>14929</v>
      </c>
    </row>
    <row r="9673">
      <c r="A9673" s="2">
        <v>9672.0</v>
      </c>
      <c r="B9673" s="2" t="s">
        <v>14930</v>
      </c>
      <c r="C9673" s="2" t="s">
        <v>23</v>
      </c>
      <c r="N9673" s="6">
        <v>43939.0</v>
      </c>
      <c r="Q9673" s="2" t="s">
        <v>3584</v>
      </c>
    </row>
    <row r="9674">
      <c r="A9674" s="2">
        <v>9673.0</v>
      </c>
      <c r="B9674" s="2" t="s">
        <v>14931</v>
      </c>
      <c r="C9674" s="2" t="s">
        <v>23</v>
      </c>
      <c r="K9674" s="2">
        <v>20.0</v>
      </c>
      <c r="N9674" s="6">
        <v>45433.0</v>
      </c>
      <c r="Q9674" s="2" t="s">
        <v>86</v>
      </c>
    </row>
    <row r="9675">
      <c r="A9675" s="2">
        <v>9674.0</v>
      </c>
      <c r="B9675" s="2" t="s">
        <v>14932</v>
      </c>
      <c r="C9675" s="2" t="s">
        <v>23</v>
      </c>
      <c r="K9675" s="2">
        <v>10.0</v>
      </c>
      <c r="N9675" s="6">
        <v>44916.0</v>
      </c>
      <c r="Q9675" s="2" t="s">
        <v>14933</v>
      </c>
    </row>
    <row r="9676">
      <c r="A9676" s="2">
        <v>9675.0</v>
      </c>
      <c r="B9676" s="2" t="s">
        <v>14934</v>
      </c>
      <c r="C9676" s="2" t="s">
        <v>23</v>
      </c>
      <c r="K9676" s="2">
        <v>50.0</v>
      </c>
      <c r="N9676" s="6">
        <v>44443.0</v>
      </c>
      <c r="Q9676" s="2" t="s">
        <v>14935</v>
      </c>
    </row>
    <row r="9677">
      <c r="A9677" s="2">
        <v>9676.0</v>
      </c>
      <c r="B9677" s="2" t="s">
        <v>14936</v>
      </c>
      <c r="C9677" s="2" t="s">
        <v>23</v>
      </c>
      <c r="K9677" s="2">
        <v>20.0</v>
      </c>
      <c r="N9677" s="6">
        <v>45019.0</v>
      </c>
      <c r="Q9677" s="2" t="s">
        <v>1466</v>
      </c>
    </row>
    <row r="9678">
      <c r="A9678" s="2">
        <v>9677.0</v>
      </c>
      <c r="B9678" s="2" t="s">
        <v>14937</v>
      </c>
      <c r="C9678" s="2" t="s">
        <v>23</v>
      </c>
      <c r="N9678" s="6">
        <v>44339.0</v>
      </c>
      <c r="Q9678" s="2" t="s">
        <v>86</v>
      </c>
    </row>
    <row r="9679">
      <c r="A9679" s="2">
        <v>9678.0</v>
      </c>
      <c r="B9679" s="2" t="s">
        <v>14938</v>
      </c>
      <c r="C9679" s="2" t="s">
        <v>23</v>
      </c>
      <c r="K9679" s="2">
        <v>150.0</v>
      </c>
      <c r="N9679" s="6">
        <v>44005.0</v>
      </c>
      <c r="Q9679" s="2" t="s">
        <v>14939</v>
      </c>
    </row>
    <row r="9680">
      <c r="A9680" s="2">
        <v>9679.0</v>
      </c>
      <c r="B9680" s="2" t="s">
        <v>14940</v>
      </c>
      <c r="C9680" s="2" t="s">
        <v>23</v>
      </c>
      <c r="K9680" s="2">
        <v>20.0</v>
      </c>
      <c r="N9680" s="6">
        <v>44459.0</v>
      </c>
      <c r="Q9680" s="2" t="s">
        <v>14941</v>
      </c>
    </row>
    <row r="9681">
      <c r="A9681" s="2">
        <v>9680.0</v>
      </c>
      <c r="B9681" s="2" t="s">
        <v>14942</v>
      </c>
      <c r="C9681" s="2" t="s">
        <v>23</v>
      </c>
      <c r="K9681" s="2">
        <v>100.0</v>
      </c>
      <c r="N9681" s="6">
        <v>45086.0</v>
      </c>
      <c r="Q9681" s="2" t="s">
        <v>14943</v>
      </c>
    </row>
    <row r="9682">
      <c r="A9682" s="2">
        <v>9681.0</v>
      </c>
      <c r="B9682" s="2" t="s">
        <v>14944</v>
      </c>
      <c r="C9682" s="2" t="s">
        <v>23</v>
      </c>
      <c r="K9682" s="2">
        <v>150.0</v>
      </c>
      <c r="N9682" s="6">
        <v>43879.0</v>
      </c>
      <c r="Q9682" s="2" t="s">
        <v>14945</v>
      </c>
    </row>
    <row r="9683">
      <c r="A9683" s="2">
        <v>9682.0</v>
      </c>
      <c r="B9683" s="2" t="s">
        <v>14946</v>
      </c>
      <c r="C9683" s="2" t="s">
        <v>23</v>
      </c>
      <c r="N9683" s="6">
        <v>42514.0</v>
      </c>
      <c r="Q9683" s="2" t="s">
        <v>86</v>
      </c>
    </row>
    <row r="9684">
      <c r="A9684" s="2">
        <v>9683.0</v>
      </c>
      <c r="B9684" s="2" t="s">
        <v>14947</v>
      </c>
      <c r="C9684" s="2" t="s">
        <v>23</v>
      </c>
      <c r="K9684" s="2">
        <v>30.0</v>
      </c>
      <c r="N9684" s="6">
        <v>44838.0</v>
      </c>
      <c r="Q9684" s="2" t="s">
        <v>86</v>
      </c>
    </row>
    <row r="9685">
      <c r="A9685" s="2">
        <v>9684.0</v>
      </c>
      <c r="B9685" s="2" t="s">
        <v>14948</v>
      </c>
      <c r="C9685" s="2" t="s">
        <v>23</v>
      </c>
      <c r="N9685" s="6">
        <v>44833.0</v>
      </c>
      <c r="Q9685" s="2" t="s">
        <v>86</v>
      </c>
    </row>
    <row r="9686">
      <c r="A9686" s="2">
        <v>9685.0</v>
      </c>
      <c r="B9686" s="2" t="s">
        <v>14949</v>
      </c>
      <c r="C9686" s="2" t="s">
        <v>23</v>
      </c>
      <c r="K9686" s="2">
        <v>70.0</v>
      </c>
      <c r="N9686" s="6">
        <v>45100.0</v>
      </c>
      <c r="Q9686" s="2" t="s">
        <v>1437</v>
      </c>
    </row>
    <row r="9687">
      <c r="A9687" s="2">
        <v>9686.0</v>
      </c>
      <c r="B9687" s="2" t="s">
        <v>14950</v>
      </c>
      <c r="C9687" s="2" t="s">
        <v>23</v>
      </c>
      <c r="N9687" s="6">
        <v>44145.0</v>
      </c>
      <c r="Q9687" s="2" t="s">
        <v>86</v>
      </c>
    </row>
    <row r="9688">
      <c r="A9688" s="2">
        <v>9687.0</v>
      </c>
      <c r="B9688" s="2" t="s">
        <v>14951</v>
      </c>
      <c r="C9688" s="2" t="s">
        <v>23</v>
      </c>
      <c r="K9688" s="2">
        <v>100.0</v>
      </c>
      <c r="N9688" s="6">
        <v>44321.0</v>
      </c>
      <c r="Q9688" s="2" t="s">
        <v>14952</v>
      </c>
    </row>
    <row r="9689">
      <c r="A9689" s="2">
        <v>9688.0</v>
      </c>
      <c r="B9689" s="2" t="s">
        <v>14953</v>
      </c>
      <c r="C9689" s="2" t="s">
        <v>23</v>
      </c>
      <c r="N9689" s="6">
        <v>44125.0</v>
      </c>
      <c r="Q9689" s="2" t="s">
        <v>86</v>
      </c>
    </row>
    <row r="9690">
      <c r="A9690" s="2">
        <v>9689.0</v>
      </c>
      <c r="B9690" s="2" t="s">
        <v>14954</v>
      </c>
      <c r="C9690" s="2" t="s">
        <v>23</v>
      </c>
      <c r="K9690" s="2">
        <v>300.0</v>
      </c>
      <c r="N9690" s="6">
        <v>42489.0</v>
      </c>
      <c r="Q9690" s="2" t="s">
        <v>14955</v>
      </c>
    </row>
    <row r="9691">
      <c r="A9691" s="2">
        <v>9690.0</v>
      </c>
      <c r="B9691" s="2" t="s">
        <v>14956</v>
      </c>
      <c r="C9691" s="2" t="s">
        <v>23</v>
      </c>
      <c r="N9691" s="6">
        <v>42475.0</v>
      </c>
      <c r="Q9691" s="2" t="s">
        <v>86</v>
      </c>
    </row>
    <row r="9692">
      <c r="A9692" s="2">
        <v>9691.0</v>
      </c>
      <c r="B9692" s="2" t="s">
        <v>14957</v>
      </c>
      <c r="C9692" s="2" t="s">
        <v>23</v>
      </c>
      <c r="K9692" s="2">
        <v>10.0</v>
      </c>
      <c r="N9692" s="6">
        <v>45502.0</v>
      </c>
      <c r="Q9692" s="2" t="s">
        <v>5323</v>
      </c>
    </row>
    <row r="9693">
      <c r="A9693" s="2">
        <v>9692.0</v>
      </c>
      <c r="B9693" s="2" t="s">
        <v>14958</v>
      </c>
      <c r="C9693" s="2" t="s">
        <v>23</v>
      </c>
      <c r="N9693" s="6">
        <v>45251.0</v>
      </c>
      <c r="Q9693" s="2" t="s">
        <v>14959</v>
      </c>
    </row>
    <row r="9694">
      <c r="A9694" s="2">
        <v>9693.0</v>
      </c>
      <c r="B9694" s="2" t="s">
        <v>14960</v>
      </c>
      <c r="C9694" s="2" t="s">
        <v>23</v>
      </c>
      <c r="K9694" s="2">
        <v>100.0</v>
      </c>
      <c r="N9694" s="6">
        <v>44588.0</v>
      </c>
      <c r="Q9694" s="2" t="s">
        <v>2583</v>
      </c>
    </row>
    <row r="9695">
      <c r="A9695" s="2">
        <v>9694.0</v>
      </c>
      <c r="B9695" s="2" t="s">
        <v>14961</v>
      </c>
      <c r="C9695" s="2" t="s">
        <v>23</v>
      </c>
      <c r="K9695" s="2">
        <v>10.0</v>
      </c>
      <c r="N9695" s="6">
        <v>44451.0</v>
      </c>
      <c r="Q9695" s="2" t="s">
        <v>13869</v>
      </c>
    </row>
    <row r="9696">
      <c r="A9696" s="2">
        <v>9695.0</v>
      </c>
      <c r="B9696" s="2" t="s">
        <v>14962</v>
      </c>
      <c r="C9696" s="2" t="s">
        <v>23</v>
      </c>
      <c r="K9696" s="2">
        <v>200.0</v>
      </c>
      <c r="N9696" s="6">
        <v>44489.0</v>
      </c>
      <c r="Q9696" s="2" t="s">
        <v>14963</v>
      </c>
    </row>
    <row r="9697">
      <c r="A9697" s="2">
        <v>9696.0</v>
      </c>
      <c r="B9697" s="2" t="s">
        <v>14964</v>
      </c>
      <c r="C9697" s="2" t="s">
        <v>23</v>
      </c>
      <c r="K9697" s="2">
        <v>20.0</v>
      </c>
      <c r="N9697" s="6">
        <v>44014.0</v>
      </c>
      <c r="Q9697" s="2" t="s">
        <v>1156</v>
      </c>
    </row>
    <row r="9698">
      <c r="A9698" s="2">
        <v>9697.0</v>
      </c>
      <c r="B9698" s="2" t="s">
        <v>14965</v>
      </c>
      <c r="C9698" s="2" t="s">
        <v>23</v>
      </c>
      <c r="N9698" s="6">
        <v>44627.0</v>
      </c>
      <c r="Q9698" s="2" t="s">
        <v>86</v>
      </c>
    </row>
    <row r="9699">
      <c r="A9699" s="2">
        <v>9698.0</v>
      </c>
      <c r="B9699" s="2" t="s">
        <v>14966</v>
      </c>
      <c r="C9699" s="2" t="s">
        <v>23</v>
      </c>
      <c r="N9699" s="6">
        <v>43951.0</v>
      </c>
      <c r="Q9699" s="2" t="s">
        <v>86</v>
      </c>
    </row>
    <row r="9700">
      <c r="A9700" s="2">
        <v>9699.0</v>
      </c>
      <c r="B9700" s="2" t="s">
        <v>14967</v>
      </c>
      <c r="C9700" s="2" t="s">
        <v>23</v>
      </c>
      <c r="N9700" s="6">
        <v>44276.0</v>
      </c>
      <c r="Q9700" s="2" t="s">
        <v>1437</v>
      </c>
    </row>
    <row r="9701">
      <c r="A9701" s="2">
        <v>9700.0</v>
      </c>
      <c r="B9701" s="2" t="s">
        <v>14968</v>
      </c>
      <c r="C9701" s="2" t="s">
        <v>23</v>
      </c>
      <c r="K9701" s="2">
        <v>150.0</v>
      </c>
      <c r="N9701" s="6">
        <v>42293.0</v>
      </c>
      <c r="Q9701" s="2" t="s">
        <v>14969</v>
      </c>
    </row>
    <row r="9702">
      <c r="A9702" s="2">
        <v>9701.0</v>
      </c>
      <c r="B9702" s="2" t="s">
        <v>14970</v>
      </c>
      <c r="C9702" s="2" t="s">
        <v>23</v>
      </c>
      <c r="K9702" s="2">
        <v>200.0</v>
      </c>
      <c r="N9702" s="6">
        <v>44083.0</v>
      </c>
      <c r="Q9702" s="2" t="s">
        <v>14971</v>
      </c>
    </row>
    <row r="9703">
      <c r="A9703" s="2">
        <v>9702.0</v>
      </c>
      <c r="B9703" s="2" t="s">
        <v>14972</v>
      </c>
      <c r="C9703" s="2" t="s">
        <v>23</v>
      </c>
      <c r="K9703" s="2">
        <v>40.0</v>
      </c>
      <c r="N9703" s="6">
        <v>45462.0</v>
      </c>
      <c r="Q9703" s="2" t="s">
        <v>14973</v>
      </c>
    </row>
    <row r="9704">
      <c r="A9704" s="2">
        <v>9703.0</v>
      </c>
      <c r="B9704" s="2" t="s">
        <v>14974</v>
      </c>
      <c r="C9704" s="2" t="s">
        <v>23</v>
      </c>
      <c r="K9704" s="2">
        <v>20.0</v>
      </c>
      <c r="N9704" s="6">
        <v>43894.0</v>
      </c>
      <c r="Q9704" s="2" t="s">
        <v>86</v>
      </c>
    </row>
    <row r="9705">
      <c r="A9705" s="2">
        <v>9704.0</v>
      </c>
      <c r="B9705" s="2" t="s">
        <v>14975</v>
      </c>
      <c r="C9705" s="2" t="s">
        <v>23</v>
      </c>
      <c r="N9705" s="6">
        <v>44958.0</v>
      </c>
      <c r="Q9705" s="2" t="s">
        <v>14976</v>
      </c>
    </row>
    <row r="9706">
      <c r="A9706" s="2">
        <v>9705.0</v>
      </c>
      <c r="B9706" s="2" t="s">
        <v>14977</v>
      </c>
      <c r="C9706" s="2" t="s">
        <v>23</v>
      </c>
      <c r="N9706" s="6">
        <v>45507.0</v>
      </c>
      <c r="Q9706" s="2" t="s">
        <v>3512</v>
      </c>
    </row>
    <row r="9707">
      <c r="A9707" s="2">
        <v>9706.0</v>
      </c>
      <c r="B9707" s="2" t="s">
        <v>14978</v>
      </c>
      <c r="C9707" s="2" t="s">
        <v>23</v>
      </c>
      <c r="K9707" s="2">
        <v>50.0</v>
      </c>
      <c r="N9707" s="6">
        <v>45635.0</v>
      </c>
      <c r="Q9707" s="2" t="s">
        <v>5854</v>
      </c>
    </row>
    <row r="9708">
      <c r="A9708" s="2">
        <v>9707.0</v>
      </c>
      <c r="B9708" s="2" t="s">
        <v>14979</v>
      </c>
      <c r="C9708" s="2" t="s">
        <v>23</v>
      </c>
      <c r="N9708" s="6">
        <v>44244.0</v>
      </c>
      <c r="Q9708" s="2" t="s">
        <v>86</v>
      </c>
    </row>
    <row r="9709">
      <c r="A9709" s="2">
        <v>9708.0</v>
      </c>
      <c r="B9709" s="2" t="s">
        <v>14980</v>
      </c>
      <c r="C9709" s="2" t="s">
        <v>23</v>
      </c>
      <c r="K9709" s="2">
        <v>80.0</v>
      </c>
      <c r="N9709" s="6">
        <v>44637.0</v>
      </c>
      <c r="Q9709" s="2" t="s">
        <v>14981</v>
      </c>
    </row>
    <row r="9710">
      <c r="A9710" s="2">
        <v>9709.0</v>
      </c>
      <c r="B9710" s="2" t="s">
        <v>14982</v>
      </c>
      <c r="C9710" s="2" t="s">
        <v>23</v>
      </c>
      <c r="K9710" s="2">
        <v>30.0</v>
      </c>
      <c r="N9710" s="6">
        <v>42593.0</v>
      </c>
      <c r="Q9710" s="2" t="s">
        <v>9662</v>
      </c>
    </row>
    <row r="9711">
      <c r="A9711" s="2">
        <v>9710.0</v>
      </c>
      <c r="B9711" s="2" t="s">
        <v>14983</v>
      </c>
      <c r="C9711" s="2" t="s">
        <v>23</v>
      </c>
      <c r="K9711" s="2">
        <v>50.0</v>
      </c>
      <c r="N9711" s="6">
        <v>44532.0</v>
      </c>
      <c r="Q9711" s="2" t="s">
        <v>86</v>
      </c>
    </row>
    <row r="9712">
      <c r="A9712" s="2">
        <v>9711.0</v>
      </c>
      <c r="B9712" s="2" t="s">
        <v>14984</v>
      </c>
      <c r="C9712" s="2" t="s">
        <v>23</v>
      </c>
      <c r="K9712" s="2">
        <v>200.0</v>
      </c>
      <c r="N9712" s="6">
        <v>44460.0</v>
      </c>
      <c r="Q9712" s="2" t="s">
        <v>14985</v>
      </c>
    </row>
    <row r="9713">
      <c r="A9713" s="2">
        <v>9712.0</v>
      </c>
      <c r="B9713" s="2" t="s">
        <v>14986</v>
      </c>
      <c r="C9713" s="2" t="s">
        <v>23</v>
      </c>
      <c r="K9713" s="2">
        <v>60.0</v>
      </c>
      <c r="N9713" s="6">
        <v>43018.0</v>
      </c>
      <c r="Q9713" s="2" t="s">
        <v>14987</v>
      </c>
    </row>
    <row r="9714">
      <c r="A9714" s="2">
        <v>9713.0</v>
      </c>
      <c r="B9714" s="2" t="s">
        <v>14988</v>
      </c>
      <c r="C9714" s="2" t="s">
        <v>23</v>
      </c>
      <c r="N9714" s="6">
        <v>42527.0</v>
      </c>
      <c r="Q9714" s="2" t="s">
        <v>235</v>
      </c>
    </row>
    <row r="9715">
      <c r="A9715" s="2">
        <v>9714.0</v>
      </c>
      <c r="B9715" s="2" t="s">
        <v>14989</v>
      </c>
      <c r="C9715" s="2" t="s">
        <v>23</v>
      </c>
      <c r="K9715" s="2">
        <v>10.0</v>
      </c>
      <c r="N9715" s="6">
        <v>45252.0</v>
      </c>
      <c r="Q9715" s="2" t="s">
        <v>1116</v>
      </c>
    </row>
    <row r="9716">
      <c r="A9716" s="2">
        <v>9715.0</v>
      </c>
      <c r="B9716" s="2" t="s">
        <v>14990</v>
      </c>
      <c r="C9716" s="2" t="s">
        <v>23</v>
      </c>
      <c r="K9716" s="2">
        <v>10.0</v>
      </c>
      <c r="N9716" s="6">
        <v>43848.0</v>
      </c>
      <c r="Q9716" s="2" t="s">
        <v>86</v>
      </c>
    </row>
    <row r="9717">
      <c r="A9717" s="2">
        <v>9716.0</v>
      </c>
      <c r="B9717" s="2" t="s">
        <v>14991</v>
      </c>
      <c r="C9717" s="2" t="s">
        <v>23</v>
      </c>
      <c r="K9717" s="2">
        <v>30.0</v>
      </c>
      <c r="N9717" s="6">
        <v>43943.0</v>
      </c>
      <c r="Q9717" s="2" t="s">
        <v>14992</v>
      </c>
    </row>
    <row r="9718">
      <c r="A9718" s="2">
        <v>9717.0</v>
      </c>
      <c r="B9718" s="2" t="s">
        <v>14993</v>
      </c>
      <c r="C9718" s="2" t="s">
        <v>23</v>
      </c>
      <c r="K9718" s="2">
        <v>90.0</v>
      </c>
      <c r="N9718" s="6">
        <v>42793.0</v>
      </c>
      <c r="O9718" s="2" t="s">
        <v>49</v>
      </c>
      <c r="P9718" s="2" t="s">
        <v>36</v>
      </c>
      <c r="Q9718" s="2" t="s">
        <v>14994</v>
      </c>
      <c r="S9718" s="2" t="s">
        <v>3670</v>
      </c>
    </row>
    <row r="9719">
      <c r="A9719" s="2">
        <v>9718.0</v>
      </c>
      <c r="B9719" s="2" t="s">
        <v>14995</v>
      </c>
      <c r="C9719" s="2" t="s">
        <v>23</v>
      </c>
      <c r="N9719" s="6">
        <v>44567.0</v>
      </c>
      <c r="Q9719" s="2" t="s">
        <v>86</v>
      </c>
    </row>
    <row r="9720">
      <c r="A9720" s="2">
        <v>9719.0</v>
      </c>
      <c r="B9720" s="2" t="s">
        <v>14996</v>
      </c>
      <c r="C9720" s="2" t="s">
        <v>23</v>
      </c>
      <c r="N9720" s="6">
        <v>44687.0</v>
      </c>
      <c r="Q9720" s="2" t="s">
        <v>86</v>
      </c>
    </row>
    <row r="9721">
      <c r="A9721" s="2">
        <v>9720.0</v>
      </c>
      <c r="B9721" s="2" t="s">
        <v>14997</v>
      </c>
      <c r="C9721" s="2" t="s">
        <v>23</v>
      </c>
      <c r="N9721" s="6">
        <v>44679.0</v>
      </c>
      <c r="Q9721" s="2" t="s">
        <v>1116</v>
      </c>
    </row>
    <row r="9722">
      <c r="A9722" s="2">
        <v>9721.0</v>
      </c>
      <c r="B9722" s="2" t="s">
        <v>14998</v>
      </c>
      <c r="C9722" s="2" t="s">
        <v>23</v>
      </c>
      <c r="N9722" s="6">
        <v>43903.0</v>
      </c>
      <c r="Q9722" s="2" t="s">
        <v>86</v>
      </c>
    </row>
    <row r="9723">
      <c r="A9723" s="2">
        <v>9722.0</v>
      </c>
      <c r="B9723" s="2" t="s">
        <v>14999</v>
      </c>
      <c r="C9723" s="2" t="s">
        <v>23</v>
      </c>
      <c r="N9723" s="6">
        <v>44592.0</v>
      </c>
      <c r="Q9723" s="2" t="s">
        <v>86</v>
      </c>
    </row>
    <row r="9724">
      <c r="A9724" s="2">
        <v>9723.0</v>
      </c>
      <c r="B9724" s="2" t="s">
        <v>15000</v>
      </c>
      <c r="C9724" s="2" t="s">
        <v>23</v>
      </c>
      <c r="N9724" s="6">
        <v>44360.0</v>
      </c>
      <c r="Q9724" s="2" t="s">
        <v>86</v>
      </c>
    </row>
    <row r="9725">
      <c r="A9725" s="2">
        <v>9724.0</v>
      </c>
      <c r="B9725" s="2" t="s">
        <v>15001</v>
      </c>
      <c r="C9725" s="2" t="s">
        <v>23</v>
      </c>
      <c r="N9725" s="6">
        <v>43023.0</v>
      </c>
      <c r="Q9725" s="2" t="s">
        <v>86</v>
      </c>
    </row>
    <row r="9726">
      <c r="A9726" s="2">
        <v>9725.0</v>
      </c>
      <c r="B9726" s="2" t="s">
        <v>15002</v>
      </c>
      <c r="C9726" s="2" t="s">
        <v>23</v>
      </c>
      <c r="K9726" s="2">
        <v>30.0</v>
      </c>
      <c r="N9726" s="6">
        <v>43960.0</v>
      </c>
      <c r="Q9726" s="2" t="s">
        <v>15003</v>
      </c>
    </row>
    <row r="9727">
      <c r="A9727" s="2">
        <v>9726.0</v>
      </c>
      <c r="B9727" s="2" t="s">
        <v>15004</v>
      </c>
      <c r="C9727" s="2" t="s">
        <v>23</v>
      </c>
      <c r="N9727" s="6">
        <v>42578.0</v>
      </c>
      <c r="Q9727" s="2" t="s">
        <v>86</v>
      </c>
    </row>
    <row r="9728">
      <c r="A9728" s="2">
        <v>9727.0</v>
      </c>
      <c r="B9728" s="2" t="s">
        <v>15005</v>
      </c>
      <c r="C9728" s="2" t="s">
        <v>23</v>
      </c>
      <c r="N9728" s="6">
        <v>44413.0</v>
      </c>
      <c r="Q9728" s="2" t="s">
        <v>86</v>
      </c>
    </row>
    <row r="9729">
      <c r="A9729" s="2">
        <v>9728.0</v>
      </c>
      <c r="B9729" s="2" t="s">
        <v>15006</v>
      </c>
      <c r="C9729" s="2" t="s">
        <v>23</v>
      </c>
      <c r="N9729" s="6">
        <v>45502.0</v>
      </c>
      <c r="Q9729" s="2" t="s">
        <v>15007</v>
      </c>
    </row>
    <row r="9730">
      <c r="A9730" s="2">
        <v>9729.0</v>
      </c>
      <c r="B9730" s="2" t="s">
        <v>15008</v>
      </c>
      <c r="C9730" s="2" t="s">
        <v>23</v>
      </c>
      <c r="N9730" s="6">
        <v>43773.0</v>
      </c>
      <c r="Q9730" s="2" t="s">
        <v>86</v>
      </c>
    </row>
    <row r="9731">
      <c r="A9731" s="2">
        <v>9730.0</v>
      </c>
      <c r="B9731" s="2" t="s">
        <v>15009</v>
      </c>
      <c r="C9731" s="2" t="s">
        <v>23</v>
      </c>
      <c r="K9731" s="2">
        <v>200.0</v>
      </c>
      <c r="N9731" s="6">
        <v>44535.0</v>
      </c>
      <c r="Q9731" s="2" t="s">
        <v>15010</v>
      </c>
    </row>
    <row r="9732">
      <c r="A9732" s="2">
        <v>9731.0</v>
      </c>
      <c r="B9732" s="2" t="s">
        <v>15011</v>
      </c>
      <c r="C9732" s="2" t="s">
        <v>23</v>
      </c>
      <c r="N9732" s="6">
        <v>44613.0</v>
      </c>
      <c r="Q9732" s="2" t="s">
        <v>86</v>
      </c>
    </row>
    <row r="9733">
      <c r="A9733" s="2">
        <v>9732.0</v>
      </c>
      <c r="B9733" s="2" t="s">
        <v>15012</v>
      </c>
      <c r="C9733" s="2" t="s">
        <v>23</v>
      </c>
      <c r="K9733" s="2">
        <v>20.0</v>
      </c>
      <c r="N9733" s="6">
        <v>43976.0</v>
      </c>
      <c r="Q9733" s="2" t="s">
        <v>15013</v>
      </c>
    </row>
    <row r="9734">
      <c r="A9734" s="2">
        <v>9733.0</v>
      </c>
      <c r="B9734" s="2" t="s">
        <v>15014</v>
      </c>
      <c r="C9734" s="2" t="s">
        <v>23</v>
      </c>
      <c r="K9734" s="2">
        <v>20.0</v>
      </c>
      <c r="N9734" s="6">
        <v>44012.0</v>
      </c>
      <c r="Q9734" s="2" t="s">
        <v>15015</v>
      </c>
    </row>
    <row r="9735">
      <c r="A9735" s="2">
        <v>9734.0</v>
      </c>
      <c r="B9735" s="2" t="s">
        <v>15016</v>
      </c>
      <c r="C9735" s="2" t="s">
        <v>23</v>
      </c>
      <c r="N9735" s="6">
        <v>45373.0</v>
      </c>
      <c r="Q9735" s="2" t="s">
        <v>4647</v>
      </c>
    </row>
    <row r="9736">
      <c r="A9736" s="2">
        <v>9735.0</v>
      </c>
      <c r="B9736" s="2" t="s">
        <v>15017</v>
      </c>
      <c r="C9736" s="2" t="s">
        <v>23</v>
      </c>
      <c r="K9736" s="2">
        <v>40.0</v>
      </c>
      <c r="N9736" s="6">
        <v>45716.0</v>
      </c>
      <c r="Q9736" s="2" t="s">
        <v>5722</v>
      </c>
    </row>
    <row r="9737">
      <c r="A9737" s="2">
        <v>9736.0</v>
      </c>
      <c r="B9737" s="2" t="s">
        <v>15018</v>
      </c>
      <c r="C9737" s="2" t="s">
        <v>23</v>
      </c>
      <c r="N9737" s="6">
        <v>44401.0</v>
      </c>
      <c r="Q9737" s="2" t="s">
        <v>86</v>
      </c>
    </row>
    <row r="9738">
      <c r="A9738" s="2">
        <v>9737.0</v>
      </c>
      <c r="B9738" s="2" t="s">
        <v>15019</v>
      </c>
      <c r="C9738" s="2" t="s">
        <v>23</v>
      </c>
      <c r="K9738" s="2">
        <v>30.0</v>
      </c>
      <c r="N9738" s="6">
        <v>44187.0</v>
      </c>
      <c r="Q9738" s="2" t="s">
        <v>15020</v>
      </c>
    </row>
    <row r="9739">
      <c r="A9739" s="2">
        <v>9738.0</v>
      </c>
      <c r="B9739" s="2" t="s">
        <v>15021</v>
      </c>
      <c r="C9739" s="2" t="s">
        <v>23</v>
      </c>
      <c r="K9739" s="2">
        <v>50.0</v>
      </c>
      <c r="N9739" s="6">
        <v>44995.0</v>
      </c>
      <c r="Q9739" s="2" t="s">
        <v>15022</v>
      </c>
    </row>
    <row r="9740">
      <c r="A9740" s="2">
        <v>9739.0</v>
      </c>
      <c r="B9740" s="2" t="s">
        <v>15023</v>
      </c>
      <c r="C9740" s="2" t="s">
        <v>23</v>
      </c>
      <c r="N9740" s="6">
        <v>44299.0</v>
      </c>
      <c r="Q9740" s="2" t="s">
        <v>86</v>
      </c>
    </row>
    <row r="9741">
      <c r="A9741" s="2">
        <v>9740.0</v>
      </c>
      <c r="B9741" s="2" t="s">
        <v>15024</v>
      </c>
      <c r="C9741" s="2" t="s">
        <v>23</v>
      </c>
      <c r="N9741" s="6">
        <v>44823.0</v>
      </c>
      <c r="Q9741" s="2" t="s">
        <v>86</v>
      </c>
    </row>
    <row r="9742">
      <c r="A9742" s="2">
        <v>9741.0</v>
      </c>
      <c r="B9742" s="2" t="s">
        <v>15025</v>
      </c>
      <c r="C9742" s="2" t="s">
        <v>23</v>
      </c>
      <c r="N9742" s="6">
        <v>43962.0</v>
      </c>
      <c r="Q9742" s="2" t="s">
        <v>86</v>
      </c>
    </row>
    <row r="9743">
      <c r="A9743" s="2">
        <v>9742.0</v>
      </c>
      <c r="B9743" s="2" t="s">
        <v>15026</v>
      </c>
      <c r="C9743" s="2" t="s">
        <v>23</v>
      </c>
      <c r="K9743" s="2">
        <v>70.0</v>
      </c>
      <c r="N9743" s="6">
        <v>45670.0</v>
      </c>
      <c r="Q9743" s="2" t="s">
        <v>15027</v>
      </c>
    </row>
    <row r="9744">
      <c r="A9744" s="2">
        <v>9743.0</v>
      </c>
      <c r="B9744" s="2" t="s">
        <v>15028</v>
      </c>
      <c r="C9744" s="2" t="s">
        <v>23</v>
      </c>
      <c r="K9744" s="2">
        <v>10.0</v>
      </c>
      <c r="N9744" s="6">
        <v>44645.0</v>
      </c>
      <c r="Q9744" s="2" t="s">
        <v>15029</v>
      </c>
    </row>
    <row r="9745">
      <c r="A9745" s="2">
        <v>9744.0</v>
      </c>
      <c r="B9745" s="2" t="s">
        <v>15030</v>
      </c>
      <c r="C9745" s="2" t="s">
        <v>23</v>
      </c>
      <c r="N9745" s="6">
        <v>44172.0</v>
      </c>
      <c r="Q9745" s="2" t="s">
        <v>86</v>
      </c>
    </row>
    <row r="9746">
      <c r="A9746" s="2">
        <v>9745.0</v>
      </c>
      <c r="B9746" s="2" t="s">
        <v>15031</v>
      </c>
      <c r="C9746" s="2" t="s">
        <v>23</v>
      </c>
      <c r="N9746" s="6">
        <v>44508.0</v>
      </c>
      <c r="Q9746" s="2" t="s">
        <v>86</v>
      </c>
    </row>
    <row r="9747">
      <c r="A9747" s="2">
        <v>9746.0</v>
      </c>
      <c r="B9747" s="2" t="s">
        <v>15032</v>
      </c>
      <c r="C9747" s="2" t="s">
        <v>23</v>
      </c>
      <c r="K9747" s="2">
        <v>30.0</v>
      </c>
      <c r="N9747" s="6">
        <v>44338.0</v>
      </c>
      <c r="Q9747" s="2" t="s">
        <v>2362</v>
      </c>
    </row>
    <row r="9748">
      <c r="A9748" s="2">
        <v>9747.0</v>
      </c>
      <c r="B9748" s="2" t="s">
        <v>15033</v>
      </c>
      <c r="C9748" s="2" t="s">
        <v>23</v>
      </c>
      <c r="K9748" s="2">
        <v>30.0</v>
      </c>
      <c r="N9748" s="6">
        <v>44333.0</v>
      </c>
      <c r="Q9748" s="2" t="s">
        <v>86</v>
      </c>
    </row>
    <row r="9749">
      <c r="A9749" s="2">
        <v>9748.0</v>
      </c>
      <c r="B9749" s="2" t="s">
        <v>15034</v>
      </c>
      <c r="C9749" s="2" t="s">
        <v>23</v>
      </c>
      <c r="N9749" s="6">
        <v>44613.0</v>
      </c>
      <c r="Q9749" s="2" t="s">
        <v>86</v>
      </c>
    </row>
    <row r="9750">
      <c r="A9750" s="2">
        <v>9749.0</v>
      </c>
      <c r="B9750" s="2" t="s">
        <v>15035</v>
      </c>
      <c r="C9750" s="2" t="s">
        <v>23</v>
      </c>
      <c r="N9750" s="6">
        <v>44606.0</v>
      </c>
      <c r="Q9750" s="2" t="s">
        <v>86</v>
      </c>
    </row>
    <row r="9751">
      <c r="A9751" s="2">
        <v>9750.0</v>
      </c>
      <c r="B9751" s="2" t="s">
        <v>15036</v>
      </c>
      <c r="C9751" s="2" t="s">
        <v>23</v>
      </c>
      <c r="K9751" s="2">
        <v>10.0</v>
      </c>
      <c r="N9751" s="6">
        <v>44630.0</v>
      </c>
      <c r="Q9751" s="2" t="s">
        <v>86</v>
      </c>
    </row>
    <row r="9752">
      <c r="A9752" s="2">
        <v>9751.0</v>
      </c>
      <c r="B9752" s="2" t="s">
        <v>15037</v>
      </c>
      <c r="C9752" s="2" t="s">
        <v>23</v>
      </c>
      <c r="K9752" s="2">
        <v>200.0</v>
      </c>
      <c r="N9752" s="6">
        <v>43773.0</v>
      </c>
      <c r="Q9752" s="2" t="s">
        <v>15038</v>
      </c>
    </row>
    <row r="9753">
      <c r="A9753" s="2">
        <v>9752.0</v>
      </c>
      <c r="B9753" s="2" t="s">
        <v>15039</v>
      </c>
      <c r="C9753" s="2" t="s">
        <v>23</v>
      </c>
      <c r="N9753" s="6">
        <v>45057.0</v>
      </c>
      <c r="Q9753" s="2" t="s">
        <v>86</v>
      </c>
    </row>
    <row r="9754">
      <c r="A9754" s="2">
        <v>9753.0</v>
      </c>
      <c r="B9754" s="2" t="s">
        <v>15040</v>
      </c>
      <c r="C9754" s="2" t="s">
        <v>23</v>
      </c>
      <c r="N9754" s="6">
        <v>44641.0</v>
      </c>
      <c r="Q9754" s="2" t="s">
        <v>4958</v>
      </c>
    </row>
    <row r="9755">
      <c r="A9755" s="2">
        <v>9754.0</v>
      </c>
      <c r="B9755" s="2" t="s">
        <v>15041</v>
      </c>
      <c r="C9755" s="2" t="s">
        <v>23</v>
      </c>
      <c r="K9755" s="2">
        <v>70.0</v>
      </c>
      <c r="N9755" s="6">
        <v>44165.0</v>
      </c>
      <c r="Q9755" s="2" t="s">
        <v>2994</v>
      </c>
    </row>
    <row r="9756">
      <c r="A9756" s="2">
        <v>9755.0</v>
      </c>
      <c r="B9756" s="2" t="s">
        <v>15042</v>
      </c>
      <c r="C9756" s="2" t="s">
        <v>23</v>
      </c>
      <c r="N9756" s="6">
        <v>43670.0</v>
      </c>
      <c r="Q9756" s="2" t="s">
        <v>15043</v>
      </c>
    </row>
    <row r="9757">
      <c r="A9757" s="2">
        <v>9756.0</v>
      </c>
      <c r="B9757" s="2" t="s">
        <v>15044</v>
      </c>
      <c r="C9757" s="2" t="s">
        <v>23</v>
      </c>
      <c r="K9757" s="2">
        <v>20.0</v>
      </c>
      <c r="N9757" s="6">
        <v>44793.0</v>
      </c>
      <c r="Q9757" s="2" t="s">
        <v>86</v>
      </c>
    </row>
    <row r="9758">
      <c r="A9758" s="2">
        <v>9757.0</v>
      </c>
      <c r="B9758" s="2" t="s">
        <v>15045</v>
      </c>
      <c r="C9758" s="2" t="s">
        <v>23</v>
      </c>
      <c r="K9758" s="2">
        <v>50.0</v>
      </c>
      <c r="N9758" s="6">
        <v>45758.0</v>
      </c>
      <c r="Q9758" s="2" t="s">
        <v>15046</v>
      </c>
    </row>
    <row r="9759">
      <c r="A9759" s="2">
        <v>9758.0</v>
      </c>
      <c r="B9759" s="2" t="s">
        <v>15047</v>
      </c>
      <c r="C9759" s="2" t="s">
        <v>23</v>
      </c>
      <c r="K9759" s="2">
        <v>20.0</v>
      </c>
      <c r="N9759" s="6">
        <v>44017.0</v>
      </c>
      <c r="Q9759" s="2" t="s">
        <v>86</v>
      </c>
    </row>
    <row r="9760">
      <c r="A9760" s="2">
        <v>9759.0</v>
      </c>
      <c r="B9760" s="2" t="s">
        <v>15048</v>
      </c>
      <c r="C9760" s="2" t="s">
        <v>23</v>
      </c>
      <c r="K9760" s="2">
        <v>20.0</v>
      </c>
      <c r="N9760" s="6">
        <v>44504.0</v>
      </c>
      <c r="Q9760" s="2" t="s">
        <v>1466</v>
      </c>
    </row>
    <row r="9761">
      <c r="A9761" s="2">
        <v>9760.0</v>
      </c>
      <c r="B9761" s="2" t="s">
        <v>15049</v>
      </c>
      <c r="C9761" s="2" t="s">
        <v>23</v>
      </c>
      <c r="K9761" s="2">
        <v>20.0</v>
      </c>
      <c r="N9761" s="6">
        <v>44488.0</v>
      </c>
      <c r="Q9761" s="2" t="s">
        <v>86</v>
      </c>
    </row>
    <row r="9762">
      <c r="A9762" s="2">
        <v>9761.0</v>
      </c>
      <c r="B9762" s="2" t="s">
        <v>15050</v>
      </c>
      <c r="C9762" s="2" t="s">
        <v>23</v>
      </c>
      <c r="K9762" s="2">
        <v>20.0</v>
      </c>
      <c r="N9762" s="6">
        <v>43840.0</v>
      </c>
      <c r="Q9762" s="2" t="s">
        <v>15051</v>
      </c>
    </row>
    <row r="9763">
      <c r="A9763" s="2">
        <v>9762.0</v>
      </c>
      <c r="B9763" s="2" t="s">
        <v>15052</v>
      </c>
      <c r="C9763" s="2" t="s">
        <v>23</v>
      </c>
      <c r="K9763" s="2">
        <v>90.0</v>
      </c>
      <c r="N9763" s="6">
        <v>43754.0</v>
      </c>
      <c r="Q9763" s="2" t="s">
        <v>15053</v>
      </c>
    </row>
    <row r="9764">
      <c r="A9764" s="2">
        <v>9763.0</v>
      </c>
      <c r="B9764" s="2" t="s">
        <v>15054</v>
      </c>
      <c r="C9764" s="2" t="s">
        <v>23</v>
      </c>
      <c r="K9764" s="2">
        <v>20.0</v>
      </c>
      <c r="N9764" s="6">
        <v>44032.0</v>
      </c>
      <c r="Q9764" s="2" t="s">
        <v>14000</v>
      </c>
    </row>
    <row r="9765">
      <c r="A9765" s="2">
        <v>9764.0</v>
      </c>
      <c r="B9765" s="2" t="s">
        <v>15055</v>
      </c>
      <c r="C9765" s="2" t="s">
        <v>23</v>
      </c>
      <c r="N9765" s="6">
        <v>45249.0</v>
      </c>
      <c r="Q9765" s="2" t="s">
        <v>86</v>
      </c>
    </row>
    <row r="9766">
      <c r="A9766" s="2">
        <v>9765.0</v>
      </c>
      <c r="B9766" s="2" t="s">
        <v>15056</v>
      </c>
      <c r="C9766" s="2" t="s">
        <v>23</v>
      </c>
      <c r="N9766" s="6">
        <v>44081.0</v>
      </c>
      <c r="Q9766" s="2" t="s">
        <v>86</v>
      </c>
    </row>
    <row r="9767">
      <c r="A9767" s="2">
        <v>9766.0</v>
      </c>
      <c r="B9767" s="2" t="s">
        <v>15057</v>
      </c>
      <c r="C9767" s="2" t="s">
        <v>23</v>
      </c>
      <c r="K9767" s="2">
        <v>30.0</v>
      </c>
      <c r="N9767" s="6">
        <v>44391.0</v>
      </c>
      <c r="Q9767" s="2" t="s">
        <v>15058</v>
      </c>
    </row>
    <row r="9768">
      <c r="A9768" s="2">
        <v>9767.0</v>
      </c>
      <c r="B9768" s="2" t="s">
        <v>15059</v>
      </c>
      <c r="C9768" s="2" t="s">
        <v>23</v>
      </c>
      <c r="K9768" s="2">
        <v>20.0</v>
      </c>
      <c r="N9768" s="6">
        <v>45749.0</v>
      </c>
      <c r="Q9768" s="2" t="s">
        <v>6731</v>
      </c>
    </row>
    <row r="9769">
      <c r="A9769" s="2">
        <v>9768.0</v>
      </c>
      <c r="B9769" s="2" t="s">
        <v>15060</v>
      </c>
      <c r="C9769" s="2" t="s">
        <v>23</v>
      </c>
      <c r="K9769" s="2">
        <v>30.0</v>
      </c>
      <c r="N9769" s="6">
        <v>44609.0</v>
      </c>
      <c r="Q9769" s="2" t="s">
        <v>10573</v>
      </c>
    </row>
    <row r="9770">
      <c r="A9770" s="2">
        <v>9769.0</v>
      </c>
      <c r="B9770" s="2" t="s">
        <v>15061</v>
      </c>
      <c r="C9770" s="2" t="s">
        <v>23</v>
      </c>
      <c r="K9770" s="2">
        <v>10.0</v>
      </c>
      <c r="N9770" s="6">
        <v>44637.0</v>
      </c>
      <c r="Q9770" s="2" t="s">
        <v>86</v>
      </c>
    </row>
    <row r="9771">
      <c r="A9771" s="2">
        <v>9770.0</v>
      </c>
      <c r="B9771" s="2" t="s">
        <v>15062</v>
      </c>
      <c r="C9771" s="2" t="s">
        <v>23</v>
      </c>
      <c r="K9771" s="2">
        <v>30.0</v>
      </c>
      <c r="N9771" s="6">
        <v>42572.0</v>
      </c>
      <c r="Q9771" s="2" t="s">
        <v>1472</v>
      </c>
    </row>
    <row r="9772">
      <c r="A9772" s="2">
        <v>9771.0</v>
      </c>
      <c r="B9772" s="2" t="s">
        <v>15063</v>
      </c>
      <c r="C9772" s="2" t="s">
        <v>23</v>
      </c>
      <c r="N9772" s="6">
        <v>44746.0</v>
      </c>
      <c r="Q9772" s="2" t="s">
        <v>86</v>
      </c>
    </row>
    <row r="9773">
      <c r="A9773" s="2">
        <v>9772.0</v>
      </c>
      <c r="B9773" s="2" t="s">
        <v>15064</v>
      </c>
      <c r="C9773" s="2" t="s">
        <v>23</v>
      </c>
      <c r="K9773" s="2">
        <v>50.0</v>
      </c>
      <c r="N9773" s="6">
        <v>45736.0</v>
      </c>
      <c r="Q9773" s="2" t="s">
        <v>15065</v>
      </c>
    </row>
    <row r="9774">
      <c r="A9774" s="2">
        <v>9773.0</v>
      </c>
      <c r="B9774" s="2" t="s">
        <v>15066</v>
      </c>
      <c r="C9774" s="2" t="s">
        <v>23</v>
      </c>
      <c r="K9774" s="2">
        <v>10.0</v>
      </c>
      <c r="N9774" s="6">
        <v>45774.0</v>
      </c>
      <c r="Q9774" s="2" t="s">
        <v>15067</v>
      </c>
    </row>
    <row r="9775">
      <c r="A9775" s="2">
        <v>9774.0</v>
      </c>
      <c r="B9775" s="2" t="s">
        <v>15068</v>
      </c>
      <c r="C9775" s="2" t="s">
        <v>23</v>
      </c>
      <c r="K9775" s="2">
        <v>100.0</v>
      </c>
      <c r="N9775" s="6">
        <v>45370.0</v>
      </c>
      <c r="Q9775" s="2" t="s">
        <v>15069</v>
      </c>
    </row>
    <row r="9776">
      <c r="A9776" s="2">
        <v>9775.0</v>
      </c>
      <c r="B9776" s="2" t="s">
        <v>15070</v>
      </c>
      <c r="C9776" s="2" t="s">
        <v>23</v>
      </c>
      <c r="N9776" s="6">
        <v>44545.0</v>
      </c>
      <c r="Q9776" s="2" t="s">
        <v>86</v>
      </c>
    </row>
    <row r="9777">
      <c r="A9777" s="2">
        <v>9776.0</v>
      </c>
      <c r="B9777" s="2" t="s">
        <v>15071</v>
      </c>
      <c r="C9777" s="2" t="s">
        <v>23</v>
      </c>
      <c r="K9777" s="2">
        <v>30.0</v>
      </c>
      <c r="N9777" s="6">
        <v>44480.0</v>
      </c>
      <c r="Q9777" s="2" t="s">
        <v>2508</v>
      </c>
    </row>
    <row r="9778">
      <c r="A9778" s="2">
        <v>9777.0</v>
      </c>
      <c r="B9778" s="2" t="s">
        <v>15072</v>
      </c>
      <c r="C9778" s="2" t="s">
        <v>23</v>
      </c>
      <c r="N9778" s="6">
        <v>42592.0</v>
      </c>
      <c r="Q9778" s="2" t="s">
        <v>1801</v>
      </c>
    </row>
    <row r="9779">
      <c r="A9779" s="2">
        <v>9778.0</v>
      </c>
      <c r="B9779" s="2" t="s">
        <v>15073</v>
      </c>
      <c r="C9779" s="2" t="s">
        <v>23</v>
      </c>
      <c r="K9779" s="2">
        <v>10.0</v>
      </c>
      <c r="N9779" s="6">
        <v>44604.0</v>
      </c>
      <c r="Q9779" s="2" t="s">
        <v>15074</v>
      </c>
    </row>
    <row r="9780">
      <c r="A9780" s="2">
        <v>9779.0</v>
      </c>
      <c r="B9780" s="2" t="s">
        <v>15075</v>
      </c>
      <c r="C9780" s="2" t="s">
        <v>23</v>
      </c>
      <c r="K9780" s="2">
        <v>100.0</v>
      </c>
      <c r="N9780" s="6">
        <v>43944.0</v>
      </c>
      <c r="Q9780" s="2" t="s">
        <v>3062</v>
      </c>
    </row>
    <row r="9781">
      <c r="A9781" s="2">
        <v>9780.0</v>
      </c>
      <c r="B9781" s="2" t="s">
        <v>15076</v>
      </c>
      <c r="C9781" s="2" t="s">
        <v>23</v>
      </c>
      <c r="K9781" s="2">
        <v>70.0</v>
      </c>
      <c r="N9781" s="6">
        <v>45283.0</v>
      </c>
      <c r="Q9781" s="2" t="s">
        <v>15077</v>
      </c>
    </row>
    <row r="9782">
      <c r="A9782" s="2">
        <v>9781.0</v>
      </c>
      <c r="B9782" s="2" t="s">
        <v>565</v>
      </c>
      <c r="C9782" s="2" t="s">
        <v>23</v>
      </c>
      <c r="K9782" s="2">
        <v>150.0</v>
      </c>
      <c r="N9782" s="6">
        <v>44407.0</v>
      </c>
      <c r="Q9782" s="2" t="s">
        <v>568</v>
      </c>
    </row>
    <row r="9783">
      <c r="A9783" s="2">
        <v>9782.0</v>
      </c>
      <c r="B9783" s="2" t="s">
        <v>15078</v>
      </c>
      <c r="C9783" s="2" t="s">
        <v>23</v>
      </c>
      <c r="K9783" s="2">
        <v>10.0</v>
      </c>
      <c r="N9783" s="6">
        <v>44227.0</v>
      </c>
      <c r="Q9783" s="2" t="s">
        <v>15079</v>
      </c>
    </row>
    <row r="9784">
      <c r="A9784" s="2">
        <v>9783.0</v>
      </c>
      <c r="B9784" s="2" t="s">
        <v>15080</v>
      </c>
      <c r="C9784" s="2" t="s">
        <v>23</v>
      </c>
      <c r="N9784" s="6">
        <v>42733.0</v>
      </c>
      <c r="Q9784" s="2" t="s">
        <v>86</v>
      </c>
    </row>
    <row r="9785">
      <c r="A9785" s="2">
        <v>9784.0</v>
      </c>
      <c r="B9785" s="2" t="s">
        <v>15081</v>
      </c>
      <c r="C9785" s="2" t="s">
        <v>23</v>
      </c>
      <c r="K9785" s="2">
        <v>100.0</v>
      </c>
      <c r="N9785" s="6">
        <v>44197.0</v>
      </c>
      <c r="Q9785" s="2" t="s">
        <v>200</v>
      </c>
    </row>
    <row r="9786">
      <c r="A9786" s="2">
        <v>9785.0</v>
      </c>
      <c r="B9786" s="2" t="s">
        <v>15082</v>
      </c>
      <c r="C9786" s="2" t="s">
        <v>23</v>
      </c>
      <c r="N9786" s="6">
        <v>45777.0</v>
      </c>
      <c r="Q9786" s="2" t="s">
        <v>15083</v>
      </c>
    </row>
    <row r="9787">
      <c r="A9787" s="2">
        <v>9786.0</v>
      </c>
      <c r="B9787" s="2" t="s">
        <v>15084</v>
      </c>
      <c r="C9787" s="2" t="s">
        <v>23</v>
      </c>
      <c r="K9787" s="2">
        <v>10.0</v>
      </c>
      <c r="N9787" s="6">
        <v>45212.0</v>
      </c>
      <c r="Q9787" s="2" t="s">
        <v>15085</v>
      </c>
    </row>
    <row r="9788">
      <c r="A9788" s="2">
        <v>9787.0</v>
      </c>
      <c r="B9788" s="2" t="s">
        <v>15086</v>
      </c>
      <c r="C9788" s="2" t="s">
        <v>23</v>
      </c>
      <c r="K9788" s="2">
        <v>50.0</v>
      </c>
      <c r="N9788" s="6">
        <v>44707.0</v>
      </c>
      <c r="Q9788" s="2" t="s">
        <v>5852</v>
      </c>
    </row>
    <row r="9789">
      <c r="A9789" s="2">
        <v>9788.0</v>
      </c>
      <c r="B9789" s="2" t="s">
        <v>15087</v>
      </c>
      <c r="C9789" s="2" t="s">
        <v>23</v>
      </c>
      <c r="K9789" s="2">
        <v>10.0</v>
      </c>
      <c r="N9789" s="6">
        <v>45667.0</v>
      </c>
      <c r="Q9789" s="2" t="s">
        <v>15088</v>
      </c>
    </row>
    <row r="9790">
      <c r="A9790" s="2">
        <v>9789.0</v>
      </c>
      <c r="B9790" s="2" t="s">
        <v>15089</v>
      </c>
      <c r="C9790" s="2" t="s">
        <v>23</v>
      </c>
      <c r="N9790" s="6">
        <v>43943.0</v>
      </c>
      <c r="Q9790" s="2" t="s">
        <v>86</v>
      </c>
    </row>
    <row r="9791">
      <c r="A9791" s="2">
        <v>9790.0</v>
      </c>
      <c r="B9791" s="2" t="s">
        <v>15090</v>
      </c>
      <c r="C9791" s="2" t="s">
        <v>23</v>
      </c>
      <c r="K9791" s="2">
        <v>60.0</v>
      </c>
      <c r="N9791" s="6">
        <v>45644.0</v>
      </c>
      <c r="Q9791" s="2" t="s">
        <v>2026</v>
      </c>
    </row>
    <row r="9792">
      <c r="A9792" s="2">
        <v>9791.0</v>
      </c>
      <c r="B9792" s="2" t="s">
        <v>15091</v>
      </c>
      <c r="C9792" s="2" t="s">
        <v>23</v>
      </c>
      <c r="K9792" s="2">
        <v>10.0</v>
      </c>
      <c r="N9792" s="6">
        <v>44068.0</v>
      </c>
      <c r="Q9792" s="2" t="s">
        <v>86</v>
      </c>
    </row>
    <row r="9793">
      <c r="A9793" s="2">
        <v>9792.0</v>
      </c>
      <c r="B9793" s="2" t="s">
        <v>15092</v>
      </c>
      <c r="C9793" s="2" t="s">
        <v>23</v>
      </c>
      <c r="K9793" s="2">
        <v>10.0</v>
      </c>
      <c r="N9793" s="6">
        <v>44599.0</v>
      </c>
      <c r="Q9793" s="2" t="s">
        <v>86</v>
      </c>
    </row>
    <row r="9794">
      <c r="A9794" s="2">
        <v>9793.0</v>
      </c>
      <c r="B9794" s="2" t="s">
        <v>15093</v>
      </c>
      <c r="C9794" s="2" t="s">
        <v>23</v>
      </c>
      <c r="N9794" s="6">
        <v>43883.0</v>
      </c>
      <c r="Q9794" s="2" t="s">
        <v>86</v>
      </c>
    </row>
    <row r="9795">
      <c r="A9795" s="2">
        <v>9794.0</v>
      </c>
      <c r="B9795" s="2" t="s">
        <v>15094</v>
      </c>
      <c r="C9795" s="2" t="s">
        <v>23</v>
      </c>
      <c r="K9795" s="2">
        <v>10.0</v>
      </c>
      <c r="N9795" s="6">
        <v>44193.0</v>
      </c>
      <c r="Q9795" s="2" t="s">
        <v>1790</v>
      </c>
    </row>
    <row r="9796">
      <c r="A9796" s="2">
        <v>9795.0</v>
      </c>
      <c r="B9796" s="2" t="s">
        <v>15095</v>
      </c>
      <c r="C9796" s="2" t="s">
        <v>23</v>
      </c>
      <c r="K9796" s="2">
        <v>10.0</v>
      </c>
      <c r="N9796" s="6">
        <v>46098.0</v>
      </c>
      <c r="Q9796" s="2" t="s">
        <v>3003</v>
      </c>
    </row>
    <row r="9797">
      <c r="A9797" s="2">
        <v>9796.0</v>
      </c>
      <c r="B9797" s="2" t="s">
        <v>15096</v>
      </c>
      <c r="C9797" s="2" t="s">
        <v>23</v>
      </c>
      <c r="K9797" s="2">
        <v>10.0</v>
      </c>
      <c r="N9797" s="6">
        <v>44728.0</v>
      </c>
      <c r="Q9797" s="2" t="s">
        <v>295</v>
      </c>
    </row>
    <row r="9798">
      <c r="A9798" s="2">
        <v>9797.0</v>
      </c>
      <c r="B9798" s="2" t="s">
        <v>15097</v>
      </c>
      <c r="C9798" s="2" t="s">
        <v>23</v>
      </c>
      <c r="K9798" s="2">
        <v>200.0</v>
      </c>
      <c r="N9798" s="6">
        <v>44517.0</v>
      </c>
      <c r="Q9798" s="2" t="s">
        <v>15098</v>
      </c>
    </row>
    <row r="9799">
      <c r="A9799" s="2">
        <v>9798.0</v>
      </c>
      <c r="B9799" s="2" t="s">
        <v>15099</v>
      </c>
      <c r="C9799" s="2" t="s">
        <v>23</v>
      </c>
      <c r="N9799" s="6">
        <v>44489.0</v>
      </c>
      <c r="Q9799" s="2" t="s">
        <v>86</v>
      </c>
    </row>
    <row r="9800">
      <c r="A9800" s="2">
        <v>9799.0</v>
      </c>
      <c r="B9800" s="2" t="s">
        <v>15100</v>
      </c>
      <c r="C9800" s="2" t="s">
        <v>23</v>
      </c>
      <c r="N9800" s="6">
        <v>42420.0</v>
      </c>
      <c r="Q9800" s="2" t="s">
        <v>15101</v>
      </c>
    </row>
    <row r="9801">
      <c r="A9801" s="2">
        <v>9800.0</v>
      </c>
      <c r="B9801" s="2" t="s">
        <v>15102</v>
      </c>
      <c r="C9801" s="2" t="s">
        <v>23</v>
      </c>
      <c r="N9801" s="6">
        <v>42779.0</v>
      </c>
      <c r="Q9801" s="2" t="s">
        <v>86</v>
      </c>
    </row>
    <row r="9802">
      <c r="A9802" s="2">
        <v>9801.0</v>
      </c>
      <c r="B9802" s="2" t="s">
        <v>15103</v>
      </c>
      <c r="C9802" s="2" t="s">
        <v>23</v>
      </c>
      <c r="K9802" s="2">
        <v>60.0</v>
      </c>
      <c r="N9802" s="6">
        <v>44413.0</v>
      </c>
      <c r="Q9802" s="2" t="s">
        <v>4589</v>
      </c>
    </row>
    <row r="9803">
      <c r="A9803" s="2">
        <v>9802.0</v>
      </c>
      <c r="B9803" s="2" t="s">
        <v>15104</v>
      </c>
      <c r="C9803" s="2" t="s">
        <v>23</v>
      </c>
      <c r="N9803" s="6">
        <v>44416.0</v>
      </c>
      <c r="Q9803" s="2" t="s">
        <v>86</v>
      </c>
    </row>
    <row r="9804">
      <c r="A9804" s="2">
        <v>9803.0</v>
      </c>
      <c r="B9804" s="2" t="s">
        <v>15105</v>
      </c>
      <c r="C9804" s="2" t="s">
        <v>23</v>
      </c>
      <c r="N9804" s="6">
        <v>45037.0</v>
      </c>
      <c r="Q9804" s="2" t="s">
        <v>86</v>
      </c>
    </row>
    <row r="9805">
      <c r="A9805" s="2">
        <v>9804.0</v>
      </c>
      <c r="B9805" s="2" t="s">
        <v>15106</v>
      </c>
      <c r="C9805" s="2" t="s">
        <v>23</v>
      </c>
      <c r="K9805" s="2">
        <v>40.0</v>
      </c>
      <c r="N9805" s="6">
        <v>44783.0</v>
      </c>
      <c r="Q9805" s="2" t="s">
        <v>4273</v>
      </c>
    </row>
    <row r="9806">
      <c r="A9806" s="2">
        <v>9805.0</v>
      </c>
      <c r="B9806" s="2" t="s">
        <v>15107</v>
      </c>
      <c r="C9806" s="2" t="s">
        <v>23</v>
      </c>
      <c r="K9806" s="2">
        <v>100.0</v>
      </c>
      <c r="N9806" s="6">
        <v>44153.0</v>
      </c>
      <c r="Q9806" s="2" t="s">
        <v>15108</v>
      </c>
    </row>
    <row r="9807">
      <c r="A9807" s="2">
        <v>9806.0</v>
      </c>
      <c r="B9807" s="2" t="s">
        <v>15109</v>
      </c>
      <c r="C9807" s="2" t="s">
        <v>23</v>
      </c>
      <c r="K9807" s="2">
        <v>40.0</v>
      </c>
      <c r="N9807" s="6">
        <v>45511.0</v>
      </c>
      <c r="Q9807" s="2" t="s">
        <v>8922</v>
      </c>
    </row>
    <row r="9808">
      <c r="A9808" s="2">
        <v>9807.0</v>
      </c>
      <c r="B9808" s="2" t="s">
        <v>15110</v>
      </c>
      <c r="C9808" s="2" t="s">
        <v>23</v>
      </c>
      <c r="K9808" s="2">
        <v>10.0</v>
      </c>
      <c r="N9808" s="6">
        <v>45497.0</v>
      </c>
      <c r="Q9808" s="2" t="s">
        <v>15111</v>
      </c>
    </row>
    <row r="9809">
      <c r="A9809" s="2">
        <v>9808.0</v>
      </c>
      <c r="B9809" s="2" t="s">
        <v>15112</v>
      </c>
      <c r="C9809" s="2" t="s">
        <v>23</v>
      </c>
      <c r="K9809" s="2">
        <v>100.0</v>
      </c>
      <c r="N9809" s="6">
        <v>44362.0</v>
      </c>
      <c r="Q9809" s="2" t="s">
        <v>15113</v>
      </c>
    </row>
    <row r="9810">
      <c r="A9810" s="2">
        <v>9809.0</v>
      </c>
      <c r="B9810" s="2" t="s">
        <v>15114</v>
      </c>
      <c r="C9810" s="2" t="s">
        <v>23</v>
      </c>
      <c r="N9810" s="6">
        <v>44995.0</v>
      </c>
      <c r="Q9810" s="2" t="s">
        <v>86</v>
      </c>
    </row>
    <row r="9811">
      <c r="A9811" s="2">
        <v>9810.0</v>
      </c>
      <c r="B9811" s="2" t="s">
        <v>15115</v>
      </c>
      <c r="C9811" s="2" t="s">
        <v>23</v>
      </c>
      <c r="N9811" s="6">
        <v>44599.0</v>
      </c>
      <c r="Q9811" s="2" t="s">
        <v>86</v>
      </c>
    </row>
    <row r="9812">
      <c r="A9812" s="2">
        <v>9811.0</v>
      </c>
      <c r="B9812" s="2" t="s">
        <v>15116</v>
      </c>
      <c r="C9812" s="2" t="s">
        <v>23</v>
      </c>
      <c r="K9812" s="2">
        <v>50.0</v>
      </c>
      <c r="N9812" s="6">
        <v>45891.0</v>
      </c>
      <c r="Q9812" s="2" t="s">
        <v>15117</v>
      </c>
    </row>
    <row r="9813">
      <c r="A9813" s="2">
        <v>9812.0</v>
      </c>
      <c r="B9813" s="2" t="s">
        <v>15118</v>
      </c>
      <c r="C9813" s="2" t="s">
        <v>23</v>
      </c>
      <c r="K9813" s="2">
        <v>100.0</v>
      </c>
      <c r="N9813" s="6">
        <v>43927.0</v>
      </c>
      <c r="Q9813" s="2" t="s">
        <v>15119</v>
      </c>
    </row>
    <row r="9814">
      <c r="A9814" s="2">
        <v>9813.0</v>
      </c>
      <c r="B9814" s="2" t="s">
        <v>15120</v>
      </c>
      <c r="C9814" s="2" t="s">
        <v>23</v>
      </c>
      <c r="K9814" s="2">
        <v>90.0</v>
      </c>
      <c r="N9814" s="6">
        <v>44174.0</v>
      </c>
      <c r="Q9814" s="2" t="s">
        <v>15121</v>
      </c>
    </row>
    <row r="9815">
      <c r="A9815" s="2">
        <v>9814.0</v>
      </c>
      <c r="B9815" s="2" t="s">
        <v>15122</v>
      </c>
      <c r="C9815" s="2" t="s">
        <v>23</v>
      </c>
      <c r="K9815" s="2">
        <v>10.0</v>
      </c>
      <c r="N9815" s="6">
        <v>43871.0</v>
      </c>
      <c r="Q9815" s="2" t="s">
        <v>15123</v>
      </c>
    </row>
    <row r="9816">
      <c r="A9816" s="2">
        <v>9815.0</v>
      </c>
      <c r="B9816" s="2" t="s">
        <v>15124</v>
      </c>
      <c r="C9816" s="2" t="s">
        <v>23</v>
      </c>
      <c r="K9816" s="2">
        <v>30.0</v>
      </c>
      <c r="N9816" s="6">
        <v>44691.0</v>
      </c>
      <c r="Q9816" s="2" t="s">
        <v>15125</v>
      </c>
    </row>
    <row r="9817">
      <c r="A9817" s="2">
        <v>9816.0</v>
      </c>
      <c r="B9817" s="2" t="s">
        <v>15126</v>
      </c>
      <c r="C9817" s="2" t="s">
        <v>23</v>
      </c>
      <c r="K9817" s="2">
        <v>100.0</v>
      </c>
      <c r="N9817" s="6">
        <v>44732.0</v>
      </c>
      <c r="Q9817" s="2" t="s">
        <v>15127</v>
      </c>
    </row>
    <row r="9818">
      <c r="A9818" s="2">
        <v>9817.0</v>
      </c>
      <c r="B9818" s="2" t="s">
        <v>15128</v>
      </c>
      <c r="C9818" s="2" t="s">
        <v>23</v>
      </c>
      <c r="K9818" s="2">
        <v>50.0</v>
      </c>
      <c r="N9818" s="6">
        <v>45281.0</v>
      </c>
      <c r="Q9818" s="2" t="s">
        <v>15129</v>
      </c>
    </row>
    <row r="9819">
      <c r="A9819" s="2">
        <v>9818.0</v>
      </c>
      <c r="B9819" s="2" t="s">
        <v>15130</v>
      </c>
      <c r="C9819" s="2" t="s">
        <v>23</v>
      </c>
      <c r="N9819" s="6">
        <v>44711.0</v>
      </c>
      <c r="Q9819" s="2" t="s">
        <v>86</v>
      </c>
    </row>
    <row r="9820">
      <c r="A9820" s="2">
        <v>9819.0</v>
      </c>
      <c r="B9820" s="2" t="s">
        <v>15131</v>
      </c>
      <c r="C9820" s="2" t="s">
        <v>23</v>
      </c>
      <c r="N9820" s="6">
        <v>42269.0</v>
      </c>
      <c r="Q9820" s="2" t="s">
        <v>86</v>
      </c>
    </row>
    <row r="9821">
      <c r="A9821" s="2">
        <v>9820.0</v>
      </c>
      <c r="B9821" s="2" t="s">
        <v>15132</v>
      </c>
      <c r="C9821" s="2" t="s">
        <v>23</v>
      </c>
      <c r="K9821" s="2">
        <v>10.0</v>
      </c>
      <c r="N9821" s="6">
        <v>44285.0</v>
      </c>
      <c r="Q9821" s="2" t="s">
        <v>86</v>
      </c>
    </row>
    <row r="9822">
      <c r="A9822" s="2">
        <v>9821.0</v>
      </c>
      <c r="B9822" s="2" t="s">
        <v>15133</v>
      </c>
      <c r="C9822" s="2" t="s">
        <v>23</v>
      </c>
      <c r="N9822" s="6">
        <v>46002.0</v>
      </c>
      <c r="Q9822" s="2" t="s">
        <v>15134</v>
      </c>
    </row>
    <row r="9823">
      <c r="A9823" s="2">
        <v>9822.0</v>
      </c>
      <c r="B9823" s="2" t="s">
        <v>15135</v>
      </c>
      <c r="C9823" s="2" t="s">
        <v>23</v>
      </c>
      <c r="K9823" s="2">
        <v>10.0</v>
      </c>
      <c r="N9823" s="6">
        <v>45820.0</v>
      </c>
      <c r="Q9823" s="2" t="s">
        <v>15136</v>
      </c>
    </row>
    <row r="9824">
      <c r="A9824" s="2">
        <v>9823.0</v>
      </c>
      <c r="B9824" s="2" t="s">
        <v>15137</v>
      </c>
      <c r="C9824" s="2" t="s">
        <v>23</v>
      </c>
      <c r="K9824" s="2">
        <v>10.0</v>
      </c>
      <c r="N9824" s="6">
        <v>44456.0</v>
      </c>
      <c r="Q9824" s="2" t="s">
        <v>3896</v>
      </c>
    </row>
    <row r="9825">
      <c r="A9825" s="2">
        <v>9824.0</v>
      </c>
      <c r="B9825" s="2" t="s">
        <v>15138</v>
      </c>
      <c r="C9825" s="2" t="s">
        <v>23</v>
      </c>
      <c r="K9825" s="2">
        <v>70.0</v>
      </c>
      <c r="N9825" s="6">
        <v>44998.0</v>
      </c>
      <c r="Q9825" s="2" t="s">
        <v>15139</v>
      </c>
    </row>
    <row r="9826">
      <c r="A9826" s="2">
        <v>9825.0</v>
      </c>
      <c r="B9826" s="2" t="s">
        <v>15140</v>
      </c>
      <c r="C9826" s="2" t="s">
        <v>23</v>
      </c>
      <c r="K9826" s="2">
        <v>10.0</v>
      </c>
      <c r="N9826" s="6">
        <v>44641.0</v>
      </c>
      <c r="Q9826" s="2" t="s">
        <v>86</v>
      </c>
    </row>
    <row r="9827">
      <c r="A9827" s="2">
        <v>9826.0</v>
      </c>
      <c r="B9827" s="2" t="s">
        <v>15141</v>
      </c>
      <c r="C9827" s="2" t="s">
        <v>23</v>
      </c>
      <c r="K9827" s="2">
        <v>90.0</v>
      </c>
      <c r="N9827" s="6">
        <v>45670.0</v>
      </c>
      <c r="Q9827" s="2" t="s">
        <v>5678</v>
      </c>
    </row>
    <row r="9828">
      <c r="A9828" s="2">
        <v>9827.0</v>
      </c>
      <c r="B9828" s="2" t="s">
        <v>15142</v>
      </c>
      <c r="C9828" s="2" t="s">
        <v>23</v>
      </c>
      <c r="K9828" s="2">
        <v>10.0</v>
      </c>
      <c r="N9828" s="6">
        <v>44221.0</v>
      </c>
      <c r="Q9828" s="2" t="s">
        <v>12134</v>
      </c>
    </row>
    <row r="9829">
      <c r="A9829" s="2">
        <v>9828.0</v>
      </c>
      <c r="B9829" s="2" t="s">
        <v>15143</v>
      </c>
      <c r="C9829" s="2" t="s">
        <v>23</v>
      </c>
      <c r="K9829" s="2">
        <v>40.0</v>
      </c>
      <c r="N9829" s="6">
        <v>45254.0</v>
      </c>
      <c r="Q9829" s="2" t="s">
        <v>15144</v>
      </c>
    </row>
    <row r="9830">
      <c r="A9830" s="2">
        <v>9829.0</v>
      </c>
      <c r="B9830" s="2" t="s">
        <v>15145</v>
      </c>
      <c r="C9830" s="2" t="s">
        <v>23</v>
      </c>
      <c r="N9830" s="6">
        <v>44592.0</v>
      </c>
      <c r="Q9830" s="2" t="s">
        <v>86</v>
      </c>
    </row>
    <row r="9831">
      <c r="A9831" s="2">
        <v>9830.0</v>
      </c>
      <c r="B9831" s="2" t="s">
        <v>15146</v>
      </c>
      <c r="C9831" s="2" t="s">
        <v>23</v>
      </c>
      <c r="K9831" s="2">
        <v>100.0</v>
      </c>
      <c r="N9831" s="6">
        <v>44231.0</v>
      </c>
      <c r="Q9831" s="2" t="s">
        <v>15147</v>
      </c>
    </row>
    <row r="9832">
      <c r="A9832" s="2">
        <v>9831.0</v>
      </c>
      <c r="B9832" s="2" t="s">
        <v>15148</v>
      </c>
      <c r="C9832" s="2" t="s">
        <v>23</v>
      </c>
      <c r="K9832" s="2">
        <v>10.0</v>
      </c>
      <c r="N9832" s="6">
        <v>44943.0</v>
      </c>
      <c r="Q9832" s="2" t="s">
        <v>86</v>
      </c>
    </row>
    <row r="9833">
      <c r="A9833" s="2">
        <v>9832.0</v>
      </c>
      <c r="B9833" s="2" t="s">
        <v>15149</v>
      </c>
      <c r="C9833" s="2" t="s">
        <v>23</v>
      </c>
      <c r="N9833" s="6">
        <v>44534.0</v>
      </c>
      <c r="Q9833" s="2" t="s">
        <v>86</v>
      </c>
    </row>
    <row r="9834">
      <c r="A9834" s="2">
        <v>9833.0</v>
      </c>
      <c r="B9834" s="2" t="s">
        <v>15150</v>
      </c>
      <c r="C9834" s="2" t="s">
        <v>23</v>
      </c>
      <c r="K9834" s="2">
        <v>100.0</v>
      </c>
      <c r="N9834" s="6">
        <v>45770.0</v>
      </c>
      <c r="Q9834" s="2" t="s">
        <v>15151</v>
      </c>
    </row>
    <row r="9835">
      <c r="A9835" s="2">
        <v>9834.0</v>
      </c>
      <c r="B9835" s="2" t="s">
        <v>15152</v>
      </c>
      <c r="C9835" s="2" t="s">
        <v>23</v>
      </c>
      <c r="K9835" s="2">
        <v>30.0</v>
      </c>
      <c r="N9835" s="6">
        <v>44483.0</v>
      </c>
      <c r="Q9835" s="2" t="s">
        <v>3218</v>
      </c>
    </row>
    <row r="9836">
      <c r="A9836" s="2">
        <v>9835.0</v>
      </c>
      <c r="B9836" s="2" t="s">
        <v>15153</v>
      </c>
      <c r="C9836" s="2" t="s">
        <v>23</v>
      </c>
      <c r="N9836" s="6">
        <v>45484.0</v>
      </c>
      <c r="Q9836" s="2" t="s">
        <v>1070</v>
      </c>
    </row>
    <row r="9837">
      <c r="A9837" s="2">
        <v>9836.0</v>
      </c>
      <c r="B9837" s="2" t="s">
        <v>15154</v>
      </c>
      <c r="C9837" s="2" t="s">
        <v>23</v>
      </c>
      <c r="K9837" s="2">
        <v>10.0</v>
      </c>
      <c r="N9837" s="6">
        <v>44676.0</v>
      </c>
      <c r="Q9837" s="2" t="s">
        <v>86</v>
      </c>
    </row>
    <row r="9838">
      <c r="A9838" s="2">
        <v>9837.0</v>
      </c>
      <c r="B9838" s="2" t="s">
        <v>15155</v>
      </c>
      <c r="C9838" s="2" t="s">
        <v>23</v>
      </c>
      <c r="K9838" s="2">
        <v>20.0</v>
      </c>
      <c r="N9838" s="6">
        <v>44186.0</v>
      </c>
      <c r="Q9838" s="2" t="s">
        <v>15156</v>
      </c>
    </row>
    <row r="9839">
      <c r="A9839" s="2">
        <v>9838.0</v>
      </c>
      <c r="B9839" s="2" t="s">
        <v>15157</v>
      </c>
      <c r="C9839" s="2" t="s">
        <v>23</v>
      </c>
      <c r="K9839" s="2">
        <v>70.0</v>
      </c>
      <c r="N9839" s="6">
        <v>44049.0</v>
      </c>
      <c r="Q9839" s="2" t="s">
        <v>15158</v>
      </c>
    </row>
    <row r="9840">
      <c r="A9840" s="2">
        <v>9839.0</v>
      </c>
      <c r="B9840" s="2" t="s">
        <v>15159</v>
      </c>
      <c r="C9840" s="2" t="s">
        <v>23</v>
      </c>
      <c r="K9840" s="2">
        <v>70.0</v>
      </c>
      <c r="N9840" s="6">
        <v>44786.0</v>
      </c>
      <c r="Q9840" s="2" t="s">
        <v>15160</v>
      </c>
    </row>
    <row r="9841">
      <c r="A9841" s="2">
        <v>9840.0</v>
      </c>
      <c r="B9841" s="2" t="s">
        <v>15161</v>
      </c>
      <c r="C9841" s="2" t="s">
        <v>23</v>
      </c>
      <c r="N9841" s="6">
        <v>44460.0</v>
      </c>
      <c r="Q9841" s="2" t="s">
        <v>86</v>
      </c>
    </row>
    <row r="9842">
      <c r="A9842" s="2">
        <v>9841.0</v>
      </c>
      <c r="B9842" s="2" t="s">
        <v>15162</v>
      </c>
      <c r="C9842" s="2" t="s">
        <v>23</v>
      </c>
      <c r="K9842" s="2">
        <v>30.0</v>
      </c>
      <c r="N9842" s="6">
        <v>44431.0</v>
      </c>
      <c r="Q9842" s="2" t="s">
        <v>1466</v>
      </c>
    </row>
    <row r="9843">
      <c r="A9843" s="2">
        <v>9842.0</v>
      </c>
      <c r="B9843" s="2" t="s">
        <v>15163</v>
      </c>
      <c r="C9843" s="2" t="s">
        <v>23</v>
      </c>
      <c r="K9843" s="2">
        <v>40.0</v>
      </c>
      <c r="N9843" s="6">
        <v>44389.0</v>
      </c>
      <c r="Q9843" s="2" t="s">
        <v>15164</v>
      </c>
    </row>
    <row r="9844">
      <c r="A9844" s="2">
        <v>9843.0</v>
      </c>
      <c r="B9844" s="2" t="s">
        <v>15165</v>
      </c>
      <c r="C9844" s="2" t="s">
        <v>23</v>
      </c>
      <c r="N9844" s="6">
        <v>44648.0</v>
      </c>
      <c r="Q9844" s="2" t="s">
        <v>86</v>
      </c>
    </row>
    <row r="9845">
      <c r="A9845" s="2">
        <v>9844.0</v>
      </c>
      <c r="B9845" s="2" t="s">
        <v>15166</v>
      </c>
      <c r="C9845" s="2" t="s">
        <v>23</v>
      </c>
      <c r="K9845" s="2">
        <v>60.0</v>
      </c>
      <c r="N9845" s="6">
        <v>45594.0</v>
      </c>
      <c r="Q9845" s="2" t="s">
        <v>15167</v>
      </c>
    </row>
    <row r="9846">
      <c r="A9846" s="2">
        <v>9845.0</v>
      </c>
      <c r="B9846" s="2" t="s">
        <v>15168</v>
      </c>
      <c r="C9846" s="2" t="s">
        <v>23</v>
      </c>
      <c r="K9846" s="2">
        <v>20.0</v>
      </c>
      <c r="N9846" s="6">
        <v>45785.0</v>
      </c>
      <c r="Q9846" s="2" t="s">
        <v>2794</v>
      </c>
    </row>
    <row r="9847">
      <c r="A9847" s="2">
        <v>9846.0</v>
      </c>
      <c r="B9847" s="2" t="s">
        <v>15169</v>
      </c>
      <c r="C9847" s="2" t="s">
        <v>23</v>
      </c>
      <c r="K9847" s="2">
        <v>10.0</v>
      </c>
      <c r="N9847" s="6">
        <v>44806.0</v>
      </c>
      <c r="Q9847" s="2" t="s">
        <v>2448</v>
      </c>
    </row>
    <row r="9848">
      <c r="A9848" s="2">
        <v>9847.0</v>
      </c>
      <c r="B9848" s="2" t="s">
        <v>15170</v>
      </c>
      <c r="C9848" s="2" t="s">
        <v>23</v>
      </c>
      <c r="N9848" s="6">
        <v>42940.0</v>
      </c>
      <c r="Q9848" s="2" t="s">
        <v>86</v>
      </c>
    </row>
    <row r="9849">
      <c r="A9849" s="2">
        <v>9848.0</v>
      </c>
      <c r="B9849" s="2" t="s">
        <v>15171</v>
      </c>
      <c r="C9849" s="2" t="s">
        <v>23</v>
      </c>
      <c r="N9849" s="6">
        <v>45004.0</v>
      </c>
      <c r="Q9849" s="2" t="s">
        <v>86</v>
      </c>
    </row>
    <row r="9850">
      <c r="A9850" s="2">
        <v>9849.0</v>
      </c>
      <c r="B9850" s="2" t="s">
        <v>15172</v>
      </c>
      <c r="C9850" s="2" t="s">
        <v>23</v>
      </c>
      <c r="K9850" s="2">
        <v>10.0</v>
      </c>
      <c r="N9850" s="6">
        <v>46126.0</v>
      </c>
      <c r="Q9850" s="2" t="s">
        <v>15173</v>
      </c>
    </row>
    <row r="9851">
      <c r="A9851" s="2">
        <v>9850.0</v>
      </c>
      <c r="B9851" s="2" t="s">
        <v>15174</v>
      </c>
      <c r="C9851" s="2" t="s">
        <v>23</v>
      </c>
      <c r="N9851" s="6">
        <v>43689.0</v>
      </c>
      <c r="Q9851" s="2" t="s">
        <v>401</v>
      </c>
    </row>
    <row r="9852">
      <c r="A9852" s="2">
        <v>9851.0</v>
      </c>
      <c r="B9852" s="2" t="s">
        <v>15175</v>
      </c>
      <c r="C9852" s="2" t="s">
        <v>23</v>
      </c>
      <c r="K9852" s="2">
        <v>60.0</v>
      </c>
      <c r="N9852" s="6">
        <v>42823.0</v>
      </c>
      <c r="Q9852" s="2" t="s">
        <v>15176</v>
      </c>
    </row>
    <row r="9853">
      <c r="A9853" s="2">
        <v>9852.0</v>
      </c>
      <c r="B9853" s="2" t="s">
        <v>570</v>
      </c>
      <c r="C9853" s="2" t="s">
        <v>23</v>
      </c>
      <c r="N9853" s="6">
        <v>42539.0</v>
      </c>
      <c r="Q9853" s="2" t="s">
        <v>574</v>
      </c>
    </row>
    <row r="9854">
      <c r="A9854" s="2">
        <v>9853.0</v>
      </c>
      <c r="B9854" s="2" t="s">
        <v>15177</v>
      </c>
      <c r="C9854" s="2" t="s">
        <v>23</v>
      </c>
      <c r="N9854" s="6">
        <v>44528.0</v>
      </c>
      <c r="Q9854" s="2" t="s">
        <v>86</v>
      </c>
    </row>
    <row r="9855">
      <c r="A9855" s="2">
        <v>9854.0</v>
      </c>
      <c r="B9855" s="2" t="s">
        <v>15178</v>
      </c>
      <c r="C9855" s="2" t="s">
        <v>23</v>
      </c>
      <c r="K9855" s="2">
        <v>40.0</v>
      </c>
      <c r="N9855" s="6">
        <v>44296.0</v>
      </c>
      <c r="Q9855" s="2" t="s">
        <v>86</v>
      </c>
    </row>
    <row r="9856">
      <c r="A9856" s="2">
        <v>9855.0</v>
      </c>
      <c r="B9856" s="2" t="s">
        <v>15179</v>
      </c>
      <c r="C9856" s="2" t="s">
        <v>23</v>
      </c>
      <c r="K9856" s="2">
        <v>250.0</v>
      </c>
      <c r="N9856" s="6">
        <v>42286.0</v>
      </c>
      <c r="Q9856" s="2" t="s">
        <v>15180</v>
      </c>
    </row>
    <row r="9857">
      <c r="A9857" s="2">
        <v>9856.0</v>
      </c>
      <c r="B9857" s="2" t="s">
        <v>15181</v>
      </c>
      <c r="C9857" s="2" t="s">
        <v>23</v>
      </c>
      <c r="N9857" s="6">
        <v>44102.0</v>
      </c>
      <c r="Q9857" s="2" t="s">
        <v>86</v>
      </c>
    </row>
    <row r="9858">
      <c r="A9858" s="2">
        <v>9857.0</v>
      </c>
      <c r="B9858" s="2" t="s">
        <v>15182</v>
      </c>
      <c r="C9858" s="2" t="s">
        <v>23</v>
      </c>
      <c r="K9858" s="2">
        <v>1700.0</v>
      </c>
      <c r="N9858" s="6">
        <v>43918.0</v>
      </c>
      <c r="Q9858" s="2" t="s">
        <v>15183</v>
      </c>
    </row>
    <row r="9859">
      <c r="A9859" s="2">
        <v>9858.0</v>
      </c>
      <c r="B9859" s="2" t="s">
        <v>15184</v>
      </c>
      <c r="C9859" s="2" t="s">
        <v>23</v>
      </c>
      <c r="K9859" s="2">
        <v>10.0</v>
      </c>
      <c r="N9859" s="6">
        <v>44210.0</v>
      </c>
      <c r="Q9859" s="2" t="s">
        <v>1156</v>
      </c>
    </row>
    <row r="9860">
      <c r="A9860" s="2">
        <v>9859.0</v>
      </c>
      <c r="B9860" s="2" t="s">
        <v>15185</v>
      </c>
      <c r="C9860" s="2" t="s">
        <v>23</v>
      </c>
      <c r="K9860" s="2">
        <v>150.0</v>
      </c>
      <c r="N9860" s="6">
        <v>44181.0</v>
      </c>
      <c r="Q9860" s="2" t="s">
        <v>2313</v>
      </c>
    </row>
    <row r="9861">
      <c r="A9861" s="2">
        <v>9860.0</v>
      </c>
      <c r="B9861" s="2" t="s">
        <v>15186</v>
      </c>
      <c r="C9861" s="2" t="s">
        <v>23</v>
      </c>
      <c r="N9861" s="6">
        <v>44850.0</v>
      </c>
      <c r="Q9861" s="2" t="s">
        <v>86</v>
      </c>
    </row>
    <row r="9862">
      <c r="A9862" s="2">
        <v>9861.0</v>
      </c>
      <c r="B9862" s="2" t="s">
        <v>15187</v>
      </c>
      <c r="C9862" s="2" t="s">
        <v>23</v>
      </c>
      <c r="K9862" s="2">
        <v>100.0</v>
      </c>
      <c r="N9862" s="6">
        <v>44225.0</v>
      </c>
      <c r="Q9862" s="2" t="s">
        <v>2001</v>
      </c>
    </row>
    <row r="9863">
      <c r="A9863" s="2">
        <v>9862.0</v>
      </c>
      <c r="B9863" s="2" t="s">
        <v>15188</v>
      </c>
      <c r="C9863" s="2" t="s">
        <v>23</v>
      </c>
      <c r="K9863" s="2">
        <v>20.0</v>
      </c>
      <c r="N9863" s="6">
        <v>45104.0</v>
      </c>
      <c r="Q9863" s="2" t="s">
        <v>1437</v>
      </c>
    </row>
    <row r="9864">
      <c r="A9864" s="2">
        <v>9863.0</v>
      </c>
      <c r="B9864" s="2" t="s">
        <v>15189</v>
      </c>
      <c r="C9864" s="2" t="s">
        <v>23</v>
      </c>
      <c r="K9864" s="2">
        <v>60.0</v>
      </c>
      <c r="N9864" s="6">
        <v>45863.0</v>
      </c>
      <c r="Q9864" s="2" t="s">
        <v>15190</v>
      </c>
    </row>
    <row r="9865">
      <c r="A9865" s="2">
        <v>9864.0</v>
      </c>
      <c r="B9865" s="2" t="s">
        <v>15191</v>
      </c>
      <c r="C9865" s="2" t="s">
        <v>23</v>
      </c>
      <c r="K9865" s="2">
        <v>40.0</v>
      </c>
      <c r="N9865" s="6">
        <v>45107.0</v>
      </c>
      <c r="Q9865" s="2" t="s">
        <v>15192</v>
      </c>
    </row>
    <row r="9866">
      <c r="A9866" s="2">
        <v>9865.0</v>
      </c>
      <c r="B9866" s="2" t="s">
        <v>15193</v>
      </c>
      <c r="C9866" s="2" t="s">
        <v>23</v>
      </c>
      <c r="N9866" s="6">
        <v>42549.0</v>
      </c>
      <c r="Q9866" s="2" t="s">
        <v>86</v>
      </c>
    </row>
    <row r="9867">
      <c r="A9867" s="2">
        <v>9866.0</v>
      </c>
      <c r="B9867" s="2" t="s">
        <v>15194</v>
      </c>
      <c r="C9867" s="2" t="s">
        <v>23</v>
      </c>
      <c r="K9867" s="2">
        <v>90.0</v>
      </c>
      <c r="N9867" s="6">
        <v>44487.0</v>
      </c>
      <c r="Q9867" s="2" t="s">
        <v>1065</v>
      </c>
    </row>
    <row r="9868">
      <c r="A9868" s="2">
        <v>9867.0</v>
      </c>
      <c r="B9868" s="2" t="s">
        <v>15195</v>
      </c>
      <c r="C9868" s="2" t="s">
        <v>23</v>
      </c>
      <c r="K9868" s="2">
        <v>10.0</v>
      </c>
      <c r="N9868" s="6">
        <v>45008.0</v>
      </c>
      <c r="Q9868" s="2" t="s">
        <v>15196</v>
      </c>
    </row>
    <row r="9869">
      <c r="A9869" s="2">
        <v>9868.0</v>
      </c>
      <c r="B9869" s="2" t="s">
        <v>15197</v>
      </c>
      <c r="C9869" s="2" t="s">
        <v>23</v>
      </c>
      <c r="N9869" s="6">
        <v>44554.0</v>
      </c>
      <c r="Q9869" s="2" t="s">
        <v>86</v>
      </c>
    </row>
    <row r="9870">
      <c r="A9870" s="2">
        <v>9869.0</v>
      </c>
      <c r="B9870" s="2" t="s">
        <v>15198</v>
      </c>
      <c r="C9870" s="2" t="s">
        <v>23</v>
      </c>
      <c r="K9870" s="2">
        <v>20.0</v>
      </c>
      <c r="N9870" s="6">
        <v>44511.0</v>
      </c>
      <c r="Q9870" s="2" t="s">
        <v>86</v>
      </c>
    </row>
    <row r="9871">
      <c r="A9871" s="2">
        <v>9870.0</v>
      </c>
      <c r="B9871" s="2" t="s">
        <v>15199</v>
      </c>
      <c r="C9871" s="2" t="s">
        <v>23</v>
      </c>
      <c r="K9871" s="2">
        <v>20.0</v>
      </c>
      <c r="N9871" s="6">
        <v>45740.0</v>
      </c>
      <c r="Q9871" s="2" t="s">
        <v>2827</v>
      </c>
    </row>
    <row r="9872">
      <c r="A9872" s="2">
        <v>9871.0</v>
      </c>
      <c r="B9872" s="2" t="s">
        <v>15200</v>
      </c>
      <c r="C9872" s="2" t="s">
        <v>23</v>
      </c>
      <c r="K9872" s="2">
        <v>10.0</v>
      </c>
      <c r="N9872" s="6">
        <v>44433.0</v>
      </c>
      <c r="Q9872" s="2" t="s">
        <v>60</v>
      </c>
    </row>
    <row r="9873">
      <c r="A9873" s="2">
        <v>9872.0</v>
      </c>
      <c r="B9873" s="2" t="s">
        <v>15201</v>
      </c>
      <c r="C9873" s="2" t="s">
        <v>23</v>
      </c>
      <c r="K9873" s="2">
        <v>30.0</v>
      </c>
      <c r="N9873" s="6">
        <v>45037.0</v>
      </c>
      <c r="Q9873" s="2" t="s">
        <v>9771</v>
      </c>
    </row>
    <row r="9874">
      <c r="A9874" s="2">
        <v>9873.0</v>
      </c>
      <c r="B9874" s="2" t="s">
        <v>15202</v>
      </c>
      <c r="C9874" s="2" t="s">
        <v>23</v>
      </c>
      <c r="N9874" s="6">
        <v>44450.0</v>
      </c>
      <c r="Q9874" s="2" t="s">
        <v>86</v>
      </c>
    </row>
    <row r="9875">
      <c r="A9875" s="2">
        <v>9874.0</v>
      </c>
      <c r="B9875" s="2" t="s">
        <v>15203</v>
      </c>
      <c r="C9875" s="2" t="s">
        <v>23</v>
      </c>
      <c r="K9875" s="2">
        <v>20.0</v>
      </c>
      <c r="N9875" s="6">
        <v>45311.0</v>
      </c>
      <c r="Q9875" s="2" t="s">
        <v>1521</v>
      </c>
    </row>
    <row r="9876">
      <c r="A9876" s="2">
        <v>9875.0</v>
      </c>
      <c r="B9876" s="2" t="s">
        <v>15204</v>
      </c>
      <c r="C9876" s="2" t="s">
        <v>23</v>
      </c>
      <c r="K9876" s="2">
        <v>60.0</v>
      </c>
      <c r="N9876" s="6">
        <v>44549.0</v>
      </c>
      <c r="Q9876" s="2" t="s">
        <v>86</v>
      </c>
    </row>
    <row r="9877">
      <c r="A9877" s="2">
        <v>9876.0</v>
      </c>
      <c r="B9877" s="2" t="s">
        <v>15205</v>
      </c>
      <c r="C9877" s="2" t="s">
        <v>23</v>
      </c>
      <c r="K9877" s="2">
        <v>80.0</v>
      </c>
      <c r="N9877" s="6">
        <v>44272.0</v>
      </c>
      <c r="Q9877" s="2" t="s">
        <v>200</v>
      </c>
    </row>
    <row r="9878">
      <c r="A9878" s="2">
        <v>9877.0</v>
      </c>
      <c r="B9878" s="2" t="s">
        <v>15206</v>
      </c>
      <c r="C9878" s="2" t="s">
        <v>23</v>
      </c>
      <c r="K9878" s="2">
        <v>40.0</v>
      </c>
      <c r="N9878" s="6">
        <v>43761.0</v>
      </c>
      <c r="Q9878" s="2" t="s">
        <v>1466</v>
      </c>
    </row>
    <row r="9879">
      <c r="A9879" s="2">
        <v>9878.0</v>
      </c>
      <c r="B9879" s="2" t="s">
        <v>15207</v>
      </c>
      <c r="C9879" s="2" t="s">
        <v>23</v>
      </c>
      <c r="N9879" s="6">
        <v>44996.0</v>
      </c>
      <c r="Q9879" s="2" t="s">
        <v>86</v>
      </c>
    </row>
    <row r="9880">
      <c r="A9880" s="2">
        <v>9879.0</v>
      </c>
      <c r="B9880" s="2" t="s">
        <v>15208</v>
      </c>
      <c r="C9880" s="2" t="s">
        <v>23</v>
      </c>
      <c r="N9880" s="6">
        <v>44224.0</v>
      </c>
      <c r="Q9880" s="2" t="s">
        <v>86</v>
      </c>
    </row>
    <row r="9881">
      <c r="A9881" s="2">
        <v>9880.0</v>
      </c>
      <c r="B9881" s="2" t="s">
        <v>15209</v>
      </c>
      <c r="C9881" s="2" t="s">
        <v>23</v>
      </c>
      <c r="K9881" s="2">
        <v>10.0</v>
      </c>
      <c r="N9881" s="6">
        <v>45006.0</v>
      </c>
      <c r="Q9881" s="2" t="s">
        <v>86</v>
      </c>
    </row>
    <row r="9882">
      <c r="A9882" s="2">
        <v>9881.0</v>
      </c>
      <c r="B9882" s="2" t="s">
        <v>15210</v>
      </c>
      <c r="C9882" s="2" t="s">
        <v>23</v>
      </c>
      <c r="N9882" s="6">
        <v>44682.0</v>
      </c>
      <c r="Q9882" s="2" t="s">
        <v>86</v>
      </c>
    </row>
    <row r="9883">
      <c r="A9883" s="2">
        <v>9882.0</v>
      </c>
      <c r="B9883" s="2" t="s">
        <v>15211</v>
      </c>
      <c r="C9883" s="2" t="s">
        <v>23</v>
      </c>
      <c r="N9883" s="6">
        <v>43927.0</v>
      </c>
      <c r="Q9883" s="2" t="s">
        <v>86</v>
      </c>
    </row>
    <row r="9884">
      <c r="A9884" s="2">
        <v>9883.0</v>
      </c>
      <c r="B9884" s="2" t="s">
        <v>15212</v>
      </c>
      <c r="C9884" s="2" t="s">
        <v>23</v>
      </c>
      <c r="N9884" s="6">
        <v>45396.0</v>
      </c>
      <c r="Q9884" s="2" t="s">
        <v>15213</v>
      </c>
    </row>
    <row r="9885">
      <c r="A9885" s="2">
        <v>9884.0</v>
      </c>
      <c r="B9885" s="2" t="s">
        <v>15214</v>
      </c>
      <c r="C9885" s="2" t="s">
        <v>23</v>
      </c>
      <c r="K9885" s="2">
        <v>30.0</v>
      </c>
      <c r="N9885" s="6">
        <v>44620.0</v>
      </c>
      <c r="Q9885" s="2" t="s">
        <v>15215</v>
      </c>
    </row>
    <row r="9886">
      <c r="A9886" s="2">
        <v>9885.0</v>
      </c>
      <c r="B9886" s="2" t="s">
        <v>15216</v>
      </c>
      <c r="C9886" s="2" t="s">
        <v>23</v>
      </c>
      <c r="N9886" s="6">
        <v>44311.0</v>
      </c>
      <c r="Q9886" s="2" t="s">
        <v>86</v>
      </c>
    </row>
    <row r="9887">
      <c r="A9887" s="2">
        <v>9886.0</v>
      </c>
      <c r="B9887" s="2" t="s">
        <v>15217</v>
      </c>
      <c r="C9887" s="2" t="s">
        <v>23</v>
      </c>
      <c r="N9887" s="6">
        <v>44292.0</v>
      </c>
      <c r="Q9887" s="2" t="s">
        <v>86</v>
      </c>
    </row>
    <row r="9888">
      <c r="A9888" s="2">
        <v>9887.0</v>
      </c>
      <c r="B9888" s="2" t="s">
        <v>15218</v>
      </c>
      <c r="C9888" s="2" t="s">
        <v>23</v>
      </c>
      <c r="K9888" s="2">
        <v>30.0</v>
      </c>
      <c r="N9888" s="6">
        <v>44550.0</v>
      </c>
      <c r="Q9888" s="2" t="s">
        <v>15219</v>
      </c>
    </row>
    <row r="9889">
      <c r="A9889" s="2">
        <v>9888.0</v>
      </c>
      <c r="B9889" s="2" t="s">
        <v>15220</v>
      </c>
      <c r="C9889" s="2" t="s">
        <v>23</v>
      </c>
      <c r="K9889" s="2">
        <v>70.0</v>
      </c>
      <c r="N9889" s="6">
        <v>42816.0</v>
      </c>
      <c r="Q9889" s="2" t="s">
        <v>15221</v>
      </c>
    </row>
    <row r="9890">
      <c r="A9890" s="2">
        <v>9889.0</v>
      </c>
      <c r="B9890" s="2" t="s">
        <v>15222</v>
      </c>
      <c r="C9890" s="2" t="s">
        <v>23</v>
      </c>
      <c r="N9890" s="6">
        <v>44041.0</v>
      </c>
      <c r="Q9890" s="2" t="s">
        <v>86</v>
      </c>
    </row>
    <row r="9891">
      <c r="A9891" s="2">
        <v>9890.0</v>
      </c>
      <c r="B9891" s="2" t="s">
        <v>15223</v>
      </c>
      <c r="C9891" s="2" t="s">
        <v>23</v>
      </c>
      <c r="K9891" s="2">
        <v>20.0</v>
      </c>
      <c r="N9891" s="6">
        <v>44092.0</v>
      </c>
      <c r="Q9891" s="2" t="s">
        <v>2771</v>
      </c>
    </row>
    <row r="9892">
      <c r="A9892" s="2">
        <v>9891.0</v>
      </c>
      <c r="B9892" s="2" t="s">
        <v>15224</v>
      </c>
      <c r="C9892" s="2" t="s">
        <v>23</v>
      </c>
      <c r="K9892" s="2">
        <v>40.0</v>
      </c>
      <c r="N9892" s="6">
        <v>45713.0</v>
      </c>
      <c r="Q9892" s="2" t="s">
        <v>15225</v>
      </c>
    </row>
    <row r="9893">
      <c r="A9893" s="2">
        <v>9892.0</v>
      </c>
      <c r="B9893" s="2" t="s">
        <v>15226</v>
      </c>
      <c r="C9893" s="2" t="s">
        <v>23</v>
      </c>
      <c r="K9893" s="2">
        <v>60.0</v>
      </c>
      <c r="N9893" s="6">
        <v>44346.0</v>
      </c>
      <c r="Q9893" s="2" t="s">
        <v>86</v>
      </c>
    </row>
    <row r="9894">
      <c r="A9894" s="2">
        <v>9893.0</v>
      </c>
      <c r="B9894" s="2" t="s">
        <v>15227</v>
      </c>
      <c r="C9894" s="2" t="s">
        <v>23</v>
      </c>
      <c r="N9894" s="6">
        <v>44683.0</v>
      </c>
      <c r="Q9894" s="2" t="s">
        <v>86</v>
      </c>
    </row>
    <row r="9895">
      <c r="A9895" s="2">
        <v>9894.0</v>
      </c>
      <c r="B9895" s="2" t="s">
        <v>15228</v>
      </c>
      <c r="C9895" s="2" t="s">
        <v>23</v>
      </c>
      <c r="K9895" s="2">
        <v>80.0</v>
      </c>
      <c r="N9895" s="6">
        <v>44853.0</v>
      </c>
      <c r="Q9895" s="2" t="s">
        <v>126</v>
      </c>
    </row>
    <row r="9896">
      <c r="A9896" s="2">
        <v>9895.0</v>
      </c>
      <c r="B9896" s="2" t="s">
        <v>15229</v>
      </c>
      <c r="C9896" s="2" t="s">
        <v>23</v>
      </c>
      <c r="K9896" s="2">
        <v>40.0</v>
      </c>
      <c r="N9896" s="6">
        <v>45713.0</v>
      </c>
      <c r="Q9896" s="2" t="s">
        <v>15230</v>
      </c>
    </row>
    <row r="9897">
      <c r="A9897" s="2">
        <v>9896.0</v>
      </c>
      <c r="B9897" s="2" t="s">
        <v>15231</v>
      </c>
      <c r="C9897" s="2" t="s">
        <v>23</v>
      </c>
      <c r="N9897" s="6">
        <v>45731.0</v>
      </c>
      <c r="Q9897" s="2" t="s">
        <v>13342</v>
      </c>
    </row>
    <row r="9898">
      <c r="A9898" s="2">
        <v>9897.0</v>
      </c>
      <c r="B9898" s="2" t="s">
        <v>15232</v>
      </c>
      <c r="C9898" s="2" t="s">
        <v>23</v>
      </c>
      <c r="N9898" s="6">
        <v>44741.0</v>
      </c>
      <c r="Q9898" s="2" t="s">
        <v>15233</v>
      </c>
    </row>
    <row r="9899">
      <c r="A9899" s="2">
        <v>9898.0</v>
      </c>
      <c r="B9899" s="2" t="s">
        <v>15234</v>
      </c>
      <c r="C9899" s="2" t="s">
        <v>23</v>
      </c>
      <c r="K9899" s="2">
        <v>10.0</v>
      </c>
      <c r="N9899" s="6">
        <v>43945.0</v>
      </c>
      <c r="Q9899" s="2" t="s">
        <v>175</v>
      </c>
    </row>
    <row r="9900">
      <c r="A9900" s="2">
        <v>9899.0</v>
      </c>
      <c r="B9900" s="2" t="s">
        <v>15235</v>
      </c>
      <c r="C9900" s="2" t="s">
        <v>23</v>
      </c>
      <c r="K9900" s="2">
        <v>150.0</v>
      </c>
      <c r="N9900" s="6">
        <v>42304.0</v>
      </c>
      <c r="Q9900" s="2" t="s">
        <v>15236</v>
      </c>
    </row>
    <row r="9901">
      <c r="A9901" s="2">
        <v>9900.0</v>
      </c>
      <c r="B9901" s="2" t="s">
        <v>15237</v>
      </c>
      <c r="C9901" s="2" t="s">
        <v>23</v>
      </c>
      <c r="K9901" s="2">
        <v>50.0</v>
      </c>
      <c r="N9901" s="6">
        <v>44340.0</v>
      </c>
      <c r="Q9901" s="2" t="s">
        <v>1249</v>
      </c>
    </row>
    <row r="9902">
      <c r="A9902" s="2">
        <v>9901.0</v>
      </c>
      <c r="B9902" s="2" t="s">
        <v>15238</v>
      </c>
      <c r="C9902" s="2" t="s">
        <v>23</v>
      </c>
      <c r="K9902" s="2">
        <v>50.0</v>
      </c>
      <c r="N9902" s="6">
        <v>42501.0</v>
      </c>
      <c r="Q9902" s="2" t="s">
        <v>4759</v>
      </c>
    </row>
    <row r="9903">
      <c r="A9903" s="2">
        <v>9902.0</v>
      </c>
      <c r="B9903" s="2" t="s">
        <v>15239</v>
      </c>
      <c r="C9903" s="2" t="s">
        <v>23</v>
      </c>
      <c r="N9903" s="6">
        <v>44208.0</v>
      </c>
      <c r="Q9903" s="2" t="s">
        <v>86</v>
      </c>
    </row>
    <row r="9904">
      <c r="A9904" s="2">
        <v>9903.0</v>
      </c>
      <c r="B9904" s="2" t="s">
        <v>15240</v>
      </c>
      <c r="C9904" s="2" t="s">
        <v>23</v>
      </c>
      <c r="N9904" s="6">
        <v>45026.0</v>
      </c>
      <c r="Q9904" s="2" t="s">
        <v>1116</v>
      </c>
    </row>
    <row r="9905">
      <c r="A9905" s="2">
        <v>9904.0</v>
      </c>
      <c r="B9905" s="2" t="s">
        <v>15241</v>
      </c>
      <c r="C9905" s="2" t="s">
        <v>23</v>
      </c>
      <c r="K9905" s="2">
        <v>60.0</v>
      </c>
      <c r="N9905" s="6">
        <v>46080.0</v>
      </c>
      <c r="Q9905" s="2" t="s">
        <v>15242</v>
      </c>
    </row>
    <row r="9906">
      <c r="A9906" s="2">
        <v>9905.0</v>
      </c>
      <c r="B9906" s="2" t="s">
        <v>15243</v>
      </c>
      <c r="C9906" s="2" t="s">
        <v>23</v>
      </c>
      <c r="K9906" s="2">
        <v>100.0</v>
      </c>
      <c r="N9906" s="6">
        <v>43879.0</v>
      </c>
      <c r="Q9906" s="2" t="s">
        <v>4039</v>
      </c>
    </row>
    <row r="9907">
      <c r="A9907" s="2">
        <v>9906.0</v>
      </c>
      <c r="B9907" s="2" t="s">
        <v>15244</v>
      </c>
      <c r="C9907" s="2" t="s">
        <v>23</v>
      </c>
      <c r="K9907" s="2">
        <v>10.0</v>
      </c>
      <c r="N9907" s="6">
        <v>45554.0</v>
      </c>
      <c r="Q9907" s="2" t="s">
        <v>15245</v>
      </c>
    </row>
    <row r="9908">
      <c r="A9908" s="2">
        <v>9907.0</v>
      </c>
      <c r="B9908" s="2" t="s">
        <v>15246</v>
      </c>
      <c r="C9908" s="2" t="s">
        <v>23</v>
      </c>
      <c r="N9908" s="6">
        <v>44069.0</v>
      </c>
      <c r="Q9908" s="2" t="s">
        <v>86</v>
      </c>
    </row>
    <row r="9909">
      <c r="A9909" s="2">
        <v>9908.0</v>
      </c>
      <c r="B9909" s="2" t="s">
        <v>15247</v>
      </c>
      <c r="C9909" s="2" t="s">
        <v>23</v>
      </c>
      <c r="K9909" s="2">
        <v>200.0</v>
      </c>
      <c r="N9909" s="6">
        <v>45364.0</v>
      </c>
      <c r="Q9909" s="2" t="s">
        <v>15248</v>
      </c>
    </row>
    <row r="9910">
      <c r="A9910" s="2">
        <v>9909.0</v>
      </c>
      <c r="B9910" s="2" t="s">
        <v>15249</v>
      </c>
      <c r="C9910" s="2" t="s">
        <v>23</v>
      </c>
      <c r="K9910" s="2">
        <v>70.0</v>
      </c>
      <c r="N9910" s="6">
        <v>44327.0</v>
      </c>
      <c r="Q9910" s="2" t="s">
        <v>15250</v>
      </c>
    </row>
    <row r="9911">
      <c r="A9911" s="2">
        <v>9910.0</v>
      </c>
      <c r="B9911" s="2" t="s">
        <v>15251</v>
      </c>
      <c r="C9911" s="2" t="s">
        <v>23</v>
      </c>
      <c r="N9911" s="6">
        <v>45435.0</v>
      </c>
      <c r="Q9911" s="2" t="s">
        <v>11554</v>
      </c>
    </row>
    <row r="9912">
      <c r="A9912" s="2">
        <v>9911.0</v>
      </c>
      <c r="B9912" s="2" t="s">
        <v>15252</v>
      </c>
      <c r="C9912" s="2" t="s">
        <v>23</v>
      </c>
      <c r="K9912" s="2">
        <v>50.0</v>
      </c>
      <c r="N9912" s="6">
        <v>44312.0</v>
      </c>
      <c r="Q9912" s="2" t="s">
        <v>15253</v>
      </c>
    </row>
    <row r="9913">
      <c r="A9913" s="2">
        <v>9912.0</v>
      </c>
      <c r="B9913" s="2" t="s">
        <v>15254</v>
      </c>
      <c r="C9913" s="2" t="s">
        <v>23</v>
      </c>
      <c r="N9913" s="6">
        <v>44124.0</v>
      </c>
      <c r="Q9913" s="2" t="s">
        <v>86</v>
      </c>
    </row>
    <row r="9914">
      <c r="A9914" s="2">
        <v>9913.0</v>
      </c>
      <c r="B9914" s="2" t="s">
        <v>15255</v>
      </c>
      <c r="C9914" s="2" t="s">
        <v>23</v>
      </c>
      <c r="K9914" s="2">
        <v>20.0</v>
      </c>
      <c r="N9914" s="6">
        <v>44129.0</v>
      </c>
      <c r="Q9914" s="2" t="s">
        <v>60</v>
      </c>
    </row>
    <row r="9915">
      <c r="A9915" s="2">
        <v>9914.0</v>
      </c>
      <c r="B9915" s="2" t="s">
        <v>15256</v>
      </c>
      <c r="C9915" s="2" t="s">
        <v>23</v>
      </c>
      <c r="K9915" s="2">
        <v>250.0</v>
      </c>
      <c r="N9915" s="6">
        <v>43972.0</v>
      </c>
      <c r="Q9915" s="2" t="s">
        <v>15257</v>
      </c>
    </row>
    <row r="9916">
      <c r="A9916" s="2">
        <v>9915.0</v>
      </c>
      <c r="B9916" s="2" t="s">
        <v>15258</v>
      </c>
      <c r="C9916" s="2" t="s">
        <v>23</v>
      </c>
      <c r="N9916" s="6">
        <v>45072.0</v>
      </c>
      <c r="Q9916" s="2" t="s">
        <v>1156</v>
      </c>
    </row>
    <row r="9917">
      <c r="A9917" s="2">
        <v>9916.0</v>
      </c>
      <c r="B9917" s="2" t="s">
        <v>15259</v>
      </c>
      <c r="C9917" s="2" t="s">
        <v>23</v>
      </c>
      <c r="K9917" s="2">
        <v>10.0</v>
      </c>
      <c r="N9917" s="6">
        <v>45545.0</v>
      </c>
      <c r="Q9917" s="2" t="s">
        <v>12051</v>
      </c>
    </row>
    <row r="9918">
      <c r="A9918" s="2">
        <v>9917.0</v>
      </c>
      <c r="B9918" s="2" t="s">
        <v>15260</v>
      </c>
      <c r="C9918" s="2" t="s">
        <v>23</v>
      </c>
      <c r="K9918" s="2">
        <v>90.0</v>
      </c>
      <c r="N9918" s="6">
        <v>43949.0</v>
      </c>
      <c r="Q9918" s="2" t="s">
        <v>426</v>
      </c>
    </row>
    <row r="9919">
      <c r="A9919" s="2">
        <v>9918.0</v>
      </c>
      <c r="B9919" s="2" t="s">
        <v>15261</v>
      </c>
      <c r="C9919" s="2" t="s">
        <v>23</v>
      </c>
      <c r="N9919" s="6">
        <v>44277.0</v>
      </c>
      <c r="Q9919" s="2" t="s">
        <v>86</v>
      </c>
    </row>
    <row r="9920">
      <c r="A9920" s="2">
        <v>9919.0</v>
      </c>
      <c r="B9920" s="2" t="s">
        <v>15262</v>
      </c>
      <c r="C9920" s="2" t="s">
        <v>23</v>
      </c>
      <c r="K9920" s="2">
        <v>100.0</v>
      </c>
      <c r="N9920" s="6">
        <v>44368.0</v>
      </c>
      <c r="Q9920" s="2" t="s">
        <v>15263</v>
      </c>
    </row>
    <row r="9921">
      <c r="A9921" s="2">
        <v>9920.0</v>
      </c>
      <c r="B9921" s="2" t="s">
        <v>15264</v>
      </c>
      <c r="C9921" s="2" t="s">
        <v>23</v>
      </c>
      <c r="K9921" s="2">
        <v>30.0</v>
      </c>
      <c r="N9921" s="6">
        <v>45521.0</v>
      </c>
      <c r="Q9921" s="2" t="s">
        <v>15265</v>
      </c>
    </row>
    <row r="9922">
      <c r="A9922" s="2">
        <v>9921.0</v>
      </c>
      <c r="B9922" s="2" t="s">
        <v>15266</v>
      </c>
      <c r="C9922" s="2" t="s">
        <v>23</v>
      </c>
      <c r="K9922" s="2">
        <v>10.0</v>
      </c>
      <c r="N9922" s="6">
        <v>43990.0</v>
      </c>
      <c r="Q9922" s="2" t="s">
        <v>86</v>
      </c>
    </row>
    <row r="9923">
      <c r="A9923" s="2">
        <v>9922.0</v>
      </c>
      <c r="B9923" s="2" t="s">
        <v>15267</v>
      </c>
      <c r="C9923" s="2" t="s">
        <v>23</v>
      </c>
      <c r="K9923" s="2">
        <v>20.0</v>
      </c>
      <c r="N9923" s="6">
        <v>44327.0</v>
      </c>
      <c r="Q9923" s="2" t="s">
        <v>1466</v>
      </c>
    </row>
    <row r="9924">
      <c r="A9924" s="2">
        <v>9923.0</v>
      </c>
      <c r="B9924" s="2" t="s">
        <v>15268</v>
      </c>
      <c r="C9924" s="2" t="s">
        <v>23</v>
      </c>
      <c r="N9924" s="6">
        <v>44541.0</v>
      </c>
      <c r="Q9924" s="2" t="s">
        <v>1156</v>
      </c>
    </row>
    <row r="9925">
      <c r="A9925" s="2">
        <v>9924.0</v>
      </c>
      <c r="B9925" s="2" t="s">
        <v>15269</v>
      </c>
      <c r="C9925" s="2" t="s">
        <v>23</v>
      </c>
      <c r="K9925" s="2">
        <v>40.0</v>
      </c>
      <c r="N9925" s="6">
        <v>44780.0</v>
      </c>
      <c r="Q9925" s="2" t="s">
        <v>2573</v>
      </c>
    </row>
    <row r="9926">
      <c r="A9926" s="2">
        <v>9925.0</v>
      </c>
      <c r="B9926" s="2" t="s">
        <v>15270</v>
      </c>
      <c r="C9926" s="2" t="s">
        <v>23</v>
      </c>
      <c r="K9926" s="2">
        <v>10.0</v>
      </c>
      <c r="N9926" s="6">
        <v>44249.0</v>
      </c>
      <c r="Q9926" s="2" t="s">
        <v>86</v>
      </c>
    </row>
    <row r="9927">
      <c r="A9927" s="2">
        <v>9926.0</v>
      </c>
      <c r="B9927" s="2" t="s">
        <v>15271</v>
      </c>
      <c r="C9927" s="2" t="s">
        <v>23</v>
      </c>
      <c r="K9927" s="2">
        <v>30.0</v>
      </c>
      <c r="N9927" s="6">
        <v>45723.0</v>
      </c>
      <c r="Q9927" s="2" t="s">
        <v>3553</v>
      </c>
    </row>
    <row r="9928">
      <c r="A9928" s="2">
        <v>9927.0</v>
      </c>
      <c r="B9928" s="2" t="s">
        <v>15272</v>
      </c>
      <c r="C9928" s="2" t="s">
        <v>23</v>
      </c>
      <c r="K9928" s="2">
        <v>50.0</v>
      </c>
      <c r="N9928" s="6">
        <v>45744.0</v>
      </c>
      <c r="Q9928" s="2" t="s">
        <v>8169</v>
      </c>
    </row>
    <row r="9929">
      <c r="A9929" s="2">
        <v>9928.0</v>
      </c>
      <c r="B9929" s="2" t="s">
        <v>15273</v>
      </c>
      <c r="C9929" s="2" t="s">
        <v>23</v>
      </c>
      <c r="K9929" s="2">
        <v>10.0</v>
      </c>
      <c r="N9929" s="6">
        <v>44865.0</v>
      </c>
      <c r="Q9929" s="2" t="s">
        <v>200</v>
      </c>
    </row>
    <row r="9930">
      <c r="A9930" s="2">
        <v>9929.0</v>
      </c>
      <c r="B9930" s="2" t="s">
        <v>15274</v>
      </c>
      <c r="C9930" s="2" t="s">
        <v>23</v>
      </c>
      <c r="N9930" s="6">
        <v>43017.0</v>
      </c>
      <c r="Q9930" s="2" t="s">
        <v>86</v>
      </c>
    </row>
    <row r="9931">
      <c r="A9931" s="2">
        <v>9930.0</v>
      </c>
      <c r="B9931" s="2" t="s">
        <v>15275</v>
      </c>
      <c r="C9931" s="2" t="s">
        <v>23</v>
      </c>
      <c r="K9931" s="2">
        <v>30.0</v>
      </c>
      <c r="N9931" s="6">
        <v>42536.0</v>
      </c>
      <c r="Q9931" s="2" t="s">
        <v>86</v>
      </c>
    </row>
    <row r="9932">
      <c r="A9932" s="2">
        <v>9931.0</v>
      </c>
      <c r="B9932" s="2" t="s">
        <v>15276</v>
      </c>
      <c r="C9932" s="2" t="s">
        <v>23</v>
      </c>
      <c r="N9932" s="6">
        <v>43859.0</v>
      </c>
      <c r="Q9932" s="2" t="s">
        <v>86</v>
      </c>
    </row>
    <row r="9933">
      <c r="A9933" s="2">
        <v>9932.0</v>
      </c>
      <c r="B9933" s="2" t="s">
        <v>15277</v>
      </c>
      <c r="C9933" s="2" t="s">
        <v>23</v>
      </c>
      <c r="N9933" s="6">
        <v>44967.0</v>
      </c>
      <c r="Q9933" s="2" t="s">
        <v>546</v>
      </c>
    </row>
    <row r="9934">
      <c r="A9934" s="2">
        <v>9933.0</v>
      </c>
      <c r="B9934" s="2" t="s">
        <v>15278</v>
      </c>
      <c r="C9934" s="2" t="s">
        <v>23</v>
      </c>
      <c r="K9934" s="2">
        <v>150.0</v>
      </c>
      <c r="N9934" s="6">
        <v>44679.0</v>
      </c>
      <c r="Q9934" s="2" t="s">
        <v>15279</v>
      </c>
    </row>
    <row r="9935">
      <c r="A9935" s="2">
        <v>9934.0</v>
      </c>
      <c r="B9935" s="2" t="s">
        <v>15280</v>
      </c>
      <c r="C9935" s="2" t="s">
        <v>23</v>
      </c>
      <c r="N9935" s="6">
        <v>45179.0</v>
      </c>
      <c r="Q9935" s="2" t="s">
        <v>86</v>
      </c>
    </row>
    <row r="9936">
      <c r="A9936" s="2">
        <v>9935.0</v>
      </c>
      <c r="B9936" s="2" t="s">
        <v>15281</v>
      </c>
      <c r="C9936" s="2" t="s">
        <v>23</v>
      </c>
      <c r="K9936" s="2">
        <v>70.0</v>
      </c>
      <c r="N9936" s="6">
        <v>44517.0</v>
      </c>
      <c r="Q9936" s="2" t="s">
        <v>15282</v>
      </c>
    </row>
    <row r="9937">
      <c r="A9937" s="2">
        <v>9936.0</v>
      </c>
      <c r="B9937" s="2" t="s">
        <v>15283</v>
      </c>
      <c r="C9937" s="2" t="s">
        <v>23</v>
      </c>
      <c r="N9937" s="6">
        <v>45862.0</v>
      </c>
      <c r="Q9937" s="2" t="s">
        <v>15284</v>
      </c>
    </row>
    <row r="9938">
      <c r="A9938" s="2">
        <v>9937.0</v>
      </c>
      <c r="B9938" s="2" t="s">
        <v>15285</v>
      </c>
      <c r="C9938" s="2" t="s">
        <v>23</v>
      </c>
      <c r="K9938" s="2">
        <v>150.0</v>
      </c>
      <c r="N9938" s="6">
        <v>43901.0</v>
      </c>
      <c r="Q9938" s="2" t="s">
        <v>15286</v>
      </c>
    </row>
    <row r="9939">
      <c r="A9939" s="2">
        <v>9938.0</v>
      </c>
      <c r="B9939" s="2" t="s">
        <v>15287</v>
      </c>
      <c r="C9939" s="2" t="s">
        <v>23</v>
      </c>
      <c r="N9939" s="6">
        <v>43947.0</v>
      </c>
      <c r="Q9939" s="2" t="s">
        <v>510</v>
      </c>
    </row>
    <row r="9940">
      <c r="A9940" s="2">
        <v>9939.0</v>
      </c>
      <c r="B9940" s="2" t="s">
        <v>15288</v>
      </c>
      <c r="C9940" s="2" t="s">
        <v>23</v>
      </c>
      <c r="N9940" s="6">
        <v>44235.0</v>
      </c>
      <c r="Q9940" s="2" t="s">
        <v>86</v>
      </c>
    </row>
    <row r="9941">
      <c r="A9941" s="2">
        <v>9940.0</v>
      </c>
      <c r="B9941" s="2" t="s">
        <v>15289</v>
      </c>
      <c r="C9941" s="2" t="s">
        <v>23</v>
      </c>
      <c r="K9941" s="2">
        <v>10.0</v>
      </c>
      <c r="N9941" s="6">
        <v>45259.0</v>
      </c>
      <c r="Q9941" s="2" t="s">
        <v>86</v>
      </c>
    </row>
    <row r="9942">
      <c r="A9942" s="2">
        <v>9941.0</v>
      </c>
      <c r="B9942" s="2" t="s">
        <v>15290</v>
      </c>
      <c r="C9942" s="2" t="s">
        <v>23</v>
      </c>
      <c r="K9942" s="2">
        <v>1600.0</v>
      </c>
      <c r="N9942" s="6">
        <v>42360.0</v>
      </c>
      <c r="Q9942" s="2" t="s">
        <v>15291</v>
      </c>
    </row>
    <row r="9943">
      <c r="A9943" s="2">
        <v>9942.0</v>
      </c>
      <c r="B9943" s="2" t="s">
        <v>15292</v>
      </c>
      <c r="C9943" s="2" t="s">
        <v>23</v>
      </c>
      <c r="K9943" s="2">
        <v>350.0</v>
      </c>
      <c r="N9943" s="6">
        <v>43924.0</v>
      </c>
      <c r="Q9943" s="2" t="s">
        <v>15293</v>
      </c>
    </row>
    <row r="9944">
      <c r="A9944" s="2">
        <v>9943.0</v>
      </c>
      <c r="B9944" s="2" t="s">
        <v>15294</v>
      </c>
      <c r="C9944" s="2" t="s">
        <v>23</v>
      </c>
      <c r="N9944" s="6">
        <v>44275.0</v>
      </c>
      <c r="Q9944" s="2" t="s">
        <v>86</v>
      </c>
    </row>
    <row r="9945">
      <c r="A9945" s="2">
        <v>9944.0</v>
      </c>
      <c r="B9945" s="2" t="s">
        <v>15295</v>
      </c>
      <c r="C9945" s="2" t="s">
        <v>23</v>
      </c>
      <c r="N9945" s="6">
        <v>45609.0</v>
      </c>
      <c r="Q9945" s="2" t="s">
        <v>15296</v>
      </c>
    </row>
    <row r="9946">
      <c r="A9946" s="2">
        <v>9945.0</v>
      </c>
      <c r="B9946" s="2" t="s">
        <v>15297</v>
      </c>
      <c r="C9946" s="2" t="s">
        <v>23</v>
      </c>
      <c r="N9946" s="6">
        <v>44767.0</v>
      </c>
      <c r="Q9946" s="2" t="s">
        <v>86</v>
      </c>
    </row>
    <row r="9947">
      <c r="A9947" s="2">
        <v>9946.0</v>
      </c>
      <c r="B9947" s="2" t="s">
        <v>15298</v>
      </c>
      <c r="C9947" s="2" t="s">
        <v>23</v>
      </c>
      <c r="K9947" s="2">
        <v>20.0</v>
      </c>
      <c r="N9947" s="6">
        <v>43852.0</v>
      </c>
      <c r="Q9947" s="2" t="s">
        <v>15299</v>
      </c>
    </row>
    <row r="9948">
      <c r="A9948" s="2">
        <v>9947.0</v>
      </c>
      <c r="B9948" s="2" t="s">
        <v>15300</v>
      </c>
      <c r="C9948" s="2" t="s">
        <v>23</v>
      </c>
      <c r="K9948" s="2">
        <v>150.0</v>
      </c>
      <c r="N9948" s="6">
        <v>44105.0</v>
      </c>
      <c r="Q9948" s="2" t="s">
        <v>15301</v>
      </c>
    </row>
    <row r="9949">
      <c r="A9949" s="2">
        <v>9948.0</v>
      </c>
      <c r="B9949" s="2" t="s">
        <v>15302</v>
      </c>
      <c r="C9949" s="2" t="s">
        <v>23</v>
      </c>
      <c r="N9949" s="6">
        <v>44683.0</v>
      </c>
      <c r="Q9949" s="2" t="s">
        <v>1116</v>
      </c>
    </row>
    <row r="9950">
      <c r="A9950" s="2">
        <v>9949.0</v>
      </c>
      <c r="B9950" s="2" t="s">
        <v>15303</v>
      </c>
      <c r="C9950" s="2" t="s">
        <v>23</v>
      </c>
      <c r="K9950" s="2">
        <v>20.0</v>
      </c>
      <c r="N9950" s="6">
        <v>45487.0</v>
      </c>
      <c r="Q9950" s="2" t="s">
        <v>3854</v>
      </c>
    </row>
    <row r="9951">
      <c r="A9951" s="2">
        <v>9950.0</v>
      </c>
      <c r="B9951" s="2" t="s">
        <v>15304</v>
      </c>
      <c r="C9951" s="2" t="s">
        <v>23</v>
      </c>
      <c r="K9951" s="2">
        <v>50.0</v>
      </c>
      <c r="N9951" s="6">
        <v>43938.0</v>
      </c>
      <c r="Q9951" s="2" t="s">
        <v>86</v>
      </c>
    </row>
    <row r="9952">
      <c r="A9952" s="2">
        <v>9951.0</v>
      </c>
      <c r="B9952" s="2" t="s">
        <v>15305</v>
      </c>
      <c r="C9952" s="2" t="s">
        <v>23</v>
      </c>
      <c r="K9952" s="2">
        <v>10.0</v>
      </c>
      <c r="N9952" s="6">
        <v>43945.0</v>
      </c>
      <c r="Q9952" s="2" t="s">
        <v>86</v>
      </c>
    </row>
    <row r="9953">
      <c r="A9953" s="2">
        <v>9952.0</v>
      </c>
      <c r="B9953" s="2" t="s">
        <v>15306</v>
      </c>
      <c r="C9953" s="2" t="s">
        <v>23</v>
      </c>
      <c r="K9953" s="2">
        <v>250.0</v>
      </c>
      <c r="N9953" s="6">
        <v>44705.0</v>
      </c>
      <c r="Q9953" s="2" t="s">
        <v>15307</v>
      </c>
    </row>
    <row r="9954">
      <c r="A9954" s="2">
        <v>9953.0</v>
      </c>
      <c r="B9954" s="2" t="s">
        <v>15308</v>
      </c>
      <c r="C9954" s="2" t="s">
        <v>23</v>
      </c>
      <c r="N9954" s="6">
        <v>43963.0</v>
      </c>
      <c r="Q9954" s="2" t="s">
        <v>86</v>
      </c>
    </row>
    <row r="9955">
      <c r="A9955" s="2">
        <v>9954.0</v>
      </c>
      <c r="B9955" s="2" t="s">
        <v>15309</v>
      </c>
      <c r="C9955" s="2" t="s">
        <v>23</v>
      </c>
      <c r="K9955" s="2">
        <v>40.0</v>
      </c>
      <c r="N9955" s="6">
        <v>44027.0</v>
      </c>
      <c r="Q9955" s="2" t="s">
        <v>1801</v>
      </c>
    </row>
    <row r="9956">
      <c r="A9956" s="2">
        <v>9955.0</v>
      </c>
      <c r="B9956" s="2" t="s">
        <v>15310</v>
      </c>
      <c r="C9956" s="2" t="s">
        <v>23</v>
      </c>
      <c r="N9956" s="6">
        <v>44539.0</v>
      </c>
      <c r="Q9956" s="2" t="s">
        <v>86</v>
      </c>
    </row>
    <row r="9957">
      <c r="A9957" s="2">
        <v>9956.0</v>
      </c>
      <c r="B9957" s="2" t="s">
        <v>15311</v>
      </c>
      <c r="C9957" s="2" t="s">
        <v>23</v>
      </c>
      <c r="N9957" s="6">
        <v>44189.0</v>
      </c>
      <c r="Q9957" s="2" t="s">
        <v>86</v>
      </c>
    </row>
    <row r="9958">
      <c r="A9958" s="2">
        <v>9957.0</v>
      </c>
      <c r="B9958" s="2" t="s">
        <v>15312</v>
      </c>
      <c r="C9958" s="2" t="s">
        <v>23</v>
      </c>
      <c r="K9958" s="2">
        <v>80.0</v>
      </c>
      <c r="N9958" s="6">
        <v>45364.0</v>
      </c>
      <c r="Q9958" s="2" t="s">
        <v>1070</v>
      </c>
    </row>
    <row r="9959">
      <c r="A9959" s="2">
        <v>9958.0</v>
      </c>
      <c r="B9959" s="2" t="s">
        <v>15313</v>
      </c>
      <c r="C9959" s="2" t="s">
        <v>23</v>
      </c>
      <c r="K9959" s="2">
        <v>10.0</v>
      </c>
      <c r="N9959" s="6">
        <v>45031.0</v>
      </c>
      <c r="Q9959" s="2" t="s">
        <v>1070</v>
      </c>
    </row>
    <row r="9960">
      <c r="A9960" s="2">
        <v>9959.0</v>
      </c>
      <c r="B9960" s="2" t="s">
        <v>15314</v>
      </c>
      <c r="C9960" s="2" t="s">
        <v>23</v>
      </c>
      <c r="K9960" s="2">
        <v>10.0</v>
      </c>
      <c r="N9960" s="6">
        <v>44894.0</v>
      </c>
      <c r="Q9960" s="2" t="s">
        <v>86</v>
      </c>
    </row>
    <row r="9961">
      <c r="A9961" s="2">
        <v>9960.0</v>
      </c>
      <c r="B9961" s="2" t="s">
        <v>15315</v>
      </c>
      <c r="C9961" s="2" t="s">
        <v>23</v>
      </c>
      <c r="N9961" s="6">
        <v>44221.0</v>
      </c>
      <c r="Q9961" s="2" t="s">
        <v>86</v>
      </c>
    </row>
    <row r="9962">
      <c r="A9962" s="2">
        <v>9961.0</v>
      </c>
      <c r="B9962" s="2" t="s">
        <v>15316</v>
      </c>
      <c r="C9962" s="2" t="s">
        <v>23</v>
      </c>
      <c r="K9962" s="2">
        <v>40.0</v>
      </c>
      <c r="N9962" s="6">
        <v>45649.0</v>
      </c>
      <c r="Q9962" s="2" t="s">
        <v>15317</v>
      </c>
    </row>
    <row r="9963">
      <c r="A9963" s="2">
        <v>9962.0</v>
      </c>
      <c r="B9963" s="2" t="s">
        <v>15318</v>
      </c>
      <c r="C9963" s="2" t="s">
        <v>23</v>
      </c>
      <c r="K9963" s="2">
        <v>100.0</v>
      </c>
      <c r="N9963" s="6">
        <v>44133.0</v>
      </c>
      <c r="Q9963" s="2" t="s">
        <v>15319</v>
      </c>
    </row>
    <row r="9964">
      <c r="A9964" s="2">
        <v>9963.0</v>
      </c>
      <c r="B9964" s="2" t="s">
        <v>15320</v>
      </c>
      <c r="C9964" s="2" t="s">
        <v>23</v>
      </c>
      <c r="N9964" s="6">
        <v>44402.0</v>
      </c>
      <c r="Q9964" s="2" t="s">
        <v>126</v>
      </c>
    </row>
    <row r="9965">
      <c r="A9965" s="2">
        <v>9964.0</v>
      </c>
      <c r="B9965" s="2" t="s">
        <v>15321</v>
      </c>
      <c r="C9965" s="2" t="s">
        <v>23</v>
      </c>
      <c r="K9965" s="2">
        <v>100.0</v>
      </c>
      <c r="N9965" s="6">
        <v>44401.0</v>
      </c>
      <c r="Q9965" s="2" t="s">
        <v>15322</v>
      </c>
    </row>
    <row r="9966">
      <c r="A9966" s="2">
        <v>9965.0</v>
      </c>
      <c r="B9966" s="2" t="s">
        <v>15323</v>
      </c>
      <c r="C9966" s="2" t="s">
        <v>23</v>
      </c>
      <c r="K9966" s="2">
        <v>50.0</v>
      </c>
      <c r="N9966" s="6">
        <v>44342.0</v>
      </c>
      <c r="Q9966" s="2" t="s">
        <v>15324</v>
      </c>
    </row>
    <row r="9967">
      <c r="A9967" s="2">
        <v>9966.0</v>
      </c>
      <c r="B9967" s="2" t="s">
        <v>15325</v>
      </c>
      <c r="C9967" s="2" t="s">
        <v>23</v>
      </c>
      <c r="K9967" s="2">
        <v>60.0</v>
      </c>
      <c r="N9967" s="6">
        <v>45617.0</v>
      </c>
      <c r="Q9967" s="2" t="s">
        <v>4846</v>
      </c>
    </row>
    <row r="9968">
      <c r="A9968" s="2">
        <v>9967.0</v>
      </c>
      <c r="B9968" s="2" t="s">
        <v>15326</v>
      </c>
      <c r="C9968" s="2" t="s">
        <v>23</v>
      </c>
      <c r="K9968" s="2">
        <v>70.0</v>
      </c>
      <c r="N9968" s="6">
        <v>43958.0</v>
      </c>
      <c r="Q9968" s="2" t="s">
        <v>15327</v>
      </c>
    </row>
    <row r="9969">
      <c r="A9969" s="2">
        <v>9968.0</v>
      </c>
      <c r="B9969" s="2" t="s">
        <v>15328</v>
      </c>
      <c r="C9969" s="2" t="s">
        <v>23</v>
      </c>
      <c r="K9969" s="2">
        <v>50.0</v>
      </c>
      <c r="N9969" s="6">
        <v>45733.0</v>
      </c>
      <c r="Q9969" s="2" t="s">
        <v>2874</v>
      </c>
    </row>
    <row r="9970">
      <c r="A9970" s="2">
        <v>9969.0</v>
      </c>
      <c r="B9970" s="2" t="s">
        <v>15329</v>
      </c>
      <c r="C9970" s="2" t="s">
        <v>23</v>
      </c>
      <c r="N9970" s="6">
        <v>43887.0</v>
      </c>
      <c r="Q9970" s="2" t="s">
        <v>86</v>
      </c>
    </row>
    <row r="9971">
      <c r="A9971" s="2">
        <v>9970.0</v>
      </c>
      <c r="B9971" s="2" t="s">
        <v>15330</v>
      </c>
      <c r="C9971" s="2" t="s">
        <v>23</v>
      </c>
      <c r="N9971" s="6">
        <v>42695.0</v>
      </c>
      <c r="O9971" s="2" t="s">
        <v>49</v>
      </c>
      <c r="P9971" s="2" t="s">
        <v>36</v>
      </c>
      <c r="Q9971" s="2" t="s">
        <v>15331</v>
      </c>
      <c r="S9971" s="2" t="s">
        <v>15332</v>
      </c>
    </row>
    <row r="9972">
      <c r="A9972" s="2">
        <v>9971.0</v>
      </c>
      <c r="B9972" s="2" t="s">
        <v>15333</v>
      </c>
      <c r="C9972" s="2" t="s">
        <v>23</v>
      </c>
      <c r="K9972" s="2">
        <v>20.0</v>
      </c>
      <c r="N9972" s="6">
        <v>43809.0</v>
      </c>
      <c r="Q9972" s="2" t="s">
        <v>15334</v>
      </c>
    </row>
    <row r="9973">
      <c r="A9973" s="2">
        <v>9972.0</v>
      </c>
      <c r="B9973" s="2" t="s">
        <v>15335</v>
      </c>
      <c r="C9973" s="2" t="s">
        <v>23</v>
      </c>
      <c r="K9973" s="2">
        <v>60.0</v>
      </c>
      <c r="N9973" s="6">
        <v>45012.0</v>
      </c>
      <c r="Q9973" s="2" t="s">
        <v>15336</v>
      </c>
    </row>
    <row r="9974">
      <c r="A9974" s="2">
        <v>9973.0</v>
      </c>
      <c r="B9974" s="2" t="s">
        <v>15337</v>
      </c>
      <c r="C9974" s="2" t="s">
        <v>23</v>
      </c>
      <c r="K9974" s="2">
        <v>50.0</v>
      </c>
      <c r="N9974" s="6">
        <v>45730.0</v>
      </c>
      <c r="Q9974" s="2" t="s">
        <v>15338</v>
      </c>
    </row>
    <row r="9975">
      <c r="A9975" s="2">
        <v>9974.0</v>
      </c>
      <c r="B9975" s="2" t="s">
        <v>15339</v>
      </c>
      <c r="C9975" s="2" t="s">
        <v>23</v>
      </c>
      <c r="K9975" s="2">
        <v>50.0</v>
      </c>
      <c r="N9975" s="6">
        <v>45693.0</v>
      </c>
      <c r="Q9975" s="2" t="s">
        <v>3987</v>
      </c>
    </row>
    <row r="9976">
      <c r="A9976" s="2">
        <v>9975.0</v>
      </c>
      <c r="B9976" s="2" t="s">
        <v>15340</v>
      </c>
      <c r="C9976" s="2" t="s">
        <v>23</v>
      </c>
      <c r="K9976" s="2">
        <v>50.0</v>
      </c>
      <c r="N9976" s="6">
        <v>43855.0</v>
      </c>
      <c r="Q9976" s="2" t="s">
        <v>15341</v>
      </c>
    </row>
    <row r="9977">
      <c r="A9977" s="2">
        <v>9976.0</v>
      </c>
      <c r="B9977" s="2" t="s">
        <v>15342</v>
      </c>
      <c r="C9977" s="2" t="s">
        <v>23</v>
      </c>
      <c r="N9977" s="6">
        <v>44400.0</v>
      </c>
      <c r="Q9977" s="2" t="s">
        <v>86</v>
      </c>
    </row>
    <row r="9978">
      <c r="A9978" s="2">
        <v>9977.0</v>
      </c>
      <c r="B9978" s="2" t="s">
        <v>575</v>
      </c>
      <c r="C9978" s="2" t="s">
        <v>23</v>
      </c>
      <c r="N9978" s="6">
        <v>44411.0</v>
      </c>
      <c r="Q9978" s="2" t="s">
        <v>578</v>
      </c>
    </row>
    <row r="9979">
      <c r="A9979" s="2">
        <v>9978.0</v>
      </c>
      <c r="B9979" s="2" t="s">
        <v>15343</v>
      </c>
      <c r="C9979" s="2" t="s">
        <v>23</v>
      </c>
      <c r="N9979" s="6">
        <v>44821.0</v>
      </c>
      <c r="Q9979" s="2" t="s">
        <v>86</v>
      </c>
    </row>
    <row r="9980">
      <c r="A9980" s="2">
        <v>9979.0</v>
      </c>
      <c r="B9980" s="2" t="s">
        <v>15344</v>
      </c>
      <c r="C9980" s="2" t="s">
        <v>23</v>
      </c>
      <c r="K9980" s="2">
        <v>30.0</v>
      </c>
      <c r="N9980" s="6">
        <v>45003.0</v>
      </c>
      <c r="Q9980" s="2" t="s">
        <v>14482</v>
      </c>
    </row>
    <row r="9981">
      <c r="A9981" s="2">
        <v>9980.0</v>
      </c>
      <c r="B9981" s="2" t="s">
        <v>15345</v>
      </c>
      <c r="C9981" s="2" t="s">
        <v>23</v>
      </c>
      <c r="K9981" s="2">
        <v>30.0</v>
      </c>
      <c r="N9981" s="6">
        <v>45704.0</v>
      </c>
      <c r="Q9981" s="2" t="s">
        <v>15346</v>
      </c>
    </row>
    <row r="9982">
      <c r="A9982" s="2">
        <v>9981.0</v>
      </c>
      <c r="B9982" s="2" t="s">
        <v>15347</v>
      </c>
      <c r="C9982" s="2" t="s">
        <v>23</v>
      </c>
      <c r="K9982" s="2">
        <v>10.0</v>
      </c>
      <c r="N9982" s="6">
        <v>44531.0</v>
      </c>
      <c r="Q9982" s="2" t="s">
        <v>15348</v>
      </c>
    </row>
    <row r="9983">
      <c r="A9983" s="2">
        <v>9982.0</v>
      </c>
      <c r="B9983" s="2" t="s">
        <v>15349</v>
      </c>
      <c r="C9983" s="2" t="s">
        <v>23</v>
      </c>
      <c r="K9983" s="2">
        <v>900.0</v>
      </c>
      <c r="N9983" s="6">
        <v>44242.0</v>
      </c>
      <c r="Q9983" s="2" t="s">
        <v>15350</v>
      </c>
    </row>
    <row r="9984">
      <c r="A9984" s="2">
        <v>9983.0</v>
      </c>
      <c r="B9984" s="2" t="s">
        <v>15351</v>
      </c>
      <c r="C9984" s="2" t="s">
        <v>23</v>
      </c>
      <c r="K9984" s="2">
        <v>40.0</v>
      </c>
      <c r="N9984" s="6">
        <v>45694.0</v>
      </c>
      <c r="Q9984" s="2" t="s">
        <v>5045</v>
      </c>
    </row>
    <row r="9985">
      <c r="A9985" s="2">
        <v>9984.0</v>
      </c>
      <c r="B9985" s="2" t="s">
        <v>15352</v>
      </c>
      <c r="C9985" s="2" t="s">
        <v>23</v>
      </c>
      <c r="K9985" s="2">
        <v>20.0</v>
      </c>
      <c r="N9985" s="6">
        <v>45665.0</v>
      </c>
      <c r="Q9985" s="2" t="s">
        <v>15353</v>
      </c>
    </row>
    <row r="9986">
      <c r="A9986" s="2">
        <v>9985.0</v>
      </c>
      <c r="B9986" s="2" t="s">
        <v>15354</v>
      </c>
      <c r="C9986" s="2" t="s">
        <v>23</v>
      </c>
      <c r="N9986" s="6">
        <v>43884.0</v>
      </c>
      <c r="Q9986" s="2" t="s">
        <v>86</v>
      </c>
    </row>
    <row r="9987">
      <c r="A9987" s="2">
        <v>9986.0</v>
      </c>
      <c r="B9987" s="2" t="s">
        <v>15355</v>
      </c>
      <c r="C9987" s="2" t="s">
        <v>23</v>
      </c>
      <c r="N9987" s="6">
        <v>44725.0</v>
      </c>
      <c r="Q9987" s="2" t="s">
        <v>86</v>
      </c>
    </row>
    <row r="9988">
      <c r="A9988" s="2">
        <v>9987.0</v>
      </c>
      <c r="B9988" s="2" t="s">
        <v>15356</v>
      </c>
      <c r="C9988" s="2" t="s">
        <v>23</v>
      </c>
      <c r="K9988" s="2">
        <v>30.0</v>
      </c>
      <c r="N9988" s="6">
        <v>44343.0</v>
      </c>
      <c r="Q9988" s="2" t="s">
        <v>9935</v>
      </c>
    </row>
    <row r="9989">
      <c r="A9989" s="2">
        <v>9988.0</v>
      </c>
      <c r="B9989" s="2" t="s">
        <v>15357</v>
      </c>
      <c r="C9989" s="2" t="s">
        <v>23</v>
      </c>
      <c r="N9989" s="6">
        <v>43103.0</v>
      </c>
      <c r="Q9989" s="2" t="s">
        <v>86</v>
      </c>
    </row>
    <row r="9990">
      <c r="A9990" s="2">
        <v>9989.0</v>
      </c>
      <c r="B9990" s="2" t="s">
        <v>15358</v>
      </c>
      <c r="C9990" s="2" t="s">
        <v>23</v>
      </c>
      <c r="K9990" s="2">
        <v>10.0</v>
      </c>
      <c r="N9990" s="6">
        <v>45608.0</v>
      </c>
      <c r="Q9990" s="2" t="s">
        <v>15359</v>
      </c>
    </row>
    <row r="9991">
      <c r="A9991" s="2">
        <v>9990.0</v>
      </c>
      <c r="B9991" s="2" t="s">
        <v>15360</v>
      </c>
      <c r="C9991" s="2" t="s">
        <v>23</v>
      </c>
      <c r="K9991" s="2">
        <v>50.0</v>
      </c>
      <c r="N9991" s="6">
        <v>45731.0</v>
      </c>
      <c r="Q9991" s="2" t="s">
        <v>4710</v>
      </c>
    </row>
    <row r="9992">
      <c r="A9992" s="2">
        <v>9991.0</v>
      </c>
      <c r="B9992" s="2" t="s">
        <v>15361</v>
      </c>
      <c r="C9992" s="2" t="s">
        <v>23</v>
      </c>
      <c r="K9992" s="2">
        <v>40.0</v>
      </c>
      <c r="N9992" s="6">
        <v>45082.0</v>
      </c>
      <c r="Q9992" s="2" t="s">
        <v>15362</v>
      </c>
    </row>
    <row r="9993">
      <c r="A9993" s="2">
        <v>9992.0</v>
      </c>
      <c r="B9993" s="2" t="s">
        <v>15363</v>
      </c>
      <c r="C9993" s="2" t="s">
        <v>23</v>
      </c>
      <c r="N9993" s="6">
        <v>44364.0</v>
      </c>
      <c r="Q9993" s="2" t="s">
        <v>86</v>
      </c>
    </row>
    <row r="9994">
      <c r="A9994" s="2">
        <v>9993.0</v>
      </c>
      <c r="B9994" s="2" t="s">
        <v>15364</v>
      </c>
      <c r="C9994" s="2" t="s">
        <v>23</v>
      </c>
      <c r="K9994" s="2">
        <v>150.0</v>
      </c>
      <c r="N9994" s="6">
        <v>44613.0</v>
      </c>
      <c r="Q9994" s="2" t="s">
        <v>9524</v>
      </c>
    </row>
    <row r="9995">
      <c r="A9995" s="2">
        <v>9994.0</v>
      </c>
      <c r="B9995" s="2" t="s">
        <v>15365</v>
      </c>
      <c r="C9995" s="2" t="s">
        <v>23</v>
      </c>
      <c r="N9995" s="6">
        <v>45457.0</v>
      </c>
      <c r="Q9995" s="2" t="s">
        <v>15366</v>
      </c>
    </row>
    <row r="9996">
      <c r="A9996" s="2">
        <v>9995.0</v>
      </c>
      <c r="B9996" s="2" t="s">
        <v>15367</v>
      </c>
      <c r="C9996" s="2" t="s">
        <v>23</v>
      </c>
      <c r="N9996" s="6">
        <v>45656.0</v>
      </c>
      <c r="Q9996" s="2" t="s">
        <v>14367</v>
      </c>
    </row>
    <row r="9997">
      <c r="A9997" s="2">
        <v>9996.0</v>
      </c>
      <c r="B9997" s="2" t="s">
        <v>15368</v>
      </c>
      <c r="C9997" s="2" t="s">
        <v>23</v>
      </c>
      <c r="K9997" s="2">
        <v>20.0</v>
      </c>
      <c r="N9997" s="6">
        <v>44480.0</v>
      </c>
      <c r="Q9997" s="2" t="s">
        <v>1474</v>
      </c>
    </row>
    <row r="9998">
      <c r="A9998" s="2">
        <v>9997.0</v>
      </c>
      <c r="B9998" s="2" t="s">
        <v>15369</v>
      </c>
      <c r="C9998" s="2" t="s">
        <v>23</v>
      </c>
      <c r="K9998" s="2">
        <v>150.0</v>
      </c>
      <c r="N9998" s="6">
        <v>43905.0</v>
      </c>
      <c r="Q9998" s="2" t="s">
        <v>15370</v>
      </c>
    </row>
    <row r="9999">
      <c r="A9999" s="2">
        <v>9998.0</v>
      </c>
      <c r="B9999" s="2" t="s">
        <v>15371</v>
      </c>
      <c r="C9999" s="2" t="s">
        <v>23</v>
      </c>
      <c r="N9999" s="6">
        <v>43849.0</v>
      </c>
      <c r="Q9999" s="2" t="s">
        <v>86</v>
      </c>
    </row>
    <row r="10000">
      <c r="A10000" s="2">
        <v>9999.0</v>
      </c>
      <c r="B10000" s="2" t="s">
        <v>15372</v>
      </c>
      <c r="C10000" s="2" t="s">
        <v>23</v>
      </c>
      <c r="K10000" s="2">
        <v>20.0</v>
      </c>
      <c r="N10000" s="6">
        <v>44183.0</v>
      </c>
      <c r="Q10000" s="2" t="s">
        <v>86</v>
      </c>
    </row>
    <row r="10001">
      <c r="A10001" s="2">
        <v>10000.0</v>
      </c>
      <c r="B10001" s="2" t="s">
        <v>15373</v>
      </c>
      <c r="C10001" s="2" t="s">
        <v>23</v>
      </c>
      <c r="K10001" s="2">
        <v>10.0</v>
      </c>
      <c r="N10001" s="6">
        <v>44408.0</v>
      </c>
      <c r="Q10001" s="2" t="s">
        <v>491</v>
      </c>
    </row>
    <row r="10002">
      <c r="A10002" s="2">
        <v>10001.0</v>
      </c>
      <c r="B10002" s="2" t="s">
        <v>15374</v>
      </c>
      <c r="C10002" s="2" t="s">
        <v>23</v>
      </c>
      <c r="K10002" s="2">
        <v>150.0</v>
      </c>
      <c r="N10002" s="6">
        <v>43880.0</v>
      </c>
      <c r="Q10002" s="2" t="s">
        <v>15375</v>
      </c>
    </row>
    <row r="10003">
      <c r="A10003" s="2">
        <v>10002.0</v>
      </c>
      <c r="B10003" s="2" t="s">
        <v>15376</v>
      </c>
      <c r="C10003" s="2" t="s">
        <v>23</v>
      </c>
      <c r="N10003" s="6">
        <v>44522.0</v>
      </c>
      <c r="Q10003" s="2" t="s">
        <v>86</v>
      </c>
    </row>
    <row r="10004">
      <c r="A10004" s="2">
        <v>10003.0</v>
      </c>
      <c r="B10004" s="2" t="s">
        <v>15377</v>
      </c>
      <c r="C10004" s="2" t="s">
        <v>23</v>
      </c>
      <c r="N10004" s="6">
        <v>44697.0</v>
      </c>
      <c r="Q10004" s="2" t="s">
        <v>86</v>
      </c>
    </row>
    <row r="10005">
      <c r="A10005" s="2">
        <v>10004.0</v>
      </c>
      <c r="B10005" s="2" t="s">
        <v>15378</v>
      </c>
      <c r="C10005" s="2" t="s">
        <v>23</v>
      </c>
      <c r="K10005" s="2">
        <v>10.0</v>
      </c>
      <c r="N10005" s="6">
        <v>43883.0</v>
      </c>
      <c r="Q10005" s="2" t="s">
        <v>200</v>
      </c>
    </row>
    <row r="10006">
      <c r="A10006" s="2">
        <v>10005.0</v>
      </c>
      <c r="B10006" s="2" t="s">
        <v>15379</v>
      </c>
      <c r="C10006" s="2" t="s">
        <v>23</v>
      </c>
      <c r="K10006" s="2">
        <v>10.0</v>
      </c>
      <c r="N10006" s="6">
        <v>45064.0</v>
      </c>
      <c r="Q10006" s="2" t="s">
        <v>86</v>
      </c>
    </row>
    <row r="10007">
      <c r="A10007" s="2">
        <v>10006.0</v>
      </c>
      <c r="B10007" s="2" t="s">
        <v>15380</v>
      </c>
      <c r="C10007" s="2" t="s">
        <v>23</v>
      </c>
      <c r="N10007" s="6">
        <v>44501.0</v>
      </c>
      <c r="Q10007" s="2" t="s">
        <v>86</v>
      </c>
    </row>
    <row r="10008">
      <c r="A10008" s="2">
        <v>10007.0</v>
      </c>
      <c r="B10008" s="2" t="s">
        <v>15381</v>
      </c>
      <c r="C10008" s="2" t="s">
        <v>23</v>
      </c>
      <c r="K10008" s="2">
        <v>500.0</v>
      </c>
      <c r="N10008" s="6">
        <v>43924.0</v>
      </c>
      <c r="Q10008" s="2" t="s">
        <v>15382</v>
      </c>
    </row>
    <row r="10009">
      <c r="A10009" s="2">
        <v>10008.0</v>
      </c>
      <c r="B10009" s="2" t="s">
        <v>15383</v>
      </c>
      <c r="C10009" s="2" t="s">
        <v>23</v>
      </c>
      <c r="N10009" s="6">
        <v>44276.0</v>
      </c>
      <c r="Q10009" s="2" t="s">
        <v>86</v>
      </c>
    </row>
    <row r="10010">
      <c r="A10010" s="2">
        <v>10009.0</v>
      </c>
      <c r="B10010" s="2" t="s">
        <v>15384</v>
      </c>
      <c r="C10010" s="2" t="s">
        <v>23</v>
      </c>
      <c r="K10010" s="2">
        <v>60.0</v>
      </c>
      <c r="N10010" s="6">
        <v>45803.0</v>
      </c>
      <c r="Q10010" s="2" t="s">
        <v>6484</v>
      </c>
    </row>
    <row r="10011">
      <c r="A10011" s="2">
        <v>10010.0</v>
      </c>
      <c r="B10011" s="2" t="s">
        <v>15385</v>
      </c>
      <c r="C10011" s="2" t="s">
        <v>23</v>
      </c>
      <c r="N10011" s="6">
        <v>44725.0</v>
      </c>
      <c r="Q10011" s="2" t="s">
        <v>86</v>
      </c>
    </row>
    <row r="10012">
      <c r="A10012" s="2">
        <v>10011.0</v>
      </c>
      <c r="B10012" s="2" t="s">
        <v>15386</v>
      </c>
      <c r="C10012" s="2" t="s">
        <v>23</v>
      </c>
      <c r="K10012" s="2">
        <v>30.0</v>
      </c>
      <c r="N10012" s="6">
        <v>43854.0</v>
      </c>
      <c r="Q10012" s="2" t="s">
        <v>546</v>
      </c>
    </row>
    <row r="10013">
      <c r="A10013" s="2">
        <v>10012.0</v>
      </c>
      <c r="B10013" s="2" t="s">
        <v>15387</v>
      </c>
      <c r="C10013" s="2" t="s">
        <v>23</v>
      </c>
      <c r="K10013" s="2">
        <v>30.0</v>
      </c>
      <c r="N10013" s="6">
        <v>45080.0</v>
      </c>
      <c r="Q10013" s="2" t="s">
        <v>15388</v>
      </c>
    </row>
    <row r="10014">
      <c r="A10014" s="2">
        <v>10013.0</v>
      </c>
      <c r="B10014" s="2" t="s">
        <v>15389</v>
      </c>
      <c r="C10014" s="2" t="s">
        <v>23</v>
      </c>
      <c r="K10014" s="2">
        <v>200.0</v>
      </c>
      <c r="N10014" s="6">
        <v>44399.0</v>
      </c>
      <c r="Q10014" s="2" t="s">
        <v>15390</v>
      </c>
    </row>
    <row r="10015">
      <c r="A10015" s="2">
        <v>10014.0</v>
      </c>
      <c r="B10015" s="2" t="s">
        <v>15391</v>
      </c>
      <c r="C10015" s="2" t="s">
        <v>23</v>
      </c>
      <c r="K10015" s="2">
        <v>30.0</v>
      </c>
      <c r="N10015" s="6">
        <v>44643.0</v>
      </c>
      <c r="Q10015" s="2" t="s">
        <v>86</v>
      </c>
    </row>
    <row r="10016">
      <c r="A10016" s="2">
        <v>10015.0</v>
      </c>
      <c r="B10016" s="2" t="s">
        <v>15392</v>
      </c>
      <c r="C10016" s="2" t="s">
        <v>23</v>
      </c>
      <c r="K10016" s="2">
        <v>80.0</v>
      </c>
      <c r="N10016" s="6">
        <v>43879.0</v>
      </c>
      <c r="Q10016" s="2" t="s">
        <v>15393</v>
      </c>
    </row>
    <row r="10017">
      <c r="A10017" s="2">
        <v>10016.0</v>
      </c>
      <c r="B10017" s="2" t="s">
        <v>15394</v>
      </c>
      <c r="C10017" s="2" t="s">
        <v>23</v>
      </c>
      <c r="N10017" s="6">
        <v>45240.0</v>
      </c>
      <c r="Q10017" s="2" t="s">
        <v>86</v>
      </c>
    </row>
    <row r="10018">
      <c r="A10018" s="2">
        <v>10017.0</v>
      </c>
      <c r="B10018" s="2" t="s">
        <v>580</v>
      </c>
      <c r="C10018" s="2" t="s">
        <v>23</v>
      </c>
      <c r="K10018" s="2">
        <v>20.0</v>
      </c>
      <c r="N10018" s="6">
        <v>43859.0</v>
      </c>
      <c r="Q10018" s="2" t="s">
        <v>583</v>
      </c>
    </row>
    <row r="10019">
      <c r="A10019" s="2">
        <v>10018.0</v>
      </c>
      <c r="B10019" s="2" t="s">
        <v>15395</v>
      </c>
      <c r="C10019" s="2" t="s">
        <v>23</v>
      </c>
      <c r="K10019" s="2">
        <v>60.0</v>
      </c>
      <c r="N10019" s="6">
        <v>44043.0</v>
      </c>
      <c r="Q10019" s="2" t="s">
        <v>15396</v>
      </c>
    </row>
    <row r="10020">
      <c r="A10020" s="2">
        <v>10019.0</v>
      </c>
      <c r="B10020" s="2" t="s">
        <v>15397</v>
      </c>
      <c r="C10020" s="2" t="s">
        <v>23</v>
      </c>
      <c r="K10020" s="2">
        <v>100.0</v>
      </c>
      <c r="N10020" s="6">
        <v>44759.0</v>
      </c>
      <c r="Q10020" s="2" t="s">
        <v>15398</v>
      </c>
    </row>
    <row r="10021">
      <c r="A10021" s="2">
        <v>10020.0</v>
      </c>
      <c r="B10021" s="2" t="s">
        <v>15399</v>
      </c>
      <c r="C10021" s="2" t="s">
        <v>23</v>
      </c>
      <c r="N10021" s="6">
        <v>45201.0</v>
      </c>
      <c r="Q10021" s="2" t="s">
        <v>86</v>
      </c>
    </row>
    <row r="10022">
      <c r="A10022" s="2">
        <v>10021.0</v>
      </c>
      <c r="B10022" s="2" t="s">
        <v>15400</v>
      </c>
      <c r="C10022" s="2" t="s">
        <v>23</v>
      </c>
      <c r="K10022" s="2">
        <v>50.0</v>
      </c>
      <c r="N10022" s="6">
        <v>45614.0</v>
      </c>
      <c r="Q10022" s="2" t="s">
        <v>15401</v>
      </c>
    </row>
    <row r="10023">
      <c r="A10023" s="2">
        <v>10022.0</v>
      </c>
      <c r="B10023" s="2" t="s">
        <v>15402</v>
      </c>
      <c r="C10023" s="2" t="s">
        <v>23</v>
      </c>
      <c r="K10023" s="2">
        <v>10.0</v>
      </c>
      <c r="N10023" s="6">
        <v>43852.0</v>
      </c>
      <c r="Q10023" s="2" t="s">
        <v>401</v>
      </c>
    </row>
    <row r="10024">
      <c r="A10024" s="2">
        <v>10023.0</v>
      </c>
      <c r="B10024" s="2" t="s">
        <v>15403</v>
      </c>
      <c r="C10024" s="2" t="s">
        <v>23</v>
      </c>
      <c r="K10024" s="2">
        <v>10.0</v>
      </c>
      <c r="N10024" s="6">
        <v>44340.0</v>
      </c>
      <c r="Q10024" s="2" t="s">
        <v>15404</v>
      </c>
    </row>
    <row r="10025">
      <c r="A10025" s="2">
        <v>10024.0</v>
      </c>
      <c r="B10025" s="2" t="s">
        <v>15405</v>
      </c>
      <c r="C10025" s="2" t="s">
        <v>23</v>
      </c>
      <c r="N10025" s="6">
        <v>44609.0</v>
      </c>
      <c r="Q10025" s="2" t="s">
        <v>86</v>
      </c>
    </row>
    <row r="10026">
      <c r="A10026" s="2">
        <v>10025.0</v>
      </c>
      <c r="B10026" s="2" t="s">
        <v>15406</v>
      </c>
      <c r="C10026" s="2" t="s">
        <v>23</v>
      </c>
      <c r="K10026" s="2">
        <v>30.0</v>
      </c>
      <c r="N10026" s="6">
        <v>45609.0</v>
      </c>
      <c r="Q10026" s="2" t="s">
        <v>2494</v>
      </c>
    </row>
    <row r="10027">
      <c r="A10027" s="2">
        <v>10026.0</v>
      </c>
      <c r="B10027" s="2" t="s">
        <v>15407</v>
      </c>
      <c r="C10027" s="2" t="s">
        <v>23</v>
      </c>
      <c r="K10027" s="2">
        <v>10.0</v>
      </c>
      <c r="N10027" s="6">
        <v>44164.0</v>
      </c>
      <c r="Q10027" s="2" t="s">
        <v>546</v>
      </c>
    </row>
    <row r="10028">
      <c r="A10028" s="2">
        <v>10027.0</v>
      </c>
      <c r="B10028" s="2" t="s">
        <v>15408</v>
      </c>
      <c r="C10028" s="2" t="s">
        <v>23</v>
      </c>
      <c r="K10028" s="2">
        <v>20.0</v>
      </c>
      <c r="N10028" s="6">
        <v>43925.0</v>
      </c>
      <c r="Q10028" s="2" t="s">
        <v>2701</v>
      </c>
    </row>
    <row r="10029">
      <c r="A10029" s="2">
        <v>10028.0</v>
      </c>
      <c r="B10029" s="2" t="s">
        <v>15409</v>
      </c>
      <c r="C10029" s="2" t="s">
        <v>23</v>
      </c>
      <c r="N10029" s="6">
        <v>45484.0</v>
      </c>
      <c r="Q10029" s="2" t="s">
        <v>15410</v>
      </c>
    </row>
    <row r="10030">
      <c r="A10030" s="2">
        <v>10029.0</v>
      </c>
      <c r="B10030" s="2" t="s">
        <v>15411</v>
      </c>
      <c r="C10030" s="2" t="s">
        <v>23</v>
      </c>
      <c r="N10030" s="6">
        <v>46005.0</v>
      </c>
      <c r="Q10030" s="2" t="s">
        <v>1109</v>
      </c>
    </row>
    <row r="10031">
      <c r="A10031" s="2">
        <v>10030.0</v>
      </c>
      <c r="B10031" s="2" t="s">
        <v>15412</v>
      </c>
      <c r="C10031" s="2" t="s">
        <v>23</v>
      </c>
      <c r="K10031" s="2">
        <v>10.0</v>
      </c>
      <c r="N10031" s="6">
        <v>44225.0</v>
      </c>
      <c r="Q10031" s="2" t="s">
        <v>15413</v>
      </c>
    </row>
    <row r="10032">
      <c r="A10032" s="2">
        <v>10031.0</v>
      </c>
      <c r="B10032" s="2" t="s">
        <v>15414</v>
      </c>
      <c r="C10032" s="2" t="s">
        <v>23</v>
      </c>
      <c r="K10032" s="2">
        <v>50.0</v>
      </c>
      <c r="N10032" s="6">
        <v>45615.0</v>
      </c>
      <c r="Q10032" s="2" t="s">
        <v>15415</v>
      </c>
    </row>
    <row r="10033">
      <c r="A10033" s="2">
        <v>10032.0</v>
      </c>
      <c r="B10033" s="2" t="s">
        <v>15416</v>
      </c>
      <c r="C10033" s="2" t="s">
        <v>23</v>
      </c>
      <c r="K10033" s="2">
        <v>10.0</v>
      </c>
      <c r="N10033" s="6">
        <v>44347.0</v>
      </c>
      <c r="Q10033" s="2" t="s">
        <v>1048</v>
      </c>
    </row>
    <row r="10034">
      <c r="A10034" s="2">
        <v>10033.0</v>
      </c>
      <c r="B10034" s="2" t="s">
        <v>15417</v>
      </c>
      <c r="C10034" s="2" t="s">
        <v>23</v>
      </c>
      <c r="K10034" s="2">
        <v>10.0</v>
      </c>
      <c r="N10034" s="6">
        <v>44079.0</v>
      </c>
      <c r="Q10034" s="2" t="s">
        <v>86</v>
      </c>
    </row>
    <row r="10035">
      <c r="A10035" s="2">
        <v>10034.0</v>
      </c>
      <c r="B10035" s="2" t="s">
        <v>15418</v>
      </c>
      <c r="C10035" s="2" t="s">
        <v>23</v>
      </c>
      <c r="N10035" s="6">
        <v>44278.0</v>
      </c>
      <c r="Q10035" s="2" t="s">
        <v>86</v>
      </c>
    </row>
    <row r="10036">
      <c r="A10036" s="2">
        <v>10035.0</v>
      </c>
      <c r="B10036" s="2" t="s">
        <v>15419</v>
      </c>
      <c r="C10036" s="2" t="s">
        <v>23</v>
      </c>
      <c r="K10036" s="2">
        <v>60.0</v>
      </c>
      <c r="N10036" s="6">
        <v>45068.0</v>
      </c>
      <c r="Q10036" s="2" t="s">
        <v>15420</v>
      </c>
    </row>
    <row r="10037">
      <c r="A10037" s="2">
        <v>10036.0</v>
      </c>
      <c r="B10037" s="2" t="s">
        <v>15421</v>
      </c>
      <c r="C10037" s="2" t="s">
        <v>23</v>
      </c>
      <c r="K10037" s="2">
        <v>30.0</v>
      </c>
      <c r="N10037" s="6">
        <v>43903.0</v>
      </c>
      <c r="Q10037" s="2" t="s">
        <v>15422</v>
      </c>
    </row>
    <row r="10038">
      <c r="A10038" s="2">
        <v>10037.0</v>
      </c>
      <c r="B10038" s="2" t="s">
        <v>15423</v>
      </c>
      <c r="C10038" s="2" t="s">
        <v>23</v>
      </c>
      <c r="K10038" s="2">
        <v>150.0</v>
      </c>
      <c r="N10038" s="6">
        <v>44006.0</v>
      </c>
      <c r="Q10038" s="2" t="s">
        <v>15424</v>
      </c>
    </row>
    <row r="10039">
      <c r="A10039" s="2">
        <v>10038.0</v>
      </c>
      <c r="B10039" s="2" t="s">
        <v>15425</v>
      </c>
      <c r="C10039" s="2" t="s">
        <v>23</v>
      </c>
      <c r="N10039" s="6">
        <v>44138.0</v>
      </c>
      <c r="Q10039" s="2" t="s">
        <v>86</v>
      </c>
    </row>
    <row r="10040">
      <c r="A10040" s="2">
        <v>10039.0</v>
      </c>
      <c r="B10040" s="2" t="s">
        <v>15426</v>
      </c>
      <c r="C10040" s="2" t="s">
        <v>23</v>
      </c>
      <c r="K10040" s="2">
        <v>10.0</v>
      </c>
      <c r="N10040" s="6">
        <v>44115.0</v>
      </c>
      <c r="Q10040" s="2" t="s">
        <v>86</v>
      </c>
    </row>
    <row r="10041">
      <c r="A10041" s="2">
        <v>10040.0</v>
      </c>
      <c r="B10041" s="2" t="s">
        <v>15427</v>
      </c>
      <c r="C10041" s="2" t="s">
        <v>23</v>
      </c>
      <c r="N10041" s="6">
        <v>44220.0</v>
      </c>
      <c r="Q10041" s="2" t="s">
        <v>86</v>
      </c>
    </row>
    <row r="10042">
      <c r="A10042" s="2">
        <v>10041.0</v>
      </c>
      <c r="B10042" s="2" t="s">
        <v>15428</v>
      </c>
      <c r="C10042" s="2" t="s">
        <v>23</v>
      </c>
      <c r="K10042" s="2">
        <v>60.0</v>
      </c>
      <c r="N10042" s="6">
        <v>44143.0</v>
      </c>
      <c r="Q10042" s="2" t="s">
        <v>86</v>
      </c>
    </row>
    <row r="10043">
      <c r="A10043" s="2">
        <v>10042.0</v>
      </c>
      <c r="B10043" s="2" t="s">
        <v>15429</v>
      </c>
      <c r="C10043" s="2" t="s">
        <v>23</v>
      </c>
      <c r="K10043" s="2">
        <v>100.0</v>
      </c>
      <c r="N10043" s="6">
        <v>45171.0</v>
      </c>
      <c r="Q10043" s="2" t="s">
        <v>1437</v>
      </c>
    </row>
    <row r="10044">
      <c r="A10044" s="2">
        <v>10043.0</v>
      </c>
      <c r="B10044" s="2" t="s">
        <v>15430</v>
      </c>
      <c r="C10044" s="2" t="s">
        <v>23</v>
      </c>
      <c r="K10044" s="2">
        <v>60.0</v>
      </c>
      <c r="N10044" s="6">
        <v>44267.0</v>
      </c>
      <c r="Q10044" s="2" t="s">
        <v>15431</v>
      </c>
    </row>
    <row r="10045">
      <c r="A10045" s="2">
        <v>10044.0</v>
      </c>
      <c r="B10045" s="2" t="s">
        <v>15432</v>
      </c>
      <c r="C10045" s="2" t="s">
        <v>23</v>
      </c>
      <c r="K10045" s="2">
        <v>200.0</v>
      </c>
      <c r="N10045" s="6">
        <v>45717.0</v>
      </c>
      <c r="Q10045" s="2" t="s">
        <v>15433</v>
      </c>
    </row>
    <row r="10046">
      <c r="A10046" s="2">
        <v>10045.0</v>
      </c>
      <c r="B10046" s="2" t="s">
        <v>15434</v>
      </c>
      <c r="C10046" s="2" t="s">
        <v>23</v>
      </c>
      <c r="N10046" s="6">
        <v>43871.0</v>
      </c>
      <c r="Q10046" s="2" t="s">
        <v>86</v>
      </c>
    </row>
    <row r="10047">
      <c r="A10047" s="2">
        <v>10046.0</v>
      </c>
      <c r="B10047" s="2" t="s">
        <v>15435</v>
      </c>
      <c r="C10047" s="2" t="s">
        <v>23</v>
      </c>
      <c r="K10047" s="2">
        <v>50.0</v>
      </c>
      <c r="N10047" s="6">
        <v>45619.0</v>
      </c>
      <c r="Q10047" s="2" t="s">
        <v>15436</v>
      </c>
    </row>
    <row r="10048">
      <c r="A10048" s="2">
        <v>10047.0</v>
      </c>
      <c r="B10048" s="2" t="s">
        <v>15437</v>
      </c>
      <c r="C10048" s="2" t="s">
        <v>23</v>
      </c>
      <c r="K10048" s="2">
        <v>350.0</v>
      </c>
      <c r="N10048" s="6">
        <v>43911.0</v>
      </c>
      <c r="Q10048" s="2" t="s">
        <v>15438</v>
      </c>
    </row>
    <row r="10049">
      <c r="A10049" s="2">
        <v>10048.0</v>
      </c>
      <c r="B10049" s="2" t="s">
        <v>15439</v>
      </c>
      <c r="C10049" s="2" t="s">
        <v>23</v>
      </c>
      <c r="N10049" s="6">
        <v>44693.0</v>
      </c>
      <c r="Q10049" s="2" t="s">
        <v>15440</v>
      </c>
    </row>
    <row r="10050">
      <c r="A10050" s="2">
        <v>10049.0</v>
      </c>
      <c r="B10050" s="2" t="s">
        <v>15441</v>
      </c>
      <c r="C10050" s="2" t="s">
        <v>23</v>
      </c>
      <c r="N10050" s="6">
        <v>42867.0</v>
      </c>
      <c r="Q10050" s="2" t="s">
        <v>15442</v>
      </c>
    </row>
    <row r="10051">
      <c r="A10051" s="2">
        <v>10050.0</v>
      </c>
      <c r="B10051" s="2" t="s">
        <v>15443</v>
      </c>
      <c r="C10051" s="2" t="s">
        <v>23</v>
      </c>
      <c r="N10051" s="6">
        <v>44203.0</v>
      </c>
      <c r="Q10051" s="2" t="s">
        <v>13418</v>
      </c>
    </row>
    <row r="10052">
      <c r="A10052" s="2">
        <v>10051.0</v>
      </c>
      <c r="B10052" s="2" t="s">
        <v>15444</v>
      </c>
      <c r="C10052" s="2" t="s">
        <v>23</v>
      </c>
      <c r="K10052" s="2">
        <v>40.0</v>
      </c>
      <c r="N10052" s="6">
        <v>45221.0</v>
      </c>
      <c r="Q10052" s="2" t="s">
        <v>6467</v>
      </c>
    </row>
    <row r="10053">
      <c r="A10053" s="2">
        <v>10052.0</v>
      </c>
      <c r="B10053" s="2" t="s">
        <v>15445</v>
      </c>
      <c r="C10053" s="2" t="s">
        <v>23</v>
      </c>
      <c r="N10053" s="6">
        <v>42714.0</v>
      </c>
      <c r="Q10053" s="2" t="s">
        <v>86</v>
      </c>
    </row>
    <row r="10054">
      <c r="A10054" s="2">
        <v>10053.0</v>
      </c>
      <c r="B10054" s="2" t="s">
        <v>15446</v>
      </c>
      <c r="C10054" s="2" t="s">
        <v>23</v>
      </c>
      <c r="K10054" s="2">
        <v>20.0</v>
      </c>
      <c r="N10054" s="6">
        <v>43978.0</v>
      </c>
      <c r="Q10054" s="2" t="s">
        <v>60</v>
      </c>
    </row>
    <row r="10055">
      <c r="A10055" s="2">
        <v>10054.0</v>
      </c>
      <c r="B10055" s="2" t="s">
        <v>15447</v>
      </c>
      <c r="C10055" s="2" t="s">
        <v>23</v>
      </c>
      <c r="K10055" s="2">
        <v>40.0</v>
      </c>
      <c r="N10055" s="6">
        <v>45674.0</v>
      </c>
      <c r="Q10055" s="2" t="s">
        <v>2508</v>
      </c>
    </row>
    <row r="10056">
      <c r="A10056" s="2">
        <v>10055.0</v>
      </c>
      <c r="B10056" s="2" t="s">
        <v>15448</v>
      </c>
      <c r="C10056" s="2" t="s">
        <v>23</v>
      </c>
      <c r="K10056" s="2">
        <v>150.0</v>
      </c>
      <c r="N10056" s="6">
        <v>45796.0</v>
      </c>
      <c r="Q10056" s="2" t="s">
        <v>15449</v>
      </c>
    </row>
    <row r="10057">
      <c r="A10057" s="2">
        <v>10056.0</v>
      </c>
      <c r="B10057" s="2" t="s">
        <v>15450</v>
      </c>
      <c r="C10057" s="2" t="s">
        <v>23</v>
      </c>
      <c r="N10057" s="6">
        <v>44705.0</v>
      </c>
      <c r="Q10057" s="2" t="s">
        <v>86</v>
      </c>
    </row>
    <row r="10058">
      <c r="A10058" s="2">
        <v>10057.0</v>
      </c>
      <c r="B10058" s="2" t="s">
        <v>15451</v>
      </c>
      <c r="C10058" s="2" t="s">
        <v>23</v>
      </c>
      <c r="N10058" s="6">
        <v>44591.0</v>
      </c>
      <c r="Q10058" s="2" t="s">
        <v>86</v>
      </c>
    </row>
    <row r="10059">
      <c r="A10059" s="2">
        <v>10058.0</v>
      </c>
      <c r="B10059" s="2" t="s">
        <v>15452</v>
      </c>
      <c r="C10059" s="2" t="s">
        <v>23</v>
      </c>
      <c r="K10059" s="2">
        <v>100.0</v>
      </c>
      <c r="N10059" s="6">
        <v>45263.0</v>
      </c>
      <c r="Q10059" s="2" t="s">
        <v>15453</v>
      </c>
    </row>
    <row r="10060">
      <c r="A10060" s="2">
        <v>10059.0</v>
      </c>
      <c r="B10060" s="2" t="s">
        <v>15454</v>
      </c>
      <c r="C10060" s="2" t="s">
        <v>23</v>
      </c>
      <c r="K10060" s="2">
        <v>40.0</v>
      </c>
      <c r="N10060" s="6">
        <v>44037.0</v>
      </c>
      <c r="Q10060" s="2" t="s">
        <v>15455</v>
      </c>
    </row>
    <row r="10061">
      <c r="A10061" s="2">
        <v>10060.0</v>
      </c>
      <c r="B10061" s="2" t="s">
        <v>15456</v>
      </c>
      <c r="C10061" s="2" t="s">
        <v>23</v>
      </c>
      <c r="K10061" s="2">
        <v>200.0</v>
      </c>
      <c r="N10061" s="6">
        <v>43841.0</v>
      </c>
      <c r="Q10061" s="2" t="s">
        <v>15457</v>
      </c>
    </row>
    <row r="10062">
      <c r="A10062" s="2">
        <v>10061.0</v>
      </c>
      <c r="B10062" s="2" t="s">
        <v>15458</v>
      </c>
      <c r="C10062" s="2" t="s">
        <v>23</v>
      </c>
      <c r="N10062" s="6">
        <v>45196.0</v>
      </c>
      <c r="Q10062" s="2" t="s">
        <v>86</v>
      </c>
    </row>
    <row r="10063">
      <c r="A10063" s="2">
        <v>10062.0</v>
      </c>
      <c r="B10063" s="2" t="s">
        <v>15459</v>
      </c>
      <c r="C10063" s="2" t="s">
        <v>23</v>
      </c>
      <c r="K10063" s="2">
        <v>100.0</v>
      </c>
      <c r="N10063" s="6">
        <v>44617.0</v>
      </c>
      <c r="Q10063" s="2" t="s">
        <v>1466</v>
      </c>
    </row>
    <row r="10064">
      <c r="A10064" s="2">
        <v>10063.0</v>
      </c>
      <c r="B10064" s="2" t="s">
        <v>15460</v>
      </c>
      <c r="C10064" s="2" t="s">
        <v>23</v>
      </c>
      <c r="N10064" s="6">
        <v>44613.0</v>
      </c>
      <c r="Q10064" s="2" t="s">
        <v>86</v>
      </c>
    </row>
    <row r="10065">
      <c r="A10065" s="2">
        <v>10064.0</v>
      </c>
      <c r="B10065" s="2" t="s">
        <v>15461</v>
      </c>
      <c r="C10065" s="2" t="s">
        <v>23</v>
      </c>
      <c r="N10065" s="6">
        <v>44437.0</v>
      </c>
      <c r="Q10065" s="2" t="s">
        <v>86</v>
      </c>
    </row>
    <row r="10066">
      <c r="A10066" s="2">
        <v>10065.0</v>
      </c>
      <c r="B10066" s="2" t="s">
        <v>15462</v>
      </c>
      <c r="C10066" s="2" t="s">
        <v>23</v>
      </c>
      <c r="K10066" s="2">
        <v>10.0</v>
      </c>
      <c r="N10066" s="6">
        <v>44467.0</v>
      </c>
      <c r="Q10066" s="2" t="s">
        <v>3185</v>
      </c>
    </row>
    <row r="10067">
      <c r="A10067" s="2">
        <v>10066.0</v>
      </c>
      <c r="B10067" s="2" t="s">
        <v>15463</v>
      </c>
      <c r="C10067" s="2" t="s">
        <v>23</v>
      </c>
      <c r="K10067" s="2">
        <v>100.0</v>
      </c>
      <c r="N10067" s="6">
        <v>44369.0</v>
      </c>
      <c r="Q10067" s="2" t="s">
        <v>15464</v>
      </c>
    </row>
    <row r="10068">
      <c r="A10068" s="2">
        <v>10067.0</v>
      </c>
      <c r="B10068" s="2" t="s">
        <v>15465</v>
      </c>
      <c r="C10068" s="2" t="s">
        <v>23</v>
      </c>
      <c r="N10068" s="6">
        <v>44203.0</v>
      </c>
      <c r="Q10068" s="2" t="s">
        <v>86</v>
      </c>
    </row>
    <row r="10069">
      <c r="A10069" s="2">
        <v>10068.0</v>
      </c>
      <c r="B10069" s="2" t="s">
        <v>15466</v>
      </c>
      <c r="C10069" s="2" t="s">
        <v>23</v>
      </c>
      <c r="N10069" s="6">
        <v>43979.0</v>
      </c>
      <c r="Q10069" s="2" t="s">
        <v>86</v>
      </c>
    </row>
    <row r="10070">
      <c r="A10070" s="2">
        <v>10069.0</v>
      </c>
      <c r="B10070" s="2" t="s">
        <v>15467</v>
      </c>
      <c r="C10070" s="2" t="s">
        <v>23</v>
      </c>
      <c r="K10070" s="2">
        <v>60.0</v>
      </c>
      <c r="N10070" s="6">
        <v>45330.0</v>
      </c>
      <c r="Q10070" s="2" t="s">
        <v>15468</v>
      </c>
    </row>
    <row r="10071">
      <c r="A10071" s="2">
        <v>10070.0</v>
      </c>
      <c r="B10071" s="2" t="s">
        <v>15469</v>
      </c>
      <c r="C10071" s="2" t="s">
        <v>23</v>
      </c>
      <c r="N10071" s="6">
        <v>43848.0</v>
      </c>
      <c r="Q10071" s="2" t="s">
        <v>86</v>
      </c>
    </row>
    <row r="10072">
      <c r="A10072" s="2">
        <v>10071.0</v>
      </c>
      <c r="B10072" s="2" t="s">
        <v>15470</v>
      </c>
      <c r="C10072" s="2" t="s">
        <v>23</v>
      </c>
      <c r="K10072" s="2">
        <v>100.0</v>
      </c>
      <c r="N10072" s="6">
        <v>43840.0</v>
      </c>
      <c r="Q10072" s="2" t="s">
        <v>15471</v>
      </c>
    </row>
    <row r="10073">
      <c r="A10073" s="2">
        <v>10072.0</v>
      </c>
      <c r="B10073" s="2" t="s">
        <v>15472</v>
      </c>
      <c r="C10073" s="2" t="s">
        <v>23</v>
      </c>
      <c r="N10073" s="6">
        <v>44888.0</v>
      </c>
      <c r="Q10073" s="2" t="s">
        <v>426</v>
      </c>
    </row>
    <row r="10074">
      <c r="A10074" s="2">
        <v>10073.0</v>
      </c>
      <c r="B10074" s="2" t="s">
        <v>15473</v>
      </c>
      <c r="C10074" s="2" t="s">
        <v>23</v>
      </c>
      <c r="N10074" s="6">
        <v>44780.0</v>
      </c>
      <c r="Q10074" s="2" t="s">
        <v>1801</v>
      </c>
    </row>
    <row r="10075">
      <c r="A10075" s="2">
        <v>10074.0</v>
      </c>
      <c r="B10075" s="2" t="s">
        <v>15474</v>
      </c>
      <c r="C10075" s="2" t="s">
        <v>23</v>
      </c>
      <c r="K10075" s="2">
        <v>20.0</v>
      </c>
      <c r="N10075" s="6">
        <v>44279.0</v>
      </c>
      <c r="Q10075" s="2" t="s">
        <v>4216</v>
      </c>
    </row>
    <row r="10076">
      <c r="A10076" s="2">
        <v>10075.0</v>
      </c>
      <c r="B10076" s="2" t="s">
        <v>15475</v>
      </c>
      <c r="C10076" s="2" t="s">
        <v>23</v>
      </c>
      <c r="N10076" s="6">
        <v>44679.0</v>
      </c>
      <c r="Q10076" s="2" t="s">
        <v>86</v>
      </c>
    </row>
    <row r="10077">
      <c r="A10077" s="2">
        <v>10076.0</v>
      </c>
      <c r="B10077" s="2" t="s">
        <v>15476</v>
      </c>
      <c r="C10077" s="2" t="s">
        <v>23</v>
      </c>
      <c r="N10077" s="6">
        <v>44344.0</v>
      </c>
      <c r="Q10077" s="2" t="s">
        <v>86</v>
      </c>
    </row>
    <row r="10078">
      <c r="A10078" s="2">
        <v>10077.0</v>
      </c>
      <c r="B10078" s="2" t="s">
        <v>15477</v>
      </c>
      <c r="C10078" s="2" t="s">
        <v>23</v>
      </c>
      <c r="K10078" s="2">
        <v>20.0</v>
      </c>
      <c r="N10078" s="6">
        <v>44687.0</v>
      </c>
      <c r="Q10078" s="2" t="s">
        <v>15478</v>
      </c>
    </row>
    <row r="10079">
      <c r="A10079" s="2">
        <v>10078.0</v>
      </c>
      <c r="B10079" s="2" t="s">
        <v>15479</v>
      </c>
      <c r="C10079" s="2" t="s">
        <v>23</v>
      </c>
      <c r="K10079" s="2">
        <v>10.0</v>
      </c>
      <c r="N10079" s="6">
        <v>45081.0</v>
      </c>
      <c r="Q10079" s="2" t="s">
        <v>15480</v>
      </c>
    </row>
    <row r="10080">
      <c r="A10080" s="2">
        <v>10079.0</v>
      </c>
      <c r="B10080" s="2" t="s">
        <v>15481</v>
      </c>
      <c r="C10080" s="2" t="s">
        <v>23</v>
      </c>
      <c r="K10080" s="2">
        <v>10.0</v>
      </c>
      <c r="N10080" s="6">
        <v>45585.0</v>
      </c>
      <c r="Q10080" s="2" t="s">
        <v>15482</v>
      </c>
    </row>
    <row r="10081">
      <c r="A10081" s="2">
        <v>10080.0</v>
      </c>
      <c r="B10081" s="2" t="s">
        <v>15483</v>
      </c>
      <c r="C10081" s="2" t="s">
        <v>23</v>
      </c>
      <c r="K10081" s="2">
        <v>600.0</v>
      </c>
      <c r="N10081" s="6">
        <v>45580.0</v>
      </c>
      <c r="Q10081" s="2" t="s">
        <v>15484</v>
      </c>
    </row>
    <row r="10082">
      <c r="A10082" s="2">
        <v>10081.0</v>
      </c>
      <c r="B10082" s="2" t="s">
        <v>15485</v>
      </c>
      <c r="C10082" s="2" t="s">
        <v>23</v>
      </c>
      <c r="N10082" s="6">
        <v>43995.0</v>
      </c>
      <c r="Q10082" s="2" t="s">
        <v>86</v>
      </c>
    </row>
    <row r="10083">
      <c r="A10083" s="2">
        <v>10082.0</v>
      </c>
      <c r="B10083" s="2" t="s">
        <v>15486</v>
      </c>
      <c r="C10083" s="2" t="s">
        <v>23</v>
      </c>
      <c r="K10083" s="2">
        <v>20.0</v>
      </c>
      <c r="N10083" s="6">
        <v>44623.0</v>
      </c>
      <c r="Q10083" s="2" t="s">
        <v>1249</v>
      </c>
    </row>
    <row r="10084">
      <c r="A10084" s="2">
        <v>10083.0</v>
      </c>
      <c r="B10084" s="2" t="s">
        <v>15487</v>
      </c>
      <c r="C10084" s="2" t="s">
        <v>23</v>
      </c>
      <c r="K10084" s="2">
        <v>200.0</v>
      </c>
      <c r="N10084" s="6">
        <v>45775.0</v>
      </c>
      <c r="Q10084" s="2" t="s">
        <v>1580</v>
      </c>
    </row>
    <row r="10085">
      <c r="A10085" s="2">
        <v>10084.0</v>
      </c>
      <c r="B10085" s="2" t="s">
        <v>15488</v>
      </c>
      <c r="C10085" s="2" t="s">
        <v>23</v>
      </c>
      <c r="K10085" s="2">
        <v>30.0</v>
      </c>
      <c r="N10085" s="6">
        <v>45070.0</v>
      </c>
      <c r="Q10085" s="2" t="s">
        <v>15489</v>
      </c>
    </row>
    <row r="10086">
      <c r="A10086" s="2">
        <v>10085.0</v>
      </c>
      <c r="B10086" s="2" t="s">
        <v>15490</v>
      </c>
      <c r="C10086" s="2" t="s">
        <v>23</v>
      </c>
      <c r="N10086" s="6">
        <v>44189.0</v>
      </c>
      <c r="Q10086" s="2" t="s">
        <v>86</v>
      </c>
    </row>
    <row r="10087">
      <c r="A10087" s="2">
        <v>10086.0</v>
      </c>
      <c r="B10087" s="2" t="s">
        <v>15491</v>
      </c>
      <c r="C10087" s="2" t="s">
        <v>23</v>
      </c>
      <c r="K10087" s="2">
        <v>60.0</v>
      </c>
      <c r="N10087" s="6">
        <v>44522.0</v>
      </c>
      <c r="Q10087" s="2" t="s">
        <v>15492</v>
      </c>
    </row>
    <row r="10088">
      <c r="A10088" s="2">
        <v>10087.0</v>
      </c>
      <c r="B10088" s="2" t="s">
        <v>15493</v>
      </c>
      <c r="C10088" s="2" t="s">
        <v>23</v>
      </c>
      <c r="K10088" s="2">
        <v>10.0</v>
      </c>
      <c r="N10088" s="6">
        <v>43200.0</v>
      </c>
      <c r="Q10088" s="2" t="s">
        <v>15494</v>
      </c>
    </row>
    <row r="10089">
      <c r="A10089" s="2">
        <v>10088.0</v>
      </c>
      <c r="B10089" s="2" t="s">
        <v>15495</v>
      </c>
      <c r="C10089" s="2" t="s">
        <v>23</v>
      </c>
      <c r="N10089" s="6">
        <v>42742.0</v>
      </c>
      <c r="Q10089" s="2" t="s">
        <v>86</v>
      </c>
    </row>
    <row r="10090">
      <c r="A10090" s="2">
        <v>10089.0</v>
      </c>
      <c r="B10090" s="2" t="s">
        <v>15496</v>
      </c>
      <c r="C10090" s="2" t="s">
        <v>23</v>
      </c>
      <c r="K10090" s="2">
        <v>30.0</v>
      </c>
      <c r="N10090" s="6">
        <v>45052.0</v>
      </c>
      <c r="Q10090" s="2" t="s">
        <v>401</v>
      </c>
    </row>
    <row r="10091">
      <c r="A10091" s="2">
        <v>10090.0</v>
      </c>
      <c r="B10091" s="2" t="s">
        <v>15497</v>
      </c>
      <c r="C10091" s="2" t="s">
        <v>23</v>
      </c>
      <c r="N10091" s="6">
        <v>45998.0</v>
      </c>
      <c r="Q10091" s="2" t="s">
        <v>11388</v>
      </c>
    </row>
    <row r="10092">
      <c r="A10092" s="2">
        <v>10091.0</v>
      </c>
      <c r="B10092" s="2" t="s">
        <v>15498</v>
      </c>
      <c r="C10092" s="2" t="s">
        <v>23</v>
      </c>
      <c r="K10092" s="2">
        <v>40.0</v>
      </c>
      <c r="N10092" s="6">
        <v>45656.0</v>
      </c>
      <c r="Q10092" s="2" t="s">
        <v>2656</v>
      </c>
    </row>
    <row r="10093">
      <c r="A10093" s="2">
        <v>10092.0</v>
      </c>
      <c r="B10093" s="2" t="s">
        <v>15499</v>
      </c>
      <c r="C10093" s="2" t="s">
        <v>23</v>
      </c>
      <c r="K10093" s="2">
        <v>100.0</v>
      </c>
      <c r="N10093" s="6">
        <v>43899.0</v>
      </c>
      <c r="Q10093" s="2" t="s">
        <v>15500</v>
      </c>
    </row>
    <row r="10094">
      <c r="A10094" s="2">
        <v>10093.0</v>
      </c>
      <c r="B10094" s="2" t="s">
        <v>15501</v>
      </c>
      <c r="C10094" s="2" t="s">
        <v>23</v>
      </c>
      <c r="K10094" s="2">
        <v>70.0</v>
      </c>
      <c r="N10094" s="6">
        <v>45208.0</v>
      </c>
      <c r="Q10094" s="2" t="s">
        <v>15502</v>
      </c>
    </row>
    <row r="10095">
      <c r="A10095" s="2">
        <v>10094.0</v>
      </c>
      <c r="B10095" s="2" t="s">
        <v>15503</v>
      </c>
      <c r="C10095" s="2" t="s">
        <v>23</v>
      </c>
      <c r="N10095" s="6">
        <v>43880.0</v>
      </c>
      <c r="Q10095" s="2" t="s">
        <v>86</v>
      </c>
    </row>
    <row r="10096">
      <c r="A10096" s="2">
        <v>10095.0</v>
      </c>
      <c r="B10096" s="2" t="s">
        <v>15504</v>
      </c>
      <c r="C10096" s="2" t="s">
        <v>23</v>
      </c>
      <c r="K10096" s="2">
        <v>40.0</v>
      </c>
      <c r="N10096" s="6">
        <v>44148.0</v>
      </c>
      <c r="Q10096" s="2" t="s">
        <v>175</v>
      </c>
    </row>
    <row r="10097">
      <c r="A10097" s="2">
        <v>10096.0</v>
      </c>
      <c r="B10097" s="2" t="s">
        <v>15505</v>
      </c>
      <c r="C10097" s="2" t="s">
        <v>23</v>
      </c>
      <c r="K10097" s="2">
        <v>200.0</v>
      </c>
      <c r="N10097" s="6">
        <v>45293.0</v>
      </c>
      <c r="Q10097" s="2" t="s">
        <v>15506</v>
      </c>
    </row>
    <row r="10098">
      <c r="A10098" s="2">
        <v>10097.0</v>
      </c>
      <c r="B10098" s="2" t="s">
        <v>15507</v>
      </c>
      <c r="C10098" s="2" t="s">
        <v>23</v>
      </c>
      <c r="K10098" s="2">
        <v>90.0</v>
      </c>
      <c r="N10098" s="6">
        <v>45733.0</v>
      </c>
      <c r="Q10098" s="2" t="s">
        <v>15508</v>
      </c>
    </row>
    <row r="10099">
      <c r="A10099" s="2">
        <v>10098.0</v>
      </c>
      <c r="B10099" s="2" t="s">
        <v>15509</v>
      </c>
      <c r="C10099" s="2" t="s">
        <v>23</v>
      </c>
      <c r="K10099" s="2">
        <v>10.0</v>
      </c>
      <c r="N10099" s="6">
        <v>42940.0</v>
      </c>
      <c r="Q10099" s="2" t="s">
        <v>15510</v>
      </c>
    </row>
    <row r="10100">
      <c r="A10100" s="2">
        <v>10099.0</v>
      </c>
      <c r="B10100" s="2" t="s">
        <v>15511</v>
      </c>
      <c r="C10100" s="2" t="s">
        <v>23</v>
      </c>
      <c r="K10100" s="2">
        <v>200.0</v>
      </c>
      <c r="N10100" s="6">
        <v>45638.0</v>
      </c>
      <c r="Q10100" s="2" t="s">
        <v>15512</v>
      </c>
    </row>
    <row r="10101">
      <c r="A10101" s="2">
        <v>10100.0</v>
      </c>
      <c r="B10101" s="2" t="s">
        <v>15513</v>
      </c>
      <c r="C10101" s="2" t="s">
        <v>23</v>
      </c>
      <c r="K10101" s="2">
        <v>30.0</v>
      </c>
      <c r="N10101" s="6">
        <v>44145.0</v>
      </c>
      <c r="Q10101" s="2" t="s">
        <v>15514</v>
      </c>
    </row>
    <row r="10102">
      <c r="A10102" s="2">
        <v>10101.0</v>
      </c>
      <c r="B10102" s="2" t="s">
        <v>15515</v>
      </c>
      <c r="C10102" s="2" t="s">
        <v>23</v>
      </c>
      <c r="K10102" s="2">
        <v>60.0</v>
      </c>
      <c r="N10102" s="6">
        <v>44571.0</v>
      </c>
      <c r="Q10102" s="2" t="s">
        <v>86</v>
      </c>
    </row>
    <row r="10103">
      <c r="A10103" s="2">
        <v>10102.0</v>
      </c>
      <c r="B10103" s="2" t="s">
        <v>15516</v>
      </c>
      <c r="C10103" s="2" t="s">
        <v>23</v>
      </c>
      <c r="K10103" s="2">
        <v>10.0</v>
      </c>
      <c r="N10103" s="6">
        <v>42593.0</v>
      </c>
      <c r="Q10103" s="2" t="s">
        <v>15517</v>
      </c>
    </row>
    <row r="10104">
      <c r="A10104" s="2">
        <v>10103.0</v>
      </c>
      <c r="B10104" s="2" t="s">
        <v>15518</v>
      </c>
      <c r="C10104" s="2" t="s">
        <v>23</v>
      </c>
      <c r="K10104" s="2">
        <v>150.0</v>
      </c>
      <c r="N10104" s="6">
        <v>45147.0</v>
      </c>
      <c r="Q10104" s="2" t="s">
        <v>2001</v>
      </c>
    </row>
    <row r="10105">
      <c r="A10105" s="2">
        <v>10104.0</v>
      </c>
      <c r="B10105" s="2" t="s">
        <v>15519</v>
      </c>
      <c r="C10105" s="2" t="s">
        <v>23</v>
      </c>
      <c r="N10105" s="6">
        <v>46042.0</v>
      </c>
      <c r="Q10105" s="2" t="s">
        <v>15520</v>
      </c>
    </row>
    <row r="10106">
      <c r="A10106" s="2">
        <v>10105.0</v>
      </c>
      <c r="B10106" s="2" t="s">
        <v>15521</v>
      </c>
      <c r="C10106" s="2" t="s">
        <v>23</v>
      </c>
      <c r="K10106" s="2">
        <v>20.0</v>
      </c>
      <c r="N10106" s="6">
        <v>45091.0</v>
      </c>
      <c r="Q10106" s="2" t="s">
        <v>1131</v>
      </c>
    </row>
    <row r="10107">
      <c r="A10107" s="2">
        <v>10106.0</v>
      </c>
      <c r="B10107" s="2" t="s">
        <v>15522</v>
      </c>
      <c r="C10107" s="2" t="s">
        <v>23</v>
      </c>
      <c r="K10107" s="2">
        <v>30.0</v>
      </c>
      <c r="N10107" s="6">
        <v>44246.0</v>
      </c>
      <c r="Q10107" s="2" t="s">
        <v>1070</v>
      </c>
    </row>
    <row r="10108">
      <c r="A10108" s="2">
        <v>10107.0</v>
      </c>
      <c r="B10108" s="2" t="s">
        <v>15523</v>
      </c>
      <c r="C10108" s="2" t="s">
        <v>23</v>
      </c>
      <c r="K10108" s="2">
        <v>200.0</v>
      </c>
      <c r="N10108" s="6">
        <v>43988.0</v>
      </c>
      <c r="Q10108" s="2" t="s">
        <v>15524</v>
      </c>
    </row>
    <row r="10109">
      <c r="A10109" s="2">
        <v>10108.0</v>
      </c>
      <c r="B10109" s="2" t="s">
        <v>15525</v>
      </c>
      <c r="C10109" s="2" t="s">
        <v>23</v>
      </c>
      <c r="K10109" s="2">
        <v>60.0</v>
      </c>
      <c r="N10109" s="6">
        <v>43978.0</v>
      </c>
      <c r="Q10109" s="2" t="s">
        <v>15526</v>
      </c>
    </row>
    <row r="10110">
      <c r="A10110" s="2">
        <v>10109.0</v>
      </c>
      <c r="B10110" s="2" t="s">
        <v>15527</v>
      </c>
      <c r="C10110" s="2" t="s">
        <v>23</v>
      </c>
      <c r="K10110" s="2">
        <v>20.0</v>
      </c>
      <c r="N10110" s="6">
        <v>43961.0</v>
      </c>
      <c r="Q10110" s="2" t="s">
        <v>15528</v>
      </c>
    </row>
    <row r="10111">
      <c r="A10111" s="2">
        <v>10110.0</v>
      </c>
      <c r="B10111" s="2" t="s">
        <v>15529</v>
      </c>
      <c r="C10111" s="2" t="s">
        <v>23</v>
      </c>
      <c r="N10111" s="6">
        <v>45846.0</v>
      </c>
      <c r="Q10111" s="2" t="s">
        <v>15530</v>
      </c>
    </row>
    <row r="10112">
      <c r="A10112" s="2">
        <v>10111.0</v>
      </c>
      <c r="B10112" s="2" t="s">
        <v>15531</v>
      </c>
      <c r="C10112" s="2" t="s">
        <v>23</v>
      </c>
      <c r="K10112" s="2">
        <v>70.0</v>
      </c>
      <c r="N10112" s="6">
        <v>45475.0</v>
      </c>
      <c r="Q10112" s="2" t="s">
        <v>15532</v>
      </c>
    </row>
    <row r="10113">
      <c r="A10113" s="2">
        <v>10112.0</v>
      </c>
      <c r="B10113" s="2" t="s">
        <v>15533</v>
      </c>
      <c r="C10113" s="2" t="s">
        <v>23</v>
      </c>
      <c r="K10113" s="2">
        <v>20.0</v>
      </c>
      <c r="N10113" s="6">
        <v>44954.0</v>
      </c>
      <c r="Q10113" s="2" t="s">
        <v>295</v>
      </c>
    </row>
    <row r="10114">
      <c r="A10114" s="2">
        <v>10113.0</v>
      </c>
      <c r="B10114" s="2" t="s">
        <v>15534</v>
      </c>
      <c r="C10114" s="2" t="s">
        <v>23</v>
      </c>
      <c r="N10114" s="6">
        <v>44322.0</v>
      </c>
      <c r="Q10114" s="2" t="s">
        <v>86</v>
      </c>
    </row>
    <row r="10115">
      <c r="A10115" s="2">
        <v>10114.0</v>
      </c>
      <c r="B10115" s="2" t="s">
        <v>15535</v>
      </c>
      <c r="C10115" s="2" t="s">
        <v>23</v>
      </c>
      <c r="K10115" s="2">
        <v>40.0</v>
      </c>
      <c r="N10115" s="6">
        <v>45600.0</v>
      </c>
      <c r="Q10115" s="2" t="s">
        <v>15536</v>
      </c>
    </row>
    <row r="10116">
      <c r="A10116" s="2">
        <v>10115.0</v>
      </c>
      <c r="B10116" s="2" t="s">
        <v>15537</v>
      </c>
      <c r="C10116" s="2" t="s">
        <v>23</v>
      </c>
      <c r="K10116" s="2">
        <v>50.0</v>
      </c>
      <c r="N10116" s="6">
        <v>45584.0</v>
      </c>
      <c r="Q10116" s="2" t="s">
        <v>15538</v>
      </c>
    </row>
    <row r="10117">
      <c r="A10117" s="2">
        <v>10116.0</v>
      </c>
      <c r="B10117" s="2" t="s">
        <v>15539</v>
      </c>
      <c r="C10117" s="2" t="s">
        <v>23</v>
      </c>
      <c r="K10117" s="2">
        <v>150.0</v>
      </c>
      <c r="N10117" s="6">
        <v>45564.0</v>
      </c>
      <c r="Q10117" s="2" t="s">
        <v>15540</v>
      </c>
    </row>
    <row r="10118">
      <c r="A10118" s="2">
        <v>10117.0</v>
      </c>
      <c r="B10118" s="2" t="s">
        <v>15541</v>
      </c>
      <c r="C10118" s="2" t="s">
        <v>23</v>
      </c>
      <c r="K10118" s="2">
        <v>30.0</v>
      </c>
      <c r="N10118" s="6">
        <v>43901.0</v>
      </c>
      <c r="Q10118" s="2" t="s">
        <v>86</v>
      </c>
    </row>
    <row r="10119">
      <c r="A10119" s="2">
        <v>10118.0</v>
      </c>
      <c r="B10119" s="2" t="s">
        <v>15542</v>
      </c>
      <c r="C10119" s="2" t="s">
        <v>23</v>
      </c>
      <c r="K10119" s="2">
        <v>20.0</v>
      </c>
      <c r="N10119" s="6">
        <v>45279.0</v>
      </c>
      <c r="Q10119" s="2" t="s">
        <v>2738</v>
      </c>
    </row>
    <row r="10120">
      <c r="A10120" s="2">
        <v>10119.0</v>
      </c>
      <c r="B10120" s="2" t="s">
        <v>15543</v>
      </c>
      <c r="C10120" s="2" t="s">
        <v>23</v>
      </c>
      <c r="K10120" s="2">
        <v>30.0</v>
      </c>
      <c r="N10120" s="6">
        <v>44016.0</v>
      </c>
      <c r="Q10120" s="2" t="s">
        <v>15544</v>
      </c>
    </row>
    <row r="10121">
      <c r="A10121" s="2">
        <v>10120.0</v>
      </c>
      <c r="B10121" s="2" t="s">
        <v>15545</v>
      </c>
      <c r="C10121" s="2" t="s">
        <v>23</v>
      </c>
      <c r="K10121" s="2">
        <v>10.0</v>
      </c>
      <c r="N10121" s="6">
        <v>44329.0</v>
      </c>
      <c r="Q10121" s="2" t="s">
        <v>15546</v>
      </c>
    </row>
    <row r="10122">
      <c r="A10122" s="2">
        <v>10121.0</v>
      </c>
      <c r="B10122" s="2" t="s">
        <v>15547</v>
      </c>
      <c r="C10122" s="2" t="s">
        <v>23</v>
      </c>
      <c r="K10122" s="2">
        <v>150.0</v>
      </c>
      <c r="N10122" s="6">
        <v>43921.0</v>
      </c>
      <c r="Q10122" s="2" t="s">
        <v>15548</v>
      </c>
    </row>
    <row r="10123">
      <c r="A10123" s="2">
        <v>10122.0</v>
      </c>
      <c r="B10123" s="2" t="s">
        <v>15549</v>
      </c>
      <c r="C10123" s="2" t="s">
        <v>23</v>
      </c>
      <c r="K10123" s="2">
        <v>150.0</v>
      </c>
      <c r="N10123" s="6">
        <v>43859.0</v>
      </c>
      <c r="Q10123" s="2" t="s">
        <v>401</v>
      </c>
    </row>
    <row r="10124">
      <c r="A10124" s="2">
        <v>10123.0</v>
      </c>
      <c r="B10124" s="2" t="s">
        <v>15550</v>
      </c>
      <c r="C10124" s="2" t="s">
        <v>23</v>
      </c>
      <c r="K10124" s="2">
        <v>30.0</v>
      </c>
      <c r="N10124" s="6">
        <v>43909.0</v>
      </c>
      <c r="Q10124" s="2" t="s">
        <v>86</v>
      </c>
    </row>
    <row r="10125">
      <c r="A10125" s="2">
        <v>10124.0</v>
      </c>
      <c r="B10125" s="2" t="s">
        <v>15551</v>
      </c>
      <c r="C10125" s="2" t="s">
        <v>23</v>
      </c>
      <c r="N10125" s="6">
        <v>45322.0</v>
      </c>
      <c r="Q10125" s="2" t="s">
        <v>86</v>
      </c>
    </row>
    <row r="10126">
      <c r="A10126" s="2">
        <v>10125.0</v>
      </c>
      <c r="B10126" s="2" t="s">
        <v>15552</v>
      </c>
      <c r="C10126" s="2" t="s">
        <v>23</v>
      </c>
      <c r="K10126" s="2">
        <v>150.0</v>
      </c>
      <c r="N10126" s="6">
        <v>45472.0</v>
      </c>
      <c r="Q10126" s="2" t="s">
        <v>15553</v>
      </c>
    </row>
    <row r="10127">
      <c r="A10127" s="2">
        <v>10126.0</v>
      </c>
      <c r="B10127" s="2" t="s">
        <v>15554</v>
      </c>
      <c r="C10127" s="2" t="s">
        <v>23</v>
      </c>
      <c r="K10127" s="2">
        <v>50.0</v>
      </c>
      <c r="N10127" s="6">
        <v>44110.0</v>
      </c>
      <c r="Q10127" s="2" t="s">
        <v>4212</v>
      </c>
    </row>
    <row r="10128">
      <c r="A10128" s="2">
        <v>10127.0</v>
      </c>
      <c r="B10128" s="2" t="s">
        <v>15555</v>
      </c>
      <c r="C10128" s="2" t="s">
        <v>23</v>
      </c>
      <c r="N10128" s="6">
        <v>45635.0</v>
      </c>
      <c r="Q10128" s="2" t="s">
        <v>15556</v>
      </c>
    </row>
    <row r="10129">
      <c r="A10129" s="2">
        <v>10128.0</v>
      </c>
      <c r="B10129" s="2" t="s">
        <v>15557</v>
      </c>
      <c r="C10129" s="2" t="s">
        <v>23</v>
      </c>
      <c r="K10129" s="2">
        <v>30.0</v>
      </c>
      <c r="N10129" s="6">
        <v>44849.0</v>
      </c>
      <c r="Q10129" s="2" t="s">
        <v>86</v>
      </c>
    </row>
    <row r="10130">
      <c r="A10130" s="2">
        <v>10129.0</v>
      </c>
      <c r="B10130" s="2" t="s">
        <v>15558</v>
      </c>
      <c r="C10130" s="2" t="s">
        <v>23</v>
      </c>
      <c r="K10130" s="2">
        <v>10.0</v>
      </c>
      <c r="N10130" s="6">
        <v>44001.0</v>
      </c>
      <c r="Q10130" s="2" t="s">
        <v>2409</v>
      </c>
    </row>
    <row r="10131">
      <c r="A10131" s="2">
        <v>10130.0</v>
      </c>
      <c r="B10131" s="2" t="s">
        <v>15559</v>
      </c>
      <c r="C10131" s="2" t="s">
        <v>23</v>
      </c>
      <c r="K10131" s="2">
        <v>60.0</v>
      </c>
      <c r="N10131" s="6">
        <v>44533.0</v>
      </c>
      <c r="Q10131" s="2" t="s">
        <v>3080</v>
      </c>
    </row>
    <row r="10132">
      <c r="A10132" s="2">
        <v>10131.0</v>
      </c>
      <c r="B10132" s="2" t="s">
        <v>15560</v>
      </c>
      <c r="C10132" s="2" t="s">
        <v>23</v>
      </c>
      <c r="N10132" s="6">
        <v>44694.0</v>
      </c>
      <c r="Q10132" s="2" t="s">
        <v>4192</v>
      </c>
    </row>
    <row r="10133">
      <c r="A10133" s="2">
        <v>10132.0</v>
      </c>
      <c r="B10133" s="2" t="s">
        <v>15561</v>
      </c>
      <c r="C10133" s="2" t="s">
        <v>23</v>
      </c>
      <c r="K10133" s="2">
        <v>40.0</v>
      </c>
      <c r="N10133" s="6">
        <v>45367.0</v>
      </c>
      <c r="Q10133" s="2" t="s">
        <v>86</v>
      </c>
    </row>
    <row r="10134">
      <c r="A10134" s="2">
        <v>10133.0</v>
      </c>
      <c r="B10134" s="2" t="s">
        <v>15562</v>
      </c>
      <c r="C10134" s="2" t="s">
        <v>23</v>
      </c>
      <c r="N10134" s="6">
        <v>44380.0</v>
      </c>
      <c r="Q10134" s="2" t="s">
        <v>86</v>
      </c>
    </row>
    <row r="10135">
      <c r="A10135" s="2">
        <v>10134.0</v>
      </c>
      <c r="B10135" s="2" t="s">
        <v>15563</v>
      </c>
      <c r="C10135" s="2" t="s">
        <v>23</v>
      </c>
      <c r="K10135" s="2">
        <v>60.0</v>
      </c>
      <c r="N10135" s="6">
        <v>43888.0</v>
      </c>
      <c r="Q10135" s="2" t="s">
        <v>15564</v>
      </c>
    </row>
    <row r="10136">
      <c r="A10136" s="2">
        <v>10135.0</v>
      </c>
      <c r="B10136" s="2" t="s">
        <v>15565</v>
      </c>
      <c r="C10136" s="2" t="s">
        <v>23</v>
      </c>
      <c r="K10136" s="2">
        <v>10.0</v>
      </c>
      <c r="N10136" s="6">
        <v>44133.0</v>
      </c>
      <c r="Q10136" s="2" t="s">
        <v>86</v>
      </c>
    </row>
    <row r="10137">
      <c r="A10137" s="2">
        <v>10136.0</v>
      </c>
      <c r="B10137" s="2" t="s">
        <v>15566</v>
      </c>
      <c r="C10137" s="2" t="s">
        <v>23</v>
      </c>
      <c r="K10137" s="2">
        <v>20.0</v>
      </c>
      <c r="N10137" s="6">
        <v>44621.0</v>
      </c>
      <c r="Q10137" s="2" t="s">
        <v>2362</v>
      </c>
    </row>
    <row r="10138">
      <c r="A10138" s="2">
        <v>10137.0</v>
      </c>
      <c r="B10138" s="2" t="s">
        <v>15567</v>
      </c>
      <c r="C10138" s="2" t="s">
        <v>23</v>
      </c>
      <c r="N10138" s="6">
        <v>44683.0</v>
      </c>
      <c r="Q10138" s="2" t="s">
        <v>86</v>
      </c>
    </row>
  </sheetData>
  <autoFilter ref="$A$1:$Z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</row>
    <row r="2">
      <c r="A2" s="2">
        <v>1.0</v>
      </c>
      <c r="B2" s="2" t="s">
        <v>31</v>
      </c>
      <c r="C2" s="2" t="s">
        <v>23</v>
      </c>
      <c r="E2" s="2">
        <v>20.0</v>
      </c>
      <c r="I2" s="4"/>
      <c r="K2" s="2">
        <v>90.0</v>
      </c>
      <c r="N2" s="6">
        <v>42604.0</v>
      </c>
      <c r="Q2" s="2" t="s">
        <v>41</v>
      </c>
    </row>
    <row r="3">
      <c r="A3" s="2">
        <v>2.0</v>
      </c>
      <c r="B3" s="2" t="s">
        <v>45</v>
      </c>
      <c r="C3" s="2" t="s">
        <v>23</v>
      </c>
      <c r="E3" s="2">
        <v>10.0</v>
      </c>
      <c r="I3" s="4"/>
      <c r="K3" s="2">
        <v>450.0</v>
      </c>
      <c r="N3" s="6">
        <v>42445.0</v>
      </c>
      <c r="Q3" s="2" t="s">
        <v>46</v>
      </c>
    </row>
    <row r="4">
      <c r="A4" s="2">
        <v>3.0</v>
      </c>
      <c r="B4" s="2" t="s">
        <v>48</v>
      </c>
      <c r="C4" s="2" t="s">
        <v>23</v>
      </c>
      <c r="E4" s="2">
        <v>10.0</v>
      </c>
      <c r="I4" s="4"/>
      <c r="K4" s="2">
        <v>300.0</v>
      </c>
      <c r="N4" s="6">
        <v>43936.0</v>
      </c>
      <c r="Q4" s="2" t="s">
        <v>53</v>
      </c>
    </row>
    <row r="5">
      <c r="A5" s="2">
        <v>4.0</v>
      </c>
      <c r="B5" s="2" t="s">
        <v>54</v>
      </c>
      <c r="C5" s="2" t="s">
        <v>23</v>
      </c>
      <c r="E5" s="2">
        <v>10.0</v>
      </c>
      <c r="I5" s="4"/>
      <c r="K5" s="2">
        <v>10.0</v>
      </c>
      <c r="N5" s="6">
        <v>42451.0</v>
      </c>
      <c r="Q5" s="2" t="s">
        <v>55</v>
      </c>
    </row>
    <row r="6">
      <c r="A6" s="2">
        <v>5.0</v>
      </c>
      <c r="B6" s="2" t="s">
        <v>57</v>
      </c>
      <c r="C6" s="2" t="s">
        <v>23</v>
      </c>
      <c r="I6" s="4"/>
      <c r="K6" s="2">
        <v>40.0</v>
      </c>
      <c r="N6" s="6">
        <v>43019.0</v>
      </c>
      <c r="Q6" s="2" t="s">
        <v>60</v>
      </c>
    </row>
    <row r="7">
      <c r="A7" s="2">
        <v>6.0</v>
      </c>
      <c r="B7" s="2" t="s">
        <v>62</v>
      </c>
      <c r="C7" s="2" t="s">
        <v>23</v>
      </c>
      <c r="I7" s="4"/>
      <c r="N7" s="6">
        <v>42788.0</v>
      </c>
      <c r="Q7" s="2" t="s">
        <v>65</v>
      </c>
    </row>
    <row r="8">
      <c r="A8" s="2">
        <v>7.0</v>
      </c>
      <c r="B8" s="2" t="s">
        <v>66</v>
      </c>
      <c r="C8" s="2" t="s">
        <v>23</v>
      </c>
      <c r="I8" s="4"/>
      <c r="K8" s="2">
        <v>40.0</v>
      </c>
      <c r="N8" s="6">
        <v>43932.0</v>
      </c>
      <c r="Q8" s="2" t="s">
        <v>71</v>
      </c>
    </row>
    <row r="9">
      <c r="A9" s="2">
        <v>8.0</v>
      </c>
      <c r="B9" s="2" t="s">
        <v>73</v>
      </c>
      <c r="C9" s="2" t="s">
        <v>23</v>
      </c>
      <c r="I9" s="4"/>
      <c r="K9" s="2">
        <v>20.0</v>
      </c>
      <c r="N9" s="6">
        <v>44843.0</v>
      </c>
      <c r="Q9" s="2" t="s">
        <v>74</v>
      </c>
    </row>
    <row r="10">
      <c r="A10" s="2">
        <v>9.0</v>
      </c>
      <c r="B10" s="2" t="s">
        <v>78</v>
      </c>
      <c r="C10" s="2" t="s">
        <v>23</v>
      </c>
      <c r="K10" s="2">
        <v>100.0</v>
      </c>
      <c r="N10" s="6">
        <v>44207.0</v>
      </c>
      <c r="Q10" s="2" t="s">
        <v>80</v>
      </c>
    </row>
    <row r="11">
      <c r="A11" s="2">
        <v>10.0</v>
      </c>
      <c r="B11" s="2" t="s">
        <v>82</v>
      </c>
      <c r="C11" s="2" t="s">
        <v>23</v>
      </c>
      <c r="I11" s="4"/>
      <c r="K11" s="2">
        <v>60.0</v>
      </c>
      <c r="N11" s="6">
        <v>44365.0</v>
      </c>
      <c r="Q11" s="2" t="s">
        <v>83</v>
      </c>
    </row>
    <row r="12">
      <c r="A12" s="2">
        <v>11.0</v>
      </c>
      <c r="B12" s="2" t="s">
        <v>85</v>
      </c>
      <c r="C12" s="2" t="s">
        <v>23</v>
      </c>
      <c r="I12" s="4"/>
      <c r="N12" s="6">
        <v>43939.0</v>
      </c>
      <c r="Q12" s="2" t="s">
        <v>86</v>
      </c>
    </row>
    <row r="13">
      <c r="A13" s="2">
        <v>12.0</v>
      </c>
      <c r="B13" s="2" t="s">
        <v>87</v>
      </c>
      <c r="C13" s="2" t="s">
        <v>23</v>
      </c>
      <c r="N13" s="6">
        <v>44610.0</v>
      </c>
      <c r="Q13" s="2" t="s">
        <v>89</v>
      </c>
    </row>
    <row r="14">
      <c r="A14" s="2">
        <v>13.0</v>
      </c>
      <c r="B14" s="2" t="s">
        <v>90</v>
      </c>
      <c r="C14" s="2" t="s">
        <v>23</v>
      </c>
      <c r="I14" s="4"/>
      <c r="K14" s="2">
        <v>20.0</v>
      </c>
      <c r="N14" s="6">
        <v>44754.0</v>
      </c>
      <c r="Q14" s="2" t="s">
        <v>94</v>
      </c>
    </row>
    <row r="15">
      <c r="A15" s="2">
        <v>14.0</v>
      </c>
      <c r="B15" s="2" t="s">
        <v>95</v>
      </c>
      <c r="C15" s="2" t="s">
        <v>23</v>
      </c>
      <c r="I15" s="4"/>
      <c r="K15" s="2">
        <v>10.0</v>
      </c>
      <c r="N15" s="6">
        <v>44433.0</v>
      </c>
      <c r="Q15" s="2" t="s">
        <v>97</v>
      </c>
    </row>
    <row r="16">
      <c r="A16" s="2">
        <v>15.0</v>
      </c>
      <c r="B16" s="2" t="s">
        <v>98</v>
      </c>
      <c r="C16" s="2" t="s">
        <v>23</v>
      </c>
      <c r="I16" s="4"/>
      <c r="K16" s="2">
        <v>20.0</v>
      </c>
      <c r="N16" s="6">
        <v>43865.0</v>
      </c>
      <c r="Q16" s="2" t="s">
        <v>101</v>
      </c>
    </row>
    <row r="17">
      <c r="A17" s="2">
        <v>16.0</v>
      </c>
      <c r="B17" s="2" t="s">
        <v>104</v>
      </c>
      <c r="C17" s="2" t="s">
        <v>23</v>
      </c>
      <c r="I17" s="4"/>
      <c r="K17" s="2">
        <v>20.0</v>
      </c>
      <c r="N17" s="6">
        <v>44441.0</v>
      </c>
      <c r="Q17" s="2" t="s">
        <v>109</v>
      </c>
    </row>
    <row r="18">
      <c r="A18" s="2">
        <v>17.0</v>
      </c>
      <c r="B18" s="2" t="s">
        <v>110</v>
      </c>
      <c r="C18" s="2" t="s">
        <v>23</v>
      </c>
      <c r="I18" s="4"/>
      <c r="K18" s="2">
        <v>40.0</v>
      </c>
      <c r="N18" s="6">
        <v>44328.0</v>
      </c>
      <c r="Q18" s="2" t="s">
        <v>114</v>
      </c>
    </row>
    <row r="19">
      <c r="A19" s="2">
        <v>18.0</v>
      </c>
      <c r="B19" s="2" t="s">
        <v>115</v>
      </c>
      <c r="C19" s="2" t="s">
        <v>23</v>
      </c>
      <c r="I19" s="4"/>
      <c r="N19" s="6">
        <v>44764.0</v>
      </c>
      <c r="Q19" s="2" t="s">
        <v>118</v>
      </c>
    </row>
    <row r="20">
      <c r="A20" s="2">
        <v>19.0</v>
      </c>
      <c r="B20" s="2" t="s">
        <v>120</v>
      </c>
      <c r="C20" s="2" t="s">
        <v>23</v>
      </c>
      <c r="K20" s="2">
        <v>20.0</v>
      </c>
      <c r="N20" s="6">
        <v>42416.0</v>
      </c>
      <c r="Q20" s="2" t="s">
        <v>121</v>
      </c>
    </row>
    <row r="21">
      <c r="A21" s="2">
        <v>20.0</v>
      </c>
      <c r="B21" s="2" t="s">
        <v>124</v>
      </c>
      <c r="C21" s="2" t="s">
        <v>23</v>
      </c>
      <c r="K21" s="2">
        <v>10.0</v>
      </c>
      <c r="N21" s="6">
        <v>44396.0</v>
      </c>
      <c r="Q21" s="2" t="s">
        <v>126</v>
      </c>
    </row>
    <row r="22">
      <c r="A22" s="2">
        <v>21.0</v>
      </c>
      <c r="B22" s="2" t="s">
        <v>127</v>
      </c>
      <c r="C22" s="2" t="s">
        <v>23</v>
      </c>
      <c r="K22" s="2">
        <v>10.0</v>
      </c>
      <c r="N22" s="6">
        <v>44840.0</v>
      </c>
      <c r="Q22" s="2" t="s">
        <v>133</v>
      </c>
    </row>
    <row r="23">
      <c r="A23" s="2">
        <v>22.0</v>
      </c>
      <c r="B23" s="2" t="s">
        <v>136</v>
      </c>
      <c r="C23" s="2" t="s">
        <v>23</v>
      </c>
      <c r="K23" s="2">
        <v>100.0</v>
      </c>
      <c r="N23" s="6">
        <v>44882.0</v>
      </c>
      <c r="Q23" s="2" t="s">
        <v>139</v>
      </c>
    </row>
    <row r="24">
      <c r="A24" s="2">
        <v>23.0</v>
      </c>
      <c r="B24" s="2" t="s">
        <v>141</v>
      </c>
      <c r="C24" s="2" t="s">
        <v>23</v>
      </c>
      <c r="I24" s="4"/>
      <c r="K24" s="2">
        <v>70.0</v>
      </c>
      <c r="N24" s="6">
        <v>44365.0</v>
      </c>
      <c r="Q24" s="2" t="s">
        <v>143</v>
      </c>
    </row>
    <row r="25">
      <c r="A25" s="2">
        <v>24.0</v>
      </c>
      <c r="B25" s="2" t="s">
        <v>154</v>
      </c>
      <c r="C25" s="2" t="s">
        <v>23</v>
      </c>
      <c r="K25" s="2">
        <v>50.0</v>
      </c>
      <c r="N25" s="6">
        <v>43396.0</v>
      </c>
      <c r="Q25" s="2" t="s">
        <v>156</v>
      </c>
    </row>
    <row r="26">
      <c r="A26" s="2">
        <v>25.0</v>
      </c>
      <c r="B26" s="2" t="s">
        <v>157</v>
      </c>
      <c r="C26" s="2" t="s">
        <v>23</v>
      </c>
      <c r="N26" s="6">
        <v>44370.0</v>
      </c>
      <c r="Q26" s="2" t="s">
        <v>86</v>
      </c>
    </row>
    <row r="27">
      <c r="A27" s="2">
        <v>26.0</v>
      </c>
      <c r="B27" s="2" t="s">
        <v>162</v>
      </c>
      <c r="C27" s="2" t="s">
        <v>23</v>
      </c>
      <c r="K27" s="2">
        <v>60.0</v>
      </c>
      <c r="N27" s="6">
        <v>44395.0</v>
      </c>
      <c r="Q27" s="2" t="s">
        <v>164</v>
      </c>
    </row>
    <row r="28">
      <c r="A28" s="2">
        <v>27.0</v>
      </c>
      <c r="B28" s="2" t="s">
        <v>166</v>
      </c>
      <c r="C28" s="2" t="s">
        <v>23</v>
      </c>
      <c r="N28" s="6">
        <v>45239.0</v>
      </c>
      <c r="Q28" s="2" t="s">
        <v>86</v>
      </c>
    </row>
    <row r="29">
      <c r="A29" s="2">
        <v>28.0</v>
      </c>
      <c r="B29" s="2" t="s">
        <v>170</v>
      </c>
      <c r="C29" s="2" t="s">
        <v>23</v>
      </c>
      <c r="I29" s="4"/>
      <c r="N29" s="6">
        <v>44118.0</v>
      </c>
      <c r="Q29" s="2" t="s">
        <v>86</v>
      </c>
    </row>
    <row r="30">
      <c r="A30" s="2">
        <v>29.0</v>
      </c>
      <c r="B30" s="2" t="s">
        <v>173</v>
      </c>
      <c r="C30" s="2" t="s">
        <v>23</v>
      </c>
      <c r="I30" s="4"/>
      <c r="K30" s="2">
        <v>10.0</v>
      </c>
      <c r="N30" s="6">
        <v>45115.0</v>
      </c>
      <c r="Q30" s="2" t="s">
        <v>175</v>
      </c>
    </row>
    <row r="31">
      <c r="A31" s="2">
        <v>30.0</v>
      </c>
      <c r="B31" s="2" t="s">
        <v>177</v>
      </c>
      <c r="C31" s="2" t="s">
        <v>23</v>
      </c>
      <c r="N31" s="6">
        <v>44600.0</v>
      </c>
      <c r="Q31" s="2" t="s">
        <v>86</v>
      </c>
    </row>
    <row r="32">
      <c r="A32" s="2">
        <v>31.0</v>
      </c>
      <c r="B32" s="2" t="s">
        <v>181</v>
      </c>
      <c r="C32" s="2" t="s">
        <v>23</v>
      </c>
      <c r="I32" s="4"/>
      <c r="K32" s="2">
        <v>20.0</v>
      </c>
      <c r="N32" s="6">
        <v>44273.0</v>
      </c>
      <c r="Q32" s="2" t="s">
        <v>184</v>
      </c>
    </row>
    <row r="33">
      <c r="A33" s="2">
        <v>32.0</v>
      </c>
      <c r="B33" s="2" t="s">
        <v>187</v>
      </c>
      <c r="C33" s="2" t="s">
        <v>23</v>
      </c>
      <c r="K33" s="2">
        <v>20.0</v>
      </c>
      <c r="N33" s="6">
        <v>44871.0</v>
      </c>
      <c r="Q33" s="2" t="s">
        <v>189</v>
      </c>
    </row>
    <row r="34">
      <c r="A34" s="2">
        <v>33.0</v>
      </c>
      <c r="B34" s="2" t="s">
        <v>191</v>
      </c>
      <c r="C34" s="2" t="s">
        <v>23</v>
      </c>
      <c r="I34" s="4"/>
      <c r="N34" s="6">
        <v>45380.0</v>
      </c>
      <c r="Q34" s="2" t="s">
        <v>194</v>
      </c>
    </row>
    <row r="35">
      <c r="A35" s="2">
        <v>34.0</v>
      </c>
      <c r="B35" s="2" t="s">
        <v>195</v>
      </c>
      <c r="C35" s="2" t="s">
        <v>23</v>
      </c>
      <c r="K35" s="2">
        <v>20.0</v>
      </c>
      <c r="N35" s="6">
        <v>45009.0</v>
      </c>
      <c r="Q35" s="2" t="s">
        <v>197</v>
      </c>
    </row>
    <row r="36">
      <c r="A36" s="2">
        <v>35.0</v>
      </c>
      <c r="B36" s="2" t="s">
        <v>199</v>
      </c>
      <c r="C36" s="2" t="s">
        <v>23</v>
      </c>
      <c r="K36" s="2">
        <v>10.0</v>
      </c>
      <c r="N36" s="6">
        <v>44072.0</v>
      </c>
      <c r="Q36" s="2" t="s">
        <v>201</v>
      </c>
    </row>
    <row r="37">
      <c r="A37" s="2">
        <v>36.0</v>
      </c>
      <c r="B37" s="2" t="s">
        <v>203</v>
      </c>
      <c r="C37" s="2" t="s">
        <v>23</v>
      </c>
      <c r="I37" s="4"/>
      <c r="K37" s="2">
        <v>100.0</v>
      </c>
      <c r="N37" s="6">
        <v>44100.0</v>
      </c>
      <c r="Q37" s="2" t="s">
        <v>207</v>
      </c>
    </row>
    <row r="38">
      <c r="A38" s="2">
        <v>37.0</v>
      </c>
      <c r="B38" s="2" t="s">
        <v>210</v>
      </c>
      <c r="C38" s="2" t="s">
        <v>23</v>
      </c>
      <c r="N38" s="6">
        <v>45244.0</v>
      </c>
      <c r="Q38" s="2" t="s">
        <v>86</v>
      </c>
    </row>
    <row r="39">
      <c r="A39" s="2">
        <v>38.0</v>
      </c>
      <c r="B39" s="2" t="s">
        <v>216</v>
      </c>
      <c r="C39" s="2" t="s">
        <v>23</v>
      </c>
      <c r="I39" s="4"/>
      <c r="K39" s="2">
        <v>30.0</v>
      </c>
      <c r="N39" s="6">
        <v>45496.0</v>
      </c>
      <c r="Q39" s="2" t="s">
        <v>219</v>
      </c>
    </row>
    <row r="40">
      <c r="A40" s="2">
        <v>39.0</v>
      </c>
      <c r="B40" s="2" t="s">
        <v>222</v>
      </c>
      <c r="C40" s="2" t="s">
        <v>23</v>
      </c>
      <c r="I40" s="4"/>
      <c r="N40" s="6">
        <v>45346.0</v>
      </c>
      <c r="Q40" s="2" t="s">
        <v>224</v>
      </c>
    </row>
    <row r="41">
      <c r="A41" s="2">
        <v>40.0</v>
      </c>
      <c r="B41" s="2" t="s">
        <v>229</v>
      </c>
      <c r="C41" s="2" t="s">
        <v>23</v>
      </c>
      <c r="K41" s="2">
        <v>10.0</v>
      </c>
      <c r="N41" s="6">
        <v>45991.0</v>
      </c>
      <c r="Q41" s="2" t="s">
        <v>231</v>
      </c>
    </row>
    <row r="42">
      <c r="A42" s="2">
        <v>41.0</v>
      </c>
      <c r="B42" s="2" t="s">
        <v>233</v>
      </c>
      <c r="C42" s="2" t="s">
        <v>23</v>
      </c>
      <c r="K42" s="2">
        <v>150.0</v>
      </c>
      <c r="N42" s="6">
        <v>44064.0</v>
      </c>
      <c r="Q42" s="2" t="s">
        <v>235</v>
      </c>
    </row>
    <row r="43">
      <c r="A43" s="2">
        <v>42.0</v>
      </c>
      <c r="B43" s="2" t="s">
        <v>237</v>
      </c>
      <c r="C43" s="2" t="s">
        <v>23</v>
      </c>
      <c r="I43" s="4"/>
      <c r="K43" s="2">
        <v>30.0</v>
      </c>
      <c r="N43" s="6">
        <v>45413.0</v>
      </c>
      <c r="Q43" s="2" t="s">
        <v>240</v>
      </c>
    </row>
    <row r="44">
      <c r="A44" s="2">
        <v>43.0</v>
      </c>
      <c r="B44" s="2" t="s">
        <v>242</v>
      </c>
      <c r="C44" s="2" t="s">
        <v>23</v>
      </c>
      <c r="K44" s="2">
        <v>90.0</v>
      </c>
      <c r="N44" s="6">
        <v>42743.0</v>
      </c>
      <c r="Q44" s="2" t="s">
        <v>245</v>
      </c>
    </row>
    <row r="45">
      <c r="A45" s="2">
        <v>44.0</v>
      </c>
      <c r="B45" s="2" t="s">
        <v>247</v>
      </c>
      <c r="C45" s="2" t="s">
        <v>23</v>
      </c>
      <c r="N45" s="6">
        <v>43619.0</v>
      </c>
      <c r="Q45" s="2" t="s">
        <v>86</v>
      </c>
    </row>
    <row r="46">
      <c r="A46" s="2">
        <v>45.0</v>
      </c>
      <c r="B46" s="2" t="s">
        <v>251</v>
      </c>
      <c r="C46" s="2" t="s">
        <v>23</v>
      </c>
      <c r="I46" s="4"/>
      <c r="K46" s="2">
        <v>10.0</v>
      </c>
      <c r="N46" s="6">
        <v>45173.0</v>
      </c>
      <c r="Q46" s="2" t="s">
        <v>256</v>
      </c>
    </row>
    <row r="47">
      <c r="A47" s="2">
        <v>46.0</v>
      </c>
      <c r="B47" s="2" t="s">
        <v>259</v>
      </c>
      <c r="C47" s="2" t="s">
        <v>23</v>
      </c>
      <c r="K47" s="2">
        <v>10.0</v>
      </c>
      <c r="N47" s="6">
        <v>44708.0</v>
      </c>
      <c r="Q47" s="2" t="s">
        <v>263</v>
      </c>
    </row>
    <row r="48">
      <c r="A48" s="2">
        <v>47.0</v>
      </c>
      <c r="B48" s="2" t="s">
        <v>265</v>
      </c>
      <c r="C48" s="2" t="s">
        <v>23</v>
      </c>
      <c r="K48" s="2">
        <v>150.0</v>
      </c>
      <c r="N48" s="6">
        <v>44028.0</v>
      </c>
      <c r="Q48" s="2" t="s">
        <v>270</v>
      </c>
    </row>
    <row r="49">
      <c r="A49" s="2">
        <v>48.0</v>
      </c>
      <c r="B49" s="2" t="s">
        <v>271</v>
      </c>
      <c r="C49" s="2" t="s">
        <v>23</v>
      </c>
      <c r="I49" s="4"/>
      <c r="K49" s="2">
        <v>10.0</v>
      </c>
      <c r="N49" s="6">
        <v>42819.0</v>
      </c>
      <c r="Q49" s="2" t="s">
        <v>277</v>
      </c>
    </row>
    <row r="50">
      <c r="A50" s="2">
        <v>49.0</v>
      </c>
      <c r="B50" s="2" t="s">
        <v>280</v>
      </c>
      <c r="C50" s="2" t="s">
        <v>23</v>
      </c>
      <c r="K50" s="2">
        <v>10.0</v>
      </c>
      <c r="N50" s="6">
        <v>44859.0</v>
      </c>
      <c r="Q50" s="2" t="s">
        <v>283</v>
      </c>
    </row>
    <row r="51">
      <c r="A51" s="2">
        <v>50.0</v>
      </c>
      <c r="B51" s="2" t="s">
        <v>286</v>
      </c>
      <c r="C51" s="2" t="s">
        <v>23</v>
      </c>
      <c r="N51" s="6">
        <v>44249.0</v>
      </c>
      <c r="Q51" s="2" t="s">
        <v>290</v>
      </c>
    </row>
    <row r="52">
      <c r="A52" s="2">
        <v>51.0</v>
      </c>
      <c r="B52" s="2" t="s">
        <v>293</v>
      </c>
      <c r="C52" s="2" t="s">
        <v>23</v>
      </c>
      <c r="K52" s="2">
        <v>10.0</v>
      </c>
      <c r="N52" s="6">
        <v>44244.0</v>
      </c>
      <c r="Q52" s="2" t="s">
        <v>296</v>
      </c>
    </row>
    <row r="53">
      <c r="A53" s="2">
        <v>52.0</v>
      </c>
      <c r="B53" s="2" t="s">
        <v>298</v>
      </c>
      <c r="C53" s="2" t="s">
        <v>23</v>
      </c>
      <c r="K53" s="2">
        <v>40.0</v>
      </c>
      <c r="N53" s="6">
        <v>44430.0</v>
      </c>
      <c r="Q53" s="2" t="s">
        <v>302</v>
      </c>
    </row>
    <row r="54">
      <c r="A54" s="2">
        <v>53.0</v>
      </c>
      <c r="B54" s="2" t="s">
        <v>305</v>
      </c>
      <c r="C54" s="2" t="s">
        <v>23</v>
      </c>
      <c r="K54" s="2">
        <v>10.0</v>
      </c>
      <c r="N54" s="6">
        <v>44965.0</v>
      </c>
      <c r="Q54" s="2" t="s">
        <v>309</v>
      </c>
    </row>
    <row r="55">
      <c r="A55" s="2">
        <v>54.0</v>
      </c>
      <c r="B55" s="2" t="s">
        <v>312</v>
      </c>
      <c r="C55" s="2" t="s">
        <v>23</v>
      </c>
      <c r="K55" s="2">
        <v>30.0</v>
      </c>
      <c r="N55" s="6">
        <v>43696.0</v>
      </c>
      <c r="Q55" s="2" t="s">
        <v>315</v>
      </c>
    </row>
    <row r="56">
      <c r="A56" s="2">
        <v>55.0</v>
      </c>
      <c r="B56" s="2" t="s">
        <v>319</v>
      </c>
      <c r="C56" s="2" t="s">
        <v>23</v>
      </c>
      <c r="N56" s="6">
        <v>45705.0</v>
      </c>
      <c r="Q56" s="2" t="s">
        <v>321</v>
      </c>
    </row>
    <row r="57">
      <c r="A57" s="2">
        <v>56.0</v>
      </c>
      <c r="B57" s="2" t="s">
        <v>324</v>
      </c>
      <c r="C57" s="2" t="s">
        <v>23</v>
      </c>
      <c r="K57" s="2">
        <v>20.0</v>
      </c>
      <c r="N57" s="6">
        <v>44903.0</v>
      </c>
      <c r="Q57" s="2" t="s">
        <v>175</v>
      </c>
    </row>
    <row r="58">
      <c r="A58" s="2">
        <v>57.0</v>
      </c>
      <c r="B58" s="2" t="s">
        <v>329</v>
      </c>
      <c r="C58" s="2" t="s">
        <v>23</v>
      </c>
      <c r="K58" s="2">
        <v>150.0</v>
      </c>
      <c r="N58" s="6">
        <v>42461.0</v>
      </c>
      <c r="Q58" s="2" t="s">
        <v>333</v>
      </c>
    </row>
    <row r="59">
      <c r="A59" s="2">
        <v>58.0</v>
      </c>
      <c r="B59" s="2" t="s">
        <v>335</v>
      </c>
      <c r="C59" s="2" t="s">
        <v>23</v>
      </c>
      <c r="I59" s="4"/>
      <c r="N59" s="6">
        <v>43117.0</v>
      </c>
      <c r="Q59" s="2" t="s">
        <v>86</v>
      </c>
    </row>
    <row r="60">
      <c r="A60" s="2">
        <v>59.0</v>
      </c>
      <c r="B60" s="2" t="s">
        <v>341</v>
      </c>
      <c r="C60" s="2" t="s">
        <v>23</v>
      </c>
      <c r="I60" s="4"/>
      <c r="N60" s="6">
        <v>45172.0</v>
      </c>
      <c r="Q60" s="2" t="s">
        <v>343</v>
      </c>
    </row>
    <row r="61">
      <c r="A61" s="2">
        <v>60.0</v>
      </c>
      <c r="B61" s="2" t="s">
        <v>346</v>
      </c>
      <c r="C61" s="2" t="s">
        <v>23</v>
      </c>
      <c r="K61" s="2">
        <v>20.0</v>
      </c>
      <c r="N61" s="6">
        <v>44270.0</v>
      </c>
      <c r="Q61" s="2" t="s">
        <v>86</v>
      </c>
    </row>
    <row r="62">
      <c r="A62" s="2">
        <v>61.0</v>
      </c>
      <c r="B62" s="2" t="s">
        <v>349</v>
      </c>
      <c r="C62" s="2" t="s">
        <v>23</v>
      </c>
      <c r="I62" s="4"/>
      <c r="K62" s="2">
        <v>40.0</v>
      </c>
      <c r="N62" s="6">
        <v>44267.0</v>
      </c>
      <c r="Q62" s="2" t="s">
        <v>352</v>
      </c>
    </row>
    <row r="63">
      <c r="A63" s="2">
        <v>62.0</v>
      </c>
      <c r="B63" s="2" t="s">
        <v>355</v>
      </c>
      <c r="C63" s="2" t="s">
        <v>23</v>
      </c>
      <c r="K63" s="2">
        <v>10.0</v>
      </c>
      <c r="N63" s="6">
        <v>43983.0</v>
      </c>
      <c r="Q63" s="2" t="s">
        <v>359</v>
      </c>
    </row>
    <row r="64">
      <c r="A64" s="2">
        <v>63.0</v>
      </c>
      <c r="B64" s="2" t="s">
        <v>361</v>
      </c>
      <c r="C64" s="2" t="s">
        <v>23</v>
      </c>
      <c r="I64" s="4"/>
      <c r="K64" s="2">
        <v>10.0</v>
      </c>
      <c r="N64" s="6">
        <v>45704.0</v>
      </c>
      <c r="Q64" s="2" t="s">
        <v>364</v>
      </c>
    </row>
    <row r="65">
      <c r="A65" s="2">
        <v>64.0</v>
      </c>
      <c r="B65" s="2" t="s">
        <v>365</v>
      </c>
      <c r="C65" s="2" t="s">
        <v>23</v>
      </c>
      <c r="K65" s="2">
        <v>20.0</v>
      </c>
      <c r="N65" s="6">
        <v>42689.0</v>
      </c>
      <c r="Q65" s="2" t="s">
        <v>369</v>
      </c>
    </row>
    <row r="66">
      <c r="A66" s="2">
        <v>65.0</v>
      </c>
      <c r="B66" s="2" t="s">
        <v>371</v>
      </c>
      <c r="C66" s="2" t="s">
        <v>23</v>
      </c>
      <c r="K66" s="2">
        <v>50.0</v>
      </c>
      <c r="N66" s="6">
        <v>45085.0</v>
      </c>
      <c r="Q66" s="2" t="s">
        <v>375</v>
      </c>
    </row>
    <row r="67">
      <c r="A67" s="2">
        <v>66.0</v>
      </c>
      <c r="B67" s="2" t="s">
        <v>376</v>
      </c>
      <c r="C67" s="2" t="s">
        <v>23</v>
      </c>
      <c r="N67" s="6">
        <v>43338.0</v>
      </c>
      <c r="Q67" s="2" t="s">
        <v>86</v>
      </c>
    </row>
    <row r="68">
      <c r="A68" s="2">
        <v>67.0</v>
      </c>
      <c r="B68" s="2" t="s">
        <v>378</v>
      </c>
      <c r="C68" s="2" t="s">
        <v>23</v>
      </c>
      <c r="K68" s="2">
        <v>60.0</v>
      </c>
      <c r="N68" s="6">
        <v>43860.0</v>
      </c>
      <c r="Q68" s="2" t="s">
        <v>380</v>
      </c>
    </row>
    <row r="69">
      <c r="A69" s="2">
        <v>68.0</v>
      </c>
      <c r="B69" s="2" t="s">
        <v>383</v>
      </c>
      <c r="C69" s="2" t="s">
        <v>23</v>
      </c>
      <c r="K69" s="2">
        <v>30.0</v>
      </c>
      <c r="N69" s="6">
        <v>44380.0</v>
      </c>
      <c r="Q69" s="2" t="s">
        <v>386</v>
      </c>
    </row>
    <row r="70">
      <c r="A70" s="2">
        <v>69.0</v>
      </c>
      <c r="B70" s="2" t="s">
        <v>389</v>
      </c>
      <c r="C70" s="2" t="s">
        <v>23</v>
      </c>
      <c r="I70" s="4"/>
      <c r="N70" s="6">
        <v>45023.0</v>
      </c>
      <c r="Q70" s="2" t="s">
        <v>392</v>
      </c>
    </row>
    <row r="71">
      <c r="A71" s="2">
        <v>70.0</v>
      </c>
      <c r="B71" s="2" t="s">
        <v>393</v>
      </c>
      <c r="C71" s="2" t="s">
        <v>23</v>
      </c>
      <c r="K71" s="2">
        <v>90.0</v>
      </c>
      <c r="N71" s="6">
        <v>44725.0</v>
      </c>
      <c r="Q71" s="2" t="s">
        <v>397</v>
      </c>
    </row>
    <row r="72">
      <c r="A72" s="2">
        <v>71.0</v>
      </c>
      <c r="B72" s="2" t="s">
        <v>398</v>
      </c>
      <c r="C72" s="2" t="s">
        <v>23</v>
      </c>
      <c r="K72" s="2">
        <v>30.0</v>
      </c>
      <c r="N72" s="6">
        <v>43847.0</v>
      </c>
      <c r="Q72" s="2" t="s">
        <v>401</v>
      </c>
    </row>
    <row r="73">
      <c r="A73" s="2">
        <v>72.0</v>
      </c>
      <c r="B73" s="2" t="s">
        <v>403</v>
      </c>
      <c r="C73" s="2" t="s">
        <v>23</v>
      </c>
      <c r="N73" s="6">
        <v>44041.0</v>
      </c>
      <c r="Q73" s="2" t="s">
        <v>406</v>
      </c>
    </row>
    <row r="74">
      <c r="A74" s="2">
        <v>73.0</v>
      </c>
      <c r="B74" s="2" t="s">
        <v>407</v>
      </c>
      <c r="C74" s="2" t="s">
        <v>23</v>
      </c>
      <c r="K74" s="2">
        <v>10.0</v>
      </c>
      <c r="N74" s="6">
        <v>43350.0</v>
      </c>
      <c r="Q74" s="2" t="s">
        <v>411</v>
      </c>
    </row>
    <row r="75">
      <c r="A75" s="2">
        <v>74.0</v>
      </c>
      <c r="B75" s="2" t="s">
        <v>413</v>
      </c>
      <c r="C75" s="2" t="s">
        <v>23</v>
      </c>
      <c r="K75" s="2">
        <v>20.0</v>
      </c>
      <c r="N75" s="6">
        <v>43847.0</v>
      </c>
      <c r="Q75" s="2" t="s">
        <v>416</v>
      </c>
    </row>
    <row r="76">
      <c r="A76" s="2">
        <v>75.0</v>
      </c>
      <c r="B76" s="2" t="s">
        <v>418</v>
      </c>
      <c r="C76" s="2" t="s">
        <v>23</v>
      </c>
      <c r="K76" s="2">
        <v>20.0</v>
      </c>
      <c r="N76" s="6">
        <v>44030.0</v>
      </c>
      <c r="Q76" s="2" t="s">
        <v>421</v>
      </c>
    </row>
    <row r="77">
      <c r="A77" s="2">
        <v>76.0</v>
      </c>
      <c r="B77" s="2" t="s">
        <v>424</v>
      </c>
      <c r="C77" s="2" t="s">
        <v>23</v>
      </c>
      <c r="K77" s="2">
        <v>70.0</v>
      </c>
      <c r="N77" s="6">
        <v>44442.0</v>
      </c>
      <c r="Q77" s="2" t="s">
        <v>426</v>
      </c>
    </row>
    <row r="78">
      <c r="A78" s="2">
        <v>77.0</v>
      </c>
      <c r="B78" s="2" t="s">
        <v>428</v>
      </c>
      <c r="C78" s="2" t="s">
        <v>23</v>
      </c>
      <c r="I78" s="4"/>
      <c r="K78" s="2">
        <v>150.0</v>
      </c>
      <c r="N78" s="6">
        <v>42696.0</v>
      </c>
      <c r="Q78" s="2" t="s">
        <v>430</v>
      </c>
    </row>
    <row r="79">
      <c r="A79" s="2">
        <v>78.0</v>
      </c>
      <c r="B79" s="2" t="s">
        <v>432</v>
      </c>
      <c r="C79" s="2" t="s">
        <v>23</v>
      </c>
      <c r="K79" s="2">
        <v>20.0</v>
      </c>
      <c r="N79" s="6">
        <v>43904.0</v>
      </c>
      <c r="Q79" s="2" t="s">
        <v>434</v>
      </c>
    </row>
    <row r="80">
      <c r="A80" s="2">
        <v>79.0</v>
      </c>
      <c r="B80" s="2" t="s">
        <v>437</v>
      </c>
      <c r="C80" s="2" t="s">
        <v>23</v>
      </c>
      <c r="N80" s="6">
        <v>44326.0</v>
      </c>
      <c r="Q80" s="2" t="s">
        <v>86</v>
      </c>
    </row>
    <row r="81">
      <c r="A81" s="2">
        <v>80.0</v>
      </c>
      <c r="B81" s="2" t="s">
        <v>441</v>
      </c>
      <c r="C81" s="2" t="s">
        <v>23</v>
      </c>
      <c r="K81" s="2">
        <v>40.0</v>
      </c>
      <c r="N81" s="6">
        <v>42340.0</v>
      </c>
      <c r="Q81" s="2" t="s">
        <v>443</v>
      </c>
    </row>
    <row r="82">
      <c r="A82" s="2">
        <v>81.0</v>
      </c>
      <c r="B82" s="2" t="s">
        <v>446</v>
      </c>
      <c r="C82" s="2" t="s">
        <v>23</v>
      </c>
      <c r="K82" s="2">
        <v>70.0</v>
      </c>
      <c r="N82" s="6">
        <v>44122.0</v>
      </c>
      <c r="Q82" s="2" t="s">
        <v>448</v>
      </c>
    </row>
    <row r="83">
      <c r="A83" s="2">
        <v>82.0</v>
      </c>
      <c r="B83" s="2" t="s">
        <v>450</v>
      </c>
      <c r="C83" s="2" t="s">
        <v>23</v>
      </c>
      <c r="N83" s="6">
        <v>44816.0</v>
      </c>
      <c r="Q83" s="2" t="s">
        <v>86</v>
      </c>
    </row>
    <row r="84">
      <c r="A84" s="2">
        <v>83.0</v>
      </c>
      <c r="B84" s="2" t="s">
        <v>454</v>
      </c>
      <c r="C84" s="2" t="s">
        <v>23</v>
      </c>
      <c r="K84" s="2">
        <v>30.0</v>
      </c>
      <c r="N84" s="6">
        <v>44579.0</v>
      </c>
      <c r="Q84" s="2" t="s">
        <v>86</v>
      </c>
    </row>
    <row r="85">
      <c r="A85" s="2">
        <v>84.0</v>
      </c>
      <c r="B85" s="2" t="s">
        <v>458</v>
      </c>
      <c r="C85" s="2" t="s">
        <v>23</v>
      </c>
      <c r="K85" s="2">
        <v>20.0</v>
      </c>
      <c r="N85" s="6">
        <v>44369.0</v>
      </c>
      <c r="Q85" s="2" t="s">
        <v>460</v>
      </c>
    </row>
    <row r="86">
      <c r="A86" s="2">
        <v>85.0</v>
      </c>
      <c r="B86" s="2" t="s">
        <v>463</v>
      </c>
      <c r="C86" s="2" t="s">
        <v>23</v>
      </c>
      <c r="N86" s="6">
        <v>42622.0</v>
      </c>
      <c r="Q86" s="2" t="s">
        <v>86</v>
      </c>
    </row>
    <row r="87">
      <c r="A87" s="2">
        <v>86.0</v>
      </c>
      <c r="B87" s="2" t="s">
        <v>467</v>
      </c>
      <c r="C87" s="2" t="s">
        <v>23</v>
      </c>
      <c r="N87" s="6">
        <v>44005.0</v>
      </c>
      <c r="Q87" s="2" t="s">
        <v>86</v>
      </c>
    </row>
    <row r="88">
      <c r="A88" s="2">
        <v>87.0</v>
      </c>
      <c r="B88" s="2" t="s">
        <v>471</v>
      </c>
      <c r="C88" s="2" t="s">
        <v>23</v>
      </c>
      <c r="N88" s="6">
        <v>44336.0</v>
      </c>
      <c r="Q88" s="2" t="s">
        <v>86</v>
      </c>
    </row>
    <row r="89">
      <c r="A89" s="2">
        <v>88.0</v>
      </c>
      <c r="B89" s="2" t="s">
        <v>473</v>
      </c>
      <c r="C89" s="2" t="s">
        <v>23</v>
      </c>
      <c r="K89" s="2">
        <v>10.0</v>
      </c>
      <c r="N89" s="6">
        <v>45360.0</v>
      </c>
      <c r="Q89" s="2" t="s">
        <v>476</v>
      </c>
    </row>
    <row r="90">
      <c r="A90" s="2">
        <v>89.0</v>
      </c>
      <c r="B90" s="2" t="s">
        <v>477</v>
      </c>
      <c r="C90" s="2" t="s">
        <v>23</v>
      </c>
      <c r="K90" s="2">
        <v>20.0</v>
      </c>
      <c r="N90" s="6">
        <v>45020.0</v>
      </c>
      <c r="Q90" s="2" t="s">
        <v>480</v>
      </c>
    </row>
    <row r="91">
      <c r="A91" s="2">
        <v>90.0</v>
      </c>
      <c r="B91" s="2" t="s">
        <v>482</v>
      </c>
      <c r="C91" s="2" t="s">
        <v>23</v>
      </c>
      <c r="K91" s="2">
        <v>300.0</v>
      </c>
      <c r="N91" s="6">
        <v>44084.0</v>
      </c>
      <c r="Q91" s="2" t="s">
        <v>486</v>
      </c>
    </row>
    <row r="92">
      <c r="A92" s="2">
        <v>91.0</v>
      </c>
      <c r="B92" s="2" t="s">
        <v>488</v>
      </c>
      <c r="C92" s="2" t="s">
        <v>23</v>
      </c>
      <c r="N92" s="6">
        <v>45134.0</v>
      </c>
      <c r="Q92" s="2" t="s">
        <v>491</v>
      </c>
    </row>
    <row r="93">
      <c r="A93" s="2">
        <v>92.0</v>
      </c>
      <c r="B93" s="2" t="s">
        <v>492</v>
      </c>
      <c r="C93" s="2" t="s">
        <v>23</v>
      </c>
      <c r="N93" s="6">
        <v>43909.0</v>
      </c>
      <c r="Q93" s="2" t="s">
        <v>86</v>
      </c>
    </row>
    <row r="94">
      <c r="A94" s="2">
        <v>93.0</v>
      </c>
      <c r="B94" s="2" t="s">
        <v>495</v>
      </c>
      <c r="C94" s="2" t="s">
        <v>23</v>
      </c>
      <c r="K94" s="2">
        <v>40.0</v>
      </c>
      <c r="N94" s="6">
        <v>43859.0</v>
      </c>
      <c r="Q94" s="2" t="s">
        <v>498</v>
      </c>
    </row>
    <row r="95">
      <c r="A95" s="2">
        <v>94.0</v>
      </c>
      <c r="B95" s="2" t="s">
        <v>500</v>
      </c>
      <c r="C95" s="2" t="s">
        <v>23</v>
      </c>
      <c r="K95" s="2">
        <v>10.0</v>
      </c>
      <c r="N95" s="6">
        <v>45058.0</v>
      </c>
      <c r="Q95" s="2" t="s">
        <v>503</v>
      </c>
    </row>
    <row r="96">
      <c r="A96" s="2">
        <v>95.0</v>
      </c>
      <c r="B96" s="2" t="s">
        <v>506</v>
      </c>
      <c r="C96" s="2" t="s">
        <v>23</v>
      </c>
      <c r="K96" s="2">
        <v>10.0</v>
      </c>
      <c r="N96" s="6">
        <v>45024.0</v>
      </c>
      <c r="Q96" s="2" t="s">
        <v>510</v>
      </c>
    </row>
    <row r="97">
      <c r="A97" s="2">
        <v>96.0</v>
      </c>
      <c r="B97" s="2" t="s">
        <v>512</v>
      </c>
      <c r="C97" s="2" t="s">
        <v>23</v>
      </c>
      <c r="N97" s="6">
        <v>42974.0</v>
      </c>
      <c r="Q97" s="2" t="s">
        <v>513</v>
      </c>
    </row>
    <row r="98">
      <c r="A98" s="2">
        <v>97.0</v>
      </c>
      <c r="B98" s="2" t="s">
        <v>516</v>
      </c>
      <c r="C98" s="2" t="s">
        <v>23</v>
      </c>
      <c r="N98" s="6">
        <v>43858.0</v>
      </c>
      <c r="Q98" s="2" t="s">
        <v>519</v>
      </c>
    </row>
    <row r="99">
      <c r="A99" s="2">
        <v>98.0</v>
      </c>
      <c r="B99" s="2" t="s">
        <v>521</v>
      </c>
      <c r="C99" s="2" t="s">
        <v>23</v>
      </c>
      <c r="K99" s="2">
        <v>30.0</v>
      </c>
      <c r="N99" s="6">
        <v>44419.0</v>
      </c>
      <c r="Q99" s="2" t="s">
        <v>524</v>
      </c>
    </row>
    <row r="100">
      <c r="A100" s="2">
        <v>99.0</v>
      </c>
      <c r="B100" s="2" t="s">
        <v>527</v>
      </c>
      <c r="C100" s="2" t="s">
        <v>23</v>
      </c>
      <c r="I100" s="4"/>
      <c r="K100" s="2">
        <v>10.0</v>
      </c>
      <c r="N100" s="6">
        <v>44866.0</v>
      </c>
      <c r="Q100" s="2" t="s">
        <v>200</v>
      </c>
    </row>
    <row r="101">
      <c r="A101" s="2">
        <v>100.0</v>
      </c>
      <c r="B101" s="2" t="s">
        <v>532</v>
      </c>
      <c r="C101" s="2" t="s">
        <v>23</v>
      </c>
      <c r="K101" s="2">
        <v>80.0</v>
      </c>
      <c r="N101" s="6">
        <v>45059.0</v>
      </c>
      <c r="Q101" s="2" t="s">
        <v>534</v>
      </c>
    </row>
    <row r="102">
      <c r="A102" s="2">
        <v>101.0</v>
      </c>
      <c r="B102" s="2" t="s">
        <v>536</v>
      </c>
      <c r="C102" s="2" t="s">
        <v>23</v>
      </c>
      <c r="N102" s="6">
        <v>44819.0</v>
      </c>
      <c r="Q102" s="2" t="s">
        <v>540</v>
      </c>
    </row>
    <row r="103">
      <c r="A103" s="2">
        <v>102.0</v>
      </c>
      <c r="B103" s="2" t="s">
        <v>542</v>
      </c>
      <c r="C103" s="2" t="s">
        <v>23</v>
      </c>
      <c r="N103" s="6">
        <v>44884.0</v>
      </c>
      <c r="Q103" s="2" t="s">
        <v>546</v>
      </c>
    </row>
    <row r="104">
      <c r="A104" s="2">
        <v>103.0</v>
      </c>
      <c r="B104" s="2" t="s">
        <v>547</v>
      </c>
      <c r="C104" s="2" t="s">
        <v>23</v>
      </c>
      <c r="N104" s="6">
        <v>45377.0</v>
      </c>
      <c r="Q104" s="2" t="s">
        <v>86</v>
      </c>
    </row>
    <row r="105">
      <c r="A105" s="2">
        <v>104.0</v>
      </c>
      <c r="B105" s="2" t="s">
        <v>551</v>
      </c>
      <c r="C105" s="2" t="s">
        <v>23</v>
      </c>
      <c r="N105" s="6">
        <v>44021.0</v>
      </c>
      <c r="Q105" s="2" t="s">
        <v>86</v>
      </c>
    </row>
    <row r="106">
      <c r="A106" s="2">
        <v>105.0</v>
      </c>
      <c r="B106" s="2" t="s">
        <v>554</v>
      </c>
      <c r="C106" s="2" t="s">
        <v>23</v>
      </c>
      <c r="N106" s="6">
        <v>45440.0</v>
      </c>
      <c r="Q106" s="2" t="s">
        <v>557</v>
      </c>
    </row>
    <row r="107">
      <c r="A107" s="2">
        <v>106.0</v>
      </c>
      <c r="B107" s="2" t="s">
        <v>559</v>
      </c>
      <c r="C107" s="2" t="s">
        <v>23</v>
      </c>
      <c r="N107" s="6">
        <v>44841.0</v>
      </c>
      <c r="Q107" s="2" t="s">
        <v>86</v>
      </c>
    </row>
    <row r="108">
      <c r="A108" s="2">
        <v>107.0</v>
      </c>
      <c r="B108" s="2" t="s">
        <v>565</v>
      </c>
      <c r="C108" s="2" t="s">
        <v>23</v>
      </c>
      <c r="K108" s="2">
        <v>150.0</v>
      </c>
      <c r="N108" s="6">
        <v>44407.0</v>
      </c>
      <c r="Q108" s="2" t="s">
        <v>568</v>
      </c>
    </row>
    <row r="109">
      <c r="A109" s="2">
        <v>108.0</v>
      </c>
      <c r="B109" s="2" t="s">
        <v>570</v>
      </c>
      <c r="C109" s="2" t="s">
        <v>23</v>
      </c>
      <c r="N109" s="6">
        <v>42539.0</v>
      </c>
      <c r="Q109" s="2" t="s">
        <v>574</v>
      </c>
    </row>
    <row r="110">
      <c r="A110" s="2">
        <v>109.0</v>
      </c>
      <c r="B110" s="2" t="s">
        <v>575</v>
      </c>
      <c r="C110" s="2" t="s">
        <v>23</v>
      </c>
      <c r="N110" s="6">
        <v>44411.0</v>
      </c>
      <c r="Q110" s="2" t="s">
        <v>578</v>
      </c>
    </row>
    <row r="111">
      <c r="A111" s="2">
        <v>110.0</v>
      </c>
      <c r="B111" s="2" t="s">
        <v>580</v>
      </c>
      <c r="C111" s="2" t="s">
        <v>23</v>
      </c>
      <c r="K111" s="2">
        <v>20.0</v>
      </c>
      <c r="N111" s="6">
        <v>43859.0</v>
      </c>
      <c r="Q111" s="2" t="s">
        <v>583</v>
      </c>
    </row>
    <row r="112">
      <c r="N112" s="6"/>
    </row>
    <row r="113">
      <c r="N113" s="6"/>
    </row>
    <row r="114">
      <c r="N114" s="6"/>
    </row>
    <row r="115">
      <c r="N115" s="6"/>
    </row>
    <row r="116">
      <c r="N116" s="6"/>
    </row>
    <row r="117">
      <c r="N117" s="6"/>
    </row>
    <row r="118">
      <c r="N118" s="6"/>
    </row>
    <row r="119">
      <c r="N119" s="6"/>
    </row>
    <row r="120">
      <c r="N120" s="6"/>
    </row>
    <row r="121">
      <c r="N121" s="6"/>
    </row>
    <row r="122">
      <c r="N122" s="6"/>
    </row>
    <row r="123">
      <c r="N123" s="6"/>
    </row>
    <row r="124">
      <c r="N124" s="6"/>
    </row>
    <row r="125">
      <c r="N125" s="6"/>
    </row>
    <row r="126">
      <c r="N126" s="6"/>
    </row>
    <row r="127">
      <c r="N127" s="6"/>
    </row>
    <row r="128">
      <c r="N128" s="6"/>
    </row>
    <row r="129">
      <c r="N129" s="6"/>
    </row>
    <row r="130">
      <c r="N130" s="6"/>
    </row>
    <row r="131">
      <c r="N131" s="6"/>
    </row>
    <row r="132">
      <c r="N132" s="6"/>
    </row>
    <row r="133">
      <c r="N133" s="6"/>
    </row>
    <row r="134">
      <c r="N134" s="6"/>
    </row>
    <row r="135">
      <c r="N135" s="6"/>
    </row>
    <row r="136">
      <c r="N136" s="6"/>
    </row>
    <row r="137">
      <c r="N137" s="6"/>
    </row>
    <row r="138">
      <c r="N138" s="6"/>
    </row>
    <row r="139">
      <c r="N139" s="6"/>
    </row>
    <row r="140">
      <c r="N140" s="6"/>
    </row>
    <row r="141">
      <c r="N141" s="6"/>
    </row>
    <row r="142">
      <c r="N142" s="6"/>
    </row>
    <row r="143">
      <c r="N143" s="6"/>
    </row>
    <row r="144">
      <c r="N144" s="6"/>
    </row>
    <row r="145">
      <c r="N145" s="6"/>
    </row>
    <row r="146">
      <c r="N146" s="6"/>
    </row>
    <row r="147">
      <c r="N147" s="6"/>
    </row>
    <row r="148">
      <c r="N148" s="6"/>
    </row>
    <row r="149">
      <c r="N149" s="6"/>
    </row>
    <row r="150">
      <c r="N150" s="6"/>
    </row>
    <row r="151">
      <c r="N151" s="6"/>
    </row>
    <row r="152">
      <c r="N152" s="6"/>
    </row>
    <row r="153">
      <c r="N153" s="6"/>
    </row>
    <row r="154">
      <c r="N154" s="6"/>
    </row>
    <row r="155">
      <c r="N155" s="6"/>
    </row>
    <row r="156">
      <c r="N156" s="6"/>
    </row>
    <row r="157">
      <c r="N157" s="6"/>
    </row>
    <row r="158">
      <c r="N158" s="6"/>
    </row>
    <row r="159">
      <c r="N159" s="6"/>
    </row>
    <row r="160">
      <c r="N160" s="6"/>
    </row>
    <row r="161">
      <c r="N161" s="6"/>
    </row>
    <row r="162">
      <c r="N162" s="6"/>
    </row>
    <row r="163">
      <c r="N163" s="6"/>
    </row>
    <row r="164">
      <c r="N164" s="6"/>
    </row>
    <row r="165">
      <c r="N165" s="6"/>
    </row>
    <row r="166">
      <c r="N166" s="6"/>
    </row>
    <row r="167">
      <c r="N167" s="6"/>
    </row>
    <row r="168">
      <c r="N168" s="6"/>
    </row>
    <row r="169">
      <c r="N169" s="6"/>
    </row>
    <row r="170">
      <c r="N170" s="6"/>
    </row>
    <row r="171">
      <c r="N171" s="6"/>
    </row>
    <row r="172">
      <c r="N172" s="6"/>
    </row>
    <row r="173">
      <c r="N173" s="6"/>
    </row>
    <row r="174">
      <c r="N174" s="6"/>
    </row>
    <row r="175">
      <c r="N175" s="6"/>
    </row>
    <row r="176">
      <c r="N176" s="6"/>
    </row>
    <row r="177">
      <c r="N177" s="6"/>
    </row>
    <row r="178">
      <c r="N178" s="6"/>
    </row>
    <row r="179">
      <c r="N179" s="6"/>
    </row>
    <row r="180">
      <c r="N180" s="6"/>
    </row>
    <row r="181">
      <c r="N181" s="6"/>
    </row>
    <row r="182">
      <c r="N182" s="6"/>
    </row>
    <row r="183">
      <c r="N183" s="6"/>
    </row>
    <row r="184">
      <c r="N184" s="6"/>
    </row>
    <row r="185">
      <c r="N185" s="6"/>
    </row>
    <row r="186">
      <c r="N186" s="6"/>
    </row>
    <row r="187">
      <c r="N187" s="6"/>
    </row>
    <row r="188">
      <c r="N188" s="6"/>
    </row>
    <row r="189">
      <c r="N189" s="6"/>
    </row>
    <row r="190">
      <c r="N190" s="6"/>
    </row>
    <row r="191">
      <c r="N191" s="6"/>
    </row>
    <row r="192">
      <c r="N192" s="6"/>
    </row>
    <row r="193">
      <c r="N193" s="6"/>
    </row>
    <row r="194">
      <c r="N194" s="6"/>
    </row>
    <row r="195">
      <c r="N195" s="6"/>
    </row>
    <row r="196">
      <c r="N196" s="6"/>
    </row>
    <row r="197">
      <c r="N197" s="6"/>
    </row>
    <row r="198">
      <c r="N198" s="6"/>
    </row>
    <row r="199">
      <c r="N199" s="6"/>
    </row>
    <row r="200">
      <c r="N200" s="6"/>
    </row>
    <row r="201">
      <c r="N201" s="6"/>
    </row>
    <row r="202">
      <c r="N202" s="6"/>
    </row>
    <row r="203">
      <c r="N203" s="6"/>
    </row>
    <row r="204">
      <c r="N204" s="6"/>
    </row>
    <row r="205">
      <c r="N205" s="6"/>
    </row>
    <row r="206">
      <c r="N206" s="6"/>
    </row>
    <row r="207">
      <c r="N207" s="6"/>
    </row>
    <row r="208">
      <c r="N208" s="6"/>
    </row>
    <row r="209">
      <c r="N209" s="6"/>
    </row>
    <row r="210">
      <c r="N210" s="6"/>
    </row>
    <row r="211">
      <c r="N211" s="6"/>
    </row>
    <row r="212">
      <c r="N212" s="6"/>
    </row>
    <row r="213">
      <c r="N213" s="6"/>
    </row>
    <row r="214">
      <c r="N214" s="6"/>
    </row>
    <row r="215">
      <c r="N215" s="6"/>
    </row>
    <row r="216">
      <c r="N216" s="6"/>
    </row>
    <row r="217">
      <c r="N217" s="6"/>
    </row>
    <row r="218">
      <c r="N218" s="6"/>
    </row>
    <row r="219">
      <c r="N219" s="6"/>
    </row>
    <row r="220">
      <c r="N220" s="6"/>
    </row>
    <row r="221">
      <c r="N221" s="6"/>
    </row>
    <row r="222">
      <c r="N222" s="6"/>
    </row>
    <row r="223">
      <c r="N223" s="6"/>
    </row>
    <row r="224">
      <c r="N224" s="6"/>
    </row>
    <row r="225">
      <c r="N225" s="6"/>
    </row>
    <row r="226">
      <c r="N226" s="6"/>
    </row>
    <row r="227">
      <c r="N227" s="6"/>
    </row>
    <row r="228">
      <c r="N228" s="6"/>
    </row>
    <row r="229">
      <c r="N229" s="6"/>
    </row>
    <row r="230">
      <c r="N230" s="6"/>
    </row>
    <row r="231">
      <c r="N231" s="6"/>
    </row>
    <row r="232">
      <c r="N232" s="6"/>
    </row>
    <row r="233">
      <c r="N233" s="6"/>
    </row>
    <row r="234">
      <c r="N234" s="6"/>
    </row>
    <row r="235">
      <c r="N235" s="6"/>
    </row>
    <row r="236">
      <c r="N236" s="6"/>
    </row>
    <row r="237">
      <c r="N237" s="6"/>
    </row>
    <row r="238">
      <c r="N238" s="6"/>
    </row>
    <row r="239">
      <c r="N239" s="6"/>
    </row>
    <row r="240">
      <c r="N240" s="6"/>
    </row>
    <row r="241">
      <c r="N241" s="6"/>
    </row>
    <row r="242">
      <c r="N242" s="6"/>
    </row>
    <row r="243">
      <c r="N243" s="6"/>
    </row>
    <row r="244">
      <c r="N244" s="6"/>
    </row>
    <row r="245">
      <c r="N245" s="6"/>
    </row>
    <row r="246">
      <c r="N246" s="6"/>
    </row>
    <row r="247">
      <c r="N247" s="6"/>
    </row>
    <row r="248">
      <c r="N248" s="6"/>
    </row>
    <row r="249">
      <c r="N249" s="6"/>
    </row>
    <row r="250">
      <c r="N250" s="6"/>
    </row>
    <row r="251">
      <c r="N251" s="6"/>
    </row>
    <row r="252">
      <c r="N252" s="6"/>
    </row>
    <row r="253">
      <c r="N253" s="6"/>
    </row>
    <row r="254">
      <c r="N254" s="6"/>
    </row>
    <row r="255">
      <c r="N255" s="6"/>
    </row>
    <row r="256">
      <c r="N256" s="6"/>
    </row>
    <row r="257">
      <c r="N257" s="6"/>
    </row>
    <row r="258">
      <c r="N258" s="6"/>
    </row>
    <row r="259">
      <c r="N259" s="6"/>
    </row>
    <row r="260">
      <c r="N260" s="6"/>
    </row>
    <row r="261">
      <c r="I261" s="4"/>
    </row>
    <row r="262">
      <c r="N262" s="6"/>
    </row>
    <row r="263">
      <c r="N263" s="6"/>
    </row>
    <row r="264">
      <c r="N264" s="6"/>
    </row>
    <row r="265">
      <c r="N265" s="6"/>
    </row>
    <row r="266">
      <c r="N266" s="6"/>
    </row>
    <row r="267">
      <c r="N267" s="6"/>
    </row>
    <row r="268">
      <c r="N268" s="6"/>
    </row>
    <row r="269">
      <c r="N269" s="6"/>
    </row>
    <row r="270">
      <c r="N270" s="6"/>
    </row>
    <row r="271">
      <c r="N271" s="6"/>
    </row>
    <row r="272">
      <c r="N272" s="6"/>
    </row>
    <row r="273">
      <c r="N273" s="6"/>
    </row>
    <row r="274">
      <c r="N274" s="6"/>
    </row>
    <row r="275">
      <c r="N275" s="6"/>
    </row>
    <row r="276">
      <c r="N276" s="6"/>
    </row>
    <row r="277">
      <c r="N277" s="6"/>
    </row>
    <row r="278">
      <c r="N278" s="6"/>
    </row>
    <row r="279">
      <c r="N279" s="6"/>
    </row>
    <row r="280">
      <c r="N280" s="6"/>
    </row>
    <row r="281">
      <c r="N281" s="6"/>
    </row>
    <row r="282">
      <c r="N282" s="6"/>
    </row>
    <row r="283">
      <c r="N283" s="6"/>
    </row>
    <row r="284">
      <c r="N284" s="6"/>
    </row>
    <row r="285">
      <c r="N285" s="6"/>
    </row>
    <row r="286">
      <c r="N286" s="6"/>
    </row>
    <row r="287">
      <c r="N287" s="6"/>
    </row>
    <row r="288">
      <c r="N288" s="6"/>
    </row>
    <row r="289">
      <c r="N289" s="6"/>
    </row>
    <row r="290">
      <c r="N290" s="6"/>
    </row>
    <row r="291">
      <c r="N291" s="6"/>
    </row>
    <row r="292">
      <c r="N292" s="6"/>
    </row>
    <row r="293">
      <c r="N293" s="6"/>
    </row>
    <row r="294">
      <c r="N294" s="6"/>
    </row>
    <row r="295">
      <c r="N295" s="6"/>
    </row>
    <row r="296">
      <c r="N296" s="6"/>
    </row>
    <row r="297">
      <c r="N297" s="6"/>
    </row>
    <row r="298">
      <c r="N298" s="6"/>
    </row>
    <row r="299">
      <c r="N299" s="6"/>
    </row>
    <row r="300">
      <c r="N300" s="6"/>
    </row>
    <row r="301">
      <c r="N301" s="6"/>
    </row>
    <row r="302">
      <c r="N302" s="6"/>
    </row>
    <row r="303">
      <c r="N303" s="6"/>
    </row>
    <row r="304">
      <c r="N304" s="6"/>
    </row>
    <row r="305">
      <c r="N305" s="6"/>
    </row>
    <row r="306">
      <c r="N306" s="6"/>
    </row>
    <row r="307">
      <c r="N307" s="6"/>
    </row>
    <row r="308">
      <c r="N308" s="6"/>
    </row>
    <row r="309">
      <c r="N309" s="6"/>
    </row>
    <row r="310">
      <c r="N310" s="6"/>
    </row>
    <row r="311">
      <c r="N311" s="6"/>
    </row>
    <row r="312">
      <c r="N312" s="6"/>
    </row>
    <row r="313">
      <c r="N313" s="6"/>
    </row>
    <row r="314">
      <c r="N314" s="6"/>
    </row>
    <row r="315">
      <c r="N315" s="6"/>
    </row>
    <row r="316">
      <c r="N316" s="6"/>
    </row>
    <row r="317">
      <c r="N317" s="6"/>
    </row>
    <row r="318">
      <c r="N318" s="6"/>
    </row>
    <row r="319">
      <c r="N319" s="6"/>
    </row>
    <row r="320">
      <c r="N320" s="6"/>
    </row>
    <row r="321">
      <c r="N321" s="6"/>
    </row>
    <row r="322">
      <c r="N322" s="6"/>
    </row>
    <row r="323">
      <c r="N323" s="6"/>
    </row>
    <row r="324">
      <c r="N324" s="6"/>
    </row>
    <row r="325">
      <c r="N325" s="6"/>
    </row>
    <row r="326">
      <c r="N326" s="6"/>
    </row>
    <row r="327">
      <c r="N327" s="6"/>
    </row>
    <row r="328">
      <c r="N328" s="6"/>
    </row>
    <row r="329">
      <c r="N329" s="6"/>
    </row>
    <row r="330">
      <c r="N330" s="6"/>
    </row>
    <row r="331">
      <c r="N331" s="6"/>
    </row>
    <row r="332">
      <c r="N332" s="6"/>
    </row>
    <row r="333">
      <c r="N333" s="6"/>
    </row>
    <row r="334">
      <c r="N334" s="6"/>
    </row>
    <row r="335">
      <c r="N335" s="6"/>
    </row>
    <row r="336">
      <c r="N336" s="6"/>
    </row>
    <row r="337">
      <c r="N337" s="6"/>
    </row>
    <row r="338">
      <c r="N338" s="6"/>
    </row>
    <row r="339">
      <c r="N339" s="6"/>
    </row>
    <row r="340">
      <c r="N340" s="6"/>
    </row>
    <row r="341">
      <c r="N341" s="6"/>
    </row>
    <row r="342">
      <c r="N342" s="6"/>
    </row>
    <row r="343">
      <c r="N343" s="6"/>
    </row>
    <row r="344">
      <c r="N344" s="6"/>
    </row>
    <row r="345">
      <c r="N345" s="6"/>
    </row>
    <row r="346">
      <c r="N346" s="6"/>
    </row>
    <row r="347">
      <c r="N347" s="6"/>
    </row>
    <row r="348">
      <c r="N348" s="6"/>
    </row>
    <row r="349">
      <c r="N349" s="6"/>
    </row>
    <row r="350">
      <c r="N350" s="6"/>
    </row>
    <row r="351">
      <c r="N351" s="6"/>
    </row>
    <row r="352">
      <c r="N352" s="6"/>
    </row>
    <row r="353">
      <c r="N353" s="6"/>
    </row>
    <row r="354">
      <c r="N354" s="6"/>
    </row>
    <row r="355">
      <c r="N355" s="6"/>
    </row>
    <row r="356">
      <c r="N356" s="6"/>
    </row>
  </sheetData>
  <autoFilter ref="$A$1:$Z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</row>
    <row r="2">
      <c r="A2" s="2">
        <v>1.0</v>
      </c>
      <c r="B2" s="2" t="s">
        <v>844</v>
      </c>
      <c r="C2" s="2" t="s">
        <v>23</v>
      </c>
      <c r="D2" s="2">
        <v>0.0</v>
      </c>
      <c r="E2" s="2">
        <v>2900.0</v>
      </c>
      <c r="F2" s="2">
        <v>1.0</v>
      </c>
      <c r="G2" s="2">
        <v>0.76</v>
      </c>
      <c r="H2" s="2" t="s">
        <v>844</v>
      </c>
      <c r="I2" s="4">
        <v>46236.94274305556</v>
      </c>
      <c r="J2" s="2" t="s">
        <v>34</v>
      </c>
      <c r="K2" s="2">
        <v>359000.0</v>
      </c>
      <c r="L2" s="2">
        <v>350.0</v>
      </c>
      <c r="M2" s="2">
        <v>350.0</v>
      </c>
      <c r="N2" s="6">
        <v>42455.0</v>
      </c>
      <c r="O2" s="2" t="s">
        <v>40</v>
      </c>
      <c r="P2" s="2" t="s">
        <v>36</v>
      </c>
      <c r="Q2" s="2" t="s">
        <v>849</v>
      </c>
      <c r="R2" s="2" t="s">
        <v>850</v>
      </c>
      <c r="S2" s="2" t="s">
        <v>44</v>
      </c>
    </row>
    <row r="3">
      <c r="A3" s="2">
        <v>2.0</v>
      </c>
      <c r="B3" s="2" t="s">
        <v>666</v>
      </c>
      <c r="C3" s="2" t="s">
        <v>23</v>
      </c>
      <c r="D3" s="2">
        <v>0.0</v>
      </c>
      <c r="E3" s="2">
        <v>800.0</v>
      </c>
      <c r="F3" s="2">
        <v>0.6</v>
      </c>
      <c r="G3" s="2">
        <v>0.53</v>
      </c>
      <c r="H3" s="2" t="s">
        <v>853</v>
      </c>
      <c r="I3" s="4">
        <v>46227.80400462963</v>
      </c>
      <c r="J3" s="2" t="s">
        <v>113</v>
      </c>
      <c r="K3" s="2">
        <v>6100.0</v>
      </c>
      <c r="L3" s="2">
        <v>300.0</v>
      </c>
      <c r="M3" s="2">
        <v>300.0</v>
      </c>
      <c r="N3" s="6">
        <v>42250.0</v>
      </c>
      <c r="O3" s="2" t="s">
        <v>40</v>
      </c>
      <c r="P3" s="2" t="s">
        <v>36</v>
      </c>
      <c r="Q3" s="2" t="s">
        <v>856</v>
      </c>
      <c r="R3" s="2" t="s">
        <v>857</v>
      </c>
      <c r="S3" s="2" t="s">
        <v>859</v>
      </c>
    </row>
    <row r="4">
      <c r="A4" s="2">
        <v>3.0</v>
      </c>
      <c r="B4" s="2" t="s">
        <v>137</v>
      </c>
      <c r="C4" s="2" t="s">
        <v>23</v>
      </c>
      <c r="D4" s="2">
        <v>14.0</v>
      </c>
      <c r="E4" s="2">
        <v>700.0</v>
      </c>
      <c r="F4" s="2">
        <v>0.35</v>
      </c>
      <c r="H4" s="2" t="s">
        <v>137</v>
      </c>
      <c r="I4" s="4">
        <v>46226.3978125</v>
      </c>
      <c r="J4" s="2" t="s">
        <v>862</v>
      </c>
      <c r="K4" s="2">
        <v>1700.0</v>
      </c>
      <c r="L4" s="2">
        <v>500.0</v>
      </c>
      <c r="M4" s="2">
        <v>500.0</v>
      </c>
      <c r="N4" s="6">
        <v>43430.0</v>
      </c>
      <c r="O4" s="2" t="s">
        <v>40</v>
      </c>
      <c r="P4" s="2" t="s">
        <v>36</v>
      </c>
      <c r="Q4" s="2" t="s">
        <v>865</v>
      </c>
      <c r="R4" s="2" t="s">
        <v>866</v>
      </c>
      <c r="S4" s="2" t="s">
        <v>867</v>
      </c>
    </row>
    <row r="5">
      <c r="A5" s="2">
        <v>4.0</v>
      </c>
      <c r="B5" s="2" t="s">
        <v>72</v>
      </c>
      <c r="C5" s="2" t="s">
        <v>23</v>
      </c>
      <c r="D5" s="2">
        <v>14.0</v>
      </c>
      <c r="E5" s="2">
        <v>700.0</v>
      </c>
      <c r="F5" s="2">
        <v>0.35</v>
      </c>
      <c r="G5" s="2">
        <v>0.51</v>
      </c>
      <c r="H5" s="2" t="s">
        <v>137</v>
      </c>
      <c r="I5" s="4">
        <v>46223.19479166667</v>
      </c>
      <c r="J5" s="2" t="s">
        <v>34</v>
      </c>
      <c r="K5" s="2">
        <v>3700.0</v>
      </c>
      <c r="L5" s="2">
        <v>350.0</v>
      </c>
      <c r="M5" s="2">
        <v>350.0</v>
      </c>
      <c r="N5" s="6">
        <v>42256.0</v>
      </c>
      <c r="O5" s="2" t="s">
        <v>40</v>
      </c>
      <c r="P5" s="2" t="s">
        <v>36</v>
      </c>
      <c r="Q5" s="2" t="s">
        <v>873</v>
      </c>
      <c r="R5" s="2" t="s">
        <v>875</v>
      </c>
      <c r="S5" s="2" t="s">
        <v>146</v>
      </c>
    </row>
    <row r="6">
      <c r="A6" s="2">
        <v>5.0</v>
      </c>
      <c r="B6" s="2" t="s">
        <v>877</v>
      </c>
      <c r="C6" s="2" t="s">
        <v>23</v>
      </c>
      <c r="D6" s="2">
        <v>4.0</v>
      </c>
      <c r="E6" s="2">
        <v>700.0</v>
      </c>
      <c r="F6" s="2">
        <v>0.4</v>
      </c>
      <c r="G6" s="2">
        <v>0.49</v>
      </c>
      <c r="H6" s="2" t="s">
        <v>879</v>
      </c>
      <c r="I6" s="4">
        <v>46231.154386574075</v>
      </c>
      <c r="J6" s="2" t="s">
        <v>881</v>
      </c>
      <c r="K6" s="2">
        <v>7700.0</v>
      </c>
      <c r="L6" s="2">
        <v>900.0</v>
      </c>
      <c r="M6" s="2">
        <v>900.0</v>
      </c>
      <c r="N6" s="6">
        <v>42250.0</v>
      </c>
      <c r="O6" s="2" t="s">
        <v>49</v>
      </c>
      <c r="P6" s="2" t="s">
        <v>36</v>
      </c>
      <c r="Q6" s="2" t="s">
        <v>884</v>
      </c>
      <c r="R6" s="2" t="s">
        <v>885</v>
      </c>
      <c r="S6" s="2" t="s">
        <v>886</v>
      </c>
    </row>
    <row r="7">
      <c r="A7" s="2">
        <v>6.0</v>
      </c>
      <c r="B7" s="2" t="s">
        <v>887</v>
      </c>
      <c r="C7" s="2" t="s">
        <v>23</v>
      </c>
      <c r="D7" s="2">
        <v>43.0</v>
      </c>
      <c r="E7" s="2">
        <v>700.0</v>
      </c>
      <c r="F7" s="2">
        <v>0.8</v>
      </c>
      <c r="H7" s="2" t="s">
        <v>890</v>
      </c>
      <c r="I7" s="4">
        <v>46223.61145833333</v>
      </c>
      <c r="J7" s="2" t="s">
        <v>891</v>
      </c>
      <c r="K7" s="2">
        <v>7500.0</v>
      </c>
      <c r="L7" s="2">
        <v>700.0</v>
      </c>
      <c r="M7" s="2">
        <v>700.0</v>
      </c>
      <c r="N7" s="6">
        <v>42967.0</v>
      </c>
      <c r="O7" s="2" t="s">
        <v>75</v>
      </c>
      <c r="P7" s="2" t="s">
        <v>36</v>
      </c>
      <c r="Q7" s="2" t="s">
        <v>894</v>
      </c>
      <c r="R7" s="2" t="s">
        <v>895</v>
      </c>
      <c r="S7" s="2" t="s">
        <v>859</v>
      </c>
    </row>
    <row r="8">
      <c r="A8" s="2">
        <v>7.0</v>
      </c>
      <c r="B8" s="2" t="s">
        <v>898</v>
      </c>
      <c r="C8" s="2" t="s">
        <v>23</v>
      </c>
      <c r="D8" s="2">
        <v>0.0</v>
      </c>
      <c r="E8" s="2">
        <v>600.0</v>
      </c>
      <c r="F8" s="2">
        <v>1.0</v>
      </c>
      <c r="G8" s="2">
        <v>0.77</v>
      </c>
      <c r="H8" s="2" t="s">
        <v>898</v>
      </c>
      <c r="I8" s="4">
        <v>46231.22990740741</v>
      </c>
      <c r="J8" s="2" t="s">
        <v>34</v>
      </c>
      <c r="K8" s="2">
        <v>70000.0</v>
      </c>
      <c r="L8" s="2">
        <v>70.0</v>
      </c>
      <c r="M8" s="2">
        <v>70.0</v>
      </c>
      <c r="N8" s="6">
        <v>42524.0</v>
      </c>
      <c r="O8" s="2" t="s">
        <v>40</v>
      </c>
      <c r="P8" s="2" t="s">
        <v>36</v>
      </c>
      <c r="Q8" s="2" t="s">
        <v>903</v>
      </c>
      <c r="R8" s="2" t="s">
        <v>904</v>
      </c>
      <c r="S8" s="2" t="s">
        <v>906</v>
      </c>
    </row>
    <row r="9">
      <c r="A9" s="2">
        <v>8.0</v>
      </c>
      <c r="B9" s="2" t="s">
        <v>890</v>
      </c>
      <c r="C9" s="2" t="s">
        <v>23</v>
      </c>
      <c r="D9" s="2">
        <v>49.0</v>
      </c>
      <c r="E9" s="2">
        <v>600.0</v>
      </c>
      <c r="F9" s="2">
        <v>0.7</v>
      </c>
      <c r="H9" s="2" t="s">
        <v>137</v>
      </c>
      <c r="I9" s="4">
        <v>46224.86064814815</v>
      </c>
      <c r="J9" s="2" t="s">
        <v>909</v>
      </c>
      <c r="K9" s="2">
        <v>4000.0</v>
      </c>
      <c r="L9" s="2">
        <v>350.0</v>
      </c>
      <c r="M9" s="2">
        <v>350.0</v>
      </c>
      <c r="N9" s="6">
        <v>42902.0</v>
      </c>
      <c r="O9" s="2" t="s">
        <v>40</v>
      </c>
      <c r="P9" s="2" t="s">
        <v>36</v>
      </c>
      <c r="Q9" s="2" t="s">
        <v>912</v>
      </c>
      <c r="R9" s="2" t="s">
        <v>913</v>
      </c>
      <c r="S9" s="2" t="s">
        <v>146</v>
      </c>
    </row>
    <row r="10">
      <c r="A10" s="2">
        <v>9.0</v>
      </c>
      <c r="B10" s="2" t="s">
        <v>879</v>
      </c>
      <c r="C10" s="2" t="s">
        <v>23</v>
      </c>
      <c r="D10" s="2">
        <v>68.0</v>
      </c>
      <c r="E10" s="2">
        <v>600.0</v>
      </c>
      <c r="F10" s="2">
        <v>0.02</v>
      </c>
      <c r="G10" s="2">
        <v>0.28</v>
      </c>
      <c r="H10" s="2" t="s">
        <v>917</v>
      </c>
      <c r="I10" s="4">
        <v>46233.26100694444</v>
      </c>
      <c r="J10" s="2" t="s">
        <v>47</v>
      </c>
      <c r="K10" s="2">
        <v>133000.0</v>
      </c>
      <c r="L10" s="2">
        <v>50.0</v>
      </c>
      <c r="M10" s="2">
        <v>26000.0</v>
      </c>
      <c r="N10" s="6">
        <v>42250.0</v>
      </c>
      <c r="O10" s="2" t="s">
        <v>560</v>
      </c>
      <c r="Q10" s="2" t="s">
        <v>919</v>
      </c>
      <c r="R10" s="2" t="s">
        <v>920</v>
      </c>
      <c r="S10" s="2" t="s">
        <v>921</v>
      </c>
    </row>
    <row r="11">
      <c r="A11" s="2">
        <v>10.0</v>
      </c>
      <c r="B11" s="2" t="s">
        <v>922</v>
      </c>
      <c r="C11" s="2" t="s">
        <v>23</v>
      </c>
      <c r="D11" s="2">
        <v>23.0</v>
      </c>
      <c r="E11" s="2">
        <v>450.0</v>
      </c>
      <c r="F11" s="2">
        <v>0.6</v>
      </c>
      <c r="G11" s="2">
        <v>0.39</v>
      </c>
      <c r="H11" s="2" t="s">
        <v>922</v>
      </c>
      <c r="I11" s="4">
        <v>46221.29613425926</v>
      </c>
      <c r="J11" s="2" t="s">
        <v>34</v>
      </c>
      <c r="K11" s="2">
        <v>24000.0</v>
      </c>
      <c r="L11" s="2">
        <v>10.0</v>
      </c>
      <c r="M11" s="2">
        <v>10.0</v>
      </c>
      <c r="N11" s="6">
        <v>42255.0</v>
      </c>
      <c r="O11" s="2" t="s">
        <v>40</v>
      </c>
      <c r="P11" s="2" t="s">
        <v>36</v>
      </c>
      <c r="Q11" s="2" t="s">
        <v>928</v>
      </c>
      <c r="R11" s="2" t="s">
        <v>929</v>
      </c>
      <c r="S11" s="2" t="s">
        <v>906</v>
      </c>
    </row>
    <row r="12">
      <c r="A12" s="2">
        <v>11.0</v>
      </c>
      <c r="B12" s="2" t="s">
        <v>22</v>
      </c>
      <c r="C12" s="2" t="s">
        <v>23</v>
      </c>
      <c r="D12" s="2">
        <v>0.0</v>
      </c>
      <c r="E12" s="2">
        <v>350.0</v>
      </c>
      <c r="F12" s="2">
        <v>0.01</v>
      </c>
      <c r="G12" s="2">
        <v>1.06</v>
      </c>
      <c r="H12" s="2" t="s">
        <v>22</v>
      </c>
      <c r="I12" s="4">
        <v>46217.25701388889</v>
      </c>
      <c r="J12" s="2" t="s">
        <v>33</v>
      </c>
      <c r="K12" s="2">
        <v>400.0</v>
      </c>
      <c r="L12" s="2">
        <v>250.0</v>
      </c>
      <c r="M12" s="2">
        <v>250.0</v>
      </c>
      <c r="N12" s="6">
        <v>42300.0</v>
      </c>
      <c r="O12" s="2" t="s">
        <v>35</v>
      </c>
      <c r="P12" s="2" t="s">
        <v>36</v>
      </c>
      <c r="Q12" s="2" t="s">
        <v>37</v>
      </c>
      <c r="R12" s="2" t="s">
        <v>38</v>
      </c>
      <c r="S12" s="2" t="s">
        <v>39</v>
      </c>
    </row>
    <row r="13">
      <c r="A13" s="2">
        <v>12.0</v>
      </c>
      <c r="B13" s="2" t="s">
        <v>936</v>
      </c>
      <c r="C13" s="2" t="s">
        <v>23</v>
      </c>
      <c r="D13" s="2">
        <v>0.0</v>
      </c>
      <c r="E13" s="2">
        <v>350.0</v>
      </c>
      <c r="F13" s="2">
        <v>0.02</v>
      </c>
      <c r="G13" s="2">
        <v>0.86</v>
      </c>
      <c r="H13" s="2" t="s">
        <v>939</v>
      </c>
      <c r="I13" s="4">
        <v>46216.89293981482</v>
      </c>
      <c r="J13" s="2" t="s">
        <v>940</v>
      </c>
      <c r="K13" s="2">
        <v>4300.0</v>
      </c>
      <c r="L13" s="2">
        <v>30.0</v>
      </c>
      <c r="M13" s="2">
        <v>30.0</v>
      </c>
      <c r="N13" s="6">
        <v>42250.0</v>
      </c>
      <c r="O13" s="2" t="s">
        <v>49</v>
      </c>
      <c r="P13" s="2" t="s">
        <v>36</v>
      </c>
      <c r="Q13" s="2" t="s">
        <v>943</v>
      </c>
      <c r="R13" s="2" t="s">
        <v>944</v>
      </c>
      <c r="S13" s="2" t="s">
        <v>39</v>
      </c>
    </row>
    <row r="14">
      <c r="A14" s="2">
        <v>13.0</v>
      </c>
      <c r="B14" s="2" t="s">
        <v>946</v>
      </c>
      <c r="C14" s="2" t="s">
        <v>23</v>
      </c>
      <c r="D14" s="2">
        <v>0.0</v>
      </c>
      <c r="E14" s="2">
        <v>350.0</v>
      </c>
      <c r="F14" s="2">
        <v>1.4</v>
      </c>
      <c r="G14" s="2">
        <v>1.02</v>
      </c>
      <c r="H14" s="2" t="s">
        <v>948</v>
      </c>
      <c r="I14" s="4">
        <v>46230.72247685185</v>
      </c>
      <c r="J14" s="2" t="s">
        <v>950</v>
      </c>
      <c r="K14" s="2">
        <v>400.0</v>
      </c>
      <c r="L14" s="2">
        <v>150.0</v>
      </c>
      <c r="M14" s="2">
        <v>150.0</v>
      </c>
      <c r="N14" s="6">
        <v>42380.0</v>
      </c>
      <c r="O14" s="2" t="s">
        <v>40</v>
      </c>
      <c r="P14" s="2" t="s">
        <v>36</v>
      </c>
      <c r="Q14" s="2" t="s">
        <v>953</v>
      </c>
      <c r="R14" s="2" t="s">
        <v>954</v>
      </c>
      <c r="S14" s="2" t="s">
        <v>44</v>
      </c>
    </row>
    <row r="15">
      <c r="A15" s="2">
        <v>14.0</v>
      </c>
      <c r="B15" s="2" t="s">
        <v>956</v>
      </c>
      <c r="C15" s="2" t="s">
        <v>23</v>
      </c>
      <c r="D15" s="2">
        <v>0.0</v>
      </c>
      <c r="E15" s="2">
        <v>300.0</v>
      </c>
      <c r="F15" s="2">
        <v>0.6</v>
      </c>
      <c r="G15" s="2">
        <v>0.45</v>
      </c>
      <c r="H15" s="2" t="s">
        <v>879</v>
      </c>
      <c r="I15" s="4">
        <v>46229.63104166667</v>
      </c>
      <c r="J15" s="2" t="s">
        <v>881</v>
      </c>
      <c r="K15" s="2">
        <v>450.0</v>
      </c>
      <c r="L15" s="2">
        <v>900.0</v>
      </c>
      <c r="M15" s="2">
        <v>1000.0</v>
      </c>
      <c r="N15" s="6">
        <v>42312.0</v>
      </c>
      <c r="O15" s="2" t="s">
        <v>49</v>
      </c>
      <c r="P15" s="2" t="s">
        <v>36</v>
      </c>
      <c r="Q15" s="2" t="s">
        <v>959</v>
      </c>
      <c r="R15" s="2" t="s">
        <v>960</v>
      </c>
      <c r="S15" s="2" t="s">
        <v>52</v>
      </c>
    </row>
    <row r="16">
      <c r="A16" s="2">
        <v>15.0</v>
      </c>
      <c r="B16" s="2" t="s">
        <v>963</v>
      </c>
      <c r="C16" s="2" t="s">
        <v>23</v>
      </c>
      <c r="D16" s="2">
        <v>0.0</v>
      </c>
      <c r="E16" s="2">
        <v>300.0</v>
      </c>
      <c r="F16" s="2">
        <v>0.6</v>
      </c>
      <c r="G16" s="2">
        <v>0.53</v>
      </c>
      <c r="H16" s="2" t="s">
        <v>964</v>
      </c>
      <c r="I16" s="4">
        <v>46215.14829861111</v>
      </c>
      <c r="J16" s="2" t="s">
        <v>965</v>
      </c>
      <c r="K16" s="2">
        <v>600.0</v>
      </c>
      <c r="L16" s="2">
        <v>1100.0</v>
      </c>
      <c r="M16" s="2">
        <v>1200.0</v>
      </c>
      <c r="N16" s="6">
        <v>42252.0</v>
      </c>
      <c r="O16" s="2" t="s">
        <v>49</v>
      </c>
      <c r="P16" s="2" t="s">
        <v>36</v>
      </c>
      <c r="Q16" s="2" t="s">
        <v>966</v>
      </c>
      <c r="R16" s="2" t="s">
        <v>968</v>
      </c>
      <c r="S16" s="2" t="s">
        <v>786</v>
      </c>
    </row>
    <row r="17">
      <c r="A17" s="2">
        <v>16.0</v>
      </c>
      <c r="B17" s="2" t="s">
        <v>1</v>
      </c>
      <c r="C17" s="2" t="s">
        <v>23</v>
      </c>
      <c r="D17" s="2">
        <v>0.0</v>
      </c>
      <c r="E17" s="2">
        <v>300.0</v>
      </c>
      <c r="F17" s="2">
        <v>0.7</v>
      </c>
      <c r="G17" s="2">
        <v>0.81</v>
      </c>
      <c r="H17" s="2" t="s">
        <v>1</v>
      </c>
      <c r="I17" s="4">
        <v>46235.62559027778</v>
      </c>
      <c r="J17" s="2" t="s">
        <v>34</v>
      </c>
      <c r="K17" s="2">
        <v>300.0</v>
      </c>
      <c r="L17" s="2">
        <v>250.0</v>
      </c>
      <c r="M17" s="2">
        <v>250.0</v>
      </c>
      <c r="N17" s="6">
        <v>42252.0</v>
      </c>
      <c r="O17" s="2" t="s">
        <v>40</v>
      </c>
      <c r="P17" s="2" t="s">
        <v>36</v>
      </c>
      <c r="Q17" s="2" t="s">
        <v>42</v>
      </c>
      <c r="R17" s="2" t="s">
        <v>43</v>
      </c>
      <c r="S17" s="2" t="s">
        <v>44</v>
      </c>
    </row>
    <row r="18">
      <c r="A18" s="2">
        <v>17.0</v>
      </c>
      <c r="B18" s="2" t="s">
        <v>29</v>
      </c>
      <c r="C18" s="2" t="s">
        <v>23</v>
      </c>
      <c r="D18" s="2">
        <v>1.0</v>
      </c>
      <c r="E18" s="2">
        <v>250.0</v>
      </c>
      <c r="F18" s="2">
        <v>0.1</v>
      </c>
      <c r="G18" s="2">
        <v>0.35</v>
      </c>
      <c r="H18" s="2" t="s">
        <v>29</v>
      </c>
      <c r="I18" s="4">
        <v>46219.86791666667</v>
      </c>
      <c r="J18" s="2" t="s">
        <v>47</v>
      </c>
      <c r="K18" s="2">
        <v>18000.0</v>
      </c>
      <c r="L18" s="2">
        <v>60.0</v>
      </c>
      <c r="M18" s="2">
        <v>60.0</v>
      </c>
      <c r="N18" s="6">
        <v>42255.0</v>
      </c>
      <c r="O18" s="2" t="s">
        <v>49</v>
      </c>
      <c r="P18" s="2" t="s">
        <v>36</v>
      </c>
      <c r="Q18" s="2" t="s">
        <v>50</v>
      </c>
      <c r="R18" s="2" t="s">
        <v>51</v>
      </c>
      <c r="S18" s="2" t="s">
        <v>52</v>
      </c>
    </row>
    <row r="19">
      <c r="A19" s="2">
        <v>18.0</v>
      </c>
      <c r="B19" s="2" t="s">
        <v>853</v>
      </c>
      <c r="C19" s="2" t="s">
        <v>23</v>
      </c>
      <c r="D19" s="2">
        <v>13.0</v>
      </c>
      <c r="E19" s="2">
        <v>250.0</v>
      </c>
      <c r="F19" s="2">
        <v>0.8</v>
      </c>
      <c r="H19" s="2" t="s">
        <v>887</v>
      </c>
      <c r="I19" s="4">
        <v>46220.988599537035</v>
      </c>
      <c r="J19" s="2" t="s">
        <v>63</v>
      </c>
      <c r="K19" s="2">
        <v>53000.0</v>
      </c>
      <c r="L19" s="2">
        <v>500.0</v>
      </c>
      <c r="M19" s="2">
        <v>500.0</v>
      </c>
      <c r="N19" s="6">
        <v>42716.0</v>
      </c>
      <c r="O19" s="2" t="s">
        <v>75</v>
      </c>
      <c r="P19" s="2" t="s">
        <v>36</v>
      </c>
      <c r="Q19" s="2" t="s">
        <v>983</v>
      </c>
      <c r="R19" s="2" t="s">
        <v>984</v>
      </c>
      <c r="S19" s="2" t="s">
        <v>859</v>
      </c>
    </row>
    <row r="20">
      <c r="A20" s="2">
        <v>19.0</v>
      </c>
      <c r="B20" s="2" t="s">
        <v>986</v>
      </c>
      <c r="C20" s="2" t="s">
        <v>23</v>
      </c>
      <c r="D20" s="2">
        <v>18.0</v>
      </c>
      <c r="E20" s="2">
        <v>250.0</v>
      </c>
      <c r="F20" s="2">
        <v>0.7</v>
      </c>
      <c r="H20" s="2" t="s">
        <v>988</v>
      </c>
      <c r="I20" s="4">
        <v>46235.75115740741</v>
      </c>
      <c r="J20" s="2" t="s">
        <v>989</v>
      </c>
      <c r="K20" s="2">
        <v>5700.0</v>
      </c>
      <c r="L20" s="2">
        <v>1000.0</v>
      </c>
      <c r="M20" s="2">
        <v>1100.0</v>
      </c>
      <c r="N20" s="6">
        <v>43252.0</v>
      </c>
      <c r="O20" s="2" t="s">
        <v>40</v>
      </c>
      <c r="P20" s="2" t="s">
        <v>36</v>
      </c>
      <c r="Q20" s="2" t="s">
        <v>992</v>
      </c>
      <c r="R20" s="2" t="s">
        <v>993</v>
      </c>
      <c r="S20" s="2" t="s">
        <v>867</v>
      </c>
    </row>
    <row r="21">
      <c r="A21" s="2">
        <v>20.0</v>
      </c>
      <c r="B21" s="2" t="s">
        <v>88</v>
      </c>
      <c r="C21" s="2" t="s">
        <v>23</v>
      </c>
      <c r="D21" s="2">
        <v>14.0</v>
      </c>
      <c r="E21" s="2">
        <v>250.0</v>
      </c>
      <c r="F21" s="2">
        <v>0.4</v>
      </c>
      <c r="H21" s="2" t="s">
        <v>996</v>
      </c>
      <c r="I21" s="4">
        <v>46208.857939814814</v>
      </c>
      <c r="J21" s="2" t="s">
        <v>63</v>
      </c>
      <c r="K21" s="2">
        <v>2100.0</v>
      </c>
      <c r="L21" s="2">
        <v>20.0</v>
      </c>
      <c r="M21" s="2">
        <v>20.0</v>
      </c>
      <c r="N21" s="6">
        <v>42976.0</v>
      </c>
      <c r="O21" s="2" t="s">
        <v>40</v>
      </c>
      <c r="P21" s="2" t="s">
        <v>36</v>
      </c>
      <c r="Q21" s="2" t="s">
        <v>999</v>
      </c>
      <c r="R21" s="2" t="s">
        <v>1000</v>
      </c>
      <c r="S21" s="2" t="s">
        <v>1002</v>
      </c>
    </row>
    <row r="22">
      <c r="A22" s="2">
        <v>21.0</v>
      </c>
      <c r="B22" s="2" t="s">
        <v>1004</v>
      </c>
      <c r="C22" s="2" t="s">
        <v>23</v>
      </c>
      <c r="D22" s="2">
        <v>0.0</v>
      </c>
      <c r="E22" s="2">
        <v>250.0</v>
      </c>
      <c r="F22" s="2">
        <v>0.45</v>
      </c>
      <c r="G22" s="2">
        <v>0.38</v>
      </c>
      <c r="H22" s="2" t="s">
        <v>171</v>
      </c>
      <c r="I22" s="4">
        <v>46229.49935185185</v>
      </c>
      <c r="J22" s="2" t="s">
        <v>34</v>
      </c>
      <c r="K22" s="2">
        <v>250.0</v>
      </c>
      <c r="L22" s="2">
        <v>50.0</v>
      </c>
      <c r="M22" s="2">
        <v>50.0</v>
      </c>
      <c r="N22" s="6">
        <v>42274.0</v>
      </c>
      <c r="O22" s="2" t="s">
        <v>75</v>
      </c>
      <c r="P22" s="2" t="s">
        <v>36</v>
      </c>
      <c r="Q22" s="2" t="s">
        <v>1009</v>
      </c>
      <c r="R22" s="2" t="s">
        <v>1010</v>
      </c>
      <c r="S22" s="2" t="s">
        <v>44</v>
      </c>
    </row>
    <row r="23">
      <c r="A23" s="2">
        <v>22.0</v>
      </c>
      <c r="B23" s="2" t="s">
        <v>28</v>
      </c>
      <c r="C23" s="2" t="s">
        <v>23</v>
      </c>
      <c r="D23" s="2">
        <v>0.0</v>
      </c>
      <c r="E23" s="2">
        <v>250.0</v>
      </c>
      <c r="F23" s="2">
        <v>0.6</v>
      </c>
      <c r="G23" s="2">
        <v>0.93</v>
      </c>
      <c r="H23" s="2" t="s">
        <v>879</v>
      </c>
      <c r="I23" s="4">
        <v>46215.81322916667</v>
      </c>
      <c r="J23" s="2" t="s">
        <v>1015</v>
      </c>
      <c r="K23" s="2">
        <v>800.0</v>
      </c>
      <c r="L23" s="2">
        <v>900.0</v>
      </c>
      <c r="M23" s="2">
        <v>1000.0</v>
      </c>
      <c r="N23" s="6">
        <v>42248.0</v>
      </c>
      <c r="O23" s="2" t="s">
        <v>1017</v>
      </c>
      <c r="P23" s="2" t="s">
        <v>36</v>
      </c>
      <c r="Q23" s="2" t="s">
        <v>1019</v>
      </c>
      <c r="R23" s="2" t="s">
        <v>1021</v>
      </c>
      <c r="S23" s="2" t="s">
        <v>1023</v>
      </c>
    </row>
    <row r="24">
      <c r="A24" s="2">
        <v>23.0</v>
      </c>
      <c r="B24" s="2" t="s">
        <v>1024</v>
      </c>
      <c r="C24" s="2" t="s">
        <v>23</v>
      </c>
      <c r="D24" s="2">
        <v>0.0</v>
      </c>
      <c r="E24" s="2">
        <v>250.0</v>
      </c>
      <c r="F24" s="2">
        <v>0.6</v>
      </c>
      <c r="G24" s="2">
        <v>0.6</v>
      </c>
      <c r="H24" s="2" t="s">
        <v>879</v>
      </c>
      <c r="I24" s="4">
        <v>46216.3002662037</v>
      </c>
      <c r="J24" s="2" t="s">
        <v>1015</v>
      </c>
      <c r="K24" s="2">
        <v>1500.0</v>
      </c>
      <c r="L24" s="2">
        <v>900.0</v>
      </c>
      <c r="M24" s="2">
        <v>1000.0</v>
      </c>
      <c r="N24" s="6">
        <v>42266.0</v>
      </c>
      <c r="O24" s="2" t="s">
        <v>49</v>
      </c>
      <c r="P24" s="2" t="s">
        <v>36</v>
      </c>
      <c r="Q24" s="2" t="s">
        <v>1029</v>
      </c>
      <c r="R24" s="2" t="s">
        <v>1031</v>
      </c>
      <c r="S24" s="2" t="s">
        <v>1032</v>
      </c>
    </row>
    <row r="25">
      <c r="A25" s="2">
        <v>24.0</v>
      </c>
      <c r="B25" s="2" t="s">
        <v>20</v>
      </c>
      <c r="C25" s="2" t="s">
        <v>23</v>
      </c>
      <c r="D25" s="2">
        <v>38.0</v>
      </c>
      <c r="E25" s="2">
        <v>200.0</v>
      </c>
      <c r="F25" s="2">
        <v>0.6</v>
      </c>
      <c r="G25" s="2">
        <v>0.71</v>
      </c>
      <c r="H25" s="2" t="s">
        <v>20</v>
      </c>
      <c r="I25" s="4">
        <v>46228.84972222222</v>
      </c>
      <c r="J25" s="2" t="s">
        <v>34</v>
      </c>
      <c r="K25" s="2">
        <v>30000.0</v>
      </c>
      <c r="L25" s="2">
        <v>70.0</v>
      </c>
      <c r="M25" s="2">
        <v>70.0</v>
      </c>
      <c r="N25" s="6">
        <v>42257.0</v>
      </c>
      <c r="O25" s="2" t="s">
        <v>40</v>
      </c>
      <c r="P25" s="2" t="s">
        <v>36</v>
      </c>
      <c r="Q25" s="2" t="s">
        <v>56</v>
      </c>
      <c r="R25" s="2" t="s">
        <v>58</v>
      </c>
      <c r="S25" s="2" t="s">
        <v>59</v>
      </c>
    </row>
    <row r="26">
      <c r="A26" s="2">
        <v>25.0</v>
      </c>
      <c r="B26" s="2" t="s">
        <v>1038</v>
      </c>
      <c r="C26" s="2" t="s">
        <v>23</v>
      </c>
      <c r="D26" s="2">
        <v>0.0</v>
      </c>
      <c r="E26" s="2">
        <v>200.0</v>
      </c>
      <c r="F26" s="2">
        <v>0.8</v>
      </c>
      <c r="G26" s="2">
        <v>0.6</v>
      </c>
      <c r="H26" s="2" t="s">
        <v>1040</v>
      </c>
      <c r="I26" s="4">
        <v>46233.52668981482</v>
      </c>
      <c r="J26" s="2" t="s">
        <v>34</v>
      </c>
      <c r="K26" s="2">
        <v>200.0</v>
      </c>
      <c r="L26" s="2">
        <v>100.0</v>
      </c>
      <c r="M26" s="2">
        <v>100.0</v>
      </c>
      <c r="N26" s="6">
        <v>42257.0</v>
      </c>
      <c r="O26" s="2" t="s">
        <v>75</v>
      </c>
      <c r="P26" s="2" t="s">
        <v>36</v>
      </c>
      <c r="Q26" s="2" t="s">
        <v>1044</v>
      </c>
      <c r="R26" s="2" t="s">
        <v>1045</v>
      </c>
      <c r="S26" s="2" t="s">
        <v>44</v>
      </c>
    </row>
    <row r="27">
      <c r="A27" s="2">
        <v>26.0</v>
      </c>
      <c r="B27" s="2" t="s">
        <v>1046</v>
      </c>
      <c r="C27" s="2" t="s">
        <v>23</v>
      </c>
      <c r="D27" s="2">
        <v>69.0</v>
      </c>
      <c r="E27" s="2">
        <v>200.0</v>
      </c>
      <c r="F27" s="2">
        <v>0.02</v>
      </c>
      <c r="G27" s="2">
        <v>0.66</v>
      </c>
      <c r="H27" s="2" t="s">
        <v>1046</v>
      </c>
      <c r="I27" s="4">
        <v>46231.410046296296</v>
      </c>
      <c r="J27" s="2" t="s">
        <v>1049</v>
      </c>
      <c r="K27" s="2">
        <v>38000.0</v>
      </c>
      <c r="L27" s="2">
        <v>150.0</v>
      </c>
      <c r="M27" s="2">
        <v>28000.0</v>
      </c>
      <c r="N27" s="6">
        <v>42249.0</v>
      </c>
      <c r="O27" s="2" t="s">
        <v>560</v>
      </c>
      <c r="Q27" s="2" t="s">
        <v>1052</v>
      </c>
      <c r="R27" s="2" t="s">
        <v>1053</v>
      </c>
      <c r="S27" s="2" t="s">
        <v>1054</v>
      </c>
    </row>
    <row r="28">
      <c r="A28" s="2">
        <v>27.0</v>
      </c>
      <c r="B28" s="2" t="s">
        <v>61</v>
      </c>
      <c r="C28" s="2" t="s">
        <v>23</v>
      </c>
      <c r="D28" s="2">
        <v>0.0</v>
      </c>
      <c r="E28" s="2">
        <v>200.0</v>
      </c>
      <c r="F28" s="2">
        <v>0.5</v>
      </c>
      <c r="H28" s="2" t="s">
        <v>1057</v>
      </c>
      <c r="I28" s="4">
        <v>46230.073645833334</v>
      </c>
      <c r="J28" s="2" t="s">
        <v>1058</v>
      </c>
      <c r="K28" s="2">
        <v>5500.0</v>
      </c>
      <c r="L28" s="2">
        <v>200.0</v>
      </c>
      <c r="M28" s="2">
        <v>200.0</v>
      </c>
      <c r="N28" s="6">
        <v>42354.0</v>
      </c>
      <c r="O28" s="2" t="s">
        <v>75</v>
      </c>
      <c r="P28" s="2" t="s">
        <v>36</v>
      </c>
      <c r="Q28" s="2" t="s">
        <v>1060</v>
      </c>
      <c r="S28" s="2" t="s">
        <v>44</v>
      </c>
    </row>
    <row r="29">
      <c r="A29" s="2">
        <v>28.0</v>
      </c>
      <c r="B29" s="2" t="s">
        <v>1057</v>
      </c>
      <c r="C29" s="2" t="s">
        <v>23</v>
      </c>
      <c r="D29" s="2">
        <v>0.0</v>
      </c>
      <c r="E29" s="2">
        <v>200.0</v>
      </c>
      <c r="F29" s="2">
        <v>1.0</v>
      </c>
      <c r="H29" s="2" t="s">
        <v>24</v>
      </c>
      <c r="I29" s="4">
        <v>46228.54993055556</v>
      </c>
      <c r="J29" s="2" t="s">
        <v>34</v>
      </c>
      <c r="K29" s="2">
        <v>2500.0</v>
      </c>
      <c r="L29" s="2">
        <v>150.0</v>
      </c>
      <c r="M29" s="2">
        <v>150.0</v>
      </c>
      <c r="N29" s="6">
        <v>43848.0</v>
      </c>
      <c r="O29" s="2" t="s">
        <v>40</v>
      </c>
      <c r="P29" s="2" t="s">
        <v>36</v>
      </c>
      <c r="Q29" s="2" t="s">
        <v>1066</v>
      </c>
      <c r="S29" s="2" t="s">
        <v>44</v>
      </c>
    </row>
    <row r="30">
      <c r="A30" s="2">
        <v>29.0</v>
      </c>
      <c r="B30" s="2" t="s">
        <v>1068</v>
      </c>
      <c r="C30" s="2" t="s">
        <v>23</v>
      </c>
      <c r="D30" s="2">
        <v>0.0</v>
      </c>
      <c r="E30" s="2">
        <v>200.0</v>
      </c>
      <c r="F30" s="2">
        <v>0.7</v>
      </c>
      <c r="H30" s="2" t="s">
        <v>890</v>
      </c>
      <c r="I30" s="4">
        <v>46224.29332175926</v>
      </c>
      <c r="J30" s="2" t="s">
        <v>891</v>
      </c>
      <c r="K30" s="2">
        <v>24000.0</v>
      </c>
      <c r="L30" s="2">
        <v>700.0</v>
      </c>
      <c r="M30" s="2">
        <v>700.0</v>
      </c>
      <c r="N30" s="6">
        <v>43087.0</v>
      </c>
      <c r="O30" s="2" t="s">
        <v>75</v>
      </c>
      <c r="P30" s="2" t="s">
        <v>36</v>
      </c>
      <c r="Q30" s="2" t="s">
        <v>1072</v>
      </c>
      <c r="S30" s="2" t="s">
        <v>867</v>
      </c>
    </row>
    <row r="31">
      <c r="A31" s="2">
        <v>30.0</v>
      </c>
      <c r="B31" s="2" t="s">
        <v>1074</v>
      </c>
      <c r="C31" s="2" t="s">
        <v>23</v>
      </c>
      <c r="D31" s="2">
        <v>56.0</v>
      </c>
      <c r="E31" s="2">
        <v>200.0</v>
      </c>
      <c r="F31" s="2">
        <v>0.35</v>
      </c>
      <c r="G31" s="2">
        <v>0.22</v>
      </c>
      <c r="H31" s="2" t="s">
        <v>1076</v>
      </c>
      <c r="I31" s="4">
        <v>46217.44974537037</v>
      </c>
      <c r="J31" s="2" t="s">
        <v>34</v>
      </c>
      <c r="K31" s="2">
        <v>84000.0</v>
      </c>
      <c r="L31" s="2">
        <v>350.0</v>
      </c>
      <c r="M31" s="2">
        <v>350.0</v>
      </c>
      <c r="N31" s="6">
        <v>42280.0</v>
      </c>
      <c r="O31" s="2" t="s">
        <v>40</v>
      </c>
      <c r="P31" s="2" t="s">
        <v>36</v>
      </c>
      <c r="Q31" s="2" t="s">
        <v>1079</v>
      </c>
      <c r="R31" s="2" t="s">
        <v>1081</v>
      </c>
      <c r="S31" s="2" t="s">
        <v>146</v>
      </c>
    </row>
    <row r="32">
      <c r="A32" s="2">
        <v>31.0</v>
      </c>
      <c r="B32" s="2" t="s">
        <v>1083</v>
      </c>
      <c r="C32" s="2" t="s">
        <v>23</v>
      </c>
      <c r="D32" s="2">
        <v>5.0</v>
      </c>
      <c r="E32" s="2">
        <v>200.0</v>
      </c>
      <c r="F32" s="2">
        <v>1.0</v>
      </c>
      <c r="H32" s="2" t="s">
        <v>1086</v>
      </c>
      <c r="I32" s="4">
        <v>46219.57497685185</v>
      </c>
      <c r="J32" s="2" t="s">
        <v>891</v>
      </c>
      <c r="K32" s="2">
        <v>900.0</v>
      </c>
      <c r="L32" s="2">
        <v>10.0</v>
      </c>
      <c r="M32" s="2">
        <v>10.0</v>
      </c>
      <c r="N32" s="6">
        <v>42304.0</v>
      </c>
      <c r="O32" s="2" t="s">
        <v>40</v>
      </c>
      <c r="P32" s="2" t="s">
        <v>36</v>
      </c>
      <c r="Q32" s="2" t="s">
        <v>1089</v>
      </c>
      <c r="S32" s="2" t="s">
        <v>867</v>
      </c>
    </row>
    <row r="33">
      <c r="A33" s="2">
        <v>32.0</v>
      </c>
      <c r="B33" s="2" t="s">
        <v>123</v>
      </c>
      <c r="C33" s="2" t="s">
        <v>23</v>
      </c>
      <c r="D33" s="2">
        <v>29.0</v>
      </c>
      <c r="E33" s="2">
        <v>200.0</v>
      </c>
      <c r="F33" s="2">
        <v>1.4</v>
      </c>
      <c r="G33" s="2">
        <v>0.63</v>
      </c>
      <c r="H33" s="2" t="s">
        <v>123</v>
      </c>
      <c r="I33" s="4">
        <v>46200.99805555555</v>
      </c>
      <c r="J33" s="2" t="s">
        <v>1092</v>
      </c>
      <c r="K33" s="2">
        <v>167000.0</v>
      </c>
      <c r="L33" s="2">
        <v>450.0</v>
      </c>
      <c r="M33" s="2">
        <v>600.0</v>
      </c>
      <c r="N33" s="6">
        <v>42251.0</v>
      </c>
      <c r="O33" s="2" t="s">
        <v>1095</v>
      </c>
      <c r="Q33" s="2" t="s">
        <v>1096</v>
      </c>
      <c r="R33" s="2" t="s">
        <v>1097</v>
      </c>
      <c r="S33" s="2" t="s">
        <v>1099</v>
      </c>
    </row>
    <row r="34">
      <c r="A34" s="2">
        <v>33.0</v>
      </c>
      <c r="B34" s="2" t="s">
        <v>1100</v>
      </c>
      <c r="C34" s="2" t="s">
        <v>23</v>
      </c>
      <c r="D34" s="2">
        <v>0.0</v>
      </c>
      <c r="E34" s="2">
        <v>200.0</v>
      </c>
      <c r="F34" s="2">
        <v>0.01</v>
      </c>
      <c r="H34" s="2" t="s">
        <v>1102</v>
      </c>
      <c r="I34" s="4">
        <v>46229.526296296295</v>
      </c>
      <c r="K34" s="2">
        <v>200.0</v>
      </c>
      <c r="L34" s="2">
        <v>300.0</v>
      </c>
      <c r="M34" s="2">
        <v>300.0</v>
      </c>
      <c r="N34" s="6">
        <v>42248.0</v>
      </c>
      <c r="O34" s="2" t="s">
        <v>35</v>
      </c>
      <c r="P34" s="2" t="s">
        <v>36</v>
      </c>
      <c r="Q34" s="2" t="s">
        <v>1105</v>
      </c>
      <c r="S34" s="2" t="s">
        <v>39</v>
      </c>
    </row>
    <row r="35">
      <c r="A35" s="2">
        <v>34.0</v>
      </c>
      <c r="B35" s="2" t="s">
        <v>1107</v>
      </c>
      <c r="C35" s="2" t="s">
        <v>23</v>
      </c>
      <c r="D35" s="2">
        <v>0.0</v>
      </c>
      <c r="E35" s="2">
        <v>200.0</v>
      </c>
      <c r="F35" s="2">
        <v>0.6</v>
      </c>
      <c r="G35" s="2">
        <v>0.72</v>
      </c>
      <c r="H35" s="2" t="s">
        <v>1107</v>
      </c>
      <c r="I35" s="4">
        <v>46216.339166666665</v>
      </c>
      <c r="J35" s="2" t="s">
        <v>1015</v>
      </c>
      <c r="K35" s="2">
        <v>200.0</v>
      </c>
      <c r="L35" s="2">
        <v>250.0</v>
      </c>
      <c r="M35" s="2">
        <v>700.0</v>
      </c>
      <c r="N35" s="6">
        <v>42282.0</v>
      </c>
      <c r="O35" s="2" t="s">
        <v>49</v>
      </c>
      <c r="P35" s="2" t="s">
        <v>36</v>
      </c>
      <c r="Q35" s="2" t="s">
        <v>1112</v>
      </c>
      <c r="S35" s="2" t="s">
        <v>1113</v>
      </c>
    </row>
    <row r="36">
      <c r="A36" s="2">
        <v>35.0</v>
      </c>
      <c r="B36" s="2" t="s">
        <v>1115</v>
      </c>
      <c r="C36" s="2" t="s">
        <v>23</v>
      </c>
      <c r="D36" s="2">
        <v>33.0</v>
      </c>
      <c r="E36" s="2">
        <v>200.0</v>
      </c>
      <c r="F36" s="2">
        <v>0.4</v>
      </c>
      <c r="H36" s="2" t="s">
        <v>72</v>
      </c>
      <c r="I36" s="4">
        <v>46235.45271990741</v>
      </c>
      <c r="J36" s="2" t="s">
        <v>63</v>
      </c>
      <c r="K36" s="2">
        <v>8200.0</v>
      </c>
      <c r="L36" s="2">
        <v>500.0</v>
      </c>
      <c r="M36" s="2">
        <v>500.0</v>
      </c>
      <c r="N36" s="6">
        <v>43602.0</v>
      </c>
      <c r="O36" s="2" t="s">
        <v>75</v>
      </c>
      <c r="P36" s="2" t="s">
        <v>36</v>
      </c>
      <c r="Q36" s="2" t="s">
        <v>1119</v>
      </c>
      <c r="S36" s="2" t="s">
        <v>867</v>
      </c>
    </row>
    <row r="37">
      <c r="A37" s="2">
        <v>36.0</v>
      </c>
      <c r="B37" s="2" t="s">
        <v>1121</v>
      </c>
      <c r="C37" s="2" t="s">
        <v>23</v>
      </c>
      <c r="D37" s="2">
        <v>0.0</v>
      </c>
      <c r="E37" s="2">
        <v>200.0</v>
      </c>
      <c r="F37" s="2">
        <v>0.03</v>
      </c>
      <c r="H37" s="2" t="s">
        <v>1124</v>
      </c>
      <c r="I37" s="4">
        <v>46213.84961805555</v>
      </c>
      <c r="J37" s="2" t="s">
        <v>766</v>
      </c>
      <c r="K37" s="2">
        <v>4300.0</v>
      </c>
      <c r="L37" s="2">
        <v>100.0</v>
      </c>
      <c r="M37" s="2">
        <v>100.0</v>
      </c>
      <c r="N37" s="6">
        <v>42415.0</v>
      </c>
      <c r="O37" s="2" t="s">
        <v>655</v>
      </c>
      <c r="P37" s="2" t="s">
        <v>36</v>
      </c>
      <c r="Q37" s="2" t="s">
        <v>1128</v>
      </c>
      <c r="S37" s="2" t="s">
        <v>39</v>
      </c>
    </row>
    <row r="38">
      <c r="A38" s="2">
        <v>37.0</v>
      </c>
      <c r="B38" s="2" t="s">
        <v>24</v>
      </c>
      <c r="C38" s="2" t="s">
        <v>23</v>
      </c>
      <c r="D38" s="2">
        <v>0.0</v>
      </c>
      <c r="E38" s="2">
        <v>150.0</v>
      </c>
      <c r="F38" s="2">
        <v>1.2</v>
      </c>
      <c r="G38" s="2">
        <v>0.72</v>
      </c>
      <c r="H38" s="2" t="s">
        <v>61</v>
      </c>
      <c r="I38" s="4">
        <v>46221.64528935185</v>
      </c>
      <c r="J38" s="2" t="s">
        <v>63</v>
      </c>
      <c r="K38" s="2">
        <v>38000.0</v>
      </c>
      <c r="L38" s="2">
        <v>150.0</v>
      </c>
      <c r="M38" s="2">
        <v>150.0</v>
      </c>
      <c r="N38" s="6">
        <v>42272.0</v>
      </c>
      <c r="O38" s="2" t="s">
        <v>40</v>
      </c>
      <c r="P38" s="2" t="s">
        <v>36</v>
      </c>
      <c r="Q38" s="2" t="s">
        <v>67</v>
      </c>
      <c r="R38" s="2" t="s">
        <v>68</v>
      </c>
      <c r="S38" s="2" t="s">
        <v>69</v>
      </c>
    </row>
    <row r="39">
      <c r="A39" s="2">
        <v>38.0</v>
      </c>
      <c r="B39" s="2" t="s">
        <v>1134</v>
      </c>
      <c r="C39" s="2" t="s">
        <v>23</v>
      </c>
      <c r="D39" s="2">
        <v>51.0</v>
      </c>
      <c r="E39" s="2">
        <v>150.0</v>
      </c>
      <c r="F39" s="2">
        <v>0.6</v>
      </c>
      <c r="H39" s="2" t="s">
        <v>887</v>
      </c>
      <c r="I39" s="4">
        <v>46229.6472337963</v>
      </c>
      <c r="J39" s="2" t="s">
        <v>891</v>
      </c>
      <c r="K39" s="2">
        <v>4700.0</v>
      </c>
      <c r="L39" s="2">
        <v>800.0</v>
      </c>
      <c r="M39" s="2">
        <v>800.0</v>
      </c>
      <c r="N39" s="6">
        <v>43262.0</v>
      </c>
      <c r="O39" s="2" t="s">
        <v>40</v>
      </c>
      <c r="P39" s="2" t="s">
        <v>36</v>
      </c>
      <c r="Q39" s="2" t="s">
        <v>1140</v>
      </c>
      <c r="R39" s="2" t="s">
        <v>1141</v>
      </c>
      <c r="S39" s="2" t="s">
        <v>1142</v>
      </c>
    </row>
    <row r="40">
      <c r="A40" s="2">
        <v>39.0</v>
      </c>
      <c r="B40" s="2" t="s">
        <v>1144</v>
      </c>
      <c r="C40" s="2" t="s">
        <v>23</v>
      </c>
      <c r="D40" s="2">
        <v>0.0</v>
      </c>
      <c r="E40" s="2">
        <v>150.0</v>
      </c>
      <c r="F40" s="2">
        <v>0.2</v>
      </c>
      <c r="G40" s="2">
        <v>0.83</v>
      </c>
      <c r="H40" s="2" t="s">
        <v>123</v>
      </c>
      <c r="I40" s="4">
        <v>46218.01666666667</v>
      </c>
      <c r="J40" s="2" t="s">
        <v>1092</v>
      </c>
      <c r="K40" s="2">
        <v>2800.0</v>
      </c>
      <c r="L40" s="2">
        <v>500.0</v>
      </c>
      <c r="M40" s="2">
        <v>500.0</v>
      </c>
      <c r="N40" s="6">
        <v>42269.0</v>
      </c>
      <c r="O40" s="2" t="s">
        <v>560</v>
      </c>
      <c r="P40" s="2" t="s">
        <v>36</v>
      </c>
      <c r="Q40" s="2" t="s">
        <v>1149</v>
      </c>
      <c r="R40" s="2" t="s">
        <v>1150</v>
      </c>
      <c r="S40" s="2" t="s">
        <v>1151</v>
      </c>
    </row>
    <row r="41">
      <c r="A41" s="2">
        <v>40.0</v>
      </c>
      <c r="B41" s="2" t="s">
        <v>1153</v>
      </c>
      <c r="C41" s="2" t="s">
        <v>23</v>
      </c>
      <c r="D41" s="2">
        <v>12.0</v>
      </c>
      <c r="E41" s="2">
        <v>150.0</v>
      </c>
      <c r="F41" s="2">
        <v>0.35</v>
      </c>
      <c r="H41" s="2" t="s">
        <v>1154</v>
      </c>
      <c r="I41" s="4">
        <v>46227.623240740744</v>
      </c>
      <c r="J41" s="2" t="s">
        <v>891</v>
      </c>
      <c r="K41" s="2">
        <v>150.0</v>
      </c>
      <c r="L41" s="2">
        <v>450.0</v>
      </c>
      <c r="M41" s="2">
        <v>450.0</v>
      </c>
      <c r="N41" s="6">
        <v>44403.0</v>
      </c>
      <c r="O41" s="2" t="s">
        <v>1157</v>
      </c>
      <c r="P41" s="2" t="s">
        <v>36</v>
      </c>
      <c r="Q41" s="2" t="s">
        <v>1159</v>
      </c>
      <c r="S41" s="2" t="s">
        <v>1160</v>
      </c>
    </row>
    <row r="42">
      <c r="A42" s="2">
        <v>41.0</v>
      </c>
      <c r="B42" s="2" t="s">
        <v>1162</v>
      </c>
      <c r="C42" s="2" t="s">
        <v>23</v>
      </c>
      <c r="D42" s="2">
        <v>1.0</v>
      </c>
      <c r="E42" s="2">
        <v>150.0</v>
      </c>
      <c r="F42" s="2">
        <v>0.6</v>
      </c>
      <c r="G42" s="2">
        <v>0.9</v>
      </c>
      <c r="H42" s="2" t="s">
        <v>879</v>
      </c>
      <c r="I42" s="4">
        <v>46225.036099537036</v>
      </c>
      <c r="J42" s="2" t="s">
        <v>1166</v>
      </c>
      <c r="K42" s="2">
        <v>300.0</v>
      </c>
      <c r="L42" s="2">
        <v>900.0</v>
      </c>
      <c r="M42" s="2">
        <v>1000.0</v>
      </c>
      <c r="N42" s="6">
        <v>42286.0</v>
      </c>
      <c r="O42" s="2" t="s">
        <v>1017</v>
      </c>
      <c r="P42" s="2" t="s">
        <v>36</v>
      </c>
      <c r="Q42" s="2" t="s">
        <v>1167</v>
      </c>
      <c r="S42" s="2" t="s">
        <v>107</v>
      </c>
    </row>
    <row r="43">
      <c r="A43" s="2">
        <v>42.0</v>
      </c>
      <c r="B43" s="2" t="s">
        <v>171</v>
      </c>
      <c r="C43" s="2" t="s">
        <v>23</v>
      </c>
      <c r="D43" s="2">
        <v>36.0</v>
      </c>
      <c r="E43" s="2">
        <v>150.0</v>
      </c>
      <c r="F43" s="2">
        <v>0.15</v>
      </c>
      <c r="G43" s="2">
        <v>1.7</v>
      </c>
      <c r="H43" s="2" t="s">
        <v>1171</v>
      </c>
      <c r="I43" s="4">
        <v>46216.70479166666</v>
      </c>
      <c r="J43" s="2" t="s">
        <v>34</v>
      </c>
      <c r="K43" s="2">
        <v>11000.0</v>
      </c>
      <c r="L43" s="2">
        <v>0.0</v>
      </c>
      <c r="M43" s="2">
        <v>0.0</v>
      </c>
      <c r="N43" s="6">
        <v>42254.0</v>
      </c>
      <c r="O43" s="2" t="s">
        <v>40</v>
      </c>
      <c r="P43" s="2" t="s">
        <v>36</v>
      </c>
      <c r="Q43" s="2" t="s">
        <v>1173</v>
      </c>
      <c r="R43" s="2" t="s">
        <v>1174</v>
      </c>
      <c r="S43" s="2" t="s">
        <v>132</v>
      </c>
    </row>
    <row r="44">
      <c r="A44" s="2">
        <v>43.0</v>
      </c>
      <c r="B44" s="2" t="s">
        <v>1175</v>
      </c>
      <c r="C44" s="2" t="s">
        <v>23</v>
      </c>
      <c r="D44" s="2">
        <v>26.0</v>
      </c>
      <c r="E44" s="2">
        <v>150.0</v>
      </c>
      <c r="F44" s="2">
        <v>0.5</v>
      </c>
      <c r="G44" s="2">
        <v>0.65</v>
      </c>
      <c r="H44" s="2" t="s">
        <v>123</v>
      </c>
      <c r="I44" s="4">
        <v>46203.75478009259</v>
      </c>
      <c r="J44" s="2" t="s">
        <v>1092</v>
      </c>
      <c r="K44" s="2">
        <v>300.0</v>
      </c>
      <c r="L44" s="2">
        <v>450.0</v>
      </c>
      <c r="M44" s="2">
        <v>600.0</v>
      </c>
      <c r="N44" s="6">
        <v>42255.0</v>
      </c>
      <c r="O44" s="2" t="s">
        <v>1179</v>
      </c>
      <c r="P44" s="2" t="s">
        <v>36</v>
      </c>
      <c r="Q44" s="2" t="s">
        <v>1180</v>
      </c>
      <c r="R44" s="2" t="s">
        <v>1181</v>
      </c>
      <c r="S44" s="2" t="s">
        <v>1182</v>
      </c>
    </row>
    <row r="45">
      <c r="A45" s="2">
        <v>44.0</v>
      </c>
      <c r="B45" s="2" t="s">
        <v>70</v>
      </c>
      <c r="C45" s="2" t="s">
        <v>23</v>
      </c>
      <c r="D45" s="2">
        <v>2.0</v>
      </c>
      <c r="E45" s="2">
        <v>150.0</v>
      </c>
      <c r="F45" s="2">
        <v>0.5</v>
      </c>
      <c r="H45" s="2" t="s">
        <v>72</v>
      </c>
      <c r="I45" s="4">
        <v>46214.633518518516</v>
      </c>
      <c r="J45" s="2" t="s">
        <v>34</v>
      </c>
      <c r="K45" s="2">
        <v>7300.0</v>
      </c>
      <c r="L45" s="2">
        <v>350.0</v>
      </c>
      <c r="M45" s="2">
        <v>350.0</v>
      </c>
      <c r="N45" s="6">
        <v>43046.0</v>
      </c>
      <c r="O45" s="2" t="s">
        <v>75</v>
      </c>
      <c r="P45" s="2" t="s">
        <v>36</v>
      </c>
      <c r="Q45" s="2" t="s">
        <v>77</v>
      </c>
      <c r="S45" s="2" t="s">
        <v>44</v>
      </c>
    </row>
    <row r="46">
      <c r="A46" s="2">
        <v>45.0</v>
      </c>
      <c r="B46" s="2" t="s">
        <v>1186</v>
      </c>
      <c r="C46" s="2" t="s">
        <v>23</v>
      </c>
      <c r="D46" s="2">
        <v>0.0</v>
      </c>
      <c r="E46" s="2">
        <v>150.0</v>
      </c>
      <c r="F46" s="2">
        <v>0.35</v>
      </c>
      <c r="H46" s="2" t="s">
        <v>1186</v>
      </c>
      <c r="I46" s="4">
        <v>46223.690347222226</v>
      </c>
      <c r="J46" s="2" t="s">
        <v>1189</v>
      </c>
      <c r="K46" s="2">
        <v>150.0</v>
      </c>
      <c r="L46" s="2">
        <v>30.0</v>
      </c>
      <c r="M46" s="2">
        <v>30.0</v>
      </c>
      <c r="N46" s="6">
        <v>43027.0</v>
      </c>
      <c r="O46" s="2" t="s">
        <v>102</v>
      </c>
      <c r="P46" s="2" t="s">
        <v>36</v>
      </c>
      <c r="Q46" s="2" t="s">
        <v>1192</v>
      </c>
      <c r="R46" s="2" t="s">
        <v>1194</v>
      </c>
      <c r="S46" s="2" t="s">
        <v>1195</v>
      </c>
    </row>
    <row r="47">
      <c r="A47" s="2">
        <v>46.0</v>
      </c>
      <c r="B47" s="2" t="s">
        <v>1196</v>
      </c>
      <c r="C47" s="2" t="s">
        <v>23</v>
      </c>
      <c r="D47" s="2">
        <v>34.0</v>
      </c>
      <c r="E47" s="2">
        <v>150.0</v>
      </c>
      <c r="F47" s="2">
        <v>0.35</v>
      </c>
      <c r="H47" s="2" t="s">
        <v>1198</v>
      </c>
      <c r="I47" s="4">
        <v>46211.09006944444</v>
      </c>
      <c r="J47" s="2" t="s">
        <v>34</v>
      </c>
      <c r="K47" s="2">
        <v>14000.0</v>
      </c>
      <c r="L47" s="2">
        <v>0.0</v>
      </c>
      <c r="M47" s="2">
        <v>600.0</v>
      </c>
      <c r="N47" s="6">
        <v>42691.0</v>
      </c>
      <c r="O47" s="2" t="s">
        <v>40</v>
      </c>
      <c r="P47" s="2" t="s">
        <v>36</v>
      </c>
      <c r="Q47" s="2" t="s">
        <v>1202</v>
      </c>
      <c r="S47" s="2" t="s">
        <v>131</v>
      </c>
    </row>
    <row r="48">
      <c r="A48" s="2">
        <v>47.0</v>
      </c>
      <c r="B48" s="2" t="s">
        <v>1204</v>
      </c>
      <c r="C48" s="2" t="s">
        <v>23</v>
      </c>
      <c r="D48" s="2">
        <v>22.0</v>
      </c>
      <c r="E48" s="2">
        <v>150.0</v>
      </c>
      <c r="F48" s="2">
        <v>0.35</v>
      </c>
      <c r="G48" s="2">
        <v>0.93</v>
      </c>
      <c r="H48" s="2" t="s">
        <v>1207</v>
      </c>
      <c r="I48" s="4">
        <v>46235.87770833333</v>
      </c>
      <c r="J48" s="2" t="s">
        <v>1058</v>
      </c>
      <c r="K48" s="2">
        <v>11000.0</v>
      </c>
      <c r="L48" s="2">
        <v>150.0</v>
      </c>
      <c r="M48" s="2">
        <v>150.0</v>
      </c>
      <c r="N48" s="6">
        <v>42250.0</v>
      </c>
      <c r="O48" s="2" t="s">
        <v>91</v>
      </c>
      <c r="P48" s="2" t="s">
        <v>36</v>
      </c>
      <c r="Q48" s="2" t="s">
        <v>1210</v>
      </c>
      <c r="R48" s="2" t="s">
        <v>1212</v>
      </c>
      <c r="S48" s="2" t="s">
        <v>1213</v>
      </c>
    </row>
    <row r="49">
      <c r="A49" s="2">
        <v>48.0</v>
      </c>
      <c r="B49" s="2" t="s">
        <v>1214</v>
      </c>
      <c r="C49" s="2" t="s">
        <v>23</v>
      </c>
      <c r="D49" s="2">
        <v>0.0</v>
      </c>
      <c r="E49" s="2">
        <v>150.0</v>
      </c>
      <c r="F49" s="2">
        <v>0.45</v>
      </c>
      <c r="H49" s="2" t="s">
        <v>1215</v>
      </c>
      <c r="I49" s="4">
        <v>46234.64144675926</v>
      </c>
      <c r="J49" s="2" t="s">
        <v>34</v>
      </c>
      <c r="K49" s="2">
        <v>12000.0</v>
      </c>
      <c r="L49" s="2">
        <v>10.0</v>
      </c>
      <c r="M49" s="2">
        <v>10.0</v>
      </c>
      <c r="N49" s="6">
        <v>42838.0</v>
      </c>
      <c r="O49" s="2" t="s">
        <v>40</v>
      </c>
      <c r="P49" s="2" t="s">
        <v>36</v>
      </c>
      <c r="Q49" s="2" t="s">
        <v>1219</v>
      </c>
      <c r="S49" s="2" t="s">
        <v>132</v>
      </c>
    </row>
    <row r="50">
      <c r="A50" s="2">
        <v>49.0</v>
      </c>
      <c r="B50" s="2" t="s">
        <v>1040</v>
      </c>
      <c r="C50" s="2" t="s">
        <v>23</v>
      </c>
      <c r="D50" s="2">
        <v>13.0</v>
      </c>
      <c r="E50" s="2">
        <v>150.0</v>
      </c>
      <c r="F50" s="2">
        <v>0.6</v>
      </c>
      <c r="H50" s="2" t="s">
        <v>1038</v>
      </c>
      <c r="I50" s="4">
        <v>46209.08037037037</v>
      </c>
      <c r="J50" s="2" t="s">
        <v>34</v>
      </c>
      <c r="K50" s="2">
        <v>150.0</v>
      </c>
      <c r="L50" s="2">
        <v>50.0</v>
      </c>
      <c r="M50" s="2">
        <v>50.0</v>
      </c>
      <c r="N50" s="6">
        <v>42299.0</v>
      </c>
      <c r="O50" s="2" t="s">
        <v>91</v>
      </c>
      <c r="P50" s="2" t="s">
        <v>36</v>
      </c>
      <c r="Q50" s="2" t="s">
        <v>1222</v>
      </c>
      <c r="S50" s="2" t="s">
        <v>44</v>
      </c>
    </row>
    <row r="51">
      <c r="A51" s="2">
        <v>50.0</v>
      </c>
      <c r="B51" s="2" t="s">
        <v>79</v>
      </c>
      <c r="C51" s="2" t="s">
        <v>23</v>
      </c>
      <c r="D51" s="2">
        <v>1.0</v>
      </c>
      <c r="E51" s="2">
        <v>150.0</v>
      </c>
      <c r="F51" s="2">
        <v>1.7</v>
      </c>
      <c r="H51" s="2" t="s">
        <v>61</v>
      </c>
      <c r="I51" s="4">
        <v>46208.12724537037</v>
      </c>
      <c r="J51" s="2" t="s">
        <v>34</v>
      </c>
      <c r="K51" s="2">
        <v>23000.0</v>
      </c>
      <c r="L51" s="2">
        <v>10.0</v>
      </c>
      <c r="M51" s="2">
        <v>10.0</v>
      </c>
      <c r="N51" s="6">
        <v>42933.0</v>
      </c>
      <c r="O51" s="2" t="s">
        <v>75</v>
      </c>
      <c r="P51" s="2" t="s">
        <v>36</v>
      </c>
      <c r="Q51" s="2" t="s">
        <v>84</v>
      </c>
      <c r="S51" s="2" t="s">
        <v>44</v>
      </c>
    </row>
    <row r="52">
      <c r="A52" s="2">
        <v>51.0</v>
      </c>
      <c r="B52" s="2" t="s">
        <v>1227</v>
      </c>
      <c r="C52" s="2" t="s">
        <v>23</v>
      </c>
      <c r="D52" s="2">
        <v>32.0</v>
      </c>
      <c r="E52" s="2">
        <v>150.0</v>
      </c>
      <c r="F52" s="2">
        <v>0.45</v>
      </c>
      <c r="G52" s="2">
        <v>0.84</v>
      </c>
      <c r="H52" s="2" t="s">
        <v>1230</v>
      </c>
      <c r="I52" s="4">
        <v>46213.2634837963</v>
      </c>
      <c r="J52" s="2" t="s">
        <v>34</v>
      </c>
      <c r="K52" s="2">
        <v>150.0</v>
      </c>
      <c r="L52" s="2">
        <v>100.0</v>
      </c>
      <c r="M52" s="2">
        <v>100.0</v>
      </c>
      <c r="N52" s="6">
        <v>42290.0</v>
      </c>
      <c r="O52" s="2" t="s">
        <v>40</v>
      </c>
      <c r="P52" s="2" t="s">
        <v>36</v>
      </c>
      <c r="Q52" s="2" t="s">
        <v>1232</v>
      </c>
      <c r="S52" s="2" t="s">
        <v>132</v>
      </c>
    </row>
    <row r="53">
      <c r="A53" s="2">
        <v>52.0</v>
      </c>
      <c r="B53" s="2" t="s">
        <v>92</v>
      </c>
      <c r="C53" s="2" t="s">
        <v>23</v>
      </c>
      <c r="D53" s="2">
        <v>0.0</v>
      </c>
      <c r="E53" s="2">
        <v>150.0</v>
      </c>
      <c r="F53" s="2">
        <v>0.6</v>
      </c>
      <c r="H53" s="2" t="s">
        <v>1</v>
      </c>
      <c r="I53" s="4">
        <v>46219.77337962963</v>
      </c>
      <c r="J53" s="2" t="s">
        <v>34</v>
      </c>
      <c r="K53" s="2">
        <v>150.0</v>
      </c>
      <c r="L53" s="2">
        <v>250.0</v>
      </c>
      <c r="M53" s="2">
        <v>250.0</v>
      </c>
      <c r="N53" s="6">
        <v>42262.0</v>
      </c>
      <c r="O53" s="2" t="s">
        <v>75</v>
      </c>
      <c r="P53" s="2" t="s">
        <v>36</v>
      </c>
      <c r="Q53" s="2" t="s">
        <v>100</v>
      </c>
      <c r="S53" s="2" t="s">
        <v>44</v>
      </c>
    </row>
    <row r="54">
      <c r="A54" s="2">
        <v>53.0</v>
      </c>
      <c r="B54" s="2" t="s">
        <v>1238</v>
      </c>
      <c r="C54" s="2" t="s">
        <v>23</v>
      </c>
      <c r="D54" s="2">
        <v>0.0</v>
      </c>
      <c r="E54" s="2">
        <v>150.0</v>
      </c>
      <c r="F54" s="2">
        <v>0.3</v>
      </c>
      <c r="G54" s="2">
        <v>0.56</v>
      </c>
      <c r="H54" s="2" t="s">
        <v>1115</v>
      </c>
      <c r="I54" s="4">
        <v>46230.16241898148</v>
      </c>
      <c r="J54" s="2" t="s">
        <v>34</v>
      </c>
      <c r="K54" s="2">
        <v>800.0</v>
      </c>
      <c r="L54" s="2">
        <v>30.0</v>
      </c>
      <c r="M54" s="2">
        <v>30.0</v>
      </c>
      <c r="N54" s="6">
        <v>42252.0</v>
      </c>
      <c r="O54" s="2" t="s">
        <v>40</v>
      </c>
      <c r="P54" s="2" t="s">
        <v>36</v>
      </c>
      <c r="Q54" s="2" t="s">
        <v>1242</v>
      </c>
      <c r="R54" s="2" t="s">
        <v>1244</v>
      </c>
      <c r="S54" s="2" t="s">
        <v>867</v>
      </c>
    </row>
    <row r="55">
      <c r="A55" s="2">
        <v>54.0</v>
      </c>
      <c r="B55" s="2" t="s">
        <v>1246</v>
      </c>
      <c r="C55" s="2" t="s">
        <v>23</v>
      </c>
      <c r="D55" s="2">
        <v>13.0</v>
      </c>
      <c r="E55" s="2">
        <v>150.0</v>
      </c>
      <c r="F55" s="2">
        <v>0.5</v>
      </c>
      <c r="H55" s="2" t="s">
        <v>1247</v>
      </c>
      <c r="I55" s="4">
        <v>46214.52835648148</v>
      </c>
      <c r="J55" s="2" t="s">
        <v>891</v>
      </c>
      <c r="K55" s="2">
        <v>700.0</v>
      </c>
      <c r="L55" s="2">
        <v>100.0</v>
      </c>
      <c r="M55" s="2">
        <v>100.0</v>
      </c>
      <c r="N55" s="6">
        <v>43129.0</v>
      </c>
      <c r="O55" s="2" t="s">
        <v>91</v>
      </c>
      <c r="P55" s="2" t="s">
        <v>36</v>
      </c>
      <c r="Q55" s="2" t="s">
        <v>1251</v>
      </c>
      <c r="S55" s="2" t="s">
        <v>146</v>
      </c>
    </row>
    <row r="56">
      <c r="A56" s="2">
        <v>55.0</v>
      </c>
      <c r="B56" s="2" t="s">
        <v>1252</v>
      </c>
      <c r="C56" s="2" t="s">
        <v>23</v>
      </c>
      <c r="D56" s="2">
        <v>1.0</v>
      </c>
      <c r="E56" s="2">
        <v>100.0</v>
      </c>
      <c r="F56" s="2">
        <v>0.45</v>
      </c>
      <c r="H56" s="2" t="s">
        <v>1057</v>
      </c>
      <c r="I56" s="4">
        <v>46227.48260416667</v>
      </c>
      <c r="J56" s="2" t="s">
        <v>34</v>
      </c>
      <c r="K56" s="2">
        <v>2200.0</v>
      </c>
      <c r="L56" s="2">
        <v>60.0</v>
      </c>
      <c r="M56" s="2">
        <v>60.0</v>
      </c>
      <c r="N56" s="6">
        <v>42394.0</v>
      </c>
      <c r="O56" s="2" t="s">
        <v>75</v>
      </c>
      <c r="P56" s="2" t="s">
        <v>36</v>
      </c>
      <c r="Q56" s="2" t="s">
        <v>1255</v>
      </c>
      <c r="S56" s="2" t="s">
        <v>69</v>
      </c>
    </row>
    <row r="57">
      <c r="A57" s="2">
        <v>56.0</v>
      </c>
      <c r="B57" s="2" t="s">
        <v>1257</v>
      </c>
      <c r="C57" s="2" t="s">
        <v>23</v>
      </c>
      <c r="D57" s="2">
        <v>16.0</v>
      </c>
      <c r="E57" s="2">
        <v>100.0</v>
      </c>
      <c r="F57" s="2">
        <v>0.7</v>
      </c>
      <c r="H57" s="2" t="s">
        <v>890</v>
      </c>
      <c r="I57" s="4">
        <v>46214.52376157408</v>
      </c>
      <c r="J57" s="2" t="s">
        <v>34</v>
      </c>
      <c r="K57" s="2">
        <v>3400.0</v>
      </c>
      <c r="L57" s="2">
        <v>700.0</v>
      </c>
      <c r="M57" s="2">
        <v>700.0</v>
      </c>
      <c r="N57" s="6">
        <v>42257.0</v>
      </c>
      <c r="O57" s="2" t="s">
        <v>1017</v>
      </c>
      <c r="P57" s="2" t="s">
        <v>36</v>
      </c>
      <c r="Q57" s="2" t="s">
        <v>1262</v>
      </c>
      <c r="R57" s="2" t="s">
        <v>1263</v>
      </c>
      <c r="S57" s="2" t="s">
        <v>867</v>
      </c>
    </row>
    <row r="58">
      <c r="A58" s="2">
        <v>57.0</v>
      </c>
      <c r="B58" s="2" t="s">
        <v>1265</v>
      </c>
      <c r="C58" s="2" t="s">
        <v>23</v>
      </c>
      <c r="D58" s="2">
        <v>0.0</v>
      </c>
      <c r="E58" s="2">
        <v>100.0</v>
      </c>
      <c r="F58" s="2">
        <v>0.02</v>
      </c>
      <c r="H58" s="2" t="s">
        <v>1266</v>
      </c>
      <c r="I58" s="4">
        <v>46208.21496527778</v>
      </c>
      <c r="J58" s="2" t="s">
        <v>1015</v>
      </c>
      <c r="K58" s="2">
        <v>11000.0</v>
      </c>
      <c r="L58" s="2">
        <v>250.0</v>
      </c>
      <c r="M58" s="2">
        <v>600.0</v>
      </c>
      <c r="N58" s="6">
        <v>42349.0</v>
      </c>
      <c r="O58" s="2" t="s">
        <v>49</v>
      </c>
      <c r="Q58" s="2" t="s">
        <v>1270</v>
      </c>
      <c r="S58" s="2" t="s">
        <v>1271</v>
      </c>
    </row>
    <row r="59">
      <c r="A59" s="2">
        <v>58.0</v>
      </c>
      <c r="B59" s="2" t="s">
        <v>1230</v>
      </c>
      <c r="C59" s="2" t="s">
        <v>23</v>
      </c>
      <c r="D59" s="2">
        <v>17.0</v>
      </c>
      <c r="E59" s="2">
        <v>100.0</v>
      </c>
      <c r="F59" s="2">
        <v>0.3</v>
      </c>
      <c r="H59" s="2" t="s">
        <v>1230</v>
      </c>
      <c r="I59" s="4">
        <v>46227.697858796295</v>
      </c>
      <c r="J59" s="2" t="s">
        <v>34</v>
      </c>
      <c r="K59" s="2">
        <v>100.0</v>
      </c>
      <c r="L59" s="2">
        <v>100.0</v>
      </c>
      <c r="M59" s="2">
        <v>100.0</v>
      </c>
      <c r="N59" s="6">
        <v>42442.0</v>
      </c>
      <c r="O59" s="2" t="s">
        <v>91</v>
      </c>
      <c r="P59" s="2" t="s">
        <v>36</v>
      </c>
      <c r="Q59" s="2" t="s">
        <v>1274</v>
      </c>
      <c r="S59" s="2" t="s">
        <v>1276</v>
      </c>
    </row>
    <row r="60">
      <c r="A60" s="2">
        <v>59.0</v>
      </c>
      <c r="B60" s="2" t="s">
        <v>103</v>
      </c>
      <c r="C60" s="2" t="s">
        <v>23</v>
      </c>
      <c r="D60" s="2">
        <v>0.0</v>
      </c>
      <c r="E60" s="2">
        <v>100.0</v>
      </c>
      <c r="F60" s="2">
        <v>0.02</v>
      </c>
      <c r="G60" s="2">
        <v>1.01</v>
      </c>
      <c r="H60" s="2" t="s">
        <v>103</v>
      </c>
      <c r="I60" s="4">
        <v>46202.57375</v>
      </c>
      <c r="J60" s="2" t="s">
        <v>111</v>
      </c>
      <c r="K60" s="2">
        <v>100.0</v>
      </c>
      <c r="L60" s="2">
        <v>200.0</v>
      </c>
      <c r="M60" s="2">
        <v>200.0</v>
      </c>
      <c r="N60" s="6">
        <v>42275.0</v>
      </c>
      <c r="O60" s="2" t="s">
        <v>35</v>
      </c>
      <c r="P60" s="2" t="s">
        <v>36</v>
      </c>
      <c r="Q60" s="2" t="s">
        <v>116</v>
      </c>
      <c r="S60" s="2" t="s">
        <v>39</v>
      </c>
    </row>
    <row r="61">
      <c r="A61" s="2">
        <v>60.0</v>
      </c>
      <c r="B61" s="2" t="s">
        <v>1282</v>
      </c>
      <c r="C61" s="2" t="s">
        <v>23</v>
      </c>
      <c r="D61" s="2">
        <v>0.0</v>
      </c>
      <c r="E61" s="2">
        <v>100.0</v>
      </c>
      <c r="F61" s="2">
        <v>0.4</v>
      </c>
      <c r="G61" s="2">
        <v>0.44</v>
      </c>
      <c r="H61" s="2" t="s">
        <v>879</v>
      </c>
      <c r="I61" s="4">
        <v>46233.78717592593</v>
      </c>
      <c r="J61" s="2" t="s">
        <v>47</v>
      </c>
      <c r="K61" s="2">
        <v>3700.0</v>
      </c>
      <c r="L61" s="2">
        <v>800.0</v>
      </c>
      <c r="M61" s="2">
        <v>900.0</v>
      </c>
      <c r="N61" s="6">
        <v>42253.0</v>
      </c>
      <c r="O61" s="2" t="s">
        <v>1017</v>
      </c>
      <c r="P61" s="2" t="s">
        <v>36</v>
      </c>
      <c r="Q61" s="2" t="s">
        <v>1285</v>
      </c>
      <c r="R61" s="2" t="s">
        <v>1287</v>
      </c>
      <c r="S61" s="2" t="s">
        <v>1288</v>
      </c>
    </row>
    <row r="62">
      <c r="A62" s="2">
        <v>61.0</v>
      </c>
      <c r="B62" s="2" t="s">
        <v>1289</v>
      </c>
      <c r="C62" s="2" t="s">
        <v>23</v>
      </c>
      <c r="D62" s="2">
        <v>33.0</v>
      </c>
      <c r="E62" s="2">
        <v>100.0</v>
      </c>
      <c r="F62" s="2">
        <v>0.9</v>
      </c>
      <c r="H62" s="2" t="s">
        <v>853</v>
      </c>
      <c r="I62" s="4">
        <v>46235.68895833333</v>
      </c>
      <c r="J62" s="2" t="s">
        <v>34</v>
      </c>
      <c r="K62" s="2">
        <v>600.0</v>
      </c>
      <c r="L62" s="2">
        <v>350.0</v>
      </c>
      <c r="M62" s="2">
        <v>350.0</v>
      </c>
      <c r="N62" s="6">
        <v>43847.0</v>
      </c>
      <c r="O62" s="2" t="s">
        <v>75</v>
      </c>
      <c r="P62" s="2" t="s">
        <v>36</v>
      </c>
      <c r="Q62" s="2" t="s">
        <v>1292</v>
      </c>
      <c r="S62" s="2" t="s">
        <v>859</v>
      </c>
    </row>
    <row r="63">
      <c r="A63" s="2">
        <v>62.0</v>
      </c>
      <c r="B63" s="2" t="s">
        <v>1294</v>
      </c>
      <c r="C63" s="2" t="s">
        <v>23</v>
      </c>
      <c r="D63" s="2">
        <v>0.0</v>
      </c>
      <c r="E63" s="2">
        <v>100.0</v>
      </c>
      <c r="F63" s="2">
        <v>0.03</v>
      </c>
      <c r="H63" s="2" t="s">
        <v>1297</v>
      </c>
      <c r="I63" s="4">
        <v>46212.81003472222</v>
      </c>
      <c r="K63" s="2">
        <v>100.0</v>
      </c>
      <c r="L63" s="2">
        <v>150.0</v>
      </c>
      <c r="M63" s="2">
        <v>150.0</v>
      </c>
      <c r="N63" s="6">
        <v>42419.0</v>
      </c>
      <c r="O63" s="2" t="s">
        <v>49</v>
      </c>
      <c r="P63" s="2" t="s">
        <v>36</v>
      </c>
      <c r="Q63" s="2" t="s">
        <v>1300</v>
      </c>
      <c r="S63" s="2" t="s">
        <v>39</v>
      </c>
    </row>
    <row r="64">
      <c r="A64" s="2">
        <v>63.0</v>
      </c>
      <c r="B64" s="2" t="s">
        <v>134</v>
      </c>
      <c r="C64" s="2" t="s">
        <v>23</v>
      </c>
      <c r="D64" s="2">
        <v>0.0</v>
      </c>
      <c r="E64" s="2">
        <v>100.0</v>
      </c>
      <c r="F64" s="2">
        <v>0.4</v>
      </c>
      <c r="H64" s="2" t="s">
        <v>137</v>
      </c>
      <c r="I64" s="4">
        <v>46213.015810185185</v>
      </c>
      <c r="J64" s="2" t="s">
        <v>142</v>
      </c>
      <c r="K64" s="2">
        <v>600.0</v>
      </c>
      <c r="L64" s="2">
        <v>250.0</v>
      </c>
      <c r="M64" s="2">
        <v>250.0</v>
      </c>
      <c r="N64" s="6">
        <v>43592.0</v>
      </c>
      <c r="O64" s="2" t="s">
        <v>40</v>
      </c>
      <c r="P64" s="2" t="s">
        <v>36</v>
      </c>
      <c r="Q64" s="2" t="s">
        <v>145</v>
      </c>
      <c r="S64" s="2" t="s">
        <v>146</v>
      </c>
    </row>
    <row r="65">
      <c r="A65" s="2">
        <v>64.0</v>
      </c>
      <c r="B65" s="2" t="s">
        <v>1305</v>
      </c>
      <c r="C65" s="2" t="s">
        <v>23</v>
      </c>
      <c r="D65" s="2">
        <v>0.0</v>
      </c>
      <c r="E65" s="2">
        <v>100.0</v>
      </c>
      <c r="F65" s="2">
        <v>0.8</v>
      </c>
      <c r="H65" s="2" t="s">
        <v>1307</v>
      </c>
      <c r="I65" s="4">
        <v>46217.52868055556</v>
      </c>
      <c r="J65" s="2" t="s">
        <v>113</v>
      </c>
      <c r="K65" s="2">
        <v>450.0</v>
      </c>
      <c r="L65" s="2">
        <v>250.0</v>
      </c>
      <c r="M65" s="2">
        <v>250.0</v>
      </c>
      <c r="N65" s="6">
        <v>43106.0</v>
      </c>
      <c r="O65" s="2" t="s">
        <v>75</v>
      </c>
      <c r="P65" s="2" t="s">
        <v>36</v>
      </c>
      <c r="Q65" s="2" t="s">
        <v>1310</v>
      </c>
      <c r="S65" s="2" t="s">
        <v>1142</v>
      </c>
    </row>
    <row r="66">
      <c r="A66" s="2">
        <v>65.0</v>
      </c>
      <c r="B66" s="2" t="s">
        <v>1311</v>
      </c>
      <c r="C66" s="2" t="s">
        <v>23</v>
      </c>
      <c r="D66" s="2">
        <v>32.0</v>
      </c>
      <c r="E66" s="2">
        <v>100.0</v>
      </c>
      <c r="F66" s="2">
        <v>0.6</v>
      </c>
      <c r="H66" s="2" t="s">
        <v>946</v>
      </c>
      <c r="I66" s="4">
        <v>46220.73255787037</v>
      </c>
      <c r="J66" s="2" t="s">
        <v>34</v>
      </c>
      <c r="K66" s="2">
        <v>8400.0</v>
      </c>
      <c r="L66" s="2">
        <v>250.0</v>
      </c>
      <c r="M66" s="2">
        <v>250.0</v>
      </c>
      <c r="N66" s="6">
        <v>43364.0</v>
      </c>
      <c r="O66" s="2" t="s">
        <v>91</v>
      </c>
      <c r="P66" s="2" t="s">
        <v>36</v>
      </c>
      <c r="Q66" s="2" t="s">
        <v>1314</v>
      </c>
      <c r="S66" s="2" t="s">
        <v>159</v>
      </c>
    </row>
    <row r="67">
      <c r="A67" s="2">
        <v>66.0</v>
      </c>
      <c r="B67" s="2" t="s">
        <v>1316</v>
      </c>
      <c r="C67" s="2" t="s">
        <v>23</v>
      </c>
      <c r="D67" s="2">
        <v>5.0</v>
      </c>
      <c r="E67" s="2">
        <v>100.0</v>
      </c>
      <c r="G67" s="2">
        <v>0.21</v>
      </c>
      <c r="H67" s="2" t="s">
        <v>1318</v>
      </c>
      <c r="I67" s="4">
        <v>46228.054872685185</v>
      </c>
      <c r="J67" s="2" t="s">
        <v>1166</v>
      </c>
      <c r="K67" s="2">
        <v>2500.0</v>
      </c>
      <c r="L67" s="2">
        <v>0.0</v>
      </c>
      <c r="M67" s="2">
        <v>0.0</v>
      </c>
      <c r="N67" s="6">
        <v>42250.0</v>
      </c>
      <c r="O67" s="2" t="s">
        <v>1320</v>
      </c>
      <c r="Q67" s="2" t="s">
        <v>1321</v>
      </c>
      <c r="S67" s="2" t="s">
        <v>1323</v>
      </c>
    </row>
    <row r="68">
      <c r="A68" s="2">
        <v>67.0</v>
      </c>
      <c r="B68" s="2" t="s">
        <v>1324</v>
      </c>
      <c r="C68" s="2" t="s">
        <v>23</v>
      </c>
      <c r="D68" s="2">
        <v>34.0</v>
      </c>
      <c r="E68" s="2">
        <v>100.0</v>
      </c>
      <c r="F68" s="2">
        <v>0.35</v>
      </c>
      <c r="H68" s="2" t="s">
        <v>1068</v>
      </c>
      <c r="I68" s="4">
        <v>46230.510775462964</v>
      </c>
      <c r="J68" s="2" t="s">
        <v>34</v>
      </c>
      <c r="K68" s="2">
        <v>1600.0</v>
      </c>
      <c r="L68" s="2">
        <v>20.0</v>
      </c>
      <c r="M68" s="2">
        <v>20.0</v>
      </c>
      <c r="N68" s="6">
        <v>43012.0</v>
      </c>
      <c r="O68" s="2" t="s">
        <v>75</v>
      </c>
      <c r="P68" s="2" t="s">
        <v>36</v>
      </c>
      <c r="Q68" s="2" t="s">
        <v>1328</v>
      </c>
      <c r="S68" s="2" t="s">
        <v>1142</v>
      </c>
    </row>
    <row r="69">
      <c r="A69" s="2">
        <v>68.0</v>
      </c>
      <c r="B69" s="2" t="s">
        <v>21</v>
      </c>
      <c r="C69" s="2" t="s">
        <v>23</v>
      </c>
      <c r="D69" s="2">
        <v>1.0</v>
      </c>
      <c r="E69" s="2">
        <v>100.0</v>
      </c>
      <c r="F69" s="2">
        <v>0.5</v>
      </c>
      <c r="G69" s="2">
        <v>0.69</v>
      </c>
      <c r="H69" s="2" t="s">
        <v>88</v>
      </c>
      <c r="I69" s="4">
        <v>46227.11225694444</v>
      </c>
      <c r="J69" s="2" t="s">
        <v>34</v>
      </c>
      <c r="K69" s="2">
        <v>9000.0</v>
      </c>
      <c r="L69" s="2">
        <v>100.0</v>
      </c>
      <c r="M69" s="2">
        <v>100.0</v>
      </c>
      <c r="N69" s="6">
        <v>42258.0</v>
      </c>
      <c r="O69" s="2" t="s">
        <v>91</v>
      </c>
      <c r="P69" s="2" t="s">
        <v>36</v>
      </c>
      <c r="Q69" s="2" t="s">
        <v>93</v>
      </c>
      <c r="S69" s="2" t="s">
        <v>59</v>
      </c>
    </row>
    <row r="70">
      <c r="A70" s="2">
        <v>69.0</v>
      </c>
      <c r="B70" s="2" t="s">
        <v>1332</v>
      </c>
      <c r="C70" s="2" t="s">
        <v>23</v>
      </c>
      <c r="D70" s="2">
        <v>41.0</v>
      </c>
      <c r="E70" s="2">
        <v>100.0</v>
      </c>
      <c r="F70" s="2">
        <v>0.6</v>
      </c>
      <c r="G70" s="2">
        <v>1.16</v>
      </c>
      <c r="H70" s="2" t="s">
        <v>171</v>
      </c>
      <c r="I70" s="4">
        <v>46209.50251157407</v>
      </c>
      <c r="J70" s="2" t="s">
        <v>34</v>
      </c>
      <c r="K70" s="2">
        <v>100.0</v>
      </c>
      <c r="L70" s="2">
        <v>70.0</v>
      </c>
      <c r="M70" s="2">
        <v>70.0</v>
      </c>
      <c r="N70" s="6">
        <v>42262.0</v>
      </c>
      <c r="O70" s="2" t="s">
        <v>40</v>
      </c>
      <c r="P70" s="2" t="s">
        <v>36</v>
      </c>
      <c r="Q70" s="2" t="s">
        <v>1336</v>
      </c>
      <c r="S70" s="2" t="s">
        <v>132</v>
      </c>
    </row>
    <row r="71">
      <c r="A71" s="2">
        <v>70.0</v>
      </c>
      <c r="B71" s="2" t="s">
        <v>1337</v>
      </c>
      <c r="C71" s="2" t="s">
        <v>23</v>
      </c>
      <c r="D71" s="2">
        <v>0.0</v>
      </c>
      <c r="E71" s="2">
        <v>100.0</v>
      </c>
      <c r="F71" s="2">
        <v>0.4</v>
      </c>
      <c r="H71" s="2" t="s">
        <v>879</v>
      </c>
      <c r="I71" s="4">
        <v>46234.890069444446</v>
      </c>
      <c r="J71" s="2" t="s">
        <v>1340</v>
      </c>
      <c r="K71" s="2">
        <v>350.0</v>
      </c>
      <c r="L71" s="2">
        <v>800.0</v>
      </c>
      <c r="M71" s="2">
        <v>900.0</v>
      </c>
      <c r="N71" s="6">
        <v>42299.0</v>
      </c>
      <c r="O71" s="2" t="s">
        <v>49</v>
      </c>
      <c r="P71" s="2" t="s">
        <v>36</v>
      </c>
      <c r="Q71" s="2" t="s">
        <v>1342</v>
      </c>
      <c r="S71" s="2" t="s">
        <v>1343</v>
      </c>
    </row>
    <row r="72">
      <c r="A72" s="2">
        <v>71.0</v>
      </c>
      <c r="B72" s="2" t="s">
        <v>1344</v>
      </c>
      <c r="C72" s="2" t="s">
        <v>23</v>
      </c>
      <c r="D72" s="2">
        <v>19.0</v>
      </c>
      <c r="E72" s="2">
        <v>100.0</v>
      </c>
      <c r="F72" s="2">
        <v>1.0</v>
      </c>
      <c r="H72" s="2" t="s">
        <v>853</v>
      </c>
      <c r="I72" s="4">
        <v>46228.05008101852</v>
      </c>
      <c r="J72" s="2" t="s">
        <v>891</v>
      </c>
      <c r="K72" s="2">
        <v>7300.0</v>
      </c>
      <c r="L72" s="2">
        <v>300.0</v>
      </c>
      <c r="M72" s="2">
        <v>300.0</v>
      </c>
      <c r="N72" s="6">
        <v>43887.0</v>
      </c>
      <c r="O72" s="2" t="s">
        <v>40</v>
      </c>
      <c r="P72" s="2" t="s">
        <v>36</v>
      </c>
      <c r="Q72" s="2" t="s">
        <v>1347</v>
      </c>
      <c r="S72" s="2" t="s">
        <v>859</v>
      </c>
    </row>
    <row r="73">
      <c r="A73" s="2">
        <v>72.0</v>
      </c>
      <c r="B73" s="2" t="s">
        <v>1349</v>
      </c>
      <c r="C73" s="2" t="s">
        <v>23</v>
      </c>
      <c r="D73" s="2">
        <v>1.0</v>
      </c>
      <c r="E73" s="2">
        <v>100.0</v>
      </c>
      <c r="F73" s="2">
        <v>0.7</v>
      </c>
      <c r="G73" s="2">
        <v>0.8</v>
      </c>
      <c r="H73" s="2" t="s">
        <v>123</v>
      </c>
      <c r="I73" s="4">
        <v>46209.451377314814</v>
      </c>
      <c r="J73" s="2" t="s">
        <v>1092</v>
      </c>
      <c r="K73" s="2">
        <v>600.0</v>
      </c>
      <c r="L73" s="2">
        <v>500.0</v>
      </c>
      <c r="M73" s="2">
        <v>500.0</v>
      </c>
      <c r="N73" s="6">
        <v>42256.0</v>
      </c>
      <c r="O73" s="2" t="s">
        <v>1095</v>
      </c>
      <c r="P73" s="2" t="s">
        <v>36</v>
      </c>
      <c r="Q73" s="2" t="s">
        <v>1351</v>
      </c>
      <c r="R73" s="2" t="s">
        <v>1352</v>
      </c>
      <c r="S73" s="2" t="s">
        <v>1213</v>
      </c>
    </row>
    <row r="74">
      <c r="A74" s="2">
        <v>73.0</v>
      </c>
      <c r="B74" s="2" t="s">
        <v>1353</v>
      </c>
      <c r="C74" s="2" t="s">
        <v>23</v>
      </c>
      <c r="D74" s="2">
        <v>0.0</v>
      </c>
      <c r="E74" s="2">
        <v>100.0</v>
      </c>
      <c r="F74" s="2">
        <v>0.35</v>
      </c>
      <c r="H74" s="2" t="s">
        <v>1353</v>
      </c>
      <c r="I74" s="4">
        <v>46237.1209375</v>
      </c>
      <c r="J74" s="2" t="s">
        <v>1189</v>
      </c>
      <c r="K74" s="2">
        <v>100.0</v>
      </c>
      <c r="L74" s="2">
        <v>30.0</v>
      </c>
      <c r="M74" s="2">
        <v>30.0</v>
      </c>
      <c r="N74" s="6">
        <v>43259.0</v>
      </c>
      <c r="O74" s="2" t="s">
        <v>102</v>
      </c>
      <c r="P74" s="2" t="s">
        <v>36</v>
      </c>
      <c r="Q74" s="2" t="s">
        <v>1356</v>
      </c>
      <c r="S74" s="2" t="s">
        <v>107</v>
      </c>
    </row>
    <row r="75">
      <c r="A75" s="2">
        <v>74.0</v>
      </c>
      <c r="B75" s="2" t="s">
        <v>1102</v>
      </c>
      <c r="C75" s="2" t="s">
        <v>23</v>
      </c>
      <c r="D75" s="2">
        <v>0.0</v>
      </c>
      <c r="E75" s="2">
        <v>100.0</v>
      </c>
      <c r="F75" s="2">
        <v>0.01</v>
      </c>
      <c r="G75" s="2">
        <v>1.83</v>
      </c>
      <c r="H75" s="2" t="s">
        <v>1102</v>
      </c>
      <c r="I75" s="4">
        <v>46234.090266203704</v>
      </c>
      <c r="K75" s="2">
        <v>150.0</v>
      </c>
      <c r="L75" s="2">
        <v>300.0</v>
      </c>
      <c r="M75" s="2">
        <v>300.0</v>
      </c>
      <c r="N75" s="6">
        <v>42320.0</v>
      </c>
      <c r="O75" s="2" t="s">
        <v>35</v>
      </c>
      <c r="P75" s="2" t="s">
        <v>36</v>
      </c>
      <c r="Q75" s="2" t="s">
        <v>1361</v>
      </c>
      <c r="R75" s="2" t="s">
        <v>1362</v>
      </c>
      <c r="S75" s="2" t="s">
        <v>39</v>
      </c>
    </row>
    <row r="76">
      <c r="A76" s="2">
        <v>75.0</v>
      </c>
      <c r="B76" s="2" t="s">
        <v>172</v>
      </c>
      <c r="C76" s="2" t="s">
        <v>23</v>
      </c>
      <c r="D76" s="2">
        <v>0.0</v>
      </c>
      <c r="E76" s="2">
        <v>100.0</v>
      </c>
      <c r="H76" s="2" t="s">
        <v>172</v>
      </c>
      <c r="I76" s="4">
        <v>46209.89163194445</v>
      </c>
      <c r="J76" s="2" t="s">
        <v>63</v>
      </c>
      <c r="K76" s="2">
        <v>100.0</v>
      </c>
      <c r="L76" s="2">
        <v>10.0</v>
      </c>
      <c r="M76" s="2">
        <v>10.0</v>
      </c>
      <c r="N76" s="6">
        <v>43970.0</v>
      </c>
      <c r="O76" s="2" t="s">
        <v>40</v>
      </c>
      <c r="P76" s="2" t="s">
        <v>36</v>
      </c>
      <c r="Q76" s="2" t="s">
        <v>178</v>
      </c>
      <c r="S76" s="2" t="s">
        <v>146</v>
      </c>
    </row>
    <row r="77">
      <c r="A77" s="2">
        <v>76.0</v>
      </c>
      <c r="B77" s="2" t="s">
        <v>1368</v>
      </c>
      <c r="C77" s="2" t="s">
        <v>23</v>
      </c>
      <c r="D77" s="2">
        <v>3.0</v>
      </c>
      <c r="E77" s="2">
        <v>100.0</v>
      </c>
      <c r="F77" s="2">
        <v>0.6</v>
      </c>
      <c r="G77" s="2">
        <v>1.19</v>
      </c>
      <c r="H77" s="2" t="s">
        <v>1</v>
      </c>
      <c r="I77" s="4">
        <v>46234.01059027778</v>
      </c>
      <c r="J77" s="2" t="s">
        <v>34</v>
      </c>
      <c r="K77" s="2">
        <v>150.0</v>
      </c>
      <c r="L77" s="2">
        <v>250.0</v>
      </c>
      <c r="M77" s="2">
        <v>250.0</v>
      </c>
      <c r="N77" s="6">
        <v>42256.0</v>
      </c>
      <c r="O77" s="2" t="s">
        <v>40</v>
      </c>
      <c r="P77" s="2" t="s">
        <v>36</v>
      </c>
      <c r="Q77" s="2" t="s">
        <v>1371</v>
      </c>
      <c r="R77" s="2" t="s">
        <v>1372</v>
      </c>
      <c r="S77" s="2" t="s">
        <v>44</v>
      </c>
    </row>
    <row r="78">
      <c r="A78" s="2">
        <v>77.0</v>
      </c>
      <c r="B78" s="2" t="s">
        <v>1374</v>
      </c>
      <c r="C78" s="2" t="s">
        <v>23</v>
      </c>
      <c r="D78" s="2">
        <v>0.0</v>
      </c>
      <c r="E78" s="2">
        <v>100.0</v>
      </c>
      <c r="F78" s="2">
        <v>0.25</v>
      </c>
      <c r="H78" s="2" t="s">
        <v>137</v>
      </c>
      <c r="I78" s="4">
        <v>46221.24222222222</v>
      </c>
      <c r="J78" s="2" t="s">
        <v>34</v>
      </c>
      <c r="K78" s="2">
        <v>6400.0</v>
      </c>
      <c r="L78" s="2">
        <v>350.0</v>
      </c>
      <c r="M78" s="2">
        <v>350.0</v>
      </c>
      <c r="N78" s="6">
        <v>43591.0</v>
      </c>
      <c r="O78" s="2" t="s">
        <v>35</v>
      </c>
      <c r="P78" s="2" t="s">
        <v>36</v>
      </c>
      <c r="Q78" s="2" t="s">
        <v>1377</v>
      </c>
      <c r="S78" s="2" t="s">
        <v>1002</v>
      </c>
    </row>
    <row r="79">
      <c r="A79" s="2">
        <v>78.0</v>
      </c>
      <c r="B79" s="2" t="s">
        <v>1378</v>
      </c>
      <c r="C79" s="2" t="s">
        <v>23</v>
      </c>
      <c r="D79" s="2">
        <v>1.0</v>
      </c>
      <c r="E79" s="2">
        <v>100.0</v>
      </c>
      <c r="F79" s="2">
        <v>0.2</v>
      </c>
      <c r="H79" s="2" t="s">
        <v>1378</v>
      </c>
      <c r="I79" s="4">
        <v>46208.95532407407</v>
      </c>
      <c r="J79" s="2" t="s">
        <v>1340</v>
      </c>
      <c r="K79" s="2">
        <v>400.0</v>
      </c>
      <c r="L79" s="2">
        <v>10.0</v>
      </c>
      <c r="M79" s="2">
        <v>10.0</v>
      </c>
      <c r="N79" s="6">
        <v>42304.0</v>
      </c>
      <c r="O79" s="2" t="s">
        <v>1017</v>
      </c>
      <c r="P79" s="2" t="s">
        <v>36</v>
      </c>
      <c r="Q79" s="2" t="s">
        <v>1383</v>
      </c>
      <c r="S79" s="2" t="s">
        <v>1384</v>
      </c>
    </row>
    <row r="80">
      <c r="A80" s="2">
        <v>79.0</v>
      </c>
      <c r="B80" s="2" t="s">
        <v>96</v>
      </c>
      <c r="C80" s="2" t="s">
        <v>23</v>
      </c>
      <c r="D80" s="2">
        <v>0.0</v>
      </c>
      <c r="E80" s="2">
        <v>90.0</v>
      </c>
      <c r="F80" s="2">
        <v>0.25</v>
      </c>
      <c r="G80" s="2">
        <v>1.45</v>
      </c>
      <c r="H80" s="2" t="s">
        <v>96</v>
      </c>
      <c r="I80" s="4">
        <v>46237.26980324074</v>
      </c>
      <c r="J80" s="2" t="s">
        <v>99</v>
      </c>
      <c r="K80" s="2">
        <v>100.0</v>
      </c>
      <c r="L80" s="2">
        <v>40.0</v>
      </c>
      <c r="M80" s="2">
        <v>40.0</v>
      </c>
      <c r="N80" s="6">
        <v>42325.0</v>
      </c>
      <c r="O80" s="2" t="s">
        <v>102</v>
      </c>
      <c r="P80" s="2" t="s">
        <v>36</v>
      </c>
      <c r="Q80" s="2" t="s">
        <v>106</v>
      </c>
      <c r="S80" s="2" t="s">
        <v>107</v>
      </c>
    </row>
    <row r="81">
      <c r="A81" s="2">
        <v>80.0</v>
      </c>
      <c r="B81" s="2" t="s">
        <v>1390</v>
      </c>
      <c r="C81" s="2" t="s">
        <v>23</v>
      </c>
      <c r="D81" s="2">
        <v>32.0</v>
      </c>
      <c r="E81" s="2">
        <v>90.0</v>
      </c>
      <c r="F81" s="2">
        <v>0.7</v>
      </c>
      <c r="H81" s="2" t="s">
        <v>988</v>
      </c>
      <c r="I81" s="4">
        <v>46230.75666666667</v>
      </c>
      <c r="J81" s="2" t="s">
        <v>34</v>
      </c>
      <c r="K81" s="2">
        <v>1200.0</v>
      </c>
      <c r="L81" s="2">
        <v>1100.0</v>
      </c>
      <c r="M81" s="2">
        <v>1100.0</v>
      </c>
      <c r="N81" s="6">
        <v>43872.0</v>
      </c>
      <c r="O81" s="2" t="s">
        <v>40</v>
      </c>
      <c r="P81" s="2" t="s">
        <v>36</v>
      </c>
      <c r="Q81" s="2" t="s">
        <v>1392</v>
      </c>
      <c r="S81" s="2" t="s">
        <v>867</v>
      </c>
    </row>
    <row r="82">
      <c r="A82" s="2">
        <v>81.0</v>
      </c>
      <c r="B82" s="2" t="s">
        <v>1394</v>
      </c>
      <c r="C82" s="2" t="s">
        <v>23</v>
      </c>
      <c r="D82" s="2">
        <v>0.0</v>
      </c>
      <c r="E82" s="2">
        <v>90.0</v>
      </c>
      <c r="F82" s="2">
        <v>0.9</v>
      </c>
      <c r="H82" s="2" t="s">
        <v>1394</v>
      </c>
      <c r="I82" s="4">
        <v>46213.76834490741</v>
      </c>
      <c r="J82" s="2" t="s">
        <v>1397</v>
      </c>
      <c r="K82" s="2">
        <v>90.0</v>
      </c>
      <c r="L82" s="2">
        <v>10.0</v>
      </c>
      <c r="M82" s="2">
        <v>10.0</v>
      </c>
      <c r="N82" s="6">
        <v>42273.0</v>
      </c>
      <c r="O82" s="2" t="s">
        <v>40</v>
      </c>
      <c r="P82" s="2" t="s">
        <v>36</v>
      </c>
      <c r="Q82" s="2" t="s">
        <v>1398</v>
      </c>
      <c r="S82" s="2" t="s">
        <v>44</v>
      </c>
    </row>
    <row r="83">
      <c r="A83" s="2">
        <v>82.0</v>
      </c>
      <c r="B83" s="2" t="s">
        <v>1400</v>
      </c>
      <c r="C83" s="2" t="s">
        <v>23</v>
      </c>
      <c r="D83" s="2">
        <v>0.0</v>
      </c>
      <c r="E83" s="2">
        <v>90.0</v>
      </c>
      <c r="F83" s="2">
        <v>0.02</v>
      </c>
      <c r="H83" s="2" t="s">
        <v>22</v>
      </c>
      <c r="I83" s="4">
        <v>46205.54221064815</v>
      </c>
      <c r="J83" s="2" t="s">
        <v>766</v>
      </c>
      <c r="K83" s="2">
        <v>14000.0</v>
      </c>
      <c r="L83" s="2">
        <v>250.0</v>
      </c>
      <c r="M83" s="2">
        <v>250.0</v>
      </c>
      <c r="N83" s="6">
        <v>42493.0</v>
      </c>
      <c r="O83" s="2" t="s">
        <v>1403</v>
      </c>
      <c r="P83" s="2" t="s">
        <v>36</v>
      </c>
      <c r="Q83" s="2" t="s">
        <v>1405</v>
      </c>
      <c r="S83" s="2" t="s">
        <v>39</v>
      </c>
    </row>
    <row r="84">
      <c r="A84" s="2">
        <v>83.0</v>
      </c>
      <c r="B84" s="2" t="s">
        <v>1407</v>
      </c>
      <c r="C84" s="2" t="s">
        <v>23</v>
      </c>
      <c r="D84" s="2">
        <v>0.0</v>
      </c>
      <c r="E84" s="2">
        <v>90.0</v>
      </c>
      <c r="F84" s="2">
        <v>0.4</v>
      </c>
      <c r="G84" s="2">
        <v>0.76</v>
      </c>
      <c r="H84" s="2" t="s">
        <v>1409</v>
      </c>
      <c r="I84" s="4">
        <v>46216.61802083333</v>
      </c>
      <c r="J84" s="2" t="s">
        <v>784</v>
      </c>
      <c r="K84" s="2">
        <v>90.0</v>
      </c>
      <c r="L84" s="2">
        <v>150.0</v>
      </c>
      <c r="M84" s="2">
        <v>150.0</v>
      </c>
      <c r="N84" s="6">
        <v>42310.0</v>
      </c>
      <c r="O84" s="2" t="s">
        <v>1320</v>
      </c>
      <c r="Q84" s="2" t="s">
        <v>1410</v>
      </c>
      <c r="S84" s="2" t="s">
        <v>1412</v>
      </c>
    </row>
    <row r="85">
      <c r="A85" s="2">
        <v>84.0</v>
      </c>
      <c r="B85" s="2" t="s">
        <v>1413</v>
      </c>
      <c r="C85" s="2" t="s">
        <v>23</v>
      </c>
      <c r="D85" s="2">
        <v>19.0</v>
      </c>
      <c r="E85" s="2">
        <v>90.0</v>
      </c>
      <c r="F85" s="2">
        <v>0.6</v>
      </c>
      <c r="H85" s="2" t="s">
        <v>1</v>
      </c>
      <c r="I85" s="4">
        <v>46212.88119212963</v>
      </c>
      <c r="J85" s="2" t="s">
        <v>34</v>
      </c>
      <c r="K85" s="2">
        <v>90.0</v>
      </c>
      <c r="L85" s="2">
        <v>250.0</v>
      </c>
      <c r="M85" s="2">
        <v>250.0</v>
      </c>
      <c r="N85" s="6">
        <v>42257.0</v>
      </c>
      <c r="O85" s="2" t="s">
        <v>40</v>
      </c>
      <c r="P85" s="2" t="s">
        <v>36</v>
      </c>
      <c r="Q85" s="2" t="s">
        <v>1417</v>
      </c>
      <c r="S85" s="2" t="s">
        <v>153</v>
      </c>
    </row>
    <row r="86">
      <c r="A86" s="2">
        <v>85.0</v>
      </c>
      <c r="B86" s="2" t="s">
        <v>1419</v>
      </c>
      <c r="C86" s="2" t="s">
        <v>23</v>
      </c>
      <c r="D86" s="2">
        <v>0.0</v>
      </c>
      <c r="E86" s="2">
        <v>90.0</v>
      </c>
      <c r="F86" s="2">
        <v>0.15</v>
      </c>
      <c r="G86" s="2">
        <v>0.48</v>
      </c>
      <c r="H86" s="2" t="s">
        <v>1419</v>
      </c>
      <c r="I86" s="4">
        <v>46233.519733796296</v>
      </c>
      <c r="J86" s="2" t="s">
        <v>47</v>
      </c>
      <c r="K86" s="2">
        <v>1400.0</v>
      </c>
      <c r="L86" s="2">
        <v>50.0</v>
      </c>
      <c r="M86" s="2">
        <v>50.0</v>
      </c>
      <c r="N86" s="6">
        <v>42270.0</v>
      </c>
      <c r="O86" s="2" t="s">
        <v>49</v>
      </c>
      <c r="P86" s="2" t="s">
        <v>36</v>
      </c>
      <c r="Q86" s="2" t="s">
        <v>1423</v>
      </c>
      <c r="S86" s="2" t="s">
        <v>1424</v>
      </c>
    </row>
    <row r="87">
      <c r="A87" s="2">
        <v>86.0</v>
      </c>
      <c r="B87" s="2" t="s">
        <v>1426</v>
      </c>
      <c r="C87" s="2" t="s">
        <v>23</v>
      </c>
      <c r="D87" s="2">
        <v>0.0</v>
      </c>
      <c r="E87" s="2">
        <v>80.0</v>
      </c>
      <c r="F87" s="2">
        <v>0.8</v>
      </c>
      <c r="H87" s="2" t="s">
        <v>1426</v>
      </c>
      <c r="I87" s="4">
        <v>46220.80328703704</v>
      </c>
      <c r="J87" s="2" t="s">
        <v>1189</v>
      </c>
      <c r="K87" s="2">
        <v>100.0</v>
      </c>
      <c r="L87" s="2">
        <v>70.0</v>
      </c>
      <c r="M87" s="2">
        <v>70.0</v>
      </c>
      <c r="N87" s="6">
        <v>43248.0</v>
      </c>
      <c r="O87" s="2" t="s">
        <v>49</v>
      </c>
      <c r="P87" s="2" t="s">
        <v>36</v>
      </c>
      <c r="Q87" s="2" t="s">
        <v>1430</v>
      </c>
      <c r="S87" s="2" t="s">
        <v>1432</v>
      </c>
    </row>
    <row r="88">
      <c r="A88" s="2">
        <v>87.0</v>
      </c>
      <c r="B88" s="2" t="s">
        <v>1433</v>
      </c>
      <c r="C88" s="2" t="s">
        <v>23</v>
      </c>
      <c r="D88" s="2">
        <v>1.0</v>
      </c>
      <c r="E88" s="2">
        <v>80.0</v>
      </c>
      <c r="F88" s="2">
        <v>0.6</v>
      </c>
      <c r="H88" s="2" t="s">
        <v>61</v>
      </c>
      <c r="I88" s="4">
        <v>46228.12991898148</v>
      </c>
      <c r="J88" s="2" t="s">
        <v>34</v>
      </c>
      <c r="K88" s="2">
        <v>3700.0</v>
      </c>
      <c r="L88" s="2">
        <v>70.0</v>
      </c>
      <c r="M88" s="2">
        <v>70.0</v>
      </c>
      <c r="N88" s="6">
        <v>43033.0</v>
      </c>
      <c r="O88" s="2" t="s">
        <v>40</v>
      </c>
      <c r="P88" s="2" t="s">
        <v>36</v>
      </c>
      <c r="Q88" s="2" t="s">
        <v>1436</v>
      </c>
      <c r="S88" s="2" t="s">
        <v>44</v>
      </c>
    </row>
    <row r="89">
      <c r="A89" s="2">
        <v>88.0</v>
      </c>
      <c r="B89" s="2" t="s">
        <v>1438</v>
      </c>
      <c r="C89" s="2" t="s">
        <v>23</v>
      </c>
      <c r="D89" s="2">
        <v>1.0</v>
      </c>
      <c r="E89" s="2">
        <v>80.0</v>
      </c>
      <c r="F89" s="2">
        <v>0.45</v>
      </c>
      <c r="H89" s="2" t="s">
        <v>1438</v>
      </c>
      <c r="I89" s="4">
        <v>46223.16255787037</v>
      </c>
      <c r="J89" s="2" t="s">
        <v>891</v>
      </c>
      <c r="K89" s="2">
        <v>5500.0</v>
      </c>
      <c r="L89" s="2">
        <v>20.0</v>
      </c>
      <c r="M89" s="2">
        <v>20.0</v>
      </c>
      <c r="N89" s="6">
        <v>42337.0</v>
      </c>
      <c r="O89" s="2" t="s">
        <v>91</v>
      </c>
      <c r="P89" s="2" t="s">
        <v>36</v>
      </c>
      <c r="Q89" s="2" t="s">
        <v>1442</v>
      </c>
      <c r="S89" s="2" t="s">
        <v>146</v>
      </c>
    </row>
    <row r="90">
      <c r="A90" s="2">
        <v>89.0</v>
      </c>
      <c r="B90" s="2" t="s">
        <v>1445</v>
      </c>
      <c r="C90" s="2" t="s">
        <v>23</v>
      </c>
      <c r="D90" s="2">
        <v>11.0</v>
      </c>
      <c r="E90" s="2">
        <v>80.0</v>
      </c>
      <c r="F90" s="2">
        <v>0.09</v>
      </c>
      <c r="G90" s="2">
        <v>0.42</v>
      </c>
      <c r="H90" s="2" t="s">
        <v>88</v>
      </c>
      <c r="I90" s="4">
        <v>46211.59085648148</v>
      </c>
      <c r="J90" s="2" t="s">
        <v>113</v>
      </c>
      <c r="K90" s="2">
        <v>900.0</v>
      </c>
      <c r="L90" s="2">
        <v>100.0</v>
      </c>
      <c r="M90" s="2">
        <v>100.0</v>
      </c>
      <c r="N90" s="6">
        <v>42304.0</v>
      </c>
      <c r="O90" s="2" t="s">
        <v>91</v>
      </c>
      <c r="P90" s="2" t="s">
        <v>36</v>
      </c>
      <c r="Q90" s="2" t="s">
        <v>1448</v>
      </c>
      <c r="R90" s="2" t="s">
        <v>1449</v>
      </c>
      <c r="S90" s="2" t="s">
        <v>1002</v>
      </c>
    </row>
    <row r="91">
      <c r="A91" s="2">
        <v>90.0</v>
      </c>
      <c r="B91" s="2" t="s">
        <v>1451</v>
      </c>
      <c r="C91" s="2" t="s">
        <v>23</v>
      </c>
      <c r="D91" s="2">
        <v>13.0</v>
      </c>
      <c r="E91" s="2">
        <v>80.0</v>
      </c>
      <c r="F91" s="2">
        <v>0.8</v>
      </c>
      <c r="H91" s="2" t="s">
        <v>1454</v>
      </c>
      <c r="I91" s="4">
        <v>46217.514699074076</v>
      </c>
      <c r="J91" s="2" t="s">
        <v>1397</v>
      </c>
      <c r="K91" s="2">
        <v>80.0</v>
      </c>
      <c r="L91" s="2">
        <v>40.0</v>
      </c>
      <c r="M91" s="2">
        <v>40.0</v>
      </c>
      <c r="N91" s="6">
        <v>42440.0</v>
      </c>
      <c r="O91" s="2" t="s">
        <v>40</v>
      </c>
      <c r="P91" s="2" t="s">
        <v>36</v>
      </c>
      <c r="Q91" s="2" t="s">
        <v>1457</v>
      </c>
      <c r="S91" s="2" t="s">
        <v>867</v>
      </c>
    </row>
    <row r="92">
      <c r="A92" s="2">
        <v>91.0</v>
      </c>
      <c r="B92" s="2" t="s">
        <v>1459</v>
      </c>
      <c r="C92" s="2" t="s">
        <v>23</v>
      </c>
      <c r="D92" s="2">
        <v>0.0</v>
      </c>
      <c r="E92" s="2">
        <v>80.0</v>
      </c>
      <c r="F92" s="2">
        <v>0.5</v>
      </c>
      <c r="H92" s="2" t="s">
        <v>922</v>
      </c>
      <c r="I92" s="4">
        <v>46210.102326388886</v>
      </c>
      <c r="J92" s="2" t="s">
        <v>34</v>
      </c>
      <c r="K92" s="2">
        <v>500.0</v>
      </c>
      <c r="L92" s="2">
        <v>40.0</v>
      </c>
      <c r="M92" s="2">
        <v>40.0</v>
      </c>
      <c r="N92" s="6">
        <v>43034.0</v>
      </c>
      <c r="O92" s="2" t="s">
        <v>40</v>
      </c>
      <c r="P92" s="2" t="s">
        <v>36</v>
      </c>
      <c r="Q92" s="2" t="s">
        <v>1464</v>
      </c>
      <c r="S92" s="2" t="s">
        <v>44</v>
      </c>
    </row>
    <row r="93">
      <c r="A93" s="2">
        <v>92.0</v>
      </c>
      <c r="B93" s="2" t="s">
        <v>1465</v>
      </c>
      <c r="C93" s="2" t="s">
        <v>23</v>
      </c>
      <c r="D93" s="2">
        <v>0.0</v>
      </c>
      <c r="E93" s="2">
        <v>80.0</v>
      </c>
      <c r="F93" s="2">
        <v>0.25</v>
      </c>
      <c r="H93" s="2" t="s">
        <v>1465</v>
      </c>
      <c r="I93" s="4">
        <v>46224.323113425926</v>
      </c>
      <c r="J93" s="2" t="s">
        <v>113</v>
      </c>
      <c r="K93" s="2">
        <v>250.0</v>
      </c>
      <c r="L93" s="2">
        <v>20.0</v>
      </c>
      <c r="M93" s="2">
        <v>20.0</v>
      </c>
      <c r="N93" s="6">
        <v>44636.0</v>
      </c>
      <c r="O93" s="2" t="s">
        <v>40</v>
      </c>
      <c r="P93" s="2" t="s">
        <v>36</v>
      </c>
      <c r="Q93" s="2" t="s">
        <v>1469</v>
      </c>
      <c r="S93" s="2" t="s">
        <v>1160</v>
      </c>
    </row>
    <row r="94">
      <c r="A94" s="2">
        <v>93.0</v>
      </c>
      <c r="B94" s="2" t="s">
        <v>1471</v>
      </c>
      <c r="C94" s="2" t="s">
        <v>23</v>
      </c>
      <c r="D94" s="2">
        <v>0.0</v>
      </c>
      <c r="E94" s="2">
        <v>80.0</v>
      </c>
      <c r="F94" s="2">
        <v>0.25</v>
      </c>
      <c r="G94" s="2">
        <v>0.38</v>
      </c>
      <c r="H94" s="2" t="s">
        <v>1102</v>
      </c>
      <c r="I94" s="4">
        <v>46205.17890046296</v>
      </c>
      <c r="J94" s="2" t="s">
        <v>113</v>
      </c>
      <c r="K94" s="2">
        <v>8000.0</v>
      </c>
      <c r="L94" s="2">
        <v>300.0</v>
      </c>
      <c r="M94" s="2">
        <v>300.0</v>
      </c>
      <c r="N94" s="6">
        <v>42275.0</v>
      </c>
      <c r="O94" s="2" t="s">
        <v>91</v>
      </c>
      <c r="P94" s="2" t="s">
        <v>36</v>
      </c>
      <c r="Q94" s="2" t="s">
        <v>1476</v>
      </c>
      <c r="S94" s="2" t="s">
        <v>1478</v>
      </c>
    </row>
    <row r="95">
      <c r="A95" s="2">
        <v>94.0</v>
      </c>
      <c r="B95" s="2" t="s">
        <v>1479</v>
      </c>
      <c r="C95" s="2" t="s">
        <v>23</v>
      </c>
      <c r="D95" s="2">
        <v>27.0</v>
      </c>
      <c r="E95" s="2">
        <v>80.0</v>
      </c>
      <c r="F95" s="2">
        <v>0.1</v>
      </c>
      <c r="H95" s="2" t="s">
        <v>1479</v>
      </c>
      <c r="I95" s="4">
        <v>46224.63402777778</v>
      </c>
      <c r="J95" s="2" t="s">
        <v>1482</v>
      </c>
      <c r="K95" s="2">
        <v>150.0</v>
      </c>
      <c r="L95" s="2">
        <v>50.0</v>
      </c>
      <c r="M95" s="2">
        <v>50.0</v>
      </c>
      <c r="N95" s="6">
        <v>44104.0</v>
      </c>
      <c r="O95" s="2" t="s">
        <v>102</v>
      </c>
      <c r="P95" s="2" t="s">
        <v>36</v>
      </c>
      <c r="Q95" s="2" t="s">
        <v>1485</v>
      </c>
      <c r="S95" s="2" t="s">
        <v>537</v>
      </c>
    </row>
    <row r="96">
      <c r="A96" s="2">
        <v>95.0</v>
      </c>
      <c r="B96" s="2" t="s">
        <v>1487</v>
      </c>
      <c r="C96" s="2" t="s">
        <v>23</v>
      </c>
      <c r="D96" s="2">
        <v>0.0</v>
      </c>
      <c r="E96" s="2">
        <v>70.0</v>
      </c>
      <c r="F96" s="2">
        <v>0.25</v>
      </c>
      <c r="G96" s="2">
        <v>0.93</v>
      </c>
      <c r="H96" s="2" t="s">
        <v>879</v>
      </c>
      <c r="I96" s="4">
        <v>46217.54386574074</v>
      </c>
      <c r="J96" s="2" t="s">
        <v>1489</v>
      </c>
      <c r="K96" s="2">
        <v>80.0</v>
      </c>
      <c r="L96" s="2">
        <v>900.0</v>
      </c>
      <c r="M96" s="2">
        <v>1000.0</v>
      </c>
      <c r="N96" s="6">
        <v>42353.0</v>
      </c>
      <c r="O96" s="2" t="s">
        <v>49</v>
      </c>
      <c r="P96" s="2" t="s">
        <v>36</v>
      </c>
      <c r="Q96" s="2" t="s">
        <v>1492</v>
      </c>
      <c r="S96" s="2" t="s">
        <v>1493</v>
      </c>
    </row>
    <row r="97">
      <c r="A97" s="2">
        <v>96.0</v>
      </c>
      <c r="B97" s="2" t="s">
        <v>1495</v>
      </c>
      <c r="C97" s="2" t="s">
        <v>23</v>
      </c>
      <c r="D97" s="2">
        <v>47.0</v>
      </c>
      <c r="E97" s="2">
        <v>70.0</v>
      </c>
      <c r="F97" s="2">
        <v>0.35</v>
      </c>
      <c r="H97" s="2" t="s">
        <v>1495</v>
      </c>
      <c r="I97" s="4">
        <v>46220.0925462963</v>
      </c>
      <c r="J97" s="2" t="s">
        <v>34</v>
      </c>
      <c r="K97" s="2">
        <v>70.0</v>
      </c>
      <c r="L97" s="2">
        <v>50.0</v>
      </c>
      <c r="M97" s="2">
        <v>50.0</v>
      </c>
      <c r="N97" s="6">
        <v>42340.0</v>
      </c>
      <c r="O97" s="2" t="s">
        <v>91</v>
      </c>
      <c r="P97" s="2" t="s">
        <v>36</v>
      </c>
      <c r="Q97" s="2" t="s">
        <v>1498</v>
      </c>
      <c r="S97" s="2" t="s">
        <v>131</v>
      </c>
    </row>
    <row r="98">
      <c r="A98" s="2">
        <v>97.0</v>
      </c>
      <c r="B98" s="2" t="s">
        <v>108</v>
      </c>
      <c r="C98" s="2" t="s">
        <v>23</v>
      </c>
      <c r="D98" s="2">
        <v>3.0</v>
      </c>
      <c r="E98" s="2">
        <v>70.0</v>
      </c>
      <c r="F98" s="2">
        <v>0.4</v>
      </c>
      <c r="H98" s="2" t="s">
        <v>112</v>
      </c>
      <c r="I98" s="4">
        <v>46226.39050925926</v>
      </c>
      <c r="J98" s="2" t="s">
        <v>113</v>
      </c>
      <c r="K98" s="2">
        <v>13000.0</v>
      </c>
      <c r="L98" s="2">
        <v>20.0</v>
      </c>
      <c r="M98" s="2">
        <v>20.0</v>
      </c>
      <c r="N98" s="6">
        <v>43447.0</v>
      </c>
      <c r="O98" s="2" t="s">
        <v>40</v>
      </c>
      <c r="P98" s="2" t="s">
        <v>36</v>
      </c>
      <c r="Q98" s="2" t="s">
        <v>117</v>
      </c>
      <c r="S98" s="2" t="s">
        <v>44</v>
      </c>
    </row>
    <row r="99">
      <c r="A99" s="2">
        <v>98.0</v>
      </c>
      <c r="B99" s="2" t="s">
        <v>1502</v>
      </c>
      <c r="C99" s="2" t="s">
        <v>23</v>
      </c>
      <c r="D99" s="2">
        <v>0.0</v>
      </c>
      <c r="E99" s="2">
        <v>70.0</v>
      </c>
      <c r="F99" s="2">
        <v>1.1</v>
      </c>
      <c r="H99" s="2" t="s">
        <v>61</v>
      </c>
      <c r="I99" s="4">
        <v>46207.43914351852</v>
      </c>
      <c r="J99" s="2" t="s">
        <v>34</v>
      </c>
      <c r="K99" s="2">
        <v>9800.0</v>
      </c>
      <c r="L99" s="2">
        <v>150.0</v>
      </c>
      <c r="M99" s="2">
        <v>150.0</v>
      </c>
      <c r="N99" s="6">
        <v>42307.0</v>
      </c>
      <c r="O99" s="2" t="s">
        <v>40</v>
      </c>
      <c r="P99" s="2" t="s">
        <v>36</v>
      </c>
      <c r="Q99" s="2" t="s">
        <v>1506</v>
      </c>
      <c r="R99" s="2" t="s">
        <v>1507</v>
      </c>
      <c r="S99" s="2" t="s">
        <v>44</v>
      </c>
    </row>
    <row r="100">
      <c r="A100" s="2">
        <v>99.0</v>
      </c>
      <c r="B100" s="2" t="s">
        <v>1509</v>
      </c>
      <c r="C100" s="2" t="s">
        <v>23</v>
      </c>
      <c r="D100" s="2">
        <v>0.0</v>
      </c>
      <c r="E100" s="2">
        <v>70.0</v>
      </c>
      <c r="F100" s="2">
        <v>0.5</v>
      </c>
      <c r="H100" s="2" t="s">
        <v>1512</v>
      </c>
      <c r="I100" s="4">
        <v>46219.779340277775</v>
      </c>
      <c r="J100" s="2" t="s">
        <v>1513</v>
      </c>
      <c r="K100" s="2">
        <v>70.0</v>
      </c>
      <c r="L100" s="2">
        <v>100.0</v>
      </c>
      <c r="M100" s="2">
        <v>100.0</v>
      </c>
      <c r="N100" s="6">
        <v>43439.0</v>
      </c>
      <c r="O100" s="2" t="s">
        <v>1516</v>
      </c>
      <c r="P100" s="2" t="s">
        <v>36</v>
      </c>
      <c r="Q100" s="2" t="s">
        <v>1517</v>
      </c>
      <c r="S100" s="2" t="s">
        <v>146</v>
      </c>
    </row>
    <row r="101">
      <c r="A101" s="2">
        <v>100.0</v>
      </c>
      <c r="B101" s="2" t="s">
        <v>1519</v>
      </c>
      <c r="C101" s="2" t="s">
        <v>23</v>
      </c>
      <c r="D101" s="2">
        <v>0.0</v>
      </c>
      <c r="E101" s="2">
        <v>70.0</v>
      </c>
      <c r="F101" s="2">
        <v>0.45</v>
      </c>
      <c r="H101" s="2" t="s">
        <v>1519</v>
      </c>
      <c r="I101" s="4">
        <v>46226.63266203704</v>
      </c>
      <c r="J101" s="2" t="s">
        <v>1523</v>
      </c>
      <c r="K101" s="2">
        <v>4300.0</v>
      </c>
      <c r="L101" s="2">
        <v>20.0</v>
      </c>
      <c r="M101" s="2">
        <v>70.0</v>
      </c>
      <c r="N101" s="6">
        <v>43846.0</v>
      </c>
      <c r="O101" s="2" t="s">
        <v>40</v>
      </c>
      <c r="P101" s="2" t="s">
        <v>36</v>
      </c>
      <c r="Q101" s="2" t="s">
        <v>1525</v>
      </c>
      <c r="S101" s="2" t="s">
        <v>44</v>
      </c>
    </row>
    <row r="102">
      <c r="A102" s="2">
        <v>101.0</v>
      </c>
      <c r="B102" s="2" t="s">
        <v>27</v>
      </c>
      <c r="C102" s="2" t="s">
        <v>23</v>
      </c>
      <c r="D102" s="2">
        <v>39.0</v>
      </c>
      <c r="E102" s="2">
        <v>70.0</v>
      </c>
      <c r="F102" s="2">
        <v>0.15</v>
      </c>
      <c r="G102" s="2">
        <v>0.67</v>
      </c>
      <c r="H102" s="2" t="s">
        <v>123</v>
      </c>
      <c r="I102" s="4">
        <v>46229.03763888889</v>
      </c>
      <c r="J102" s="2" t="s">
        <v>34</v>
      </c>
      <c r="K102" s="2">
        <v>18000.0</v>
      </c>
      <c r="L102" s="2">
        <v>450.0</v>
      </c>
      <c r="M102" s="2">
        <v>450.0</v>
      </c>
      <c r="N102" s="6">
        <v>42332.0</v>
      </c>
      <c r="O102" s="2" t="s">
        <v>40</v>
      </c>
      <c r="P102" s="2" t="s">
        <v>36</v>
      </c>
      <c r="Q102" s="2" t="s">
        <v>128</v>
      </c>
      <c r="R102" s="2" t="s">
        <v>130</v>
      </c>
      <c r="S102" s="2" t="s">
        <v>132</v>
      </c>
    </row>
    <row r="103">
      <c r="A103" s="2">
        <v>102.0</v>
      </c>
      <c r="B103" s="2" t="s">
        <v>1532</v>
      </c>
      <c r="C103" s="2" t="s">
        <v>23</v>
      </c>
      <c r="D103" s="2">
        <v>6.0</v>
      </c>
      <c r="E103" s="2">
        <v>70.0</v>
      </c>
      <c r="F103" s="2">
        <v>0.5</v>
      </c>
      <c r="H103" s="2" t="s">
        <v>1534</v>
      </c>
      <c r="I103" s="4">
        <v>46222.994108796294</v>
      </c>
      <c r="J103" s="2" t="s">
        <v>34</v>
      </c>
      <c r="K103" s="2">
        <v>36000.0</v>
      </c>
      <c r="L103" s="2">
        <v>55000.0</v>
      </c>
      <c r="M103" s="2">
        <v>56000.0</v>
      </c>
      <c r="N103" s="6">
        <v>42384.0</v>
      </c>
      <c r="O103" s="2" t="s">
        <v>91</v>
      </c>
      <c r="P103" s="2" t="s">
        <v>36</v>
      </c>
      <c r="Q103" s="2" t="s">
        <v>1536</v>
      </c>
      <c r="S103" s="2" t="s">
        <v>1276</v>
      </c>
    </row>
    <row r="104">
      <c r="A104" s="2">
        <v>103.0</v>
      </c>
      <c r="B104" s="2" t="s">
        <v>1538</v>
      </c>
      <c r="C104" s="2" t="s">
        <v>23</v>
      </c>
      <c r="D104" s="2">
        <v>0.0</v>
      </c>
      <c r="E104" s="2">
        <v>70.0</v>
      </c>
      <c r="F104" s="2">
        <v>0.5</v>
      </c>
      <c r="G104" s="2">
        <v>0.59</v>
      </c>
      <c r="H104" s="2" t="s">
        <v>1538</v>
      </c>
      <c r="I104" s="4">
        <v>46193.70700231481</v>
      </c>
      <c r="J104" s="2" t="s">
        <v>1092</v>
      </c>
      <c r="K104" s="2">
        <v>100.0</v>
      </c>
      <c r="L104" s="2">
        <v>200.0</v>
      </c>
      <c r="M104" s="2">
        <v>200.0</v>
      </c>
      <c r="N104" s="6">
        <v>42253.0</v>
      </c>
      <c r="O104" s="2" t="s">
        <v>1539</v>
      </c>
      <c r="P104" s="2" t="s">
        <v>36</v>
      </c>
      <c r="Q104" s="2" t="s">
        <v>1540</v>
      </c>
      <c r="R104" s="2" t="s">
        <v>1541</v>
      </c>
      <c r="S104" s="2" t="s">
        <v>1213</v>
      </c>
    </row>
    <row r="105">
      <c r="A105" s="2">
        <v>104.0</v>
      </c>
      <c r="B105" s="2" t="s">
        <v>1542</v>
      </c>
      <c r="C105" s="2" t="s">
        <v>23</v>
      </c>
      <c r="D105" s="2">
        <v>0.0</v>
      </c>
      <c r="E105" s="2">
        <v>70.0</v>
      </c>
      <c r="F105" s="2">
        <v>0.4</v>
      </c>
      <c r="H105" s="2" t="s">
        <v>1459</v>
      </c>
      <c r="I105" s="4">
        <v>46205.06055555555</v>
      </c>
      <c r="J105" s="2" t="s">
        <v>1544</v>
      </c>
      <c r="K105" s="2">
        <v>250.0</v>
      </c>
      <c r="L105" s="2">
        <v>30.0</v>
      </c>
      <c r="M105" s="2">
        <v>30.0</v>
      </c>
      <c r="N105" s="6">
        <v>44329.0</v>
      </c>
      <c r="O105" s="2" t="s">
        <v>91</v>
      </c>
      <c r="P105" s="2" t="s">
        <v>36</v>
      </c>
      <c r="Q105" s="2" t="s">
        <v>1547</v>
      </c>
      <c r="S105" s="2" t="s">
        <v>44</v>
      </c>
    </row>
    <row r="106">
      <c r="A106" s="2">
        <v>105.0</v>
      </c>
      <c r="B106" s="2" t="s">
        <v>1548</v>
      </c>
      <c r="C106" s="2" t="s">
        <v>23</v>
      </c>
      <c r="D106" s="2">
        <v>0.0</v>
      </c>
      <c r="E106" s="2">
        <v>60.0</v>
      </c>
      <c r="F106" s="2">
        <v>0.25</v>
      </c>
      <c r="H106" s="2" t="s">
        <v>1550</v>
      </c>
      <c r="I106" s="4">
        <v>46236.364120370374</v>
      </c>
      <c r="J106" s="2" t="s">
        <v>1544</v>
      </c>
      <c r="K106" s="2">
        <v>700.0</v>
      </c>
      <c r="L106" s="2">
        <v>250.0</v>
      </c>
      <c r="M106" s="2">
        <v>250.0</v>
      </c>
      <c r="N106" s="6">
        <v>43201.0</v>
      </c>
      <c r="O106" s="2" t="s">
        <v>40</v>
      </c>
      <c r="P106" s="2" t="s">
        <v>36</v>
      </c>
      <c r="Q106" s="2" t="s">
        <v>1553</v>
      </c>
      <c r="S106" s="2" t="s">
        <v>1554</v>
      </c>
    </row>
    <row r="107">
      <c r="A107" s="2">
        <v>106.0</v>
      </c>
      <c r="B107" s="2" t="s">
        <v>1556</v>
      </c>
      <c r="C107" s="2" t="s">
        <v>23</v>
      </c>
      <c r="D107" s="2">
        <v>0.0</v>
      </c>
      <c r="E107" s="2">
        <v>60.0</v>
      </c>
      <c r="F107" s="2">
        <v>0.35</v>
      </c>
      <c r="H107" s="2" t="s">
        <v>964</v>
      </c>
      <c r="I107" s="4">
        <v>46205.16134259259</v>
      </c>
      <c r="J107" s="2" t="s">
        <v>47</v>
      </c>
      <c r="K107" s="2">
        <v>70.0</v>
      </c>
      <c r="L107" s="2">
        <v>1200.0</v>
      </c>
      <c r="M107" s="2">
        <v>1300.0</v>
      </c>
      <c r="N107" s="6">
        <v>42355.0</v>
      </c>
      <c r="O107" s="2" t="s">
        <v>1017</v>
      </c>
      <c r="P107" s="2" t="s">
        <v>36</v>
      </c>
      <c r="Q107" s="2" t="s">
        <v>1559</v>
      </c>
      <c r="S107" s="2" t="s">
        <v>1560</v>
      </c>
    </row>
    <row r="108">
      <c r="A108" s="2">
        <v>107.0</v>
      </c>
      <c r="B108" s="2" t="s">
        <v>1561</v>
      </c>
      <c r="C108" s="2" t="s">
        <v>23</v>
      </c>
      <c r="D108" s="2">
        <v>0.0</v>
      </c>
      <c r="E108" s="2">
        <v>60.0</v>
      </c>
      <c r="F108" s="2">
        <v>0.3</v>
      </c>
      <c r="H108" s="2" t="s">
        <v>1564</v>
      </c>
      <c r="I108" s="4">
        <v>46217.55866898148</v>
      </c>
      <c r="J108" s="2" t="s">
        <v>1058</v>
      </c>
      <c r="K108" s="2">
        <v>5700.0</v>
      </c>
      <c r="L108" s="2">
        <v>70.0</v>
      </c>
      <c r="M108" s="2">
        <v>70.0</v>
      </c>
      <c r="N108" s="6">
        <v>43274.0</v>
      </c>
      <c r="O108" s="2" t="s">
        <v>40</v>
      </c>
      <c r="P108" s="2" t="s">
        <v>36</v>
      </c>
      <c r="Q108" s="2" t="s">
        <v>1567</v>
      </c>
      <c r="S108" s="2" t="s">
        <v>867</v>
      </c>
    </row>
    <row r="109">
      <c r="A109" s="2">
        <v>108.0</v>
      </c>
      <c r="B109" s="2" t="s">
        <v>25</v>
      </c>
      <c r="C109" s="2" t="s">
        <v>23</v>
      </c>
      <c r="D109" s="2">
        <v>0.0</v>
      </c>
      <c r="E109" s="2">
        <v>60.0</v>
      </c>
      <c r="F109" s="2">
        <v>0.5</v>
      </c>
      <c r="H109" s="2" t="s">
        <v>25</v>
      </c>
      <c r="I109" s="4">
        <v>46224.41849537037</v>
      </c>
      <c r="J109" s="2" t="s">
        <v>113</v>
      </c>
      <c r="K109" s="2">
        <v>24000.0</v>
      </c>
      <c r="L109" s="2">
        <v>10.0</v>
      </c>
      <c r="M109" s="2">
        <v>10.0</v>
      </c>
      <c r="N109" s="6">
        <v>42599.0</v>
      </c>
      <c r="O109" s="2" t="s">
        <v>40</v>
      </c>
      <c r="P109" s="2" t="s">
        <v>36</v>
      </c>
      <c r="Q109" s="2" t="s">
        <v>1572</v>
      </c>
      <c r="S109" s="2" t="s">
        <v>1573</v>
      </c>
    </row>
    <row r="110">
      <c r="A110" s="2">
        <v>109.0</v>
      </c>
      <c r="B110" s="2" t="s">
        <v>1575</v>
      </c>
      <c r="C110" s="2" t="s">
        <v>23</v>
      </c>
      <c r="D110" s="2">
        <v>24.0</v>
      </c>
      <c r="E110" s="2">
        <v>60.0</v>
      </c>
      <c r="F110" s="2">
        <v>0.25</v>
      </c>
      <c r="H110" s="2" t="s">
        <v>137</v>
      </c>
      <c r="I110" s="4">
        <v>46214.11991898148</v>
      </c>
      <c r="J110" s="2" t="s">
        <v>766</v>
      </c>
      <c r="K110" s="2">
        <v>450.0</v>
      </c>
      <c r="L110" s="2">
        <v>250.0</v>
      </c>
      <c r="M110" s="2">
        <v>250.0</v>
      </c>
      <c r="N110" s="6">
        <v>43320.0</v>
      </c>
      <c r="O110" s="2" t="s">
        <v>40</v>
      </c>
      <c r="P110" s="2" t="s">
        <v>36</v>
      </c>
      <c r="Q110" s="2" t="s">
        <v>1578</v>
      </c>
      <c r="S110" s="2" t="s">
        <v>1002</v>
      </c>
    </row>
    <row r="111">
      <c r="A111" s="2">
        <v>110.0</v>
      </c>
      <c r="B111" s="2" t="s">
        <v>1579</v>
      </c>
      <c r="C111" s="2" t="s">
        <v>23</v>
      </c>
      <c r="D111" s="2">
        <v>0.0</v>
      </c>
      <c r="E111" s="2">
        <v>60.0</v>
      </c>
      <c r="F111" s="2">
        <v>0.15</v>
      </c>
      <c r="H111" s="2" t="s">
        <v>1579</v>
      </c>
      <c r="I111" s="4">
        <v>46231.330405092594</v>
      </c>
      <c r="J111" s="2" t="s">
        <v>1581</v>
      </c>
      <c r="K111" s="2">
        <v>300.0</v>
      </c>
      <c r="L111" s="2">
        <v>20.0</v>
      </c>
      <c r="M111" s="2">
        <v>250.0</v>
      </c>
      <c r="N111" s="6">
        <v>43360.0</v>
      </c>
      <c r="O111" s="2" t="s">
        <v>49</v>
      </c>
      <c r="P111" s="2" t="s">
        <v>36</v>
      </c>
      <c r="Q111" s="2" t="s">
        <v>1583</v>
      </c>
      <c r="S111" s="2" t="s">
        <v>1585</v>
      </c>
    </row>
    <row r="112">
      <c r="A112" s="2">
        <v>111.0</v>
      </c>
      <c r="B112" s="2" t="s">
        <v>1586</v>
      </c>
      <c r="C112" s="2" t="s">
        <v>23</v>
      </c>
      <c r="D112" s="2">
        <v>0.0</v>
      </c>
      <c r="E112" s="2">
        <v>60.0</v>
      </c>
      <c r="H112" s="2" t="s">
        <v>96</v>
      </c>
      <c r="I112" s="4">
        <v>46237.31741898148</v>
      </c>
      <c r="J112" s="2" t="s">
        <v>1189</v>
      </c>
      <c r="K112" s="2">
        <v>70.0</v>
      </c>
      <c r="L112" s="2">
        <v>40.0</v>
      </c>
      <c r="M112" s="2">
        <v>40.0</v>
      </c>
      <c r="N112" s="6">
        <v>42607.0</v>
      </c>
      <c r="O112" s="2" t="s">
        <v>102</v>
      </c>
      <c r="P112" s="2" t="s">
        <v>36</v>
      </c>
      <c r="Q112" s="2" t="s">
        <v>1589</v>
      </c>
      <c r="S112" s="2" t="s">
        <v>848</v>
      </c>
    </row>
    <row r="113">
      <c r="A113" s="2">
        <v>112.0</v>
      </c>
      <c r="B113" s="2" t="s">
        <v>1591</v>
      </c>
      <c r="C113" s="2" t="s">
        <v>23</v>
      </c>
      <c r="D113" s="2">
        <v>0.0</v>
      </c>
      <c r="E113" s="2">
        <v>60.0</v>
      </c>
      <c r="F113" s="2">
        <v>0.02</v>
      </c>
      <c r="H113" s="2" t="s">
        <v>1297</v>
      </c>
      <c r="I113" s="4">
        <v>46210.928298611114</v>
      </c>
      <c r="K113" s="2">
        <v>60.0</v>
      </c>
      <c r="L113" s="2">
        <v>150.0</v>
      </c>
      <c r="M113" s="2">
        <v>150.0</v>
      </c>
      <c r="N113" s="6">
        <v>42746.0</v>
      </c>
      <c r="O113" s="2" t="s">
        <v>49</v>
      </c>
      <c r="P113" s="2" t="s">
        <v>36</v>
      </c>
      <c r="Q113" s="2" t="s">
        <v>1592</v>
      </c>
      <c r="S113" s="2" t="s">
        <v>39</v>
      </c>
    </row>
    <row r="114">
      <c r="A114" s="2">
        <v>113.0</v>
      </c>
      <c r="B114" s="2" t="s">
        <v>1593</v>
      </c>
      <c r="C114" s="2" t="s">
        <v>23</v>
      </c>
      <c r="D114" s="2">
        <v>11.0</v>
      </c>
      <c r="E114" s="2">
        <v>60.0</v>
      </c>
      <c r="F114" s="2">
        <v>0.25</v>
      </c>
      <c r="H114" s="2" t="s">
        <v>1445</v>
      </c>
      <c r="I114" s="4">
        <v>46207.900092592594</v>
      </c>
      <c r="J114" s="2" t="s">
        <v>34</v>
      </c>
      <c r="K114" s="2">
        <v>6800.0</v>
      </c>
      <c r="L114" s="2">
        <v>10.0</v>
      </c>
      <c r="M114" s="2">
        <v>10.0</v>
      </c>
      <c r="N114" s="6">
        <v>42590.0</v>
      </c>
      <c r="O114" s="2" t="s">
        <v>40</v>
      </c>
      <c r="P114" s="2" t="s">
        <v>36</v>
      </c>
      <c r="Q114" s="2" t="s">
        <v>1597</v>
      </c>
      <c r="S114" s="2" t="s">
        <v>1598</v>
      </c>
    </row>
    <row r="115">
      <c r="A115" s="2">
        <v>114.0</v>
      </c>
      <c r="B115" s="2" t="s">
        <v>1599</v>
      </c>
      <c r="C115" s="2" t="s">
        <v>23</v>
      </c>
      <c r="D115" s="2">
        <v>4.0</v>
      </c>
      <c r="E115" s="2">
        <v>60.0</v>
      </c>
      <c r="F115" s="2">
        <v>0.35</v>
      </c>
      <c r="G115" s="2">
        <v>1.24</v>
      </c>
      <c r="H115" s="2" t="s">
        <v>1601</v>
      </c>
      <c r="I115" s="4">
        <v>46212.93540509259</v>
      </c>
      <c r="J115" s="2" t="s">
        <v>1602</v>
      </c>
      <c r="K115" s="2">
        <v>6700.0</v>
      </c>
      <c r="L115" s="2">
        <v>700.0</v>
      </c>
      <c r="M115" s="2">
        <v>800.0</v>
      </c>
      <c r="N115" s="6">
        <v>42274.0</v>
      </c>
      <c r="O115" s="2" t="s">
        <v>91</v>
      </c>
      <c r="P115" s="2" t="s">
        <v>36</v>
      </c>
      <c r="Q115" s="2" t="s">
        <v>1604</v>
      </c>
      <c r="S115" s="2" t="s">
        <v>1213</v>
      </c>
    </row>
    <row r="116">
      <c r="A116" s="2">
        <v>115.0</v>
      </c>
      <c r="B116" s="2" t="s">
        <v>1606</v>
      </c>
      <c r="C116" s="2" t="s">
        <v>23</v>
      </c>
      <c r="D116" s="2">
        <v>0.0</v>
      </c>
      <c r="E116" s="2">
        <v>60.0</v>
      </c>
      <c r="F116" s="2">
        <v>0.5</v>
      </c>
      <c r="H116" s="2" t="s">
        <v>1307</v>
      </c>
      <c r="I116" s="4">
        <v>46212.244039351855</v>
      </c>
      <c r="J116" s="2" t="s">
        <v>34</v>
      </c>
      <c r="K116" s="2">
        <v>350.0</v>
      </c>
      <c r="L116" s="2">
        <v>250.0</v>
      </c>
      <c r="M116" s="2">
        <v>250.0</v>
      </c>
      <c r="N116" s="6">
        <v>43733.0</v>
      </c>
      <c r="O116" s="2" t="s">
        <v>75</v>
      </c>
      <c r="P116" s="2" t="s">
        <v>36</v>
      </c>
      <c r="Q116" s="2" t="s">
        <v>1609</v>
      </c>
      <c r="S116" s="2" t="s">
        <v>867</v>
      </c>
    </row>
    <row r="117">
      <c r="A117" s="2">
        <v>116.0</v>
      </c>
      <c r="B117" s="2" t="s">
        <v>1614</v>
      </c>
      <c r="C117" s="2" t="s">
        <v>23</v>
      </c>
      <c r="D117" s="2">
        <v>0.0</v>
      </c>
      <c r="E117" s="2">
        <v>60.0</v>
      </c>
      <c r="F117" s="2">
        <v>1.5</v>
      </c>
      <c r="G117" s="2">
        <v>0.6</v>
      </c>
      <c r="H117" s="2" t="s">
        <v>1616</v>
      </c>
      <c r="I117" s="4">
        <v>46210.66259259259</v>
      </c>
      <c r="J117" s="2" t="s">
        <v>1544</v>
      </c>
      <c r="K117" s="2">
        <v>60.0</v>
      </c>
      <c r="L117" s="2">
        <v>10.0</v>
      </c>
      <c r="M117" s="2">
        <v>10.0</v>
      </c>
      <c r="N117" s="6">
        <v>42393.0</v>
      </c>
      <c r="O117" s="2" t="s">
        <v>40</v>
      </c>
      <c r="P117" s="2" t="s">
        <v>36</v>
      </c>
      <c r="Q117" s="2" t="s">
        <v>1619</v>
      </c>
      <c r="R117" s="2" t="s">
        <v>1620</v>
      </c>
      <c r="S117" s="2" t="s">
        <v>44</v>
      </c>
    </row>
    <row r="118">
      <c r="A118" s="2">
        <v>117.0</v>
      </c>
      <c r="B118" s="2" t="s">
        <v>1622</v>
      </c>
      <c r="C118" s="2" t="s">
        <v>23</v>
      </c>
      <c r="D118" s="2">
        <v>30.0</v>
      </c>
      <c r="E118" s="2">
        <v>60.0</v>
      </c>
      <c r="F118" s="2">
        <v>0.8</v>
      </c>
      <c r="H118" s="2" t="s">
        <v>1624</v>
      </c>
      <c r="I118" s="4">
        <v>46219.55498842592</v>
      </c>
      <c r="J118" s="2" t="s">
        <v>113</v>
      </c>
      <c r="K118" s="2">
        <v>3100.0</v>
      </c>
      <c r="L118" s="2">
        <v>300.0</v>
      </c>
      <c r="M118" s="2">
        <v>14000.0</v>
      </c>
      <c r="N118" s="6">
        <v>42253.0</v>
      </c>
      <c r="O118" s="2" t="s">
        <v>102</v>
      </c>
      <c r="P118" s="2" t="s">
        <v>36</v>
      </c>
      <c r="Q118" s="2" t="s">
        <v>1627</v>
      </c>
      <c r="S118" s="2" t="s">
        <v>1628</v>
      </c>
    </row>
    <row r="119">
      <c r="A119" s="2">
        <v>118.0</v>
      </c>
      <c r="B119" s="2" t="s">
        <v>1629</v>
      </c>
      <c r="C119" s="2" t="s">
        <v>23</v>
      </c>
      <c r="D119" s="2">
        <v>8.0</v>
      </c>
      <c r="E119" s="2">
        <v>60.0</v>
      </c>
      <c r="F119" s="2">
        <v>0.6</v>
      </c>
      <c r="H119" s="2" t="s">
        <v>1</v>
      </c>
      <c r="I119" s="4">
        <v>46235.04246527778</v>
      </c>
      <c r="J119" s="2" t="s">
        <v>34</v>
      </c>
      <c r="K119" s="2">
        <v>6700.0</v>
      </c>
      <c r="L119" s="2">
        <v>250.0</v>
      </c>
      <c r="M119" s="2">
        <v>250.0</v>
      </c>
      <c r="N119" s="6">
        <v>42471.0</v>
      </c>
      <c r="O119" s="2" t="s">
        <v>40</v>
      </c>
      <c r="P119" s="2" t="s">
        <v>36</v>
      </c>
      <c r="Q119" s="2" t="s">
        <v>1634</v>
      </c>
      <c r="S119" s="2" t="s">
        <v>44</v>
      </c>
    </row>
    <row r="120">
      <c r="A120" s="2">
        <v>119.0</v>
      </c>
      <c r="B120" s="2" t="s">
        <v>1636</v>
      </c>
      <c r="C120" s="2" t="s">
        <v>23</v>
      </c>
      <c r="D120" s="2">
        <v>0.0</v>
      </c>
      <c r="E120" s="2">
        <v>60.0</v>
      </c>
      <c r="F120" s="2">
        <v>0.5</v>
      </c>
      <c r="G120" s="2">
        <v>0.45</v>
      </c>
      <c r="H120" s="2" t="s">
        <v>123</v>
      </c>
      <c r="I120" s="4">
        <v>46229.58224537037</v>
      </c>
      <c r="J120" s="2" t="s">
        <v>1602</v>
      </c>
      <c r="K120" s="2">
        <v>1700.0</v>
      </c>
      <c r="L120" s="2">
        <v>500.0</v>
      </c>
      <c r="M120" s="2">
        <v>700.0</v>
      </c>
      <c r="N120" s="6">
        <v>42286.0</v>
      </c>
      <c r="O120" s="2" t="s">
        <v>40</v>
      </c>
      <c r="P120" s="2" t="s">
        <v>36</v>
      </c>
      <c r="Q120" s="2" t="s">
        <v>1640</v>
      </c>
      <c r="R120" s="2" t="s">
        <v>1642</v>
      </c>
      <c r="S120" s="2" t="s">
        <v>1643</v>
      </c>
    </row>
    <row r="121">
      <c r="A121" s="2">
        <v>120.0</v>
      </c>
      <c r="B121" s="2" t="s">
        <v>1645</v>
      </c>
      <c r="C121" s="2" t="s">
        <v>23</v>
      </c>
      <c r="D121" s="2">
        <v>0.0</v>
      </c>
      <c r="E121" s="2">
        <v>60.0</v>
      </c>
      <c r="F121" s="2">
        <v>0.35</v>
      </c>
      <c r="G121" s="2">
        <v>1.05</v>
      </c>
      <c r="H121" s="2" t="s">
        <v>1648</v>
      </c>
      <c r="I121" s="4">
        <v>46210.507731481484</v>
      </c>
      <c r="J121" s="2" t="s">
        <v>530</v>
      </c>
      <c r="K121" s="2">
        <v>250.0</v>
      </c>
      <c r="L121" s="2">
        <v>400.0</v>
      </c>
      <c r="M121" s="2">
        <v>400.0</v>
      </c>
      <c r="N121" s="6">
        <v>42286.0</v>
      </c>
      <c r="O121" s="2" t="s">
        <v>91</v>
      </c>
      <c r="P121" s="2" t="s">
        <v>36</v>
      </c>
      <c r="Q121" s="2" t="s">
        <v>1651</v>
      </c>
      <c r="S121" s="2" t="s">
        <v>146</v>
      </c>
    </row>
    <row r="122">
      <c r="A122" s="2">
        <v>121.0</v>
      </c>
      <c r="B122" s="2" t="s">
        <v>1653</v>
      </c>
      <c r="C122" s="2" t="s">
        <v>23</v>
      </c>
      <c r="D122" s="2">
        <v>10.0</v>
      </c>
      <c r="E122" s="2">
        <v>60.0</v>
      </c>
      <c r="F122" s="2">
        <v>0.3</v>
      </c>
      <c r="H122" s="2" t="s">
        <v>1655</v>
      </c>
      <c r="I122" s="4">
        <v>46194.50743055555</v>
      </c>
      <c r="J122" s="2" t="s">
        <v>34</v>
      </c>
      <c r="K122" s="2">
        <v>700.0</v>
      </c>
      <c r="L122" s="2">
        <v>450.0</v>
      </c>
      <c r="M122" s="2">
        <v>450.0</v>
      </c>
      <c r="N122" s="6">
        <v>43052.0</v>
      </c>
      <c r="O122" s="2" t="s">
        <v>40</v>
      </c>
      <c r="P122" s="2" t="s">
        <v>36</v>
      </c>
      <c r="Q122" s="2" t="s">
        <v>1658</v>
      </c>
      <c r="S122" s="2" t="s">
        <v>146</v>
      </c>
    </row>
    <row r="123">
      <c r="A123" s="2">
        <v>122.0</v>
      </c>
      <c r="B123" s="2" t="s">
        <v>1661</v>
      </c>
      <c r="C123" s="2" t="s">
        <v>23</v>
      </c>
      <c r="D123" s="2">
        <v>19.0</v>
      </c>
      <c r="E123" s="2">
        <v>60.0</v>
      </c>
      <c r="F123" s="2">
        <v>0.25</v>
      </c>
      <c r="H123" s="2" t="s">
        <v>88</v>
      </c>
      <c r="I123" s="4">
        <v>46208.33641203704</v>
      </c>
      <c r="J123" s="2" t="s">
        <v>34</v>
      </c>
      <c r="K123" s="2">
        <v>3000.0</v>
      </c>
      <c r="L123" s="2">
        <v>100.0</v>
      </c>
      <c r="M123" s="2">
        <v>100.0</v>
      </c>
      <c r="N123" s="6">
        <v>42279.0</v>
      </c>
      <c r="O123" s="2" t="s">
        <v>91</v>
      </c>
      <c r="P123" s="2" t="s">
        <v>36</v>
      </c>
      <c r="Q123" s="2" t="s">
        <v>1665</v>
      </c>
      <c r="S123" s="2" t="s">
        <v>1002</v>
      </c>
    </row>
    <row r="124">
      <c r="A124" s="2">
        <v>123.0</v>
      </c>
      <c r="B124" s="2" t="s">
        <v>1667</v>
      </c>
      <c r="C124" s="2" t="s">
        <v>23</v>
      </c>
      <c r="D124" s="2">
        <v>0.0</v>
      </c>
      <c r="E124" s="2">
        <v>60.0</v>
      </c>
      <c r="H124" s="2" t="s">
        <v>1667</v>
      </c>
      <c r="I124" s="4">
        <v>46223.657638888886</v>
      </c>
      <c r="J124" s="2" t="s">
        <v>1482</v>
      </c>
      <c r="K124" s="2">
        <v>60.0</v>
      </c>
      <c r="L124" s="2">
        <v>50.0</v>
      </c>
      <c r="M124" s="2">
        <v>50.0</v>
      </c>
      <c r="N124" s="6">
        <v>43860.0</v>
      </c>
      <c r="O124" s="2" t="s">
        <v>49</v>
      </c>
      <c r="P124" s="2" t="s">
        <v>36</v>
      </c>
      <c r="Q124" s="2" t="s">
        <v>1672</v>
      </c>
      <c r="S124" s="2" t="s">
        <v>1673</v>
      </c>
    </row>
    <row r="125">
      <c r="A125" s="2">
        <v>124.0</v>
      </c>
      <c r="B125" s="2" t="s">
        <v>1674</v>
      </c>
      <c r="C125" s="2" t="s">
        <v>23</v>
      </c>
      <c r="D125" s="2">
        <v>14.0</v>
      </c>
      <c r="E125" s="2">
        <v>50.0</v>
      </c>
      <c r="F125" s="2">
        <v>0.3</v>
      </c>
      <c r="H125" s="2" t="s">
        <v>1655</v>
      </c>
      <c r="I125" s="4">
        <v>46226.639699074076</v>
      </c>
      <c r="J125" s="2" t="s">
        <v>891</v>
      </c>
      <c r="K125" s="2">
        <v>200.0</v>
      </c>
      <c r="L125" s="2">
        <v>200.0</v>
      </c>
      <c r="M125" s="2">
        <v>200.0</v>
      </c>
      <c r="N125" s="6">
        <v>43884.0</v>
      </c>
      <c r="O125" s="2" t="s">
        <v>75</v>
      </c>
      <c r="P125" s="2" t="s">
        <v>36</v>
      </c>
      <c r="Q125" s="2" t="s">
        <v>1677</v>
      </c>
      <c r="S125" s="2" t="s">
        <v>867</v>
      </c>
    </row>
    <row r="126">
      <c r="A126" s="2">
        <v>125.0</v>
      </c>
      <c r="B126" s="2" t="s">
        <v>1680</v>
      </c>
      <c r="C126" s="2" t="s">
        <v>23</v>
      </c>
      <c r="D126" s="2">
        <v>0.0</v>
      </c>
      <c r="E126" s="2">
        <v>50.0</v>
      </c>
      <c r="F126" s="2">
        <v>0.5</v>
      </c>
      <c r="H126" s="2" t="s">
        <v>844</v>
      </c>
      <c r="I126" s="4">
        <v>46208.20278935185</v>
      </c>
      <c r="J126" s="2" t="s">
        <v>34</v>
      </c>
      <c r="K126" s="2">
        <v>1000.0</v>
      </c>
      <c r="L126" s="2">
        <v>800.0</v>
      </c>
      <c r="M126" s="2">
        <v>800.0</v>
      </c>
      <c r="N126" s="6">
        <v>42248.0</v>
      </c>
      <c r="O126" s="2" t="s">
        <v>40</v>
      </c>
      <c r="P126" s="2" t="s">
        <v>36</v>
      </c>
      <c r="Q126" s="2" t="s">
        <v>1684</v>
      </c>
      <c r="S126" s="2" t="s">
        <v>44</v>
      </c>
    </row>
    <row r="127">
      <c r="A127" s="2">
        <v>126.0</v>
      </c>
      <c r="B127" s="2" t="s">
        <v>112</v>
      </c>
      <c r="C127" s="2" t="s">
        <v>23</v>
      </c>
      <c r="D127" s="2">
        <v>0.0</v>
      </c>
      <c r="E127" s="2">
        <v>50.0</v>
      </c>
      <c r="F127" s="2">
        <v>0.6</v>
      </c>
      <c r="H127" s="2" t="s">
        <v>844</v>
      </c>
      <c r="I127" s="4">
        <v>46216.98587962963</v>
      </c>
      <c r="J127" s="2" t="s">
        <v>34</v>
      </c>
      <c r="K127" s="2">
        <v>1200.0</v>
      </c>
      <c r="L127" s="2">
        <v>200.0</v>
      </c>
      <c r="M127" s="2">
        <v>200.0</v>
      </c>
      <c r="N127" s="6">
        <v>43869.0</v>
      </c>
      <c r="O127" s="2" t="s">
        <v>40</v>
      </c>
      <c r="P127" s="2" t="s">
        <v>36</v>
      </c>
      <c r="Q127" s="2" t="s">
        <v>1688</v>
      </c>
      <c r="S127" s="2" t="s">
        <v>44</v>
      </c>
    </row>
    <row r="128">
      <c r="A128" s="2">
        <v>127.0</v>
      </c>
      <c r="B128" s="2" t="s">
        <v>1690</v>
      </c>
      <c r="C128" s="2" t="s">
        <v>23</v>
      </c>
      <c r="D128" s="2">
        <v>1.0</v>
      </c>
      <c r="E128" s="2">
        <v>50.0</v>
      </c>
      <c r="F128" s="2">
        <v>0.25</v>
      </c>
      <c r="G128" s="2">
        <v>0.33</v>
      </c>
      <c r="H128" s="2" t="s">
        <v>29</v>
      </c>
      <c r="I128" s="4">
        <v>46229.38178240741</v>
      </c>
      <c r="J128" s="2" t="s">
        <v>1058</v>
      </c>
      <c r="K128" s="2">
        <v>3100.0</v>
      </c>
      <c r="L128" s="2">
        <v>60.0</v>
      </c>
      <c r="M128" s="2">
        <v>60.0</v>
      </c>
      <c r="N128" s="6">
        <v>42312.0</v>
      </c>
      <c r="O128" s="2" t="s">
        <v>91</v>
      </c>
      <c r="P128" s="2" t="s">
        <v>36</v>
      </c>
      <c r="Q128" s="2" t="s">
        <v>1693</v>
      </c>
      <c r="S128" s="2" t="s">
        <v>848</v>
      </c>
    </row>
    <row r="129">
      <c r="A129" s="2">
        <v>128.0</v>
      </c>
      <c r="B129" s="2" t="s">
        <v>1695</v>
      </c>
      <c r="C129" s="2" t="s">
        <v>23</v>
      </c>
      <c r="D129" s="2">
        <v>31.0</v>
      </c>
      <c r="E129" s="2">
        <v>50.0</v>
      </c>
      <c r="H129" s="2" t="s">
        <v>1695</v>
      </c>
      <c r="I129" s="4">
        <v>46233.47222222222</v>
      </c>
      <c r="J129" s="2" t="s">
        <v>1698</v>
      </c>
      <c r="K129" s="2">
        <v>800.0</v>
      </c>
      <c r="L129" s="2">
        <v>30.0</v>
      </c>
      <c r="M129" s="2">
        <v>90.0</v>
      </c>
      <c r="N129" s="6">
        <v>42772.0</v>
      </c>
      <c r="O129" s="2" t="s">
        <v>1095</v>
      </c>
      <c r="P129" s="2" t="s">
        <v>36</v>
      </c>
      <c r="Q129" s="2" t="s">
        <v>1700</v>
      </c>
      <c r="S129" s="2" t="s">
        <v>886</v>
      </c>
    </row>
    <row r="130">
      <c r="A130" s="2">
        <v>129.0</v>
      </c>
      <c r="B130" s="2" t="s">
        <v>1702</v>
      </c>
      <c r="C130" s="2" t="s">
        <v>23</v>
      </c>
      <c r="D130" s="2">
        <v>1.0</v>
      </c>
      <c r="E130" s="2">
        <v>50.0</v>
      </c>
      <c r="F130" s="2">
        <v>0.4</v>
      </c>
      <c r="H130" s="2" t="s">
        <v>1512</v>
      </c>
      <c r="I130" s="4">
        <v>46210.33224537037</v>
      </c>
      <c r="J130" s="2" t="s">
        <v>1705</v>
      </c>
      <c r="K130" s="2">
        <v>80.0</v>
      </c>
      <c r="L130" s="2">
        <v>600.0</v>
      </c>
      <c r="M130" s="2">
        <v>600.0</v>
      </c>
      <c r="N130" s="6">
        <v>42692.0</v>
      </c>
      <c r="O130" s="2" t="s">
        <v>514</v>
      </c>
      <c r="P130" s="2" t="s">
        <v>36</v>
      </c>
      <c r="Q130" s="2" t="s">
        <v>1707</v>
      </c>
      <c r="S130" s="2" t="s">
        <v>146</v>
      </c>
    </row>
    <row r="131">
      <c r="A131" s="2">
        <v>130.0</v>
      </c>
      <c r="B131" s="2" t="s">
        <v>1709</v>
      </c>
      <c r="C131" s="2" t="s">
        <v>23</v>
      </c>
      <c r="D131" s="2">
        <v>4.0</v>
      </c>
      <c r="E131" s="2">
        <v>50.0</v>
      </c>
      <c r="F131" s="2">
        <v>0.45</v>
      </c>
      <c r="H131" s="2" t="s">
        <v>1502</v>
      </c>
      <c r="I131" s="4">
        <v>46222.29456018518</v>
      </c>
      <c r="J131" s="2" t="s">
        <v>34</v>
      </c>
      <c r="K131" s="2">
        <v>7400.0</v>
      </c>
      <c r="L131" s="2">
        <v>20.0</v>
      </c>
      <c r="M131" s="2">
        <v>150.0</v>
      </c>
      <c r="N131" s="6">
        <v>42833.0</v>
      </c>
      <c r="O131" s="2" t="s">
        <v>1017</v>
      </c>
      <c r="P131" s="2" t="s">
        <v>36</v>
      </c>
      <c r="Q131" s="2" t="s">
        <v>1714</v>
      </c>
      <c r="S131" s="2" t="s">
        <v>59</v>
      </c>
    </row>
    <row r="132">
      <c r="A132" s="2">
        <v>131.0</v>
      </c>
      <c r="B132" s="2" t="s">
        <v>1716</v>
      </c>
      <c r="C132" s="2" t="s">
        <v>23</v>
      </c>
      <c r="D132" s="2">
        <v>0.0</v>
      </c>
      <c r="E132" s="2">
        <v>50.0</v>
      </c>
      <c r="F132" s="2">
        <v>0.5</v>
      </c>
      <c r="H132" s="2" t="s">
        <v>1717</v>
      </c>
      <c r="I132" s="4">
        <v>46215.815034722225</v>
      </c>
      <c r="J132" s="2" t="s">
        <v>1719</v>
      </c>
      <c r="K132" s="2">
        <v>350.0</v>
      </c>
      <c r="L132" s="2">
        <v>30.0</v>
      </c>
      <c r="M132" s="2">
        <v>30.0</v>
      </c>
      <c r="N132" s="6">
        <v>43878.0</v>
      </c>
      <c r="O132" s="2" t="s">
        <v>514</v>
      </c>
      <c r="P132" s="2" t="s">
        <v>36</v>
      </c>
      <c r="Q132" s="2" t="s">
        <v>1722</v>
      </c>
      <c r="S132" s="2" t="s">
        <v>867</v>
      </c>
    </row>
    <row r="133">
      <c r="A133" s="2">
        <v>132.0</v>
      </c>
      <c r="B133" s="2" t="s">
        <v>1724</v>
      </c>
      <c r="C133" s="2" t="s">
        <v>23</v>
      </c>
      <c r="D133" s="2">
        <v>37.0</v>
      </c>
      <c r="E133" s="2">
        <v>50.0</v>
      </c>
      <c r="H133" s="2" t="s">
        <v>1311</v>
      </c>
      <c r="I133" s="4">
        <v>46221.214583333334</v>
      </c>
      <c r="J133" s="2" t="s">
        <v>34</v>
      </c>
      <c r="K133" s="2">
        <v>50.0</v>
      </c>
      <c r="L133" s="2">
        <v>50.0</v>
      </c>
      <c r="M133" s="2">
        <v>50.0</v>
      </c>
      <c r="N133" s="6">
        <v>42823.0</v>
      </c>
      <c r="O133" s="2" t="s">
        <v>91</v>
      </c>
      <c r="P133" s="2" t="s">
        <v>36</v>
      </c>
      <c r="Q133" s="2" t="s">
        <v>1729</v>
      </c>
      <c r="S133" s="2" t="s">
        <v>1213</v>
      </c>
    </row>
    <row r="134">
      <c r="A134" s="2">
        <v>133.0</v>
      </c>
      <c r="B134" s="2" t="s">
        <v>1731</v>
      </c>
      <c r="C134" s="2" t="s">
        <v>23</v>
      </c>
      <c r="D134" s="2">
        <v>0.0</v>
      </c>
      <c r="E134" s="2">
        <v>50.0</v>
      </c>
      <c r="F134" s="2">
        <v>0.6</v>
      </c>
      <c r="H134" s="2" t="s">
        <v>879</v>
      </c>
      <c r="I134" s="4">
        <v>46233.354108796295</v>
      </c>
      <c r="J134" s="2" t="s">
        <v>1015</v>
      </c>
      <c r="K134" s="2">
        <v>100.0</v>
      </c>
      <c r="L134" s="2">
        <v>800.0</v>
      </c>
      <c r="M134" s="2">
        <v>900.0</v>
      </c>
      <c r="N134" s="6">
        <v>42438.0</v>
      </c>
      <c r="O134" s="2" t="s">
        <v>1017</v>
      </c>
      <c r="P134" s="2" t="s">
        <v>36</v>
      </c>
      <c r="Q134" s="2" t="s">
        <v>1737</v>
      </c>
      <c r="S134" s="2" t="s">
        <v>1738</v>
      </c>
    </row>
    <row r="135">
      <c r="A135" s="2">
        <v>134.0</v>
      </c>
      <c r="B135" s="2" t="s">
        <v>1207</v>
      </c>
      <c r="C135" s="2" t="s">
        <v>23</v>
      </c>
      <c r="D135" s="2">
        <v>0.0</v>
      </c>
      <c r="E135" s="2">
        <v>50.0</v>
      </c>
      <c r="F135" s="2">
        <v>1.4</v>
      </c>
      <c r="G135" s="2">
        <v>0.72</v>
      </c>
      <c r="H135" s="2" t="s">
        <v>1207</v>
      </c>
      <c r="I135" s="4">
        <v>46215.43939814815</v>
      </c>
      <c r="J135" s="2" t="s">
        <v>1743</v>
      </c>
      <c r="K135" s="2">
        <v>60.0</v>
      </c>
      <c r="L135" s="2">
        <v>150.0</v>
      </c>
      <c r="M135" s="2">
        <v>150.0</v>
      </c>
      <c r="N135" s="6">
        <v>42257.0</v>
      </c>
      <c r="O135" s="2" t="s">
        <v>1539</v>
      </c>
      <c r="P135" s="2" t="s">
        <v>36</v>
      </c>
      <c r="Q135" s="2" t="s">
        <v>1746</v>
      </c>
      <c r="R135" s="2" t="s">
        <v>1747</v>
      </c>
      <c r="S135" s="2" t="s">
        <v>1213</v>
      </c>
    </row>
    <row r="136">
      <c r="A136" s="2">
        <v>135.0</v>
      </c>
      <c r="B136" s="2" t="s">
        <v>1749</v>
      </c>
      <c r="C136" s="2" t="s">
        <v>23</v>
      </c>
      <c r="D136" s="2">
        <v>1.0</v>
      </c>
      <c r="E136" s="2">
        <v>50.0</v>
      </c>
      <c r="F136" s="2">
        <v>0.9</v>
      </c>
      <c r="H136" s="2" t="s">
        <v>79</v>
      </c>
      <c r="I136" s="4">
        <v>46212.89076388889</v>
      </c>
      <c r="J136" s="2" t="s">
        <v>34</v>
      </c>
      <c r="K136" s="2">
        <v>700.0</v>
      </c>
      <c r="L136" s="2">
        <v>40.0</v>
      </c>
      <c r="M136" s="2">
        <v>40.0</v>
      </c>
      <c r="N136" s="6">
        <v>43190.0</v>
      </c>
      <c r="O136" s="2" t="s">
        <v>40</v>
      </c>
      <c r="P136" s="2" t="s">
        <v>36</v>
      </c>
      <c r="Q136" s="2" t="s">
        <v>1753</v>
      </c>
      <c r="S136" s="2" t="s">
        <v>44</v>
      </c>
    </row>
    <row r="137">
      <c r="A137" s="2">
        <v>136.0</v>
      </c>
      <c r="B137" s="2" t="s">
        <v>1755</v>
      </c>
      <c r="C137" s="2" t="s">
        <v>23</v>
      </c>
      <c r="D137" s="2">
        <v>46.0</v>
      </c>
      <c r="E137" s="2">
        <v>50.0</v>
      </c>
      <c r="F137" s="2">
        <v>1.1</v>
      </c>
      <c r="H137" s="2" t="s">
        <v>1758</v>
      </c>
      <c r="I137" s="4">
        <v>46235.52496527778</v>
      </c>
      <c r="J137" s="2" t="s">
        <v>34</v>
      </c>
      <c r="K137" s="2">
        <v>4400.0</v>
      </c>
      <c r="L137" s="2">
        <v>100.0</v>
      </c>
      <c r="M137" s="2">
        <v>100.0</v>
      </c>
      <c r="N137" s="6">
        <v>43087.0</v>
      </c>
      <c r="O137" s="2" t="s">
        <v>75</v>
      </c>
      <c r="P137" s="2" t="s">
        <v>36</v>
      </c>
      <c r="Q137" s="2" t="s">
        <v>1760</v>
      </c>
      <c r="S137" s="2" t="s">
        <v>1142</v>
      </c>
    </row>
    <row r="138">
      <c r="A138" s="2">
        <v>137.0</v>
      </c>
      <c r="B138" s="2" t="s">
        <v>374</v>
      </c>
      <c r="C138" s="2" t="s">
        <v>23</v>
      </c>
      <c r="D138" s="2">
        <v>0.0</v>
      </c>
      <c r="E138" s="2">
        <v>50.0</v>
      </c>
      <c r="F138" s="2">
        <v>0.4</v>
      </c>
      <c r="H138" s="2" t="s">
        <v>137</v>
      </c>
      <c r="I138" s="4">
        <v>46208.81422453704</v>
      </c>
      <c r="J138" s="2" t="s">
        <v>142</v>
      </c>
      <c r="K138" s="2">
        <v>200.0</v>
      </c>
      <c r="L138" s="2">
        <v>400.0</v>
      </c>
      <c r="M138" s="2">
        <v>400.0</v>
      </c>
      <c r="N138" s="6">
        <v>43319.0</v>
      </c>
      <c r="O138" s="2" t="s">
        <v>40</v>
      </c>
      <c r="P138" s="2" t="s">
        <v>36</v>
      </c>
      <c r="Q138" s="2" t="s">
        <v>381</v>
      </c>
      <c r="S138" s="2" t="s">
        <v>146</v>
      </c>
    </row>
    <row r="139">
      <c r="A139" s="2">
        <v>138.0</v>
      </c>
      <c r="B139" s="2" t="s">
        <v>1764</v>
      </c>
      <c r="C139" s="2" t="s">
        <v>23</v>
      </c>
      <c r="D139" s="2">
        <v>29.0</v>
      </c>
      <c r="E139" s="2">
        <v>50.0</v>
      </c>
      <c r="F139" s="2">
        <v>0.4</v>
      </c>
      <c r="G139" s="2">
        <v>0.95</v>
      </c>
      <c r="H139" s="2" t="s">
        <v>1207</v>
      </c>
      <c r="I139" s="4">
        <v>46235.47012731482</v>
      </c>
      <c r="J139" s="2" t="s">
        <v>34</v>
      </c>
      <c r="K139" s="2">
        <v>50.0</v>
      </c>
      <c r="L139" s="2">
        <v>150.0</v>
      </c>
      <c r="M139" s="2">
        <v>150.0</v>
      </c>
      <c r="N139" s="6">
        <v>42314.0</v>
      </c>
      <c r="O139" s="2" t="s">
        <v>91</v>
      </c>
      <c r="P139" s="2" t="s">
        <v>36</v>
      </c>
      <c r="Q139" s="2" t="s">
        <v>1768</v>
      </c>
      <c r="R139" s="2" t="s">
        <v>1769</v>
      </c>
      <c r="S139" s="2" t="s">
        <v>1213</v>
      </c>
    </row>
    <row r="140">
      <c r="A140" s="2">
        <v>139.0</v>
      </c>
      <c r="B140" s="2" t="s">
        <v>1771</v>
      </c>
      <c r="C140" s="2" t="s">
        <v>23</v>
      </c>
      <c r="D140" s="2">
        <v>0.0</v>
      </c>
      <c r="E140" s="2">
        <v>50.0</v>
      </c>
      <c r="F140" s="2">
        <v>0.2</v>
      </c>
      <c r="H140" s="2" t="s">
        <v>28</v>
      </c>
      <c r="I140" s="4">
        <v>46222.56886574074</v>
      </c>
      <c r="J140" s="2" t="s">
        <v>766</v>
      </c>
      <c r="K140" s="2">
        <v>60.0</v>
      </c>
      <c r="L140" s="2">
        <v>150.0</v>
      </c>
      <c r="M140" s="2">
        <v>150.0</v>
      </c>
      <c r="N140" s="6">
        <v>42255.0</v>
      </c>
      <c r="O140" s="2" t="s">
        <v>1017</v>
      </c>
      <c r="P140" s="2" t="s">
        <v>36</v>
      </c>
      <c r="Q140" s="2" t="s">
        <v>1775</v>
      </c>
      <c r="S140" s="2" t="s">
        <v>1738</v>
      </c>
    </row>
    <row r="141">
      <c r="A141" s="2">
        <v>140.0</v>
      </c>
      <c r="B141" s="2" t="s">
        <v>1777</v>
      </c>
      <c r="C141" s="2" t="s">
        <v>23</v>
      </c>
      <c r="D141" s="2">
        <v>0.0</v>
      </c>
      <c r="E141" s="2">
        <v>40.0</v>
      </c>
      <c r="H141" s="2" t="s">
        <v>1777</v>
      </c>
      <c r="I141" s="4">
        <v>46219.7743287037</v>
      </c>
      <c r="J141" s="2" t="s">
        <v>766</v>
      </c>
      <c r="K141" s="2">
        <v>40.0</v>
      </c>
      <c r="L141" s="2">
        <v>10.0</v>
      </c>
      <c r="M141" s="2">
        <v>10.0</v>
      </c>
      <c r="N141" s="6">
        <v>43270.0</v>
      </c>
      <c r="O141" s="2" t="s">
        <v>102</v>
      </c>
      <c r="P141" s="2" t="s">
        <v>36</v>
      </c>
      <c r="Q141" s="2" t="s">
        <v>1782</v>
      </c>
      <c r="S141" s="2" t="s">
        <v>1783</v>
      </c>
    </row>
    <row r="142">
      <c r="A142" s="2">
        <v>141.0</v>
      </c>
      <c r="B142" s="2" t="s">
        <v>1784</v>
      </c>
      <c r="C142" s="2" t="s">
        <v>23</v>
      </c>
      <c r="D142" s="2">
        <v>13.0</v>
      </c>
      <c r="E142" s="2">
        <v>40.0</v>
      </c>
      <c r="H142" s="2" t="s">
        <v>1038</v>
      </c>
      <c r="I142" s="4">
        <v>46209.51084490741</v>
      </c>
      <c r="J142" s="2" t="s">
        <v>34</v>
      </c>
      <c r="K142" s="2">
        <v>40.0</v>
      </c>
      <c r="L142" s="2">
        <v>50.0</v>
      </c>
      <c r="M142" s="2">
        <v>50.0</v>
      </c>
      <c r="N142" s="6">
        <v>42322.0</v>
      </c>
      <c r="O142" s="2" t="s">
        <v>40</v>
      </c>
      <c r="P142" s="2" t="s">
        <v>36</v>
      </c>
      <c r="Q142" s="2" t="s">
        <v>1789</v>
      </c>
      <c r="S142" s="2" t="s">
        <v>153</v>
      </c>
    </row>
    <row r="143">
      <c r="A143" s="2">
        <v>142.0</v>
      </c>
      <c r="B143" s="2" t="s">
        <v>1792</v>
      </c>
      <c r="C143" s="2" t="s">
        <v>23</v>
      </c>
      <c r="D143" s="2">
        <v>0.0</v>
      </c>
      <c r="E143" s="2">
        <v>40.0</v>
      </c>
      <c r="F143" s="2">
        <v>0.25</v>
      </c>
      <c r="H143" s="2" t="s">
        <v>1792</v>
      </c>
      <c r="I143" s="4">
        <v>46219.6028125</v>
      </c>
      <c r="J143" s="2" t="s">
        <v>47</v>
      </c>
      <c r="K143" s="2">
        <v>40.0</v>
      </c>
      <c r="L143" s="2">
        <v>0.0</v>
      </c>
      <c r="M143" s="2">
        <v>0.0</v>
      </c>
      <c r="N143" s="6">
        <v>43755.0</v>
      </c>
      <c r="O143" s="2" t="s">
        <v>1794</v>
      </c>
      <c r="P143" s="2" t="s">
        <v>36</v>
      </c>
      <c r="Q143" s="2" t="s">
        <v>1796</v>
      </c>
      <c r="S143" s="2" t="s">
        <v>1797</v>
      </c>
    </row>
    <row r="144">
      <c r="A144" s="2">
        <v>143.0</v>
      </c>
      <c r="B144" s="2" t="s">
        <v>1798</v>
      </c>
      <c r="C144" s="2" t="s">
        <v>23</v>
      </c>
      <c r="D144" s="2">
        <v>12.0</v>
      </c>
      <c r="E144" s="2">
        <v>40.0</v>
      </c>
      <c r="F144" s="2">
        <v>0.6</v>
      </c>
      <c r="H144" s="2" t="s">
        <v>1</v>
      </c>
      <c r="I144" s="4">
        <v>46205.053298611114</v>
      </c>
      <c r="J144" s="2" t="s">
        <v>34</v>
      </c>
      <c r="K144" s="2">
        <v>40.0</v>
      </c>
      <c r="L144" s="2">
        <v>70.0</v>
      </c>
      <c r="M144" s="2">
        <v>70.0</v>
      </c>
      <c r="N144" s="6">
        <v>44668.0</v>
      </c>
      <c r="O144" s="2" t="s">
        <v>40</v>
      </c>
      <c r="P144" s="2" t="s">
        <v>36</v>
      </c>
      <c r="Q144" s="2" t="s">
        <v>1803</v>
      </c>
      <c r="S144" s="2" t="s">
        <v>44</v>
      </c>
    </row>
    <row r="145">
      <c r="A145" s="2">
        <v>144.0</v>
      </c>
      <c r="B145" s="2" t="s">
        <v>1805</v>
      </c>
      <c r="C145" s="2" t="s">
        <v>23</v>
      </c>
      <c r="D145" s="2">
        <v>45.0</v>
      </c>
      <c r="E145" s="2">
        <v>40.0</v>
      </c>
      <c r="F145" s="2">
        <v>0.8</v>
      </c>
      <c r="H145" s="2" t="s">
        <v>1806</v>
      </c>
      <c r="I145" s="4">
        <v>46229.49561342593</v>
      </c>
      <c r="J145" s="2" t="s">
        <v>34</v>
      </c>
      <c r="K145" s="2">
        <v>700.0</v>
      </c>
      <c r="L145" s="2">
        <v>2100.0</v>
      </c>
      <c r="M145" s="2">
        <v>2300.0</v>
      </c>
      <c r="N145" s="6">
        <v>42982.0</v>
      </c>
      <c r="O145" s="2" t="s">
        <v>91</v>
      </c>
      <c r="P145" s="2" t="s">
        <v>36</v>
      </c>
      <c r="Q145" s="2" t="s">
        <v>1809</v>
      </c>
      <c r="S145" s="2" t="s">
        <v>1811</v>
      </c>
    </row>
    <row r="146">
      <c r="A146" s="2">
        <v>145.0</v>
      </c>
      <c r="B146" s="2" t="s">
        <v>1812</v>
      </c>
      <c r="C146" s="2" t="s">
        <v>23</v>
      </c>
      <c r="D146" s="2">
        <v>3.0</v>
      </c>
      <c r="E146" s="2">
        <v>40.0</v>
      </c>
      <c r="F146" s="2">
        <v>0.15</v>
      </c>
      <c r="H146" s="2" t="s">
        <v>1812</v>
      </c>
      <c r="I146" s="4">
        <v>46219.937268518515</v>
      </c>
      <c r="J146" s="2" t="s">
        <v>34</v>
      </c>
      <c r="K146" s="2">
        <v>40.0</v>
      </c>
      <c r="L146" s="2">
        <v>30.0</v>
      </c>
      <c r="M146" s="2">
        <v>30.0</v>
      </c>
      <c r="N146" s="6">
        <v>42282.0</v>
      </c>
      <c r="O146" s="2" t="s">
        <v>91</v>
      </c>
      <c r="P146" s="2" t="s">
        <v>36</v>
      </c>
      <c r="Q146" s="2" t="s">
        <v>1816</v>
      </c>
      <c r="S146" s="2" t="s">
        <v>159</v>
      </c>
    </row>
    <row r="147">
      <c r="A147" s="2">
        <v>146.0</v>
      </c>
      <c r="B147" s="2" t="s">
        <v>1819</v>
      </c>
      <c r="C147" s="2" t="s">
        <v>23</v>
      </c>
      <c r="D147" s="2">
        <v>0.0</v>
      </c>
      <c r="E147" s="2">
        <v>40.0</v>
      </c>
      <c r="F147" s="2">
        <v>0.07</v>
      </c>
      <c r="G147" s="2">
        <v>0.68</v>
      </c>
      <c r="H147" s="2" t="s">
        <v>1821</v>
      </c>
      <c r="I147" s="4">
        <v>46228.25414351852</v>
      </c>
      <c r="J147" s="2" t="s">
        <v>1822</v>
      </c>
      <c r="K147" s="2">
        <v>1200.0</v>
      </c>
      <c r="L147" s="2">
        <v>150.0</v>
      </c>
      <c r="M147" s="2">
        <v>150.0</v>
      </c>
      <c r="N147" s="6">
        <v>42272.0</v>
      </c>
      <c r="O147" s="2" t="s">
        <v>49</v>
      </c>
      <c r="P147" s="2" t="s">
        <v>36</v>
      </c>
      <c r="Q147" s="2" t="s">
        <v>1825</v>
      </c>
      <c r="S147" s="2" t="s">
        <v>1585</v>
      </c>
    </row>
    <row r="148">
      <c r="A148" s="2">
        <v>147.0</v>
      </c>
      <c r="B148" s="2" t="s">
        <v>1827</v>
      </c>
      <c r="C148" s="2" t="s">
        <v>23</v>
      </c>
      <c r="D148" s="2">
        <v>31.0</v>
      </c>
      <c r="E148" s="2">
        <v>40.0</v>
      </c>
      <c r="F148" s="2">
        <v>0.25</v>
      </c>
      <c r="H148" s="2" t="s">
        <v>88</v>
      </c>
      <c r="I148" s="4">
        <v>46222.8653125</v>
      </c>
      <c r="J148" s="2" t="s">
        <v>34</v>
      </c>
      <c r="K148" s="2">
        <v>3500.0</v>
      </c>
      <c r="L148" s="2">
        <v>100.0</v>
      </c>
      <c r="M148" s="2">
        <v>100.0</v>
      </c>
      <c r="N148" s="6">
        <v>42401.0</v>
      </c>
      <c r="O148" s="2" t="s">
        <v>91</v>
      </c>
      <c r="P148" s="2" t="s">
        <v>36</v>
      </c>
      <c r="Q148" s="2" t="s">
        <v>1830</v>
      </c>
      <c r="S148" s="2" t="s">
        <v>1832</v>
      </c>
    </row>
    <row r="149">
      <c r="A149" s="2">
        <v>148.0</v>
      </c>
      <c r="B149" s="2" t="s">
        <v>1833</v>
      </c>
      <c r="C149" s="2" t="s">
        <v>23</v>
      </c>
      <c r="D149" s="2">
        <v>0.0</v>
      </c>
      <c r="E149" s="2">
        <v>40.0</v>
      </c>
      <c r="H149" s="2" t="s">
        <v>1835</v>
      </c>
      <c r="I149" s="4">
        <v>46220.803981481484</v>
      </c>
      <c r="J149" s="2" t="s">
        <v>766</v>
      </c>
      <c r="K149" s="2">
        <v>50.0</v>
      </c>
      <c r="L149" s="2">
        <v>10.0</v>
      </c>
      <c r="M149" s="2">
        <v>10.0</v>
      </c>
      <c r="N149" s="6">
        <v>44395.0</v>
      </c>
      <c r="O149" s="2" t="s">
        <v>49</v>
      </c>
      <c r="P149" s="2" t="s">
        <v>36</v>
      </c>
      <c r="Q149" s="2" t="s">
        <v>1837</v>
      </c>
      <c r="S149" s="2" t="s">
        <v>59</v>
      </c>
    </row>
    <row r="150">
      <c r="A150" s="2">
        <v>149.0</v>
      </c>
      <c r="B150" s="2" t="s">
        <v>1839</v>
      </c>
      <c r="C150" s="2" t="s">
        <v>23</v>
      </c>
      <c r="D150" s="2">
        <v>4.0</v>
      </c>
      <c r="E150" s="2">
        <v>40.0</v>
      </c>
      <c r="F150" s="2">
        <v>0.45</v>
      </c>
      <c r="H150" s="2" t="s">
        <v>1841</v>
      </c>
      <c r="I150" s="4">
        <v>46228.36666666667</v>
      </c>
      <c r="J150" s="2" t="s">
        <v>1842</v>
      </c>
      <c r="K150" s="2">
        <v>800.0</v>
      </c>
      <c r="L150" s="2">
        <v>10.0</v>
      </c>
      <c r="M150" s="2">
        <v>10.0</v>
      </c>
      <c r="N150" s="6">
        <v>42411.0</v>
      </c>
      <c r="O150" s="2" t="s">
        <v>40</v>
      </c>
      <c r="P150" s="2" t="s">
        <v>36</v>
      </c>
      <c r="Q150" s="2" t="s">
        <v>1844</v>
      </c>
      <c r="S150" s="2" t="s">
        <v>1845</v>
      </c>
    </row>
    <row r="151">
      <c r="A151" s="2">
        <v>150.0</v>
      </c>
      <c r="B151" s="2" t="s">
        <v>1847</v>
      </c>
      <c r="C151" s="2" t="s">
        <v>23</v>
      </c>
      <c r="D151" s="2">
        <v>22.0</v>
      </c>
      <c r="E151" s="2">
        <v>40.0</v>
      </c>
      <c r="F151" s="2">
        <v>0.35</v>
      </c>
      <c r="H151" s="2" t="s">
        <v>1839</v>
      </c>
      <c r="I151" s="4">
        <v>46226.22210648148</v>
      </c>
      <c r="J151" s="2" t="s">
        <v>34</v>
      </c>
      <c r="K151" s="2">
        <v>40.0</v>
      </c>
      <c r="L151" s="2">
        <v>20.0</v>
      </c>
      <c r="M151" s="2">
        <v>20.0</v>
      </c>
      <c r="N151" s="6">
        <v>42313.0</v>
      </c>
      <c r="O151" s="2" t="s">
        <v>91</v>
      </c>
      <c r="P151" s="2" t="s">
        <v>36</v>
      </c>
      <c r="Q151" s="2" t="s">
        <v>1852</v>
      </c>
      <c r="S151" s="2" t="s">
        <v>132</v>
      </c>
    </row>
    <row r="152">
      <c r="A152" s="2">
        <v>151.0</v>
      </c>
      <c r="B152" s="2" t="s">
        <v>1854</v>
      </c>
      <c r="C152" s="2" t="s">
        <v>23</v>
      </c>
      <c r="D152" s="2">
        <v>2.0</v>
      </c>
      <c r="E152" s="2">
        <v>40.0</v>
      </c>
      <c r="H152" s="2" t="s">
        <v>1004</v>
      </c>
      <c r="I152" s="4">
        <v>46208.98018518519</v>
      </c>
      <c r="J152" s="2" t="s">
        <v>1856</v>
      </c>
      <c r="K152" s="2">
        <v>50.0</v>
      </c>
      <c r="L152" s="2">
        <v>60.0</v>
      </c>
      <c r="M152" s="2">
        <v>60.0</v>
      </c>
      <c r="N152" s="6">
        <v>42346.0</v>
      </c>
      <c r="O152" s="2" t="s">
        <v>40</v>
      </c>
      <c r="P152" s="2" t="s">
        <v>36</v>
      </c>
      <c r="Q152" s="2" t="s">
        <v>1859</v>
      </c>
      <c r="S152" s="2" t="s">
        <v>153</v>
      </c>
    </row>
    <row r="153">
      <c r="A153" s="2">
        <v>152.0</v>
      </c>
      <c r="B153" s="2" t="s">
        <v>1861</v>
      </c>
      <c r="C153" s="2" t="s">
        <v>23</v>
      </c>
      <c r="D153" s="2">
        <v>0.0</v>
      </c>
      <c r="E153" s="2">
        <v>40.0</v>
      </c>
      <c r="F153" s="2">
        <v>0.6</v>
      </c>
      <c r="H153" s="2" t="s">
        <v>844</v>
      </c>
      <c r="I153" s="4">
        <v>46221.79997685185</v>
      </c>
      <c r="J153" s="2" t="s">
        <v>34</v>
      </c>
      <c r="K153" s="2">
        <v>1400.0</v>
      </c>
      <c r="L153" s="2">
        <v>70.0</v>
      </c>
      <c r="M153" s="2">
        <v>16000.0</v>
      </c>
      <c r="N153" s="6">
        <v>43900.0</v>
      </c>
      <c r="O153" s="2" t="s">
        <v>75</v>
      </c>
      <c r="P153" s="2" t="s">
        <v>36</v>
      </c>
      <c r="Q153" s="2" t="s">
        <v>1863</v>
      </c>
      <c r="S153" s="2" t="s">
        <v>44</v>
      </c>
    </row>
    <row r="154">
      <c r="A154" s="2">
        <v>153.0</v>
      </c>
      <c r="B154" s="2" t="s">
        <v>1297</v>
      </c>
      <c r="C154" s="2" t="s">
        <v>23</v>
      </c>
      <c r="D154" s="2">
        <v>0.0</v>
      </c>
      <c r="E154" s="2">
        <v>40.0</v>
      </c>
      <c r="F154" s="2">
        <v>0.02</v>
      </c>
      <c r="G154" s="2">
        <v>2.5</v>
      </c>
      <c r="H154" s="2" t="s">
        <v>1297</v>
      </c>
      <c r="I154" s="4">
        <v>46209.06108796296</v>
      </c>
      <c r="K154" s="2">
        <v>40.0</v>
      </c>
      <c r="L154" s="2">
        <v>150.0</v>
      </c>
      <c r="M154" s="2">
        <v>150.0</v>
      </c>
      <c r="N154" s="6">
        <v>42254.0</v>
      </c>
      <c r="O154" s="2" t="s">
        <v>1403</v>
      </c>
      <c r="P154" s="2" t="s">
        <v>36</v>
      </c>
      <c r="Q154" s="2" t="s">
        <v>1869</v>
      </c>
      <c r="S154" s="2" t="s">
        <v>39</v>
      </c>
    </row>
    <row r="155">
      <c r="A155" s="2">
        <v>154.0</v>
      </c>
      <c r="B155" s="2" t="s">
        <v>1871</v>
      </c>
      <c r="C155" s="2" t="s">
        <v>23</v>
      </c>
      <c r="D155" s="2">
        <v>19.0</v>
      </c>
      <c r="E155" s="2">
        <v>40.0</v>
      </c>
      <c r="F155" s="2">
        <v>0.4</v>
      </c>
      <c r="H155" s="2" t="s">
        <v>1538</v>
      </c>
      <c r="I155" s="4">
        <v>46204.12265046296</v>
      </c>
      <c r="J155" s="2" t="s">
        <v>34</v>
      </c>
      <c r="K155" s="2">
        <v>2100.0</v>
      </c>
      <c r="L155" s="2">
        <v>200.0</v>
      </c>
      <c r="M155" s="2">
        <v>200.0</v>
      </c>
      <c r="N155" s="6">
        <v>43842.0</v>
      </c>
      <c r="O155" s="2" t="s">
        <v>40</v>
      </c>
      <c r="P155" s="2" t="s">
        <v>36</v>
      </c>
      <c r="Q155" s="2" t="s">
        <v>1875</v>
      </c>
      <c r="S155" s="2" t="s">
        <v>132</v>
      </c>
    </row>
    <row r="156">
      <c r="A156" s="2">
        <v>155.0</v>
      </c>
      <c r="B156" s="2" t="s">
        <v>1877</v>
      </c>
      <c r="C156" s="2" t="s">
        <v>23</v>
      </c>
      <c r="D156" s="2">
        <v>0.0</v>
      </c>
      <c r="E156" s="2">
        <v>40.0</v>
      </c>
      <c r="H156" s="2" t="s">
        <v>879</v>
      </c>
      <c r="I156" s="4">
        <v>46216.15207175926</v>
      </c>
      <c r="J156" s="2" t="s">
        <v>1166</v>
      </c>
      <c r="K156" s="2">
        <v>100.0</v>
      </c>
      <c r="L156" s="2">
        <v>900.0</v>
      </c>
      <c r="M156" s="2">
        <v>1000.0</v>
      </c>
      <c r="N156" s="6">
        <v>42414.0</v>
      </c>
      <c r="O156" s="2" t="s">
        <v>1017</v>
      </c>
      <c r="P156" s="2" t="s">
        <v>36</v>
      </c>
      <c r="Q156" s="2" t="s">
        <v>1881</v>
      </c>
      <c r="S156" s="2" t="s">
        <v>1882</v>
      </c>
    </row>
    <row r="157">
      <c r="A157" s="2">
        <v>156.0</v>
      </c>
      <c r="B157" s="2" t="s">
        <v>1884</v>
      </c>
      <c r="C157" s="2" t="s">
        <v>23</v>
      </c>
      <c r="D157" s="2">
        <v>31.0</v>
      </c>
      <c r="E157" s="2">
        <v>40.0</v>
      </c>
      <c r="F157" s="2">
        <v>0.35</v>
      </c>
      <c r="H157" s="2" t="s">
        <v>1886</v>
      </c>
      <c r="I157" s="4">
        <v>46222.1309837963</v>
      </c>
      <c r="J157" s="2" t="s">
        <v>47</v>
      </c>
      <c r="K157" s="2">
        <v>40.0</v>
      </c>
      <c r="L157" s="2">
        <v>600.0</v>
      </c>
      <c r="M157" s="2">
        <v>600.0</v>
      </c>
      <c r="N157" s="6">
        <v>42478.0</v>
      </c>
      <c r="O157" s="2" t="s">
        <v>102</v>
      </c>
      <c r="P157" s="2" t="s">
        <v>36</v>
      </c>
      <c r="Q157" s="2" t="s">
        <v>1889</v>
      </c>
      <c r="S157" s="2" t="s">
        <v>1890</v>
      </c>
    </row>
    <row r="158">
      <c r="A158" s="2">
        <v>157.0</v>
      </c>
      <c r="B158" s="2" t="s">
        <v>1892</v>
      </c>
      <c r="C158" s="2" t="s">
        <v>23</v>
      </c>
      <c r="D158" s="2">
        <v>40.0</v>
      </c>
      <c r="E158" s="2">
        <v>40.0</v>
      </c>
      <c r="F158" s="2">
        <v>0.4</v>
      </c>
      <c r="H158" s="2" t="s">
        <v>1894</v>
      </c>
      <c r="I158" s="4">
        <v>46205.820914351854</v>
      </c>
      <c r="J158" s="2" t="s">
        <v>34</v>
      </c>
      <c r="K158" s="2">
        <v>450.0</v>
      </c>
      <c r="L158" s="2">
        <v>150.0</v>
      </c>
      <c r="M158" s="2">
        <v>150.0</v>
      </c>
      <c r="N158" s="6">
        <v>43684.0</v>
      </c>
      <c r="O158" s="2" t="s">
        <v>40</v>
      </c>
      <c r="P158" s="2" t="s">
        <v>36</v>
      </c>
      <c r="Q158" s="2" t="s">
        <v>1897</v>
      </c>
      <c r="S158" s="2" t="s">
        <v>146</v>
      </c>
    </row>
    <row r="159">
      <c r="A159" s="2">
        <v>158.0</v>
      </c>
      <c r="B159" s="2" t="s">
        <v>1899</v>
      </c>
      <c r="C159" s="2" t="s">
        <v>23</v>
      </c>
      <c r="D159" s="2">
        <v>26.0</v>
      </c>
      <c r="E159" s="2">
        <v>40.0</v>
      </c>
      <c r="F159" s="2">
        <v>0.35</v>
      </c>
      <c r="H159" s="2" t="s">
        <v>890</v>
      </c>
      <c r="I159" s="4">
        <v>46216.234189814815</v>
      </c>
      <c r="J159" s="2" t="s">
        <v>1705</v>
      </c>
      <c r="K159" s="2">
        <v>50.0</v>
      </c>
      <c r="L159" s="2">
        <v>350.0</v>
      </c>
      <c r="M159" s="2">
        <v>350.0</v>
      </c>
      <c r="N159" s="6">
        <v>43167.0</v>
      </c>
      <c r="O159" s="2" t="s">
        <v>560</v>
      </c>
      <c r="P159" s="2" t="s">
        <v>36</v>
      </c>
      <c r="Q159" s="2" t="s">
        <v>1903</v>
      </c>
      <c r="S159" s="2" t="s">
        <v>146</v>
      </c>
    </row>
    <row r="160">
      <c r="A160" s="2">
        <v>159.0</v>
      </c>
      <c r="B160" s="2" t="s">
        <v>1905</v>
      </c>
      <c r="C160" s="2" t="s">
        <v>23</v>
      </c>
      <c r="D160" s="2">
        <v>2.0</v>
      </c>
      <c r="E160" s="2">
        <v>40.0</v>
      </c>
      <c r="F160" s="2">
        <v>0.15</v>
      </c>
      <c r="G160" s="2">
        <v>0.19</v>
      </c>
      <c r="H160" s="2" t="s">
        <v>1821</v>
      </c>
      <c r="I160" s="4">
        <v>46222.868055555555</v>
      </c>
      <c r="J160" s="2" t="s">
        <v>1908</v>
      </c>
      <c r="K160" s="2">
        <v>1300.0</v>
      </c>
      <c r="L160" s="2">
        <v>150.0</v>
      </c>
      <c r="M160" s="2">
        <v>150.0</v>
      </c>
      <c r="N160" s="6">
        <v>42249.0</v>
      </c>
      <c r="O160" s="2" t="s">
        <v>49</v>
      </c>
      <c r="P160" s="2" t="s">
        <v>36</v>
      </c>
      <c r="Q160" s="2" t="s">
        <v>1912</v>
      </c>
      <c r="S160" s="2" t="s">
        <v>1585</v>
      </c>
    </row>
    <row r="161">
      <c r="A161" s="2">
        <v>160.0</v>
      </c>
      <c r="B161" s="2" t="s">
        <v>1914</v>
      </c>
      <c r="C161" s="2" t="s">
        <v>23</v>
      </c>
      <c r="D161" s="2">
        <v>0.0</v>
      </c>
      <c r="E161" s="2">
        <v>30.0</v>
      </c>
      <c r="F161" s="2">
        <v>0.5</v>
      </c>
      <c r="H161" s="2" t="s">
        <v>1914</v>
      </c>
      <c r="I161" s="4">
        <v>46224.70130787037</v>
      </c>
      <c r="J161" s="2" t="s">
        <v>34</v>
      </c>
      <c r="K161" s="2">
        <v>24000.0</v>
      </c>
      <c r="L161" s="2">
        <v>10.0</v>
      </c>
      <c r="M161" s="2">
        <v>10.0</v>
      </c>
      <c r="N161" s="6">
        <v>42293.0</v>
      </c>
      <c r="O161" s="2" t="s">
        <v>102</v>
      </c>
      <c r="P161" s="2" t="s">
        <v>36</v>
      </c>
      <c r="Q161" s="2" t="s">
        <v>1919</v>
      </c>
      <c r="S161" s="2" t="s">
        <v>59</v>
      </c>
    </row>
    <row r="162">
      <c r="A162" s="2">
        <v>161.0</v>
      </c>
      <c r="B162" s="2" t="s">
        <v>1920</v>
      </c>
      <c r="C162" s="2" t="s">
        <v>23</v>
      </c>
      <c r="D162" s="2">
        <v>0.0</v>
      </c>
      <c r="E162" s="2">
        <v>30.0</v>
      </c>
      <c r="F162" s="2">
        <v>0.3</v>
      </c>
      <c r="H162" s="2" t="s">
        <v>1674</v>
      </c>
      <c r="I162" s="4">
        <v>46224.56386574074</v>
      </c>
      <c r="J162" s="2" t="s">
        <v>34</v>
      </c>
      <c r="K162" s="2">
        <v>150.0</v>
      </c>
      <c r="L162" s="2">
        <v>10.0</v>
      </c>
      <c r="M162" s="2">
        <v>10.0</v>
      </c>
      <c r="N162" s="6">
        <v>43669.0</v>
      </c>
      <c r="O162" s="2" t="s">
        <v>75</v>
      </c>
      <c r="P162" s="2" t="s">
        <v>36</v>
      </c>
      <c r="Q162" s="2" t="s">
        <v>1925</v>
      </c>
      <c r="S162" s="2" t="s">
        <v>867</v>
      </c>
    </row>
    <row r="163">
      <c r="A163" s="2">
        <v>162.0</v>
      </c>
      <c r="B163" s="2" t="s">
        <v>1927</v>
      </c>
      <c r="C163" s="2" t="s">
        <v>23</v>
      </c>
      <c r="D163" s="2">
        <v>16.0</v>
      </c>
      <c r="E163" s="2">
        <v>30.0</v>
      </c>
      <c r="F163" s="2">
        <v>0.6</v>
      </c>
      <c r="H163" s="2" t="s">
        <v>844</v>
      </c>
      <c r="I163" s="4">
        <v>46233.31837962963</v>
      </c>
      <c r="J163" s="2" t="s">
        <v>34</v>
      </c>
      <c r="K163" s="2">
        <v>4700.0</v>
      </c>
      <c r="L163" s="2">
        <v>100.0</v>
      </c>
      <c r="M163" s="2">
        <v>100.0</v>
      </c>
      <c r="N163" s="6">
        <v>43840.0</v>
      </c>
      <c r="O163" s="2" t="s">
        <v>40</v>
      </c>
      <c r="P163" s="2" t="s">
        <v>36</v>
      </c>
      <c r="Q163" s="2" t="s">
        <v>1930</v>
      </c>
      <c r="S163" s="2" t="s">
        <v>1573</v>
      </c>
    </row>
    <row r="164">
      <c r="A164" s="2">
        <v>163.0</v>
      </c>
      <c r="B164" s="2" t="s">
        <v>1932</v>
      </c>
      <c r="C164" s="2" t="s">
        <v>23</v>
      </c>
      <c r="D164" s="2">
        <v>30.0</v>
      </c>
      <c r="E164" s="2">
        <v>30.0</v>
      </c>
      <c r="F164" s="2">
        <v>0.1</v>
      </c>
      <c r="G164" s="2">
        <v>0.78</v>
      </c>
      <c r="H164" s="2" t="s">
        <v>1934</v>
      </c>
      <c r="I164" s="4">
        <v>46208.01112268519</v>
      </c>
      <c r="J164" s="2" t="s">
        <v>989</v>
      </c>
      <c r="K164" s="2">
        <v>3500.0</v>
      </c>
      <c r="L164" s="2">
        <v>150.0</v>
      </c>
      <c r="M164" s="2">
        <v>150.0</v>
      </c>
      <c r="N164" s="6">
        <v>42257.0</v>
      </c>
      <c r="O164" s="2" t="s">
        <v>40</v>
      </c>
      <c r="P164" s="2" t="s">
        <v>36</v>
      </c>
      <c r="Q164" s="2" t="s">
        <v>1937</v>
      </c>
      <c r="S164" s="2" t="s">
        <v>537</v>
      </c>
    </row>
    <row r="165">
      <c r="A165" s="2">
        <v>164.0</v>
      </c>
      <c r="B165" s="2" t="s">
        <v>1939</v>
      </c>
      <c r="C165" s="2" t="s">
        <v>23</v>
      </c>
      <c r="D165" s="2">
        <v>0.0</v>
      </c>
      <c r="E165" s="2">
        <v>30.0</v>
      </c>
      <c r="F165" s="2">
        <v>0.02</v>
      </c>
      <c r="G165" s="2">
        <v>1.12</v>
      </c>
      <c r="H165" s="2" t="s">
        <v>1297</v>
      </c>
      <c r="I165" s="4">
        <v>46220.88894675926</v>
      </c>
      <c r="K165" s="2">
        <v>30.0</v>
      </c>
      <c r="L165" s="2">
        <v>150.0</v>
      </c>
      <c r="M165" s="2">
        <v>150.0</v>
      </c>
      <c r="N165" s="6">
        <v>42305.0</v>
      </c>
      <c r="O165" s="2" t="s">
        <v>35</v>
      </c>
      <c r="P165" s="2" t="s">
        <v>36</v>
      </c>
      <c r="Q165" s="2" t="s">
        <v>1942</v>
      </c>
      <c r="S165" s="2" t="s">
        <v>39</v>
      </c>
    </row>
    <row r="166">
      <c r="A166" s="2">
        <v>165.0</v>
      </c>
      <c r="B166" s="2" t="s">
        <v>1616</v>
      </c>
      <c r="C166" s="2" t="s">
        <v>23</v>
      </c>
      <c r="D166" s="2">
        <v>0.0</v>
      </c>
      <c r="E166" s="2">
        <v>30.0</v>
      </c>
      <c r="F166" s="2">
        <v>0.6</v>
      </c>
      <c r="H166" s="2" t="s">
        <v>898</v>
      </c>
      <c r="I166" s="4">
        <v>46231.325150462966</v>
      </c>
      <c r="J166" s="2" t="s">
        <v>113</v>
      </c>
      <c r="K166" s="2">
        <v>1700.0</v>
      </c>
      <c r="L166" s="2">
        <v>10.0</v>
      </c>
      <c r="M166" s="2">
        <v>10.0</v>
      </c>
      <c r="N166" s="6">
        <v>43843.0</v>
      </c>
      <c r="O166" s="2" t="s">
        <v>40</v>
      </c>
      <c r="P166" s="2" t="s">
        <v>36</v>
      </c>
      <c r="Q166" s="2" t="s">
        <v>1946</v>
      </c>
      <c r="S166" s="2" t="s">
        <v>153</v>
      </c>
    </row>
    <row r="167">
      <c r="A167" s="2">
        <v>166.0</v>
      </c>
      <c r="B167" s="2" t="s">
        <v>1948</v>
      </c>
      <c r="C167" s="2" t="s">
        <v>23</v>
      </c>
      <c r="D167" s="2">
        <v>2.0</v>
      </c>
      <c r="E167" s="2">
        <v>30.0</v>
      </c>
      <c r="F167" s="2">
        <v>0.1</v>
      </c>
      <c r="H167" s="2" t="s">
        <v>877</v>
      </c>
      <c r="I167" s="4">
        <v>46220.733310185184</v>
      </c>
      <c r="J167" s="2" t="s">
        <v>47</v>
      </c>
      <c r="K167" s="2">
        <v>600.0</v>
      </c>
      <c r="L167" s="2">
        <v>150.0</v>
      </c>
      <c r="M167" s="2">
        <v>150.0</v>
      </c>
      <c r="N167" s="6">
        <v>42643.0</v>
      </c>
      <c r="O167" s="2" t="s">
        <v>49</v>
      </c>
      <c r="P167" s="2" t="s">
        <v>36</v>
      </c>
      <c r="Q167" s="2" t="s">
        <v>1952</v>
      </c>
      <c r="S167" s="2" t="s">
        <v>1953</v>
      </c>
    </row>
    <row r="168">
      <c r="A168" s="2">
        <v>167.0</v>
      </c>
      <c r="B168" s="2" t="s">
        <v>1955</v>
      </c>
      <c r="C168" s="2" t="s">
        <v>23</v>
      </c>
      <c r="D168" s="2">
        <v>2.0</v>
      </c>
      <c r="E168" s="2">
        <v>30.0</v>
      </c>
      <c r="F168" s="2">
        <v>0.45</v>
      </c>
      <c r="G168" s="2">
        <v>0.56</v>
      </c>
      <c r="H168" s="2" t="s">
        <v>1004</v>
      </c>
      <c r="I168" s="4">
        <v>46207.78675925926</v>
      </c>
      <c r="J168" s="2" t="s">
        <v>34</v>
      </c>
      <c r="K168" s="2">
        <v>30.0</v>
      </c>
      <c r="L168" s="2">
        <v>60.0</v>
      </c>
      <c r="M168" s="2">
        <v>60.0</v>
      </c>
      <c r="N168" s="6">
        <v>42248.0</v>
      </c>
      <c r="O168" s="2" t="s">
        <v>40</v>
      </c>
      <c r="P168" s="2" t="s">
        <v>36</v>
      </c>
      <c r="Q168" s="2" t="s">
        <v>1960</v>
      </c>
      <c r="R168" s="2" t="s">
        <v>1961</v>
      </c>
      <c r="S168" s="2" t="s">
        <v>153</v>
      </c>
    </row>
    <row r="169">
      <c r="A169" s="2">
        <v>168.0</v>
      </c>
      <c r="B169" s="2" t="s">
        <v>1963</v>
      </c>
      <c r="C169" s="2" t="s">
        <v>23</v>
      </c>
      <c r="D169" s="2">
        <v>2.0</v>
      </c>
      <c r="E169" s="2">
        <v>30.0</v>
      </c>
      <c r="H169" s="2" t="s">
        <v>72</v>
      </c>
      <c r="I169" s="4">
        <v>46231.443506944444</v>
      </c>
      <c r="J169" s="2" t="s">
        <v>1544</v>
      </c>
      <c r="K169" s="2">
        <v>2900.0</v>
      </c>
      <c r="L169" s="2">
        <v>500.0</v>
      </c>
      <c r="M169" s="2">
        <v>500.0</v>
      </c>
      <c r="N169" s="6">
        <v>43237.0</v>
      </c>
      <c r="O169" s="2" t="s">
        <v>40</v>
      </c>
      <c r="P169" s="2" t="s">
        <v>36</v>
      </c>
      <c r="Q169" s="2" t="s">
        <v>1967</v>
      </c>
      <c r="S169" s="2" t="s">
        <v>1002</v>
      </c>
    </row>
    <row r="170">
      <c r="A170" s="2">
        <v>169.0</v>
      </c>
      <c r="B170" s="2" t="s">
        <v>1968</v>
      </c>
      <c r="C170" s="2" t="s">
        <v>23</v>
      </c>
      <c r="D170" s="2">
        <v>2.0</v>
      </c>
      <c r="E170" s="2">
        <v>30.0</v>
      </c>
      <c r="F170" s="2">
        <v>0.1</v>
      </c>
      <c r="H170" s="2" t="s">
        <v>877</v>
      </c>
      <c r="I170" s="4">
        <v>46222.136666666665</v>
      </c>
      <c r="J170" s="2" t="s">
        <v>47</v>
      </c>
      <c r="K170" s="2">
        <v>200.0</v>
      </c>
      <c r="L170" s="2">
        <v>150.0</v>
      </c>
      <c r="M170" s="2">
        <v>150.0</v>
      </c>
      <c r="N170" s="6">
        <v>42457.0</v>
      </c>
      <c r="O170" s="2" t="s">
        <v>49</v>
      </c>
      <c r="P170" s="2" t="s">
        <v>36</v>
      </c>
      <c r="Q170" s="2" t="s">
        <v>1973</v>
      </c>
      <c r="S170" s="2" t="s">
        <v>1974</v>
      </c>
    </row>
    <row r="171">
      <c r="A171" s="2">
        <v>170.0</v>
      </c>
      <c r="B171" s="2" t="s">
        <v>1976</v>
      </c>
      <c r="C171" s="2" t="s">
        <v>23</v>
      </c>
      <c r="D171" s="2">
        <v>0.0</v>
      </c>
      <c r="E171" s="2">
        <v>30.0</v>
      </c>
      <c r="F171" s="2">
        <v>0.5</v>
      </c>
      <c r="H171" s="2" t="s">
        <v>964</v>
      </c>
      <c r="I171" s="4">
        <v>46213.17810185185</v>
      </c>
      <c r="J171" s="2" t="s">
        <v>784</v>
      </c>
      <c r="K171" s="2">
        <v>40.0</v>
      </c>
      <c r="L171" s="2">
        <v>1100.0</v>
      </c>
      <c r="M171" s="2">
        <v>1200.0</v>
      </c>
      <c r="N171" s="6">
        <v>42294.0</v>
      </c>
      <c r="O171" s="2" t="s">
        <v>49</v>
      </c>
      <c r="P171" s="2" t="s">
        <v>36</v>
      </c>
      <c r="Q171" s="2" t="s">
        <v>1980</v>
      </c>
      <c r="S171" s="2" t="s">
        <v>1738</v>
      </c>
    </row>
    <row r="172">
      <c r="A172" s="2">
        <v>171.0</v>
      </c>
      <c r="B172" s="2" t="s">
        <v>1981</v>
      </c>
      <c r="C172" s="2" t="s">
        <v>23</v>
      </c>
      <c r="D172" s="2">
        <v>0.0</v>
      </c>
      <c r="E172" s="2">
        <v>30.0</v>
      </c>
      <c r="F172" s="2">
        <v>0.02</v>
      </c>
      <c r="H172" s="2" t="s">
        <v>1102</v>
      </c>
      <c r="I172" s="4">
        <v>46234.95453703704</v>
      </c>
      <c r="K172" s="2">
        <v>30.0</v>
      </c>
      <c r="L172" s="2">
        <v>300.0</v>
      </c>
      <c r="M172" s="2">
        <v>300.0</v>
      </c>
      <c r="N172" s="6">
        <v>42298.0</v>
      </c>
      <c r="O172" s="2" t="s">
        <v>1403</v>
      </c>
      <c r="P172" s="2" t="s">
        <v>36</v>
      </c>
      <c r="Q172" s="2" t="s">
        <v>1986</v>
      </c>
      <c r="S172" s="2" t="s">
        <v>39</v>
      </c>
    </row>
    <row r="173">
      <c r="A173" s="2">
        <v>172.0</v>
      </c>
      <c r="B173" s="2" t="s">
        <v>539</v>
      </c>
      <c r="C173" s="2" t="s">
        <v>23</v>
      </c>
      <c r="D173" s="2">
        <v>0.0</v>
      </c>
      <c r="E173" s="2">
        <v>30.0</v>
      </c>
      <c r="F173" s="2">
        <v>0.25</v>
      </c>
      <c r="H173" s="2" t="s">
        <v>543</v>
      </c>
      <c r="I173" s="4">
        <v>46217.96613425926</v>
      </c>
      <c r="J173" s="2" t="s">
        <v>545</v>
      </c>
      <c r="K173" s="2">
        <v>2500.0</v>
      </c>
      <c r="L173" s="2">
        <v>10.0</v>
      </c>
      <c r="M173" s="2">
        <v>10.0</v>
      </c>
      <c r="N173" s="6">
        <v>42322.0</v>
      </c>
      <c r="O173" s="2" t="s">
        <v>49</v>
      </c>
      <c r="P173" s="2" t="s">
        <v>36</v>
      </c>
      <c r="Q173" s="2" t="s">
        <v>549</v>
      </c>
      <c r="S173" s="2" t="s">
        <v>59</v>
      </c>
    </row>
    <row r="174">
      <c r="A174" s="2">
        <v>173.0</v>
      </c>
      <c r="B174" s="2" t="s">
        <v>1991</v>
      </c>
      <c r="C174" s="2" t="s">
        <v>23</v>
      </c>
      <c r="D174" s="2">
        <v>0.0</v>
      </c>
      <c r="E174" s="2">
        <v>30.0</v>
      </c>
      <c r="H174" s="2" t="s">
        <v>1991</v>
      </c>
      <c r="I174" s="4">
        <v>46223.75079861111</v>
      </c>
      <c r="J174" s="2" t="s">
        <v>1993</v>
      </c>
      <c r="K174" s="2">
        <v>800.0</v>
      </c>
      <c r="L174" s="2">
        <v>10.0</v>
      </c>
      <c r="M174" s="2">
        <v>10.0</v>
      </c>
      <c r="N174" s="6">
        <v>42314.0</v>
      </c>
      <c r="O174" s="2" t="s">
        <v>91</v>
      </c>
      <c r="P174" s="2" t="s">
        <v>36</v>
      </c>
      <c r="Q174" s="2" t="s">
        <v>1996</v>
      </c>
      <c r="S174" s="2" t="s">
        <v>906</v>
      </c>
    </row>
    <row r="175">
      <c r="A175" s="2">
        <v>174.0</v>
      </c>
      <c r="B175" s="2" t="s">
        <v>1998</v>
      </c>
      <c r="C175" s="2" t="s">
        <v>23</v>
      </c>
      <c r="D175" s="2">
        <v>0.0</v>
      </c>
      <c r="E175" s="2">
        <v>30.0</v>
      </c>
      <c r="F175" s="2">
        <v>0.6</v>
      </c>
      <c r="H175" s="2" t="s">
        <v>1040</v>
      </c>
      <c r="I175" s="4">
        <v>46200.549675925926</v>
      </c>
      <c r="J175" s="2" t="s">
        <v>34</v>
      </c>
      <c r="K175" s="2">
        <v>30.0</v>
      </c>
      <c r="L175" s="2">
        <v>20.0</v>
      </c>
      <c r="M175" s="2">
        <v>20.0</v>
      </c>
      <c r="N175" s="6">
        <v>42350.0</v>
      </c>
      <c r="O175" s="2" t="s">
        <v>40</v>
      </c>
      <c r="P175" s="2" t="s">
        <v>36</v>
      </c>
      <c r="Q175" s="2" t="s">
        <v>2003</v>
      </c>
      <c r="S175" s="2" t="s">
        <v>153</v>
      </c>
    </row>
    <row r="176">
      <c r="A176" s="2">
        <v>175.0</v>
      </c>
      <c r="B176" s="2" t="s">
        <v>2004</v>
      </c>
      <c r="C176" s="2" t="s">
        <v>23</v>
      </c>
      <c r="D176" s="2">
        <v>0.0</v>
      </c>
      <c r="E176" s="2">
        <v>30.0</v>
      </c>
      <c r="H176" s="2" t="s">
        <v>72</v>
      </c>
      <c r="I176" s="4">
        <v>46235.09893518518</v>
      </c>
      <c r="J176" s="2" t="s">
        <v>891</v>
      </c>
      <c r="K176" s="2">
        <v>10000.0</v>
      </c>
      <c r="L176" s="2">
        <v>500.0</v>
      </c>
      <c r="M176" s="2">
        <v>500.0</v>
      </c>
      <c r="N176" s="6">
        <v>43845.0</v>
      </c>
      <c r="O176" s="2" t="s">
        <v>40</v>
      </c>
      <c r="P176" s="2" t="s">
        <v>36</v>
      </c>
      <c r="Q176" s="2" t="s">
        <v>2007</v>
      </c>
      <c r="S176" s="2" t="s">
        <v>1002</v>
      </c>
    </row>
    <row r="177">
      <c r="A177" s="2">
        <v>176.0</v>
      </c>
      <c r="B177" s="2" t="s">
        <v>552</v>
      </c>
      <c r="C177" s="2" t="s">
        <v>23</v>
      </c>
      <c r="D177" s="2">
        <v>0.0</v>
      </c>
      <c r="E177" s="2">
        <v>30.0</v>
      </c>
      <c r="F177" s="2">
        <v>0.01</v>
      </c>
      <c r="H177" s="2" t="s">
        <v>552</v>
      </c>
      <c r="I177" s="4">
        <v>46216.7896412037</v>
      </c>
      <c r="J177" s="2" t="s">
        <v>556</v>
      </c>
      <c r="K177" s="2">
        <v>30.0</v>
      </c>
      <c r="L177" s="2">
        <v>20.0</v>
      </c>
      <c r="M177" s="2">
        <v>20.0</v>
      </c>
      <c r="N177" s="6">
        <v>42408.0</v>
      </c>
      <c r="O177" s="2" t="s">
        <v>560</v>
      </c>
      <c r="P177" s="2" t="s">
        <v>36</v>
      </c>
      <c r="Q177" s="2" t="s">
        <v>562</v>
      </c>
      <c r="S177" s="2" t="s">
        <v>564</v>
      </c>
    </row>
    <row r="178">
      <c r="A178" s="2">
        <v>177.0</v>
      </c>
      <c r="B178" s="2" t="s">
        <v>2013</v>
      </c>
      <c r="C178" s="2" t="s">
        <v>23</v>
      </c>
      <c r="D178" s="2">
        <v>0.0</v>
      </c>
      <c r="E178" s="2">
        <v>30.0</v>
      </c>
      <c r="F178" s="2">
        <v>0.25</v>
      </c>
      <c r="H178" s="2" t="s">
        <v>1512</v>
      </c>
      <c r="I178" s="4">
        <v>46219.50510416667</v>
      </c>
      <c r="J178" s="2" t="s">
        <v>2016</v>
      </c>
      <c r="K178" s="2">
        <v>30.0</v>
      </c>
      <c r="L178" s="2">
        <v>100.0</v>
      </c>
      <c r="M178" s="2">
        <v>100.0</v>
      </c>
      <c r="N178" s="6">
        <v>42307.0</v>
      </c>
      <c r="O178" s="2" t="s">
        <v>2018</v>
      </c>
      <c r="P178" s="2" t="s">
        <v>36</v>
      </c>
      <c r="Q178" s="2" t="s">
        <v>2020</v>
      </c>
      <c r="S178" s="2" t="s">
        <v>2021</v>
      </c>
    </row>
    <row r="179">
      <c r="A179" s="2">
        <v>178.0</v>
      </c>
      <c r="B179" s="2" t="s">
        <v>2023</v>
      </c>
      <c r="C179" s="2" t="s">
        <v>23</v>
      </c>
      <c r="D179" s="2">
        <v>0.0</v>
      </c>
      <c r="E179" s="2">
        <v>30.0</v>
      </c>
      <c r="F179" s="2">
        <v>0.2</v>
      </c>
      <c r="H179" s="2" t="s">
        <v>2025</v>
      </c>
      <c r="I179" s="4">
        <v>46205.08337962963</v>
      </c>
      <c r="J179" s="2" t="s">
        <v>1482</v>
      </c>
      <c r="K179" s="2">
        <v>40.0</v>
      </c>
      <c r="L179" s="2">
        <v>10.0</v>
      </c>
      <c r="M179" s="2">
        <v>10.0</v>
      </c>
      <c r="N179" s="6">
        <v>44057.0</v>
      </c>
      <c r="O179" s="2" t="s">
        <v>49</v>
      </c>
      <c r="P179" s="2" t="s">
        <v>36</v>
      </c>
      <c r="Q179" s="2" t="s">
        <v>2029</v>
      </c>
      <c r="S179" s="2" t="s">
        <v>1288</v>
      </c>
    </row>
    <row r="180">
      <c r="A180" s="2">
        <v>179.0</v>
      </c>
      <c r="B180" s="2" t="s">
        <v>2031</v>
      </c>
      <c r="C180" s="2" t="s">
        <v>23</v>
      </c>
      <c r="D180" s="2">
        <v>0.0</v>
      </c>
      <c r="E180" s="2">
        <v>30.0</v>
      </c>
      <c r="F180" s="2">
        <v>0.15</v>
      </c>
      <c r="H180" s="2" t="s">
        <v>2034</v>
      </c>
      <c r="I180" s="4">
        <v>46227.08509259259</v>
      </c>
      <c r="J180" s="2" t="s">
        <v>556</v>
      </c>
      <c r="K180" s="2">
        <v>30.0</v>
      </c>
      <c r="L180" s="2">
        <v>10.0</v>
      </c>
      <c r="M180" s="2">
        <v>10.0</v>
      </c>
      <c r="N180" s="6">
        <v>43660.0</v>
      </c>
      <c r="O180" s="2" t="s">
        <v>2036</v>
      </c>
      <c r="P180" s="2" t="s">
        <v>36</v>
      </c>
      <c r="Q180" s="2" t="s">
        <v>2037</v>
      </c>
      <c r="S180" s="2" t="s">
        <v>2038</v>
      </c>
    </row>
    <row r="181">
      <c r="A181" s="2">
        <v>180.0</v>
      </c>
      <c r="B181" s="2" t="s">
        <v>2040</v>
      </c>
      <c r="C181" s="2" t="s">
        <v>23</v>
      </c>
      <c r="D181" s="2">
        <v>0.0</v>
      </c>
      <c r="E181" s="2">
        <v>30.0</v>
      </c>
      <c r="F181" s="2">
        <v>0.35</v>
      </c>
      <c r="H181" s="2" t="s">
        <v>2042</v>
      </c>
      <c r="I181" s="4">
        <v>46222.96475694444</v>
      </c>
      <c r="J181" s="2" t="s">
        <v>1058</v>
      </c>
      <c r="K181" s="2">
        <v>600.0</v>
      </c>
      <c r="L181" s="2">
        <v>50.0</v>
      </c>
      <c r="M181" s="2">
        <v>50.0</v>
      </c>
      <c r="N181" s="6">
        <v>42306.0</v>
      </c>
      <c r="O181" s="2" t="s">
        <v>40</v>
      </c>
      <c r="P181" s="2" t="s">
        <v>36</v>
      </c>
      <c r="Q181" s="2" t="s">
        <v>2046</v>
      </c>
      <c r="S181" s="2" t="s">
        <v>2047</v>
      </c>
    </row>
    <row r="182">
      <c r="A182" s="2">
        <v>181.0</v>
      </c>
      <c r="B182" s="2" t="s">
        <v>2048</v>
      </c>
      <c r="C182" s="2" t="s">
        <v>23</v>
      </c>
      <c r="D182" s="2">
        <v>0.0</v>
      </c>
      <c r="E182" s="2">
        <v>20.0</v>
      </c>
      <c r="F182" s="2">
        <v>0.02</v>
      </c>
      <c r="H182" s="2" t="s">
        <v>1297</v>
      </c>
      <c r="I182" s="4">
        <v>46236.83824074074</v>
      </c>
      <c r="K182" s="2">
        <v>20.0</v>
      </c>
      <c r="L182" s="2">
        <v>150.0</v>
      </c>
      <c r="M182" s="2">
        <v>150.0</v>
      </c>
      <c r="N182" s="6">
        <v>42409.0</v>
      </c>
      <c r="O182" s="2" t="s">
        <v>35</v>
      </c>
      <c r="P182" s="2" t="s">
        <v>36</v>
      </c>
      <c r="Q182" s="2" t="s">
        <v>2052</v>
      </c>
      <c r="S182" s="2" t="s">
        <v>39</v>
      </c>
    </row>
    <row r="183">
      <c r="A183" s="2">
        <v>182.0</v>
      </c>
      <c r="B183" s="2" t="s">
        <v>2054</v>
      </c>
      <c r="C183" s="2" t="s">
        <v>23</v>
      </c>
      <c r="D183" s="2">
        <v>46.0</v>
      </c>
      <c r="E183" s="2">
        <v>20.0</v>
      </c>
      <c r="F183" s="2">
        <v>0.2</v>
      </c>
      <c r="G183" s="2">
        <v>1.51</v>
      </c>
      <c r="H183" s="2" t="s">
        <v>1601</v>
      </c>
      <c r="I183" s="4">
        <v>46221.84590277778</v>
      </c>
      <c r="J183" s="2" t="s">
        <v>34</v>
      </c>
      <c r="K183" s="2">
        <v>30.0</v>
      </c>
      <c r="L183" s="2">
        <v>700.0</v>
      </c>
      <c r="M183" s="2">
        <v>800.0</v>
      </c>
      <c r="N183" s="6">
        <v>42312.0</v>
      </c>
      <c r="O183" s="2" t="s">
        <v>91</v>
      </c>
      <c r="P183" s="2" t="s">
        <v>36</v>
      </c>
      <c r="Q183" s="2" t="s">
        <v>2058</v>
      </c>
      <c r="S183" s="2" t="s">
        <v>1213</v>
      </c>
    </row>
    <row r="184">
      <c r="A184" s="2">
        <v>183.0</v>
      </c>
      <c r="B184" s="2" t="s">
        <v>2059</v>
      </c>
      <c r="C184" s="2" t="s">
        <v>23</v>
      </c>
      <c r="D184" s="2">
        <v>10.0</v>
      </c>
      <c r="E184" s="2">
        <v>20.0</v>
      </c>
      <c r="F184" s="2">
        <v>0.25</v>
      </c>
      <c r="G184" s="2">
        <v>1.77</v>
      </c>
      <c r="H184" s="2" t="s">
        <v>1812</v>
      </c>
      <c r="I184" s="4">
        <v>46213.18342592593</v>
      </c>
      <c r="J184" s="2" t="s">
        <v>34</v>
      </c>
      <c r="K184" s="2">
        <v>20.0</v>
      </c>
      <c r="L184" s="2">
        <v>20.0</v>
      </c>
      <c r="M184" s="2">
        <v>20.0</v>
      </c>
      <c r="N184" s="6">
        <v>42255.0</v>
      </c>
      <c r="O184" s="2" t="s">
        <v>91</v>
      </c>
      <c r="P184" s="2" t="s">
        <v>36</v>
      </c>
      <c r="Q184" s="2" t="s">
        <v>2063</v>
      </c>
      <c r="S184" s="2" t="s">
        <v>1213</v>
      </c>
    </row>
    <row r="185">
      <c r="A185" s="2">
        <v>184.0</v>
      </c>
      <c r="B185" s="2" t="s">
        <v>996</v>
      </c>
      <c r="C185" s="2" t="s">
        <v>23</v>
      </c>
      <c r="D185" s="2">
        <v>37.0</v>
      </c>
      <c r="E185" s="2">
        <v>20.0</v>
      </c>
      <c r="F185" s="2">
        <v>0.25</v>
      </c>
      <c r="H185" s="2" t="s">
        <v>88</v>
      </c>
      <c r="I185" s="4">
        <v>46219.63376157408</v>
      </c>
      <c r="J185" s="2" t="s">
        <v>34</v>
      </c>
      <c r="K185" s="2">
        <v>2400.0</v>
      </c>
      <c r="L185" s="2">
        <v>100.0</v>
      </c>
      <c r="M185" s="2">
        <v>100.0</v>
      </c>
      <c r="N185" s="6">
        <v>43865.0</v>
      </c>
      <c r="O185" s="2" t="s">
        <v>49</v>
      </c>
      <c r="P185" s="2" t="s">
        <v>36</v>
      </c>
      <c r="Q185" s="2" t="s">
        <v>2068</v>
      </c>
      <c r="S185" s="2" t="s">
        <v>1002</v>
      </c>
    </row>
    <row r="186">
      <c r="A186" s="2">
        <v>185.0</v>
      </c>
      <c r="B186" s="2" t="s">
        <v>2070</v>
      </c>
      <c r="C186" s="2" t="s">
        <v>23</v>
      </c>
      <c r="D186" s="2">
        <v>3.0</v>
      </c>
      <c r="E186" s="2">
        <v>20.0</v>
      </c>
      <c r="F186" s="2">
        <v>0.35</v>
      </c>
      <c r="G186" s="2">
        <v>1.14</v>
      </c>
      <c r="H186" s="2" t="s">
        <v>2070</v>
      </c>
      <c r="I186" s="4">
        <v>46217.08578703704</v>
      </c>
      <c r="J186" s="2" t="s">
        <v>34</v>
      </c>
      <c r="K186" s="2">
        <v>20.0</v>
      </c>
      <c r="L186" s="2">
        <v>0.0</v>
      </c>
      <c r="M186" s="2">
        <v>0.0</v>
      </c>
      <c r="N186" s="6">
        <v>42375.0</v>
      </c>
      <c r="O186" s="2" t="s">
        <v>91</v>
      </c>
      <c r="P186" s="2" t="s">
        <v>36</v>
      </c>
      <c r="Q186" s="2" t="s">
        <v>2073</v>
      </c>
      <c r="R186" s="2" t="s">
        <v>2074</v>
      </c>
      <c r="S186" s="2" t="s">
        <v>2076</v>
      </c>
    </row>
    <row r="187">
      <c r="A187" s="2">
        <v>186.0</v>
      </c>
      <c r="B187" s="2" t="s">
        <v>543</v>
      </c>
      <c r="C187" s="2" t="s">
        <v>23</v>
      </c>
      <c r="D187" s="2">
        <v>0.0</v>
      </c>
      <c r="E187" s="2">
        <v>20.0</v>
      </c>
      <c r="F187" s="2">
        <v>0.2</v>
      </c>
      <c r="H187" s="2" t="s">
        <v>2078</v>
      </c>
      <c r="I187" s="4">
        <v>46217.185891203706</v>
      </c>
      <c r="J187" s="2" t="s">
        <v>2079</v>
      </c>
      <c r="K187" s="2">
        <v>30.0</v>
      </c>
      <c r="L187" s="2">
        <v>30.0</v>
      </c>
      <c r="M187" s="2">
        <v>30.0</v>
      </c>
      <c r="N187" s="6">
        <v>42883.0</v>
      </c>
      <c r="O187" s="2" t="s">
        <v>49</v>
      </c>
      <c r="P187" s="2" t="s">
        <v>36</v>
      </c>
      <c r="Q187" s="2" t="s">
        <v>2083</v>
      </c>
      <c r="S187" s="2" t="s">
        <v>59</v>
      </c>
    </row>
    <row r="188">
      <c r="A188" s="2">
        <v>187.0</v>
      </c>
      <c r="B188" s="2" t="s">
        <v>2084</v>
      </c>
      <c r="C188" s="2" t="s">
        <v>23</v>
      </c>
      <c r="D188" s="2">
        <v>3.0</v>
      </c>
      <c r="E188" s="2">
        <v>20.0</v>
      </c>
      <c r="F188" s="2">
        <v>0.25</v>
      </c>
      <c r="H188" s="2" t="s">
        <v>171</v>
      </c>
      <c r="I188" s="4">
        <v>46223.87978009259</v>
      </c>
      <c r="J188" s="2" t="s">
        <v>34</v>
      </c>
      <c r="K188" s="2">
        <v>20.0</v>
      </c>
      <c r="L188" s="2">
        <v>50.0</v>
      </c>
      <c r="M188" s="2">
        <v>50.0</v>
      </c>
      <c r="N188" s="6">
        <v>42333.0</v>
      </c>
      <c r="O188" s="2" t="s">
        <v>91</v>
      </c>
      <c r="P188" s="2" t="s">
        <v>36</v>
      </c>
      <c r="Q188" s="2" t="s">
        <v>2089</v>
      </c>
      <c r="S188" s="2" t="s">
        <v>59</v>
      </c>
    </row>
    <row r="189">
      <c r="A189" s="2">
        <v>188.0</v>
      </c>
      <c r="B189" s="2" t="s">
        <v>2091</v>
      </c>
      <c r="C189" s="2" t="s">
        <v>23</v>
      </c>
      <c r="D189" s="2">
        <v>0.0</v>
      </c>
      <c r="E189" s="2">
        <v>20.0</v>
      </c>
      <c r="F189" s="2">
        <v>2.5</v>
      </c>
      <c r="G189" s="2">
        <v>0.81</v>
      </c>
      <c r="H189" s="2" t="s">
        <v>123</v>
      </c>
      <c r="I189" s="4">
        <v>46212.564108796294</v>
      </c>
      <c r="J189" s="2" t="s">
        <v>1523</v>
      </c>
      <c r="K189" s="2">
        <v>30.0</v>
      </c>
      <c r="L189" s="2">
        <v>500.0</v>
      </c>
      <c r="M189" s="2">
        <v>500.0</v>
      </c>
      <c r="N189" s="6">
        <v>42248.0</v>
      </c>
      <c r="O189" s="2" t="s">
        <v>1095</v>
      </c>
      <c r="P189" s="2" t="s">
        <v>36</v>
      </c>
      <c r="Q189" s="2" t="s">
        <v>2097</v>
      </c>
      <c r="S189" s="2" t="s">
        <v>1213</v>
      </c>
    </row>
    <row r="190">
      <c r="A190" s="2">
        <v>189.0</v>
      </c>
      <c r="B190" s="2" t="s">
        <v>2098</v>
      </c>
      <c r="C190" s="2" t="s">
        <v>23</v>
      </c>
      <c r="D190" s="2">
        <v>2.0</v>
      </c>
      <c r="E190" s="2">
        <v>20.0</v>
      </c>
      <c r="F190" s="2">
        <v>0.4</v>
      </c>
      <c r="H190" s="2" t="s">
        <v>1655</v>
      </c>
      <c r="I190" s="4">
        <v>46227.62633101852</v>
      </c>
      <c r="J190" s="2" t="s">
        <v>891</v>
      </c>
      <c r="K190" s="2">
        <v>40.0</v>
      </c>
      <c r="L190" s="2">
        <v>200.0</v>
      </c>
      <c r="M190" s="2">
        <v>200.0</v>
      </c>
      <c r="N190" s="6">
        <v>43847.0</v>
      </c>
      <c r="O190" s="2" t="s">
        <v>40</v>
      </c>
      <c r="P190" s="2" t="s">
        <v>36</v>
      </c>
      <c r="Q190" s="2" t="s">
        <v>2102</v>
      </c>
      <c r="S190" s="2" t="s">
        <v>867</v>
      </c>
    </row>
    <row r="191">
      <c r="A191" s="2">
        <v>190.0</v>
      </c>
      <c r="B191" s="2" t="s">
        <v>2104</v>
      </c>
      <c r="C191" s="2" t="s">
        <v>23</v>
      </c>
      <c r="D191" s="2">
        <v>11.0</v>
      </c>
      <c r="E191" s="2">
        <v>20.0</v>
      </c>
      <c r="F191" s="2">
        <v>0.25</v>
      </c>
      <c r="H191" s="2" t="s">
        <v>88</v>
      </c>
      <c r="I191" s="4">
        <v>46215.91846064815</v>
      </c>
      <c r="J191" s="2" t="s">
        <v>113</v>
      </c>
      <c r="K191" s="2">
        <v>250.0</v>
      </c>
      <c r="L191" s="2">
        <v>100.0</v>
      </c>
      <c r="M191" s="2">
        <v>100.0</v>
      </c>
      <c r="N191" s="6">
        <v>42613.0</v>
      </c>
      <c r="O191" s="2" t="s">
        <v>91</v>
      </c>
      <c r="P191" s="2" t="s">
        <v>36</v>
      </c>
      <c r="Q191" s="2" t="s">
        <v>2108</v>
      </c>
      <c r="S191" s="2" t="s">
        <v>1598</v>
      </c>
    </row>
    <row r="192">
      <c r="A192" s="2">
        <v>191.0</v>
      </c>
      <c r="B192" s="2" t="s">
        <v>2110</v>
      </c>
      <c r="C192" s="2" t="s">
        <v>23</v>
      </c>
      <c r="D192" s="2">
        <v>0.0</v>
      </c>
      <c r="E192" s="2">
        <v>20.0</v>
      </c>
      <c r="H192" s="2" t="s">
        <v>123</v>
      </c>
      <c r="I192" s="4">
        <v>46231.96341435185</v>
      </c>
      <c r="J192" s="2" t="s">
        <v>1698</v>
      </c>
      <c r="K192" s="2">
        <v>20.0</v>
      </c>
      <c r="L192" s="2">
        <v>450.0</v>
      </c>
      <c r="M192" s="2">
        <v>450.0</v>
      </c>
      <c r="N192" s="6">
        <v>42421.0</v>
      </c>
      <c r="O192" s="2" t="s">
        <v>1179</v>
      </c>
      <c r="P192" s="2" t="s">
        <v>36</v>
      </c>
      <c r="Q192" s="2" t="s">
        <v>2114</v>
      </c>
      <c r="S192" s="2" t="s">
        <v>1213</v>
      </c>
    </row>
    <row r="193">
      <c r="A193" s="2">
        <v>192.0</v>
      </c>
      <c r="B193" s="2" t="s">
        <v>2116</v>
      </c>
      <c r="C193" s="2" t="s">
        <v>23</v>
      </c>
      <c r="D193" s="2">
        <v>0.0</v>
      </c>
      <c r="E193" s="2">
        <v>20.0</v>
      </c>
      <c r="F193" s="2">
        <v>0.2</v>
      </c>
      <c r="H193" s="2" t="s">
        <v>1819</v>
      </c>
      <c r="I193" s="4">
        <v>46223.30761574074</v>
      </c>
      <c r="J193" s="2" t="s">
        <v>2119</v>
      </c>
      <c r="K193" s="2">
        <v>30.0</v>
      </c>
      <c r="L193" s="2">
        <v>0.0</v>
      </c>
      <c r="M193" s="2">
        <v>400.0</v>
      </c>
      <c r="N193" s="6">
        <v>42582.0</v>
      </c>
      <c r="O193" s="2" t="s">
        <v>49</v>
      </c>
      <c r="P193" s="2" t="s">
        <v>36</v>
      </c>
      <c r="Q193" s="2" t="s">
        <v>2122</v>
      </c>
      <c r="S193" s="2" t="s">
        <v>1424</v>
      </c>
    </row>
    <row r="194">
      <c r="A194" s="2">
        <v>193.0</v>
      </c>
      <c r="B194" s="2" t="s">
        <v>2123</v>
      </c>
      <c r="C194" s="2" t="s">
        <v>23</v>
      </c>
      <c r="D194" s="2">
        <v>2.0</v>
      </c>
      <c r="E194" s="2">
        <v>20.0</v>
      </c>
      <c r="H194" s="2" t="s">
        <v>877</v>
      </c>
      <c r="I194" s="4">
        <v>46235.82373842593</v>
      </c>
      <c r="J194" s="2" t="s">
        <v>1015</v>
      </c>
      <c r="K194" s="2">
        <v>350.0</v>
      </c>
      <c r="L194" s="2">
        <v>150.0</v>
      </c>
      <c r="M194" s="2">
        <v>150.0</v>
      </c>
      <c r="N194" s="6">
        <v>42802.0</v>
      </c>
      <c r="O194" s="2" t="s">
        <v>49</v>
      </c>
      <c r="P194" s="2" t="s">
        <v>36</v>
      </c>
      <c r="Q194" s="2" t="s">
        <v>2129</v>
      </c>
      <c r="S194" s="2" t="s">
        <v>886</v>
      </c>
    </row>
    <row r="195">
      <c r="A195" s="2">
        <v>194.0</v>
      </c>
      <c r="B195" s="2" t="s">
        <v>2130</v>
      </c>
      <c r="C195" s="2" t="s">
        <v>23</v>
      </c>
      <c r="D195" s="2">
        <v>0.0</v>
      </c>
      <c r="E195" s="2">
        <v>20.0</v>
      </c>
      <c r="F195" s="2">
        <v>0.5</v>
      </c>
      <c r="H195" s="2" t="s">
        <v>2132</v>
      </c>
      <c r="I195" s="4">
        <v>46221.27349537037</v>
      </c>
      <c r="J195" s="2" t="s">
        <v>891</v>
      </c>
      <c r="K195" s="2">
        <v>250.0</v>
      </c>
      <c r="L195" s="2">
        <v>400.0</v>
      </c>
      <c r="M195" s="2">
        <v>400.0</v>
      </c>
      <c r="N195" s="6">
        <v>43854.0</v>
      </c>
      <c r="O195" s="2" t="s">
        <v>514</v>
      </c>
      <c r="P195" s="2" t="s">
        <v>36</v>
      </c>
      <c r="Q195" s="2" t="s">
        <v>2134</v>
      </c>
      <c r="S195" s="2" t="s">
        <v>1412</v>
      </c>
    </row>
    <row r="196">
      <c r="A196" s="2">
        <v>195.0</v>
      </c>
      <c r="B196" s="2" t="s">
        <v>664</v>
      </c>
      <c r="C196" s="2" t="s">
        <v>23</v>
      </c>
      <c r="D196" s="2">
        <v>0.0</v>
      </c>
      <c r="E196" s="2">
        <v>20.0</v>
      </c>
      <c r="F196" s="2">
        <v>0.4</v>
      </c>
      <c r="H196" s="2" t="s">
        <v>666</v>
      </c>
      <c r="I196" s="4">
        <v>46233.76037037037</v>
      </c>
      <c r="J196" s="2" t="s">
        <v>113</v>
      </c>
      <c r="K196" s="2">
        <v>250.0</v>
      </c>
      <c r="L196" s="2">
        <v>150.0</v>
      </c>
      <c r="M196" s="2">
        <v>150.0</v>
      </c>
      <c r="N196" s="6">
        <v>42445.0</v>
      </c>
      <c r="O196" s="2" t="s">
        <v>40</v>
      </c>
      <c r="P196" s="2" t="s">
        <v>36</v>
      </c>
      <c r="Q196" s="2" t="s">
        <v>671</v>
      </c>
      <c r="S196" s="2" t="s">
        <v>146</v>
      </c>
    </row>
    <row r="197">
      <c r="A197" s="2">
        <v>196.0</v>
      </c>
      <c r="B197" s="2" t="s">
        <v>2140</v>
      </c>
      <c r="C197" s="2" t="s">
        <v>23</v>
      </c>
      <c r="D197" s="2">
        <v>65.0</v>
      </c>
      <c r="E197" s="2">
        <v>20.0</v>
      </c>
      <c r="F197" s="2">
        <v>0.4</v>
      </c>
      <c r="H197" s="2" t="s">
        <v>2141</v>
      </c>
      <c r="I197" s="4">
        <v>46215.243252314816</v>
      </c>
      <c r="J197" s="2" t="s">
        <v>34</v>
      </c>
      <c r="K197" s="2">
        <v>9600.0</v>
      </c>
      <c r="L197" s="2">
        <v>3000.0</v>
      </c>
      <c r="M197" s="2">
        <v>3000.0</v>
      </c>
      <c r="N197" s="6">
        <v>43841.0</v>
      </c>
      <c r="O197" s="2" t="s">
        <v>91</v>
      </c>
      <c r="P197" s="2" t="s">
        <v>36</v>
      </c>
      <c r="Q197" s="2" t="s">
        <v>2143</v>
      </c>
      <c r="S197" s="2" t="s">
        <v>159</v>
      </c>
    </row>
    <row r="198">
      <c r="A198" s="2">
        <v>197.0</v>
      </c>
      <c r="B198" s="2" t="s">
        <v>2145</v>
      </c>
      <c r="C198" s="2" t="s">
        <v>23</v>
      </c>
      <c r="D198" s="2">
        <v>0.0</v>
      </c>
      <c r="E198" s="2">
        <v>20.0</v>
      </c>
      <c r="F198" s="2">
        <v>0.35</v>
      </c>
      <c r="H198" s="2" t="s">
        <v>72</v>
      </c>
      <c r="I198" s="4">
        <v>46228.65100694444</v>
      </c>
      <c r="J198" s="2" t="s">
        <v>891</v>
      </c>
      <c r="K198" s="2">
        <v>3000.0</v>
      </c>
      <c r="L198" s="2">
        <v>500.0</v>
      </c>
      <c r="M198" s="2">
        <v>500.0</v>
      </c>
      <c r="N198" s="6">
        <v>42921.0</v>
      </c>
      <c r="O198" s="2" t="s">
        <v>40</v>
      </c>
      <c r="P198" s="2" t="s">
        <v>36</v>
      </c>
      <c r="Q198" s="2" t="s">
        <v>2149</v>
      </c>
      <c r="S198" s="2" t="s">
        <v>2021</v>
      </c>
    </row>
    <row r="199">
      <c r="A199" s="2">
        <v>198.0</v>
      </c>
      <c r="B199" s="2" t="s">
        <v>2151</v>
      </c>
      <c r="C199" s="2" t="s">
        <v>23</v>
      </c>
      <c r="D199" s="2">
        <v>30.0</v>
      </c>
      <c r="E199" s="2">
        <v>20.0</v>
      </c>
      <c r="F199" s="2">
        <v>0.25</v>
      </c>
      <c r="G199" s="2">
        <v>1.81</v>
      </c>
      <c r="H199" s="2" t="s">
        <v>1207</v>
      </c>
      <c r="I199" s="4">
        <v>46229.60076388889</v>
      </c>
      <c r="J199" s="2" t="s">
        <v>530</v>
      </c>
      <c r="K199" s="2">
        <v>20.0</v>
      </c>
      <c r="L199" s="2">
        <v>150.0</v>
      </c>
      <c r="M199" s="2">
        <v>150.0</v>
      </c>
      <c r="N199" s="6">
        <v>42481.0</v>
      </c>
      <c r="O199" s="2" t="s">
        <v>40</v>
      </c>
      <c r="P199" s="2" t="s">
        <v>36</v>
      </c>
      <c r="Q199" s="2" t="s">
        <v>2155</v>
      </c>
      <c r="S199" s="2" t="s">
        <v>132</v>
      </c>
    </row>
    <row r="200">
      <c r="A200" s="2">
        <v>199.0</v>
      </c>
      <c r="B200" s="2" t="s">
        <v>167</v>
      </c>
      <c r="C200" s="2" t="s">
        <v>23</v>
      </c>
      <c r="D200" s="2">
        <v>1.0</v>
      </c>
      <c r="E200" s="2">
        <v>20.0</v>
      </c>
      <c r="F200" s="2">
        <v>0.45</v>
      </c>
      <c r="H200" s="2" t="s">
        <v>171</v>
      </c>
      <c r="I200" s="4">
        <v>46233.345300925925</v>
      </c>
      <c r="J200" s="2" t="s">
        <v>34</v>
      </c>
      <c r="K200" s="2">
        <v>3200.0</v>
      </c>
      <c r="L200" s="2">
        <v>30.0</v>
      </c>
      <c r="M200" s="2">
        <v>30.0</v>
      </c>
      <c r="N200" s="6">
        <v>43843.0</v>
      </c>
      <c r="O200" s="2" t="s">
        <v>40</v>
      </c>
      <c r="P200" s="2" t="s">
        <v>36</v>
      </c>
      <c r="Q200" s="2" t="s">
        <v>174</v>
      </c>
      <c r="S200" s="2" t="s">
        <v>132</v>
      </c>
    </row>
    <row r="201">
      <c r="A201" s="2">
        <v>200.0</v>
      </c>
      <c r="B201" s="2" t="s">
        <v>692</v>
      </c>
      <c r="C201" s="2" t="s">
        <v>23</v>
      </c>
      <c r="D201" s="2">
        <v>0.0</v>
      </c>
      <c r="E201" s="2">
        <v>20.0</v>
      </c>
      <c r="F201" s="2">
        <v>0.2</v>
      </c>
      <c r="H201" s="2" t="s">
        <v>692</v>
      </c>
      <c r="I201" s="4">
        <v>46217.410844907405</v>
      </c>
      <c r="J201" s="2" t="s">
        <v>695</v>
      </c>
      <c r="K201" s="2">
        <v>600.0</v>
      </c>
      <c r="L201" s="2">
        <v>0.0</v>
      </c>
      <c r="M201" s="2">
        <v>30.0</v>
      </c>
      <c r="N201" s="6">
        <v>43925.0</v>
      </c>
      <c r="O201" s="2" t="s">
        <v>49</v>
      </c>
      <c r="P201" s="2" t="s">
        <v>36</v>
      </c>
      <c r="Q201" s="2" t="s">
        <v>698</v>
      </c>
      <c r="S201" s="2" t="s">
        <v>59</v>
      </c>
    </row>
    <row r="202">
      <c r="A202" s="2">
        <v>201.0</v>
      </c>
      <c r="B202" s="2" t="s">
        <v>2163</v>
      </c>
      <c r="C202" s="2" t="s">
        <v>23</v>
      </c>
      <c r="D202" s="2">
        <v>0.0</v>
      </c>
      <c r="E202" s="2">
        <v>20.0</v>
      </c>
      <c r="F202" s="2">
        <v>0.5</v>
      </c>
      <c r="H202" s="2" t="s">
        <v>1512</v>
      </c>
      <c r="I202" s="4">
        <v>46232.72806712963</v>
      </c>
      <c r="J202" s="2" t="s">
        <v>2165</v>
      </c>
      <c r="K202" s="2">
        <v>20.0</v>
      </c>
      <c r="L202" s="2">
        <v>100.0</v>
      </c>
      <c r="M202" s="2">
        <v>100.0</v>
      </c>
      <c r="N202" s="6">
        <v>42256.0</v>
      </c>
      <c r="O202" s="2" t="s">
        <v>1320</v>
      </c>
      <c r="P202" s="2" t="s">
        <v>36</v>
      </c>
      <c r="Q202" s="2" t="s">
        <v>2166</v>
      </c>
      <c r="S202" s="2" t="s">
        <v>146</v>
      </c>
    </row>
    <row r="203">
      <c r="A203" s="2">
        <v>202.0</v>
      </c>
      <c r="B203" s="2" t="s">
        <v>2168</v>
      </c>
      <c r="C203" s="2" t="s">
        <v>23</v>
      </c>
      <c r="D203" s="2">
        <v>0.0</v>
      </c>
      <c r="E203" s="2">
        <v>10.0</v>
      </c>
      <c r="F203" s="2">
        <v>0.02</v>
      </c>
      <c r="H203" s="2" t="s">
        <v>2169</v>
      </c>
      <c r="I203" s="4">
        <v>46214.99034722222</v>
      </c>
      <c r="J203" s="2" t="s">
        <v>766</v>
      </c>
      <c r="K203" s="2">
        <v>50.0</v>
      </c>
      <c r="L203" s="2">
        <v>2300.0</v>
      </c>
      <c r="M203" s="2">
        <v>2400.0</v>
      </c>
      <c r="N203" s="6">
        <v>42278.0</v>
      </c>
      <c r="O203" s="2" t="s">
        <v>49</v>
      </c>
      <c r="P203" s="2" t="s">
        <v>36</v>
      </c>
      <c r="Q203" s="2" t="s">
        <v>2172</v>
      </c>
      <c r="S203" s="2" t="s">
        <v>39</v>
      </c>
    </row>
    <row r="204">
      <c r="A204" s="2">
        <v>203.0</v>
      </c>
      <c r="B204" s="2" t="s">
        <v>2174</v>
      </c>
      <c r="C204" s="2" t="s">
        <v>23</v>
      </c>
      <c r="D204" s="2">
        <v>0.0</v>
      </c>
      <c r="E204" s="2">
        <v>10.0</v>
      </c>
      <c r="F204" s="2">
        <v>0.1</v>
      </c>
      <c r="G204" s="2">
        <v>0.53</v>
      </c>
      <c r="H204" s="2" t="s">
        <v>2175</v>
      </c>
      <c r="I204" s="4">
        <v>46237.32077546296</v>
      </c>
      <c r="J204" s="2" t="s">
        <v>2177</v>
      </c>
      <c r="K204" s="2">
        <v>10.0</v>
      </c>
      <c r="L204" s="2">
        <v>450.0</v>
      </c>
      <c r="M204" s="2">
        <v>600.0</v>
      </c>
      <c r="N204" s="6">
        <v>42645.0</v>
      </c>
      <c r="O204" s="2" t="s">
        <v>49</v>
      </c>
      <c r="P204" s="2" t="s">
        <v>36</v>
      </c>
      <c r="Q204" s="2" t="s">
        <v>2179</v>
      </c>
      <c r="S204" s="2" t="s">
        <v>1424</v>
      </c>
    </row>
    <row r="205">
      <c r="A205" s="2">
        <v>204.0</v>
      </c>
      <c r="B205" s="2" t="s">
        <v>2180</v>
      </c>
      <c r="C205" s="2" t="s">
        <v>23</v>
      </c>
      <c r="D205" s="2">
        <v>0.0</v>
      </c>
      <c r="E205" s="2">
        <v>10.0</v>
      </c>
      <c r="H205" s="2" t="s">
        <v>1821</v>
      </c>
      <c r="I205" s="4">
        <v>46209.34332175926</v>
      </c>
      <c r="J205" s="2" t="s">
        <v>1340</v>
      </c>
      <c r="K205" s="2">
        <v>500.0</v>
      </c>
      <c r="L205" s="2">
        <v>150.0</v>
      </c>
      <c r="M205" s="2">
        <v>150.0</v>
      </c>
      <c r="N205" s="6">
        <v>42302.0</v>
      </c>
      <c r="O205" s="2" t="s">
        <v>49</v>
      </c>
      <c r="P205" s="2" t="s">
        <v>36</v>
      </c>
      <c r="Q205" s="2" t="s">
        <v>2184</v>
      </c>
      <c r="S205" s="2" t="s">
        <v>848</v>
      </c>
    </row>
    <row r="206">
      <c r="A206" s="2">
        <v>205.0</v>
      </c>
      <c r="B206" s="2" t="s">
        <v>2186</v>
      </c>
      <c r="C206" s="2" t="s">
        <v>23</v>
      </c>
      <c r="D206" s="2">
        <v>2.0</v>
      </c>
      <c r="E206" s="2">
        <v>10.0</v>
      </c>
      <c r="H206" s="2" t="s">
        <v>2186</v>
      </c>
      <c r="I206" s="4">
        <v>46206.17118055555</v>
      </c>
      <c r="J206" s="2" t="s">
        <v>2187</v>
      </c>
      <c r="K206" s="2">
        <v>10.0</v>
      </c>
      <c r="L206" s="2">
        <v>0.0</v>
      </c>
      <c r="M206" s="2">
        <v>0.0</v>
      </c>
      <c r="N206" s="6">
        <v>44307.0</v>
      </c>
      <c r="O206" s="2" t="s">
        <v>1320</v>
      </c>
      <c r="P206" s="2" t="s">
        <v>36</v>
      </c>
      <c r="Q206" s="2" t="s">
        <v>2188</v>
      </c>
      <c r="S206" s="2" t="s">
        <v>146</v>
      </c>
    </row>
    <row r="207">
      <c r="A207" s="2">
        <v>206.0</v>
      </c>
      <c r="B207" s="2" t="s">
        <v>2189</v>
      </c>
      <c r="C207" s="2" t="s">
        <v>23</v>
      </c>
      <c r="D207" s="2">
        <v>0.0</v>
      </c>
      <c r="E207" s="2">
        <v>10.0</v>
      </c>
      <c r="F207" s="2">
        <v>0.25</v>
      </c>
      <c r="H207" s="2" t="s">
        <v>2191</v>
      </c>
      <c r="I207" s="4">
        <v>46220.63329861111</v>
      </c>
      <c r="J207" s="2" t="s">
        <v>766</v>
      </c>
      <c r="K207" s="2">
        <v>1700.0</v>
      </c>
      <c r="L207" s="2">
        <v>0.0</v>
      </c>
      <c r="M207" s="2">
        <v>0.0</v>
      </c>
      <c r="N207" s="6">
        <v>43869.0</v>
      </c>
      <c r="O207" s="2" t="s">
        <v>40</v>
      </c>
      <c r="P207" s="2" t="s">
        <v>36</v>
      </c>
      <c r="Q207" s="2" t="s">
        <v>2194</v>
      </c>
      <c r="S207" s="2" t="s">
        <v>44</v>
      </c>
    </row>
    <row r="208">
      <c r="A208" s="2">
        <v>207.0</v>
      </c>
      <c r="B208" s="2" t="s">
        <v>2195</v>
      </c>
      <c r="C208" s="2" t="s">
        <v>23</v>
      </c>
      <c r="D208" s="2">
        <v>0.0</v>
      </c>
      <c r="E208" s="2">
        <v>10.0</v>
      </c>
      <c r="F208" s="2">
        <v>0.2</v>
      </c>
      <c r="G208" s="2">
        <v>0.78</v>
      </c>
      <c r="H208" s="2" t="s">
        <v>964</v>
      </c>
      <c r="I208" s="4">
        <v>46214.91517361111</v>
      </c>
      <c r="J208" s="2" t="s">
        <v>766</v>
      </c>
      <c r="K208" s="2">
        <v>20.0</v>
      </c>
      <c r="L208" s="2">
        <v>1100.0</v>
      </c>
      <c r="M208" s="2">
        <v>1200.0</v>
      </c>
      <c r="N208" s="6">
        <v>42484.0</v>
      </c>
      <c r="O208" s="2" t="s">
        <v>49</v>
      </c>
      <c r="P208" s="2" t="s">
        <v>36</v>
      </c>
      <c r="Q208" s="2" t="s">
        <v>2199</v>
      </c>
      <c r="S208" s="2" t="s">
        <v>159</v>
      </c>
    </row>
    <row r="209">
      <c r="A209" s="2">
        <v>208.0</v>
      </c>
      <c r="B209" s="2" t="s">
        <v>2201</v>
      </c>
      <c r="C209" s="2" t="s">
        <v>23</v>
      </c>
      <c r="D209" s="2">
        <v>14.0</v>
      </c>
      <c r="E209" s="2">
        <v>10.0</v>
      </c>
      <c r="H209" s="2" t="s">
        <v>1806</v>
      </c>
      <c r="I209" s="4">
        <v>46194.66232638889</v>
      </c>
      <c r="J209" s="2" t="s">
        <v>530</v>
      </c>
      <c r="K209" s="2">
        <v>80.0</v>
      </c>
      <c r="L209" s="2">
        <v>2200.0</v>
      </c>
      <c r="M209" s="2">
        <v>2300.0</v>
      </c>
      <c r="N209" s="6">
        <v>42677.0</v>
      </c>
      <c r="O209" s="2" t="s">
        <v>91</v>
      </c>
      <c r="P209" s="2" t="s">
        <v>36</v>
      </c>
      <c r="Q209" s="2" t="s">
        <v>2204</v>
      </c>
      <c r="S209" s="2" t="s">
        <v>153</v>
      </c>
    </row>
    <row r="210">
      <c r="A210" s="2">
        <v>209.0</v>
      </c>
      <c r="B210" s="2" t="s">
        <v>2205</v>
      </c>
      <c r="C210" s="2" t="s">
        <v>23</v>
      </c>
      <c r="D210" s="2">
        <v>0.0</v>
      </c>
      <c r="E210" s="2">
        <v>10.0</v>
      </c>
      <c r="G210" s="2">
        <v>0.84</v>
      </c>
      <c r="H210" s="2" t="s">
        <v>1847</v>
      </c>
      <c r="I210" s="4">
        <v>46220.41103009259</v>
      </c>
      <c r="J210" s="2" t="s">
        <v>891</v>
      </c>
      <c r="K210" s="2">
        <v>10.0</v>
      </c>
      <c r="L210" s="2">
        <v>0.0</v>
      </c>
      <c r="M210" s="2">
        <v>0.0</v>
      </c>
      <c r="N210" s="6">
        <v>42338.0</v>
      </c>
      <c r="O210" s="2" t="s">
        <v>1516</v>
      </c>
      <c r="P210" s="2" t="s">
        <v>36</v>
      </c>
      <c r="Q210" s="2" t="s">
        <v>2207</v>
      </c>
      <c r="S210" s="2" t="s">
        <v>2208</v>
      </c>
    </row>
    <row r="211">
      <c r="A211" s="2">
        <v>210.0</v>
      </c>
      <c r="B211" s="2" t="s">
        <v>2210</v>
      </c>
      <c r="C211" s="2" t="s">
        <v>23</v>
      </c>
      <c r="D211" s="2">
        <v>0.0</v>
      </c>
      <c r="E211" s="2">
        <v>10.0</v>
      </c>
      <c r="H211" s="2" t="s">
        <v>396</v>
      </c>
      <c r="I211" s="4">
        <v>46214.394907407404</v>
      </c>
      <c r="J211" s="2" t="s">
        <v>766</v>
      </c>
      <c r="K211" s="2">
        <v>10.0</v>
      </c>
      <c r="L211" s="2">
        <v>10.0</v>
      </c>
      <c r="M211" s="2">
        <v>10.0</v>
      </c>
      <c r="N211" s="6">
        <v>42616.0</v>
      </c>
      <c r="O211" s="2" t="s">
        <v>2212</v>
      </c>
      <c r="P211" s="2" t="s">
        <v>36</v>
      </c>
      <c r="Q211" s="2" t="s">
        <v>2213</v>
      </c>
      <c r="S211" s="2" t="s">
        <v>2215</v>
      </c>
    </row>
    <row r="212">
      <c r="A212" s="2">
        <v>211.0</v>
      </c>
      <c r="B212" s="2" t="s">
        <v>2216</v>
      </c>
      <c r="C212" s="2" t="s">
        <v>23</v>
      </c>
      <c r="D212" s="2">
        <v>8.0</v>
      </c>
      <c r="E212" s="2">
        <v>10.0</v>
      </c>
      <c r="F212" s="2">
        <v>0.2</v>
      </c>
      <c r="H212" s="2" t="s">
        <v>2218</v>
      </c>
      <c r="I212" s="4">
        <v>46224.3065625</v>
      </c>
      <c r="J212" s="2" t="s">
        <v>2220</v>
      </c>
      <c r="K212" s="2">
        <v>250.0</v>
      </c>
      <c r="L212" s="2">
        <v>350.0</v>
      </c>
      <c r="M212" s="2">
        <v>350.0</v>
      </c>
      <c r="N212" s="6">
        <v>44034.0</v>
      </c>
      <c r="O212" s="2" t="s">
        <v>1516</v>
      </c>
      <c r="P212" s="2" t="s">
        <v>36</v>
      </c>
      <c r="Q212" s="2" t="s">
        <v>2221</v>
      </c>
      <c r="S212" s="2" t="s">
        <v>2222</v>
      </c>
    </row>
    <row r="213">
      <c r="A213" s="2">
        <v>212.0</v>
      </c>
      <c r="B213" s="2" t="s">
        <v>2224</v>
      </c>
      <c r="C213" s="2" t="s">
        <v>23</v>
      </c>
      <c r="D213" s="2">
        <v>45.0</v>
      </c>
      <c r="E213" s="2">
        <v>10.0</v>
      </c>
      <c r="F213" s="2">
        <v>0.6</v>
      </c>
      <c r="H213" s="2" t="s">
        <v>1534</v>
      </c>
      <c r="I213" s="4">
        <v>46235.90148148148</v>
      </c>
      <c r="J213" s="2" t="s">
        <v>1058</v>
      </c>
      <c r="K213" s="2">
        <v>7400.0</v>
      </c>
      <c r="L213" s="2">
        <v>28000.0</v>
      </c>
      <c r="M213" s="2">
        <v>29000.0</v>
      </c>
      <c r="N213" s="6">
        <v>42682.0</v>
      </c>
      <c r="O213" s="2" t="s">
        <v>91</v>
      </c>
      <c r="P213" s="2" t="s">
        <v>36</v>
      </c>
      <c r="Q213" s="2" t="s">
        <v>2228</v>
      </c>
      <c r="S213" s="2" t="s">
        <v>1276</v>
      </c>
    </row>
    <row r="214">
      <c r="A214" s="2">
        <v>213.0</v>
      </c>
      <c r="B214" s="2" t="s">
        <v>2230</v>
      </c>
      <c r="C214" s="2" t="s">
        <v>23</v>
      </c>
      <c r="D214" s="2">
        <v>0.0</v>
      </c>
      <c r="E214" s="2">
        <v>10.0</v>
      </c>
      <c r="F214" s="2">
        <v>0.45</v>
      </c>
      <c r="H214" s="2" t="s">
        <v>1655</v>
      </c>
      <c r="I214" s="4">
        <v>46223.50335648148</v>
      </c>
      <c r="J214" s="2" t="s">
        <v>2232</v>
      </c>
      <c r="K214" s="2">
        <v>20.0</v>
      </c>
      <c r="L214" s="2">
        <v>700.0</v>
      </c>
      <c r="M214" s="2">
        <v>700.0</v>
      </c>
      <c r="N214" s="6">
        <v>44346.0</v>
      </c>
      <c r="O214" s="2" t="s">
        <v>40</v>
      </c>
      <c r="P214" s="2" t="s">
        <v>36</v>
      </c>
      <c r="Q214" s="2" t="s">
        <v>2233</v>
      </c>
      <c r="S214" s="2" t="s">
        <v>1142</v>
      </c>
    </row>
    <row r="215">
      <c r="A215" s="2">
        <v>214.0</v>
      </c>
      <c r="B215" s="2" t="s">
        <v>2234</v>
      </c>
      <c r="C215" s="2" t="s">
        <v>23</v>
      </c>
      <c r="D215" s="2">
        <v>0.0</v>
      </c>
      <c r="E215" s="2">
        <v>10.0</v>
      </c>
      <c r="F215" s="2">
        <v>0.3</v>
      </c>
      <c r="H215" s="2" t="s">
        <v>137</v>
      </c>
      <c r="I215" s="4">
        <v>46202.97353009259</v>
      </c>
      <c r="J215" s="2" t="s">
        <v>34</v>
      </c>
      <c r="K215" s="2">
        <v>900.0</v>
      </c>
      <c r="L215" s="2">
        <v>300.0</v>
      </c>
      <c r="M215" s="2">
        <v>300.0</v>
      </c>
      <c r="N215" s="6">
        <v>43637.0</v>
      </c>
      <c r="O215" s="2" t="s">
        <v>2237</v>
      </c>
      <c r="P215" s="2" t="s">
        <v>36</v>
      </c>
      <c r="Q215" s="2" t="s">
        <v>2239</v>
      </c>
      <c r="S215" s="2" t="s">
        <v>1598</v>
      </c>
    </row>
    <row r="216">
      <c r="A216" s="2">
        <v>215.0</v>
      </c>
      <c r="B216" s="2" t="s">
        <v>2240</v>
      </c>
      <c r="C216" s="2" t="s">
        <v>23</v>
      </c>
      <c r="D216" s="2">
        <v>0.0</v>
      </c>
      <c r="E216" s="2">
        <v>10.0</v>
      </c>
      <c r="F216" s="2">
        <v>0.6</v>
      </c>
      <c r="H216" s="2" t="s">
        <v>2240</v>
      </c>
      <c r="I216" s="4">
        <v>46226.84275462963</v>
      </c>
      <c r="J216" s="2" t="s">
        <v>34</v>
      </c>
      <c r="K216" s="2">
        <v>10.0</v>
      </c>
      <c r="L216" s="2">
        <v>10.0</v>
      </c>
      <c r="M216" s="2">
        <v>10.0</v>
      </c>
      <c r="N216" s="6">
        <v>44346.0</v>
      </c>
      <c r="O216" s="2" t="s">
        <v>40</v>
      </c>
      <c r="P216" s="2" t="s">
        <v>2242</v>
      </c>
      <c r="Q216" s="2" t="s">
        <v>2243</v>
      </c>
      <c r="S216" s="2" t="s">
        <v>859</v>
      </c>
    </row>
    <row r="217">
      <c r="A217" s="2">
        <v>216.0</v>
      </c>
      <c r="B217" s="2" t="s">
        <v>2245</v>
      </c>
      <c r="C217" s="2" t="s">
        <v>23</v>
      </c>
      <c r="D217" s="2">
        <v>36.0</v>
      </c>
      <c r="E217" s="2">
        <v>10.0</v>
      </c>
      <c r="F217" s="2">
        <v>0.08</v>
      </c>
      <c r="H217" s="2" t="s">
        <v>2245</v>
      </c>
      <c r="I217" s="4">
        <v>46212.24140046296</v>
      </c>
      <c r="J217" s="2" t="s">
        <v>1698</v>
      </c>
      <c r="K217" s="2">
        <v>10.0</v>
      </c>
      <c r="L217" s="2">
        <v>0.0</v>
      </c>
      <c r="M217" s="2">
        <v>0.0</v>
      </c>
      <c r="N217" s="6">
        <v>44210.0</v>
      </c>
      <c r="O217" s="2" t="s">
        <v>514</v>
      </c>
      <c r="P217" s="2" t="s">
        <v>36</v>
      </c>
      <c r="Q217" s="2" t="s">
        <v>2249</v>
      </c>
      <c r="S217" s="2" t="s">
        <v>2250</v>
      </c>
    </row>
    <row r="218">
      <c r="A218" s="2">
        <v>217.0</v>
      </c>
      <c r="B218" s="2" t="s">
        <v>2252</v>
      </c>
      <c r="C218" s="2" t="s">
        <v>23</v>
      </c>
      <c r="D218" s="2">
        <v>0.0</v>
      </c>
      <c r="E218" s="2">
        <v>10.0</v>
      </c>
      <c r="H218" s="2" t="s">
        <v>2252</v>
      </c>
      <c r="I218" s="4">
        <v>46229.82674768518</v>
      </c>
      <c r="J218" s="2" t="s">
        <v>1092</v>
      </c>
      <c r="K218" s="2">
        <v>10.0</v>
      </c>
      <c r="L218" s="2">
        <v>0.0</v>
      </c>
      <c r="M218" s="2">
        <v>0.0</v>
      </c>
      <c r="N218" s="6">
        <v>43988.0</v>
      </c>
      <c r="O218" s="2" t="s">
        <v>1539</v>
      </c>
      <c r="P218" s="2" t="s">
        <v>36</v>
      </c>
      <c r="Q218" s="2" t="s">
        <v>2255</v>
      </c>
      <c r="S218" s="2" t="s">
        <v>1213</v>
      </c>
    </row>
    <row r="219">
      <c r="A219" s="2">
        <v>218.0</v>
      </c>
      <c r="B219" s="2" t="s">
        <v>2257</v>
      </c>
      <c r="C219" s="2" t="s">
        <v>23</v>
      </c>
      <c r="D219" s="2">
        <v>40.0</v>
      </c>
      <c r="E219" s="2">
        <v>10.0</v>
      </c>
      <c r="F219" s="2">
        <v>0.25</v>
      </c>
      <c r="H219" s="2" t="s">
        <v>123</v>
      </c>
      <c r="I219" s="4">
        <v>46235.78585648148</v>
      </c>
      <c r="J219" s="2" t="s">
        <v>34</v>
      </c>
      <c r="K219" s="2">
        <v>10.0</v>
      </c>
      <c r="L219" s="2">
        <v>450.0</v>
      </c>
      <c r="M219" s="2">
        <v>450.0</v>
      </c>
      <c r="N219" s="6">
        <v>42312.0</v>
      </c>
      <c r="O219" s="2" t="s">
        <v>91</v>
      </c>
      <c r="P219" s="2" t="s">
        <v>36</v>
      </c>
      <c r="Q219" s="2" t="s">
        <v>2263</v>
      </c>
      <c r="S219" s="2" t="s">
        <v>1213</v>
      </c>
    </row>
    <row r="220">
      <c r="A220" s="2">
        <v>219.0</v>
      </c>
      <c r="B220" s="2" t="s">
        <v>2265</v>
      </c>
      <c r="C220" s="2" t="s">
        <v>23</v>
      </c>
      <c r="D220" s="2">
        <v>0.0</v>
      </c>
      <c r="E220" s="2">
        <v>10.0</v>
      </c>
      <c r="H220" s="2" t="s">
        <v>2265</v>
      </c>
      <c r="I220" s="4">
        <v>46222.55667824074</v>
      </c>
      <c r="J220" s="2" t="s">
        <v>2267</v>
      </c>
      <c r="K220" s="2">
        <v>10.0</v>
      </c>
      <c r="L220" s="2">
        <v>10.0</v>
      </c>
      <c r="M220" s="2">
        <v>10.0</v>
      </c>
      <c r="N220" s="6">
        <v>42349.0</v>
      </c>
      <c r="O220" s="2" t="s">
        <v>40</v>
      </c>
      <c r="P220" s="2" t="s">
        <v>36</v>
      </c>
      <c r="Q220" s="2" t="s">
        <v>2269</v>
      </c>
      <c r="S220" s="2" t="s">
        <v>2021</v>
      </c>
    </row>
    <row r="221">
      <c r="A221" s="2">
        <v>220.0</v>
      </c>
      <c r="B221" s="2" t="s">
        <v>2270</v>
      </c>
      <c r="C221" s="2" t="s">
        <v>23</v>
      </c>
      <c r="D221" s="2">
        <v>0.0</v>
      </c>
      <c r="E221" s="2">
        <v>10.0</v>
      </c>
      <c r="F221" s="2">
        <v>0.15</v>
      </c>
      <c r="G221" s="2">
        <v>0.64</v>
      </c>
      <c r="H221" s="2" t="s">
        <v>877</v>
      </c>
      <c r="I221" s="4">
        <v>46225.64026620371</v>
      </c>
      <c r="J221" s="2" t="s">
        <v>1166</v>
      </c>
      <c r="K221" s="2">
        <v>50.0</v>
      </c>
      <c r="L221" s="2">
        <v>150.0</v>
      </c>
      <c r="M221" s="2">
        <v>150.0</v>
      </c>
      <c r="N221" s="6">
        <v>42485.0</v>
      </c>
      <c r="O221" s="2" t="s">
        <v>49</v>
      </c>
      <c r="P221" s="2" t="s">
        <v>36</v>
      </c>
      <c r="Q221" s="2" t="s">
        <v>2275</v>
      </c>
      <c r="S221" s="2" t="s">
        <v>780</v>
      </c>
    </row>
    <row r="222">
      <c r="A222" s="2">
        <v>221.0</v>
      </c>
      <c r="B222" s="2" t="s">
        <v>2034</v>
      </c>
      <c r="C222" s="2" t="s">
        <v>23</v>
      </c>
      <c r="D222" s="2">
        <v>0.0</v>
      </c>
      <c r="E222" s="2">
        <v>10.0</v>
      </c>
      <c r="H222" s="2" t="s">
        <v>2277</v>
      </c>
      <c r="I222" s="4">
        <v>46207.78886574074</v>
      </c>
      <c r="J222" s="2" t="s">
        <v>47</v>
      </c>
      <c r="K222" s="2">
        <v>20.0</v>
      </c>
      <c r="L222" s="2">
        <v>0.0</v>
      </c>
      <c r="M222" s="2">
        <v>0.0</v>
      </c>
      <c r="N222" s="6">
        <v>44284.0</v>
      </c>
      <c r="O222" s="2" t="s">
        <v>2036</v>
      </c>
      <c r="P222" s="2" t="s">
        <v>36</v>
      </c>
      <c r="Q222" s="2" t="s">
        <v>2280</v>
      </c>
      <c r="S222" s="2" t="s">
        <v>2038</v>
      </c>
    </row>
    <row r="223">
      <c r="A223" s="2">
        <v>222.0</v>
      </c>
      <c r="B223" s="2" t="s">
        <v>2282</v>
      </c>
      <c r="C223" s="2" t="s">
        <v>23</v>
      </c>
      <c r="D223" s="2">
        <v>2.0</v>
      </c>
      <c r="E223" s="2">
        <v>10.0</v>
      </c>
      <c r="H223" s="2" t="s">
        <v>24</v>
      </c>
      <c r="I223" s="4">
        <v>46228.153912037036</v>
      </c>
      <c r="J223" s="2" t="s">
        <v>34</v>
      </c>
      <c r="K223" s="2">
        <v>350.0</v>
      </c>
      <c r="L223" s="2">
        <v>150.0</v>
      </c>
      <c r="M223" s="2">
        <v>150.0</v>
      </c>
      <c r="N223" s="6">
        <v>43156.0</v>
      </c>
      <c r="O223" s="2" t="s">
        <v>75</v>
      </c>
      <c r="P223" s="2" t="s">
        <v>36</v>
      </c>
      <c r="Q223" s="2" t="s">
        <v>2287</v>
      </c>
      <c r="S223" s="2" t="s">
        <v>44</v>
      </c>
    </row>
    <row r="224">
      <c r="A224" s="2">
        <v>223.0</v>
      </c>
      <c r="B224" s="2" t="s">
        <v>2288</v>
      </c>
      <c r="C224" s="2" t="s">
        <v>23</v>
      </c>
      <c r="D224" s="2">
        <v>0.0</v>
      </c>
      <c r="E224" s="2">
        <v>10.0</v>
      </c>
      <c r="F224" s="2">
        <v>0.03</v>
      </c>
      <c r="H224" s="2" t="s">
        <v>1624</v>
      </c>
      <c r="I224" s="4">
        <v>46202.37206018518</v>
      </c>
      <c r="K224" s="2">
        <v>30.0</v>
      </c>
      <c r="L224" s="2">
        <v>250.0</v>
      </c>
      <c r="M224" s="2">
        <v>250.0</v>
      </c>
      <c r="N224" s="6">
        <v>42493.0</v>
      </c>
      <c r="O224" s="2" t="s">
        <v>49</v>
      </c>
      <c r="P224" s="2" t="s">
        <v>36</v>
      </c>
      <c r="Q224" s="2" t="s">
        <v>2291</v>
      </c>
      <c r="S224" s="2" t="s">
        <v>39</v>
      </c>
    </row>
    <row r="225">
      <c r="A225" s="2">
        <v>224.0</v>
      </c>
      <c r="B225" s="2" t="s">
        <v>2292</v>
      </c>
      <c r="C225" s="2" t="s">
        <v>23</v>
      </c>
      <c r="D225" s="2">
        <v>0.0</v>
      </c>
      <c r="E225" s="2">
        <v>10.0</v>
      </c>
      <c r="F225" s="2">
        <v>0.03</v>
      </c>
      <c r="H225" s="2" t="s">
        <v>2294</v>
      </c>
      <c r="I225" s="4">
        <v>46214.53800925926</v>
      </c>
      <c r="K225" s="2">
        <v>10.0</v>
      </c>
      <c r="L225" s="2">
        <v>0.0</v>
      </c>
      <c r="M225" s="2">
        <v>0.0</v>
      </c>
      <c r="N225" s="6">
        <v>42294.0</v>
      </c>
      <c r="O225" s="2" t="s">
        <v>226</v>
      </c>
      <c r="P225" s="2" t="s">
        <v>36</v>
      </c>
      <c r="Q225" s="2" t="s">
        <v>2297</v>
      </c>
      <c r="S225" s="2" t="s">
        <v>39</v>
      </c>
    </row>
    <row r="226">
      <c r="A226" s="2">
        <v>225.0</v>
      </c>
      <c r="B226" s="2" t="s">
        <v>2299</v>
      </c>
      <c r="C226" s="2" t="s">
        <v>23</v>
      </c>
      <c r="D226" s="2">
        <v>0.0</v>
      </c>
      <c r="F226" s="2">
        <v>0.07</v>
      </c>
      <c r="H226" s="2" t="s">
        <v>1124</v>
      </c>
      <c r="I226" s="4">
        <v>46234.43017361111</v>
      </c>
      <c r="J226" s="2" t="s">
        <v>766</v>
      </c>
      <c r="K226" s="2">
        <v>50.0</v>
      </c>
      <c r="L226" s="2">
        <v>100.0</v>
      </c>
      <c r="M226" s="2">
        <v>100.0</v>
      </c>
      <c r="N226" s="6">
        <v>42481.0</v>
      </c>
      <c r="O226" s="2" t="s">
        <v>49</v>
      </c>
      <c r="P226" s="2" t="s">
        <v>36</v>
      </c>
      <c r="Q226" s="2" t="s">
        <v>2304</v>
      </c>
      <c r="S226" s="2" t="s">
        <v>39</v>
      </c>
    </row>
    <row r="227">
      <c r="A227" s="2">
        <v>226.0</v>
      </c>
      <c r="B227" s="2" t="s">
        <v>2305</v>
      </c>
      <c r="C227" s="2" t="s">
        <v>23</v>
      </c>
      <c r="D227" s="2">
        <v>0.0</v>
      </c>
      <c r="H227" s="2" t="s">
        <v>2307</v>
      </c>
      <c r="I227" s="4">
        <v>46231.364282407405</v>
      </c>
      <c r="J227" s="2" t="s">
        <v>766</v>
      </c>
      <c r="L227" s="2">
        <v>20.0</v>
      </c>
      <c r="M227" s="2">
        <v>20.0</v>
      </c>
      <c r="N227" s="6">
        <v>42307.0</v>
      </c>
      <c r="O227" s="2" t="s">
        <v>1516</v>
      </c>
      <c r="P227" s="2" t="s">
        <v>36</v>
      </c>
      <c r="Q227" s="2" t="s">
        <v>2311</v>
      </c>
      <c r="S227" s="2" t="s">
        <v>1213</v>
      </c>
    </row>
    <row r="228">
      <c r="A228" s="2">
        <v>227.0</v>
      </c>
      <c r="B228" s="2" t="s">
        <v>1318</v>
      </c>
      <c r="C228" s="2" t="s">
        <v>23</v>
      </c>
      <c r="D228" s="2">
        <v>0.0</v>
      </c>
      <c r="F228" s="2">
        <v>0.01</v>
      </c>
      <c r="H228" s="2" t="s">
        <v>1318</v>
      </c>
      <c r="I228" s="4">
        <v>46221.10973379629</v>
      </c>
      <c r="J228" s="2" t="s">
        <v>891</v>
      </c>
      <c r="L228" s="2">
        <v>0.0</v>
      </c>
      <c r="M228" s="2">
        <v>0.0</v>
      </c>
      <c r="N228" s="6">
        <v>44134.0</v>
      </c>
      <c r="O228" s="2" t="s">
        <v>560</v>
      </c>
      <c r="P228" s="2" t="s">
        <v>36</v>
      </c>
      <c r="Q228" s="2" t="s">
        <v>2315</v>
      </c>
      <c r="S228" s="2" t="s">
        <v>39</v>
      </c>
    </row>
    <row r="229">
      <c r="A229" s="2">
        <v>228.0</v>
      </c>
      <c r="B229" s="2" t="s">
        <v>2317</v>
      </c>
      <c r="C229" s="2" t="s">
        <v>23</v>
      </c>
      <c r="D229" s="2">
        <v>38.0</v>
      </c>
      <c r="F229" s="2">
        <v>0.25</v>
      </c>
      <c r="H229" s="2" t="s">
        <v>123</v>
      </c>
      <c r="I229" s="4">
        <v>46236.93006944445</v>
      </c>
      <c r="J229" s="2" t="s">
        <v>34</v>
      </c>
      <c r="K229" s="2">
        <v>250.0</v>
      </c>
      <c r="L229" s="2">
        <v>450.0</v>
      </c>
      <c r="M229" s="2">
        <v>450.0</v>
      </c>
      <c r="N229" s="6">
        <v>42492.0</v>
      </c>
      <c r="O229" s="2" t="s">
        <v>91</v>
      </c>
      <c r="P229" s="2" t="s">
        <v>36</v>
      </c>
      <c r="Q229" s="2" t="s">
        <v>2321</v>
      </c>
      <c r="S229" s="2" t="s">
        <v>1213</v>
      </c>
    </row>
    <row r="230">
      <c r="A230" s="2">
        <v>229.0</v>
      </c>
      <c r="B230" s="2" t="s">
        <v>2323</v>
      </c>
      <c r="C230" s="2" t="s">
        <v>23</v>
      </c>
      <c r="D230" s="2">
        <v>0.0</v>
      </c>
      <c r="F230" s="2">
        <v>2.5</v>
      </c>
      <c r="G230" s="2">
        <v>0.39</v>
      </c>
      <c r="H230" s="2" t="s">
        <v>1230</v>
      </c>
      <c r="I230" s="4">
        <v>46216.72555555555</v>
      </c>
      <c r="J230" s="2" t="s">
        <v>2325</v>
      </c>
      <c r="L230" s="2">
        <v>100.0</v>
      </c>
      <c r="M230" s="2">
        <v>100.0</v>
      </c>
      <c r="N230" s="6">
        <v>42318.0</v>
      </c>
      <c r="O230" s="2" t="s">
        <v>1320</v>
      </c>
      <c r="P230" s="2" t="s">
        <v>36</v>
      </c>
      <c r="Q230" s="2" t="s">
        <v>2328</v>
      </c>
      <c r="S230" s="2" t="s">
        <v>1182</v>
      </c>
    </row>
    <row r="231">
      <c r="A231" s="2">
        <v>230.0</v>
      </c>
      <c r="B231" s="2" t="s">
        <v>2330</v>
      </c>
      <c r="C231" s="2" t="s">
        <v>23</v>
      </c>
      <c r="D231" s="2">
        <v>1.0</v>
      </c>
      <c r="H231" s="2" t="s">
        <v>2330</v>
      </c>
      <c r="I231" s="4">
        <v>46232.24842592593</v>
      </c>
      <c r="J231" s="2" t="s">
        <v>766</v>
      </c>
      <c r="L231" s="2">
        <v>0.0</v>
      </c>
      <c r="M231" s="2">
        <v>0.0</v>
      </c>
      <c r="N231" s="6">
        <v>44302.0</v>
      </c>
      <c r="O231" s="2" t="s">
        <v>655</v>
      </c>
      <c r="P231" s="2" t="s">
        <v>36</v>
      </c>
      <c r="Q231" s="2" t="s">
        <v>2334</v>
      </c>
      <c r="S231" s="2" t="s">
        <v>2336</v>
      </c>
    </row>
    <row r="232">
      <c r="I232" s="4"/>
      <c r="N232" s="6"/>
    </row>
    <row r="233">
      <c r="I233" s="4"/>
      <c r="N233" s="6"/>
    </row>
    <row r="234">
      <c r="I234" s="4"/>
      <c r="N234" s="6"/>
    </row>
    <row r="235">
      <c r="I235" s="4"/>
      <c r="N235" s="6"/>
    </row>
    <row r="236">
      <c r="I236" s="4"/>
      <c r="N236" s="6"/>
    </row>
    <row r="237">
      <c r="I237" s="4"/>
      <c r="N237" s="6"/>
    </row>
    <row r="238">
      <c r="I238" s="4"/>
      <c r="N238" s="6"/>
    </row>
    <row r="239">
      <c r="I239" s="4"/>
      <c r="N239" s="6"/>
    </row>
    <row r="240">
      <c r="I240" s="4"/>
      <c r="N240" s="6"/>
    </row>
    <row r="241">
      <c r="I241" s="4"/>
      <c r="N241" s="6"/>
    </row>
    <row r="242">
      <c r="I242" s="4"/>
      <c r="N242" s="6"/>
    </row>
    <row r="243">
      <c r="I243" s="4"/>
      <c r="N243" s="6"/>
    </row>
    <row r="244">
      <c r="I244" s="4"/>
      <c r="N244" s="6"/>
    </row>
    <row r="245">
      <c r="I245" s="4"/>
      <c r="N245" s="6"/>
    </row>
    <row r="246">
      <c r="I246" s="4"/>
      <c r="N246" s="6"/>
    </row>
    <row r="247">
      <c r="I247" s="4"/>
      <c r="N247" s="6"/>
    </row>
    <row r="248">
      <c r="I248" s="4"/>
      <c r="N248" s="6"/>
    </row>
    <row r="249">
      <c r="I249" s="4"/>
      <c r="N249" s="6"/>
    </row>
    <row r="250">
      <c r="I250" s="4"/>
      <c r="N250" s="6"/>
    </row>
    <row r="251">
      <c r="I251" s="4"/>
      <c r="N251" s="6"/>
    </row>
    <row r="252">
      <c r="I252" s="4"/>
      <c r="N252" s="6"/>
    </row>
    <row r="253">
      <c r="I253" s="4"/>
      <c r="N253" s="6"/>
    </row>
    <row r="254">
      <c r="I254" s="4"/>
      <c r="N254" s="6"/>
    </row>
    <row r="255">
      <c r="I255" s="4"/>
      <c r="N255" s="6"/>
    </row>
    <row r="256">
      <c r="I256" s="4"/>
      <c r="N256" s="6"/>
    </row>
    <row r="257">
      <c r="I257" s="4"/>
      <c r="N257" s="6"/>
    </row>
    <row r="258">
      <c r="I258" s="4"/>
      <c r="N258" s="6"/>
    </row>
    <row r="259">
      <c r="I259" s="4"/>
      <c r="N259" s="6"/>
    </row>
    <row r="260">
      <c r="I260" s="4"/>
      <c r="N260" s="6"/>
    </row>
    <row r="261">
      <c r="I261" s="4"/>
      <c r="N261" s="6"/>
    </row>
    <row r="262">
      <c r="I262" s="4"/>
      <c r="N262" s="6"/>
    </row>
    <row r="263">
      <c r="I263" s="4"/>
      <c r="N263" s="6"/>
    </row>
    <row r="264">
      <c r="I264" s="4"/>
      <c r="N264" s="6"/>
    </row>
    <row r="265">
      <c r="I265" s="4"/>
      <c r="N265" s="6"/>
    </row>
    <row r="266">
      <c r="I266" s="4"/>
      <c r="N266" s="6"/>
    </row>
    <row r="267">
      <c r="I267" s="4"/>
      <c r="N267" s="6"/>
    </row>
    <row r="268">
      <c r="I268" s="4"/>
      <c r="N268" s="6"/>
    </row>
    <row r="269">
      <c r="I269" s="4"/>
      <c r="N269" s="6"/>
    </row>
    <row r="270">
      <c r="I270" s="4"/>
      <c r="N270" s="6"/>
    </row>
    <row r="271">
      <c r="I271" s="4"/>
      <c r="N271" s="6"/>
    </row>
    <row r="272">
      <c r="I272" s="4"/>
      <c r="N272" s="6"/>
    </row>
    <row r="273">
      <c r="I273" s="4"/>
      <c r="N273" s="6"/>
    </row>
    <row r="274">
      <c r="I274" s="4"/>
      <c r="N274" s="6"/>
    </row>
    <row r="275">
      <c r="I275" s="4"/>
      <c r="N275" s="6"/>
    </row>
    <row r="276">
      <c r="I276" s="4"/>
      <c r="N276" s="6"/>
    </row>
    <row r="277">
      <c r="I277" s="4"/>
      <c r="N277" s="6"/>
    </row>
    <row r="278">
      <c r="I278" s="4"/>
      <c r="N278" s="6"/>
    </row>
    <row r="279">
      <c r="I279" s="4"/>
      <c r="N279" s="6"/>
    </row>
    <row r="280">
      <c r="I280" s="4"/>
      <c r="N280" s="6"/>
    </row>
    <row r="281">
      <c r="I281" s="4"/>
      <c r="N281" s="6"/>
    </row>
    <row r="282">
      <c r="I282" s="4"/>
      <c r="N282" s="6"/>
    </row>
    <row r="283">
      <c r="I283" s="4"/>
      <c r="N283" s="6"/>
    </row>
    <row r="284">
      <c r="I284" s="4"/>
      <c r="N284" s="6"/>
    </row>
    <row r="285">
      <c r="I285" s="4"/>
      <c r="N285" s="6"/>
    </row>
    <row r="286">
      <c r="I286" s="4"/>
      <c r="N286" s="6"/>
    </row>
    <row r="287">
      <c r="I287" s="4"/>
      <c r="N287" s="6"/>
    </row>
    <row r="288">
      <c r="I288" s="4"/>
      <c r="N288" s="6"/>
    </row>
    <row r="289">
      <c r="I289" s="4"/>
      <c r="N289" s="6"/>
    </row>
    <row r="290">
      <c r="I290" s="4"/>
      <c r="N290" s="6"/>
    </row>
    <row r="291">
      <c r="I291" s="4"/>
      <c r="N291" s="6"/>
    </row>
    <row r="292">
      <c r="I292" s="4"/>
      <c r="N292" s="6"/>
    </row>
    <row r="293">
      <c r="I293" s="4"/>
      <c r="N293" s="6"/>
    </row>
    <row r="294">
      <c r="I294" s="4"/>
      <c r="N294" s="6"/>
    </row>
    <row r="295">
      <c r="I295" s="4"/>
      <c r="N295" s="6"/>
    </row>
    <row r="296">
      <c r="I296" s="4"/>
      <c r="N296" s="6"/>
    </row>
    <row r="297">
      <c r="I297" s="4"/>
      <c r="N297" s="6"/>
    </row>
    <row r="298">
      <c r="I298" s="4"/>
      <c r="N298" s="6"/>
    </row>
    <row r="299">
      <c r="I299" s="4"/>
      <c r="N299" s="6"/>
    </row>
    <row r="300">
      <c r="I300" s="4"/>
      <c r="N300" s="6"/>
    </row>
    <row r="301">
      <c r="I301" s="4"/>
      <c r="N301" s="6"/>
    </row>
    <row r="302">
      <c r="I302" s="4"/>
      <c r="N302" s="6"/>
    </row>
    <row r="303">
      <c r="I303" s="4"/>
      <c r="N303" s="6"/>
    </row>
    <row r="304">
      <c r="I304" s="4"/>
      <c r="N304" s="6"/>
    </row>
    <row r="305">
      <c r="I305" s="4"/>
      <c r="N305" s="6"/>
    </row>
    <row r="306">
      <c r="I306" s="4"/>
      <c r="N306" s="6"/>
    </row>
    <row r="307">
      <c r="I307" s="4"/>
      <c r="N307" s="6"/>
    </row>
    <row r="308">
      <c r="I308" s="4"/>
      <c r="N308" s="6"/>
    </row>
    <row r="309">
      <c r="I309" s="4"/>
      <c r="N309" s="6"/>
    </row>
    <row r="310">
      <c r="I310" s="4"/>
      <c r="N310" s="6"/>
    </row>
    <row r="311">
      <c r="I311" s="4"/>
      <c r="N311" s="6"/>
    </row>
    <row r="312">
      <c r="I312" s="4"/>
      <c r="N312" s="6"/>
    </row>
    <row r="313">
      <c r="I313" s="4"/>
      <c r="N313" s="6"/>
    </row>
    <row r="314">
      <c r="I314" s="4"/>
      <c r="N314" s="6"/>
    </row>
    <row r="315">
      <c r="I315" s="4"/>
      <c r="N315" s="6"/>
    </row>
    <row r="316">
      <c r="I316" s="4"/>
      <c r="N316" s="6"/>
    </row>
    <row r="317">
      <c r="I317" s="4"/>
      <c r="N317" s="6"/>
    </row>
    <row r="318">
      <c r="I318" s="4"/>
      <c r="N318" s="6"/>
    </row>
    <row r="319">
      <c r="I319" s="4"/>
      <c r="N319" s="6"/>
    </row>
    <row r="320">
      <c r="I320" s="4"/>
      <c r="N320" s="6"/>
    </row>
    <row r="321">
      <c r="I321" s="4"/>
      <c r="N321" s="6"/>
    </row>
    <row r="322">
      <c r="I322" s="4"/>
      <c r="N322" s="6"/>
    </row>
    <row r="323">
      <c r="I323" s="4"/>
      <c r="N323" s="6"/>
    </row>
    <row r="324">
      <c r="I324" s="4"/>
      <c r="N324" s="6"/>
    </row>
    <row r="325">
      <c r="I325" s="4"/>
      <c r="N325" s="6"/>
    </row>
    <row r="326">
      <c r="I326" s="4"/>
      <c r="N326" s="6"/>
    </row>
    <row r="327">
      <c r="I327" s="4"/>
      <c r="N327" s="6"/>
    </row>
    <row r="328">
      <c r="I328" s="4"/>
      <c r="N328" s="6"/>
    </row>
    <row r="329">
      <c r="I329" s="4"/>
      <c r="N329" s="6"/>
    </row>
    <row r="330">
      <c r="I330" s="4"/>
      <c r="N330" s="6"/>
    </row>
    <row r="331">
      <c r="I331" s="4"/>
      <c r="N331" s="6"/>
    </row>
    <row r="332">
      <c r="I332" s="4"/>
      <c r="N332" s="6"/>
    </row>
    <row r="333">
      <c r="I333" s="4"/>
      <c r="N333" s="6"/>
    </row>
    <row r="334">
      <c r="I334" s="4"/>
      <c r="N334" s="6"/>
    </row>
    <row r="335">
      <c r="I335" s="4"/>
      <c r="N335" s="6"/>
    </row>
    <row r="336">
      <c r="I336" s="4"/>
      <c r="N336" s="6"/>
    </row>
    <row r="337">
      <c r="I337" s="4"/>
      <c r="N337" s="6"/>
    </row>
    <row r="338">
      <c r="I338" s="4"/>
      <c r="N338" s="6"/>
    </row>
    <row r="339">
      <c r="I339" s="4"/>
      <c r="N339" s="6"/>
    </row>
    <row r="340">
      <c r="I340" s="4"/>
      <c r="N340" s="6"/>
    </row>
    <row r="341">
      <c r="I341" s="4"/>
      <c r="N341" s="6"/>
    </row>
    <row r="342">
      <c r="I342" s="4"/>
      <c r="N342" s="6"/>
    </row>
    <row r="343">
      <c r="I343" s="4"/>
      <c r="N343" s="6"/>
    </row>
    <row r="344">
      <c r="I344" s="4"/>
      <c r="N344" s="6"/>
    </row>
    <row r="345">
      <c r="I345" s="4"/>
      <c r="N345" s="6"/>
    </row>
    <row r="346">
      <c r="I346" s="4"/>
      <c r="N346" s="6"/>
    </row>
    <row r="347">
      <c r="I347" s="4"/>
      <c r="N347" s="6"/>
    </row>
    <row r="348">
      <c r="I348" s="4"/>
      <c r="N348" s="6"/>
    </row>
    <row r="349">
      <c r="I349" s="4"/>
      <c r="N349" s="6"/>
    </row>
    <row r="350">
      <c r="I350" s="4"/>
      <c r="N350" s="6"/>
    </row>
    <row r="351">
      <c r="I351" s="4"/>
      <c r="N351" s="6"/>
    </row>
    <row r="352">
      <c r="I352" s="4"/>
      <c r="N352" s="6"/>
    </row>
    <row r="353">
      <c r="I353" s="4"/>
      <c r="N353" s="6"/>
    </row>
    <row r="354">
      <c r="I354" s="4"/>
      <c r="N354" s="6"/>
    </row>
    <row r="355">
      <c r="I355" s="4"/>
      <c r="N355" s="6"/>
    </row>
    <row r="356">
      <c r="I356" s="4"/>
      <c r="N356" s="6"/>
    </row>
    <row r="357">
      <c r="I357" s="4"/>
      <c r="N357" s="6"/>
    </row>
    <row r="358">
      <c r="I358" s="4"/>
      <c r="N358" s="6"/>
    </row>
    <row r="359">
      <c r="I359" s="4"/>
      <c r="N359" s="6"/>
    </row>
    <row r="360">
      <c r="I360" s="4"/>
      <c r="N360" s="6"/>
    </row>
    <row r="361">
      <c r="I361" s="4"/>
      <c r="N361" s="6"/>
    </row>
    <row r="362">
      <c r="I362" s="4"/>
      <c r="N362" s="6"/>
    </row>
    <row r="363">
      <c r="I363" s="4"/>
      <c r="N363" s="6"/>
    </row>
    <row r="364">
      <c r="I364" s="4"/>
      <c r="N364" s="6"/>
    </row>
    <row r="365">
      <c r="I365" s="4"/>
      <c r="N365" s="6"/>
    </row>
    <row r="366">
      <c r="I366" s="4"/>
      <c r="N366" s="6"/>
    </row>
    <row r="367">
      <c r="I367" s="4"/>
      <c r="N367" s="6"/>
    </row>
    <row r="368">
      <c r="I368" s="4"/>
      <c r="N368" s="6"/>
    </row>
    <row r="369">
      <c r="I369" s="4"/>
      <c r="N369" s="6"/>
    </row>
    <row r="370">
      <c r="I370" s="4"/>
      <c r="N370" s="6"/>
    </row>
    <row r="371">
      <c r="I371" s="4"/>
      <c r="N371" s="6"/>
    </row>
    <row r="372">
      <c r="I372" s="4"/>
      <c r="N372" s="6"/>
    </row>
    <row r="373">
      <c r="I373" s="4"/>
      <c r="N373" s="6"/>
    </row>
    <row r="374">
      <c r="I374" s="4"/>
      <c r="N374" s="6"/>
    </row>
    <row r="375">
      <c r="I375" s="4"/>
      <c r="N375" s="6"/>
    </row>
    <row r="376">
      <c r="I376" s="4"/>
      <c r="N376" s="6"/>
    </row>
    <row r="377">
      <c r="I377" s="4"/>
      <c r="N377" s="6"/>
    </row>
    <row r="378">
      <c r="I378" s="4"/>
      <c r="N378" s="6"/>
    </row>
    <row r="379">
      <c r="I379" s="4"/>
      <c r="N379" s="6"/>
    </row>
    <row r="380">
      <c r="I380" s="4"/>
      <c r="N380" s="6"/>
    </row>
    <row r="381">
      <c r="I381" s="4"/>
      <c r="N381" s="6"/>
    </row>
    <row r="382">
      <c r="I382" s="4"/>
      <c r="N382" s="6"/>
    </row>
    <row r="383">
      <c r="I383" s="4"/>
      <c r="N383" s="6"/>
    </row>
    <row r="384">
      <c r="I384" s="4"/>
      <c r="N384" s="6"/>
    </row>
    <row r="385">
      <c r="I385" s="4"/>
      <c r="N385" s="6"/>
    </row>
    <row r="386">
      <c r="I386" s="4"/>
      <c r="N386" s="6"/>
    </row>
    <row r="387">
      <c r="I387" s="4"/>
      <c r="N387" s="6"/>
    </row>
    <row r="388">
      <c r="I388" s="4"/>
      <c r="N388" s="6"/>
    </row>
    <row r="389">
      <c r="I389" s="4"/>
      <c r="N389" s="6"/>
    </row>
    <row r="390">
      <c r="I390" s="4"/>
      <c r="N390" s="6"/>
    </row>
    <row r="391">
      <c r="I391" s="4"/>
      <c r="N391" s="6"/>
    </row>
  </sheetData>
  <autoFilter ref="$A$1:$Z$1000"/>
  <drawing r:id="rId1"/>
</worksheet>
</file>